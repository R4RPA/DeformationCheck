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xml"/>
  <Override PartName="/xl/comments3.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omments4.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8.xml" ContentType="application/vnd.openxmlformats-officedocument.drawing+xml"/>
  <Override PartName="/xl/comments6.xml" ContentType="application/vnd.openxmlformats-officedocument.spreadsheetml.comments+xml"/>
  <Override PartName="/xl/charts/chart18.xml" ContentType="application/vnd.openxmlformats-officedocument.drawingml.chart+xml"/>
  <Override PartName="/xl/charts/chart19.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10.xml" ContentType="application/vnd.openxmlformats-officedocument.drawing+xml"/>
  <Override PartName="/xl/comments8.xml" ContentType="application/vnd.openxmlformats-officedocument.spreadsheetml.comments+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11.xml" ContentType="application/vnd.openxmlformats-officedocument.drawing+xml"/>
  <Override PartName="/xl/comments9.xml" ContentType="application/vnd.openxmlformats-officedocument.spreadsheetml.comments+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omments10.xml" ContentType="application/vnd.openxmlformats-officedocument.spreadsheetml.comments+xml"/>
  <Override PartName="/xl/charts/chart30.xml" ContentType="application/vnd.openxmlformats-officedocument.drawingml.chart+xml"/>
  <Override PartName="/xl/charts/chart31.xml" ContentType="application/vnd.openxmlformats-officedocument.drawingml.chart+xml"/>
  <Override PartName="/xl/drawings/drawing13.xml" ContentType="application/vnd.openxmlformats-officedocument.drawing+xml"/>
  <Override PartName="/xl/comments11.xml" ContentType="application/vnd.openxmlformats-officedocument.spreadsheetml.comments+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14.xml" ContentType="application/vnd.openxmlformats-officedocument.drawing+xml"/>
  <Override PartName="/xl/comments12.xml" ContentType="application/vnd.openxmlformats-officedocument.spreadsheetml.comments+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15.xml" ContentType="application/vnd.openxmlformats-officedocument.drawing+xml"/>
  <Override PartName="/xl/comments13.xml" ContentType="application/vnd.openxmlformats-officedocument.spreadsheetml.comments+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16.xml" ContentType="application/vnd.openxmlformats-officedocument.drawing+xml"/>
  <Override PartName="/xl/comments14.xml" ContentType="application/vnd.openxmlformats-officedocument.spreadsheetml.comments+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drawings/drawing17.xml" ContentType="application/vnd.openxmlformats-officedocument.drawing+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drawings/drawing18.xml" ContentType="application/vnd.openxmlformats-officedocument.drawing+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drawings/drawing19.xml" ContentType="application/vnd.openxmlformats-officedocument.drawing+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drawings/drawing20.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drawings/drawing21.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drawings/drawing22.xml" ContentType="application/vnd.openxmlformats-officedocument.drawing+xml"/>
  <Override PartName="/xl/tables/table1.xml" ContentType="application/vnd.openxmlformats-officedocument.spreadsheetml.table+xml"/>
  <Override PartName="/xl/comments15.xml" ContentType="application/vnd.openxmlformats-officedocument.spreadsheetml.comments+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filterPrivacy="1" codeName="ThisWorkbook" defaultThemeVersion="124226"/>
  <xr:revisionPtr revIDLastSave="0" documentId="13_ncr:1_{37963B6E-D171-409C-A9CD-70BD7CD39FE2}" xr6:coauthVersionLast="47" xr6:coauthVersionMax="47" xr10:uidLastSave="{00000000-0000-0000-0000-000000000000}"/>
  <bookViews>
    <workbookView xWindow="2520" yWindow="3225" windowWidth="21600" windowHeight="12735" xr2:uid="{00000000-000D-0000-FFFF-FFFF00000000}"/>
  </bookViews>
  <sheets>
    <sheet name="readme" sheetId="70" r:id="rId1"/>
    <sheet name="105" sheetId="39" r:id="rId2"/>
    <sheet name="236" sheetId="43" r:id="rId3"/>
    <sheet name="237" sheetId="44" r:id="rId4"/>
    <sheet name="238" sheetId="45" r:id="rId5"/>
    <sheet name="239" sheetId="46" r:id="rId6"/>
    <sheet name="240" sheetId="47" r:id="rId7"/>
    <sheet name="241" sheetId="48" r:id="rId8"/>
    <sheet name="242" sheetId="49" r:id="rId9"/>
    <sheet name="243" sheetId="50" r:id="rId10"/>
    <sheet name="244" sheetId="51" r:id="rId11"/>
    <sheet name="245" sheetId="52" r:id="rId12"/>
    <sheet name="246" sheetId="53" r:id="rId13"/>
    <sheet name="247" sheetId="54" r:id="rId14"/>
    <sheet name="248" sheetId="55" r:id="rId15"/>
    <sheet name="101" sheetId="65" r:id="rId16"/>
    <sheet name="201" sheetId="64" r:id="rId17"/>
    <sheet name="246+avg2.03" sheetId="67" r:id="rId18"/>
    <sheet name="201-Tool_max" sheetId="68" r:id="rId19"/>
    <sheet name="201-Tool_min" sheetId="69" r:id="rId20"/>
    <sheet name="Summary" sheetId="60" r:id="rId21"/>
    <sheet name="Graph" sheetId="62" r:id="rId22"/>
    <sheet name="Step Check Summary" sheetId="66" r:id="rId23"/>
  </sheets>
  <definedNames>
    <definedName name="_xlnm._FilterDatabase" localSheetId="15" hidden="1">'101'!$K$11:$K$43</definedName>
    <definedName name="_xlnm._FilterDatabase" localSheetId="1" hidden="1">'105'!$J$11:$J$58</definedName>
    <definedName name="_xlnm._FilterDatabase" localSheetId="16" hidden="1">'201'!$K$11:$K$51</definedName>
    <definedName name="_xlnm._FilterDatabase" localSheetId="18" hidden="1">'201-Tool_max'!$K$11:$K$51</definedName>
    <definedName name="_xlnm._FilterDatabase" localSheetId="19" hidden="1">'201-Tool_min'!$K$11:$K$51</definedName>
    <definedName name="_xlnm._FilterDatabase" localSheetId="2" hidden="1">'236'!$J$172:$J$219</definedName>
    <definedName name="_xlnm._FilterDatabase" localSheetId="3" hidden="1">'237'!$J$67:$J$114</definedName>
    <definedName name="_xlnm._FilterDatabase" localSheetId="4" hidden="1">'238'!$A$11:$K$58</definedName>
    <definedName name="_xlnm._FilterDatabase" localSheetId="5" hidden="1">'239'!$A$6:$K$53</definedName>
    <definedName name="_xlnm._FilterDatabase" localSheetId="6" hidden="1">'240'!$J$11:$J$111</definedName>
    <definedName name="_xlnm._FilterDatabase" localSheetId="7" hidden="1">'241'!$K$11:$K$56</definedName>
    <definedName name="_xlnm._FilterDatabase" localSheetId="8" hidden="1">'242'!$J$112:$J$162</definedName>
    <definedName name="_xlnm._FilterDatabase" localSheetId="9" hidden="1">'243'!$L$8:$L$56</definedName>
    <definedName name="_xlnm._FilterDatabase" localSheetId="10" hidden="1">'244'!$L$7:$L$123</definedName>
    <definedName name="_xlnm._FilterDatabase" localSheetId="12" hidden="1">'246'!$K$11:$K$62</definedName>
    <definedName name="_xlnm._FilterDatabase" localSheetId="17" hidden="1">'246+avg2.03'!$K$11:$K$62</definedName>
    <definedName name="_xlnm._FilterDatabase" localSheetId="13" hidden="1">'247'!$L$65:$L$112</definedName>
    <definedName name="_xlnm._FilterDatabase" localSheetId="14" hidden="1">'248'!$K$11:$K$51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1" i="55" l="1"/>
  <c r="L11" i="55"/>
  <c r="L13" i="55" s="1"/>
  <c r="M13" i="55"/>
  <c r="M14" i="55"/>
  <c r="M15" i="55"/>
  <c r="M16" i="55"/>
  <c r="M17" i="55"/>
  <c r="M18" i="55"/>
  <c r="M19" i="55"/>
  <c r="M20" i="55"/>
  <c r="L21" i="55"/>
  <c r="M21" i="55"/>
  <c r="M22" i="55"/>
  <c r="L23" i="55"/>
  <c r="M23" i="55"/>
  <c r="M24" i="55"/>
  <c r="L25" i="55"/>
  <c r="M25" i="55"/>
  <c r="M26" i="55"/>
  <c r="M12" i="55"/>
  <c r="M11" i="54"/>
  <c r="L11" i="54"/>
  <c r="L14" i="54" s="1"/>
  <c r="L13" i="54"/>
  <c r="M13" i="54"/>
  <c r="M14" i="54"/>
  <c r="L15" i="54"/>
  <c r="M15" i="54"/>
  <c r="L16" i="54"/>
  <c r="M16" i="54"/>
  <c r="L17" i="54"/>
  <c r="M17" i="54"/>
  <c r="L18" i="54"/>
  <c r="M18" i="54"/>
  <c r="L19" i="54"/>
  <c r="M19" i="54"/>
  <c r="L20" i="54"/>
  <c r="M20" i="54"/>
  <c r="L21" i="54"/>
  <c r="M21" i="54"/>
  <c r="L22" i="54"/>
  <c r="M22" i="54"/>
  <c r="L23" i="54"/>
  <c r="M23" i="54"/>
  <c r="L24" i="54"/>
  <c r="M24" i="54"/>
  <c r="L25" i="54"/>
  <c r="M25" i="54"/>
  <c r="L26" i="54"/>
  <c r="M26" i="54"/>
  <c r="M12" i="54"/>
  <c r="L12" i="54"/>
  <c r="M11" i="53"/>
  <c r="M14" i="53" s="1"/>
  <c r="L11" i="53"/>
  <c r="L13" i="53"/>
  <c r="L14" i="53"/>
  <c r="L15" i="53"/>
  <c r="L16" i="53"/>
  <c r="L17" i="53"/>
  <c r="L18" i="53"/>
  <c r="L19" i="53"/>
  <c r="L20" i="53"/>
  <c r="L21" i="53"/>
  <c r="L22" i="53"/>
  <c r="L23" i="53"/>
  <c r="L24" i="53"/>
  <c r="L25" i="53"/>
  <c r="L26" i="53"/>
  <c r="L12" i="53"/>
  <c r="M11" i="49"/>
  <c r="M16" i="49" s="1"/>
  <c r="L11" i="49"/>
  <c r="L13" i="49" s="1"/>
  <c r="M13" i="49"/>
  <c r="L14" i="49"/>
  <c r="M14" i="49"/>
  <c r="M15" i="49"/>
  <c r="L16" i="49"/>
  <c r="M17" i="49"/>
  <c r="L18" i="49"/>
  <c r="M18" i="49"/>
  <c r="L20" i="49"/>
  <c r="M20" i="49"/>
  <c r="L21" i="49"/>
  <c r="L22" i="49"/>
  <c r="M22" i="49"/>
  <c r="L23" i="49"/>
  <c r="L24" i="49"/>
  <c r="M24" i="49"/>
  <c r="L25" i="49"/>
  <c r="L26" i="49"/>
  <c r="M26" i="49"/>
  <c r="M12" i="49"/>
  <c r="L12" i="49"/>
  <c r="M11" i="48"/>
  <c r="L11" i="48"/>
  <c r="L13" i="48" s="1"/>
  <c r="M13" i="48"/>
  <c r="M14" i="48"/>
  <c r="M15" i="48"/>
  <c r="M16" i="48"/>
  <c r="M17" i="48"/>
  <c r="M18" i="48"/>
  <c r="M19" i="48"/>
  <c r="M20" i="48"/>
  <c r="M21" i="48"/>
  <c r="M22" i="48"/>
  <c r="M23" i="48"/>
  <c r="M24" i="48"/>
  <c r="M25" i="48"/>
  <c r="M26" i="48"/>
  <c r="M12" i="48"/>
  <c r="M11" i="47"/>
  <c r="M12" i="47" s="1"/>
  <c r="L11" i="47"/>
  <c r="L13" i="47"/>
  <c r="L14" i="47"/>
  <c r="L15" i="47"/>
  <c r="L16" i="47"/>
  <c r="L17" i="47"/>
  <c r="L18" i="47"/>
  <c r="L19" i="47"/>
  <c r="L20" i="47"/>
  <c r="L21" i="47"/>
  <c r="L22" i="47"/>
  <c r="L23" i="47"/>
  <c r="L24" i="47"/>
  <c r="L25" i="47"/>
  <c r="L26" i="47"/>
  <c r="M26" i="47"/>
  <c r="L12" i="47"/>
  <c r="L13" i="65"/>
  <c r="M13" i="65"/>
  <c r="L14" i="65"/>
  <c r="M14" i="65"/>
  <c r="L15" i="65"/>
  <c r="M15" i="65"/>
  <c r="L16" i="65"/>
  <c r="M16" i="65"/>
  <c r="L17" i="65"/>
  <c r="M17" i="65"/>
  <c r="L18" i="65"/>
  <c r="M18" i="65"/>
  <c r="M12" i="65"/>
  <c r="L12" i="65"/>
  <c r="M11" i="65"/>
  <c r="L11" i="65"/>
  <c r="M11" i="52"/>
  <c r="L11" i="52"/>
  <c r="L12" i="52" s="1"/>
  <c r="L13" i="52"/>
  <c r="M13" i="52"/>
  <c r="L14" i="52"/>
  <c r="M14" i="52"/>
  <c r="L15" i="52"/>
  <c r="M15" i="52"/>
  <c r="L16" i="52"/>
  <c r="M16" i="52"/>
  <c r="L17" i="52"/>
  <c r="M17" i="52"/>
  <c r="L18" i="52"/>
  <c r="M18" i="52"/>
  <c r="M12" i="52"/>
  <c r="M11" i="51"/>
  <c r="M13" i="51" s="1"/>
  <c r="L11" i="51"/>
  <c r="L14" i="51" s="1"/>
  <c r="L13" i="51"/>
  <c r="M14" i="51"/>
  <c r="L15" i="51"/>
  <c r="M15" i="51"/>
  <c r="L16" i="51"/>
  <c r="M16" i="51"/>
  <c r="L17" i="51"/>
  <c r="M17" i="51"/>
  <c r="L18" i="51"/>
  <c r="M18" i="51"/>
  <c r="L19" i="51"/>
  <c r="M19" i="51"/>
  <c r="L20" i="51"/>
  <c r="M20" i="51"/>
  <c r="L21" i="51"/>
  <c r="M21" i="51"/>
  <c r="L22" i="51"/>
  <c r="M22" i="51"/>
  <c r="L23" i="51"/>
  <c r="M23" i="51"/>
  <c r="L24" i="51"/>
  <c r="M24" i="51"/>
  <c r="L25" i="51"/>
  <c r="M25" i="51"/>
  <c r="L26" i="51"/>
  <c r="M26" i="51"/>
  <c r="M12" i="51"/>
  <c r="L12" i="51"/>
  <c r="M11" i="50"/>
  <c r="L11" i="50"/>
  <c r="L13" i="50"/>
  <c r="M13" i="50"/>
  <c r="L14" i="50"/>
  <c r="M14" i="50"/>
  <c r="L15" i="50"/>
  <c r="M15" i="50"/>
  <c r="L16" i="50"/>
  <c r="M16" i="50"/>
  <c r="L17" i="50"/>
  <c r="M17" i="50"/>
  <c r="L18" i="50"/>
  <c r="M18" i="50"/>
  <c r="L19" i="50"/>
  <c r="M19" i="50"/>
  <c r="L20" i="50"/>
  <c r="M20" i="50"/>
  <c r="L21" i="50"/>
  <c r="M21" i="50"/>
  <c r="L22" i="50"/>
  <c r="M22" i="50"/>
  <c r="L23" i="50"/>
  <c r="M23" i="50"/>
  <c r="L24" i="50"/>
  <c r="M24" i="50"/>
  <c r="L25" i="50"/>
  <c r="M25" i="50"/>
  <c r="L26" i="50"/>
  <c r="M26" i="50"/>
  <c r="M12" i="50"/>
  <c r="L12" i="50"/>
  <c r="M11" i="46"/>
  <c r="M15" i="46" s="1"/>
  <c r="L11" i="46"/>
  <c r="L13" i="46" s="1"/>
  <c r="M13" i="46"/>
  <c r="L14" i="46"/>
  <c r="M14" i="46"/>
  <c r="L16" i="46"/>
  <c r="M16" i="46"/>
  <c r="M17" i="46"/>
  <c r="L18" i="46"/>
  <c r="M18" i="46"/>
  <c r="M19" i="46"/>
  <c r="L20" i="46"/>
  <c r="M21" i="46"/>
  <c r="L22" i="46"/>
  <c r="M22" i="46"/>
  <c r="L24" i="46"/>
  <c r="M24" i="46"/>
  <c r="M25" i="46"/>
  <c r="L26" i="46"/>
  <c r="M26" i="46"/>
  <c r="M12" i="46"/>
  <c r="L12" i="46"/>
  <c r="M11" i="45"/>
  <c r="L11" i="45"/>
  <c r="L12" i="45" s="1"/>
  <c r="L13" i="45"/>
  <c r="M13" i="45"/>
  <c r="M14" i="45"/>
  <c r="L15" i="45"/>
  <c r="M15" i="45"/>
  <c r="L16" i="45"/>
  <c r="M16" i="45"/>
  <c r="L17" i="45"/>
  <c r="M17" i="45"/>
  <c r="L18" i="45"/>
  <c r="M18" i="45"/>
  <c r="L19" i="45"/>
  <c r="M19" i="45"/>
  <c r="L20" i="45"/>
  <c r="M20" i="45"/>
  <c r="L21" i="45"/>
  <c r="M21" i="45"/>
  <c r="L22" i="45"/>
  <c r="M22" i="45"/>
  <c r="L23" i="45"/>
  <c r="M23" i="45"/>
  <c r="L24" i="45"/>
  <c r="M24" i="45"/>
  <c r="L25" i="45"/>
  <c r="M25" i="45"/>
  <c r="L26" i="45"/>
  <c r="M26" i="45"/>
  <c r="M12" i="45"/>
  <c r="M11" i="44"/>
  <c r="L11" i="44"/>
  <c r="L14" i="44" s="1"/>
  <c r="L13" i="44"/>
  <c r="M13" i="44"/>
  <c r="M14" i="44"/>
  <c r="L15" i="44"/>
  <c r="M15" i="44"/>
  <c r="L16" i="44"/>
  <c r="M16" i="44"/>
  <c r="L17" i="44"/>
  <c r="M17" i="44"/>
  <c r="L18" i="44"/>
  <c r="M18" i="44"/>
  <c r="L19" i="44"/>
  <c r="M19" i="44"/>
  <c r="L20" i="44"/>
  <c r="M20" i="44"/>
  <c r="L21" i="44"/>
  <c r="M21" i="44"/>
  <c r="L22" i="44"/>
  <c r="M22" i="44"/>
  <c r="L23" i="44"/>
  <c r="M23" i="44"/>
  <c r="L24" i="44"/>
  <c r="M24" i="44"/>
  <c r="L25" i="44"/>
  <c r="M25" i="44"/>
  <c r="L26" i="44"/>
  <c r="M26" i="44"/>
  <c r="M12" i="44"/>
  <c r="L12" i="44"/>
  <c r="L13" i="43"/>
  <c r="M13" i="43"/>
  <c r="L14" i="43"/>
  <c r="M14" i="43"/>
  <c r="L15" i="43"/>
  <c r="M15" i="43"/>
  <c r="L16" i="43"/>
  <c r="M16" i="43"/>
  <c r="L17" i="43"/>
  <c r="M17" i="43"/>
  <c r="L18" i="43"/>
  <c r="M18" i="43"/>
  <c r="L19" i="43"/>
  <c r="M19" i="43"/>
  <c r="L20" i="43"/>
  <c r="M20" i="43"/>
  <c r="L21" i="43"/>
  <c r="M21" i="43"/>
  <c r="L22" i="43"/>
  <c r="M22" i="43"/>
  <c r="L23" i="43"/>
  <c r="M23" i="43"/>
  <c r="L24" i="43"/>
  <c r="M24" i="43"/>
  <c r="L25" i="43"/>
  <c r="M25" i="43"/>
  <c r="L26" i="43"/>
  <c r="M26" i="43"/>
  <c r="M12" i="43"/>
  <c r="L12" i="43"/>
  <c r="M11" i="43"/>
  <c r="L11" i="43"/>
  <c r="F142" i="62"/>
  <c r="F143" i="62" s="1"/>
  <c r="L26" i="55" l="1"/>
  <c r="L24" i="55"/>
  <c r="L22" i="55"/>
  <c r="L20" i="55"/>
  <c r="L18" i="55"/>
  <c r="L16" i="55"/>
  <c r="L14" i="55"/>
  <c r="L12" i="55"/>
  <c r="L19" i="55"/>
  <c r="L17" i="55"/>
  <c r="L15" i="55"/>
  <c r="M25" i="53"/>
  <c r="M23" i="53"/>
  <c r="M21" i="53"/>
  <c r="M19" i="53"/>
  <c r="M17" i="53"/>
  <c r="M15" i="53"/>
  <c r="M13" i="53"/>
  <c r="M12" i="53"/>
  <c r="M26" i="53"/>
  <c r="M24" i="53"/>
  <c r="M22" i="53"/>
  <c r="M20" i="53"/>
  <c r="M18" i="53"/>
  <c r="M16" i="53"/>
  <c r="M25" i="49"/>
  <c r="M23" i="49"/>
  <c r="M21" i="49"/>
  <c r="M19" i="49"/>
  <c r="L19" i="49"/>
  <c r="L17" i="49"/>
  <c r="L15" i="49"/>
  <c r="L26" i="48"/>
  <c r="L24" i="48"/>
  <c r="L22" i="48"/>
  <c r="L20" i="48"/>
  <c r="L18" i="48"/>
  <c r="L16" i="48"/>
  <c r="L14" i="48"/>
  <c r="L12" i="48"/>
  <c r="L25" i="48"/>
  <c r="L23" i="48"/>
  <c r="L21" i="48"/>
  <c r="L19" i="48"/>
  <c r="L17" i="48"/>
  <c r="L15" i="48"/>
  <c r="M25" i="47"/>
  <c r="M23" i="47"/>
  <c r="M21" i="47"/>
  <c r="M19" i="47"/>
  <c r="M17" i="47"/>
  <c r="M15" i="47"/>
  <c r="M13" i="47"/>
  <c r="M24" i="47"/>
  <c r="M22" i="47"/>
  <c r="M20" i="47"/>
  <c r="M18" i="47"/>
  <c r="M16" i="47"/>
  <c r="M14" i="47"/>
  <c r="M23" i="46"/>
  <c r="M20" i="46"/>
  <c r="L25" i="46"/>
  <c r="L23" i="46"/>
  <c r="L21" i="46"/>
  <c r="L19" i="46"/>
  <c r="L17" i="46"/>
  <c r="L15" i="46"/>
  <c r="L14" i="45"/>
  <c r="C365" i="62"/>
  <c r="C364" i="62"/>
  <c r="M7" i="67" l="1"/>
  <c r="M5" i="67"/>
  <c r="M6" i="67"/>
  <c r="M7" i="69" l="1"/>
  <c r="M6" i="69"/>
  <c r="M5" i="69"/>
  <c r="M7" i="68"/>
  <c r="M6" i="68"/>
  <c r="M5" i="68"/>
  <c r="AP93" i="69" l="1"/>
  <c r="AO93" i="69"/>
  <c r="AN93" i="69"/>
  <c r="AM93" i="69"/>
  <c r="AL93" i="69"/>
  <c r="AK93" i="69"/>
  <c r="AJ93" i="69"/>
  <c r="AI93" i="69"/>
  <c r="AH93" i="69"/>
  <c r="AG93" i="69"/>
  <c r="AF93" i="69"/>
  <c r="AE93" i="69"/>
  <c r="AD93" i="69"/>
  <c r="AC93" i="69"/>
  <c r="AB93" i="69"/>
  <c r="AA93" i="69"/>
  <c r="Z93" i="69"/>
  <c r="Y93" i="69"/>
  <c r="X93" i="69"/>
  <c r="W93" i="69"/>
  <c r="V93" i="69"/>
  <c r="U93" i="69"/>
  <c r="T93" i="69"/>
  <c r="S93" i="69"/>
  <c r="AR36" i="69"/>
  <c r="AR37" i="69" s="1"/>
  <c r="AQ36" i="69"/>
  <c r="AP34" i="69"/>
  <c r="AO34" i="69"/>
  <c r="AN34" i="69"/>
  <c r="AM34" i="69"/>
  <c r="AL34" i="69"/>
  <c r="AK34" i="69"/>
  <c r="AJ34" i="69"/>
  <c r="AI34" i="69"/>
  <c r="AH34" i="69"/>
  <c r="AG34" i="69"/>
  <c r="AF34" i="69"/>
  <c r="AE34" i="69"/>
  <c r="AD34" i="69"/>
  <c r="AC34" i="69"/>
  <c r="AB34" i="69"/>
  <c r="AA34" i="69"/>
  <c r="Z34" i="69"/>
  <c r="Y34" i="69"/>
  <c r="X34" i="69"/>
  <c r="W34" i="69"/>
  <c r="V34" i="69"/>
  <c r="U34" i="69"/>
  <c r="T34" i="69"/>
  <c r="S34" i="69"/>
  <c r="Q33" i="69"/>
  <c r="K36" i="69" s="1"/>
  <c r="N33" i="69"/>
  <c r="U26" i="69"/>
  <c r="S26" i="69"/>
  <c r="U25" i="69"/>
  <c r="S25" i="69"/>
  <c r="U24" i="69"/>
  <c r="S24" i="69"/>
  <c r="U23" i="69"/>
  <c r="S23" i="69"/>
  <c r="U22" i="69"/>
  <c r="S22" i="69"/>
  <c r="U21" i="69"/>
  <c r="S21" i="69"/>
  <c r="U20" i="69"/>
  <c r="S20" i="69"/>
  <c r="U19" i="69"/>
  <c r="S19" i="69"/>
  <c r="U18" i="69"/>
  <c r="S18" i="69"/>
  <c r="U17" i="69"/>
  <c r="S17" i="69"/>
  <c r="U16" i="69"/>
  <c r="S16" i="69"/>
  <c r="U15" i="69"/>
  <c r="S15" i="69"/>
  <c r="U14" i="69"/>
  <c r="S14" i="69"/>
  <c r="U13" i="69"/>
  <c r="S13" i="69"/>
  <c r="U12" i="69"/>
  <c r="S12" i="69"/>
  <c r="I12" i="69"/>
  <c r="U11" i="69"/>
  <c r="T11" i="69"/>
  <c r="S11" i="69"/>
  <c r="T10" i="69"/>
  <c r="S10" i="69"/>
  <c r="U9" i="69"/>
  <c r="T9" i="69"/>
  <c r="AP93" i="68"/>
  <c r="AO93" i="68"/>
  <c r="AN93" i="68"/>
  <c r="AM93" i="68"/>
  <c r="AL93" i="68"/>
  <c r="AK93" i="68"/>
  <c r="AJ93" i="68"/>
  <c r="AI93" i="68"/>
  <c r="AH93" i="68"/>
  <c r="AG93" i="68"/>
  <c r="AF93" i="68"/>
  <c r="AE93" i="68"/>
  <c r="AD93" i="68"/>
  <c r="AC93" i="68"/>
  <c r="AB93" i="68"/>
  <c r="AA93" i="68"/>
  <c r="Z93" i="68"/>
  <c r="Y93" i="68"/>
  <c r="X93" i="68"/>
  <c r="W93" i="68"/>
  <c r="V93" i="68"/>
  <c r="U93" i="68"/>
  <c r="T93" i="68"/>
  <c r="S93" i="68"/>
  <c r="AR36" i="68"/>
  <c r="AQ36" i="68"/>
  <c r="AQ37" i="68" s="1"/>
  <c r="AP34" i="68"/>
  <c r="AO34" i="68"/>
  <c r="AN34" i="68"/>
  <c r="AM34" i="68"/>
  <c r="AL34" i="68"/>
  <c r="AK34" i="68"/>
  <c r="AJ34" i="68"/>
  <c r="AI34" i="68"/>
  <c r="AH34" i="68"/>
  <c r="AG34" i="68"/>
  <c r="AF34" i="68"/>
  <c r="AE34" i="68"/>
  <c r="AD34" i="68"/>
  <c r="AC34" i="68"/>
  <c r="AB34" i="68"/>
  <c r="AA34" i="68"/>
  <c r="Z34" i="68"/>
  <c r="Y34" i="68"/>
  <c r="X34" i="68"/>
  <c r="W34" i="68"/>
  <c r="V34" i="68"/>
  <c r="U34" i="68"/>
  <c r="T34" i="68"/>
  <c r="S34" i="68"/>
  <c r="Q33" i="68"/>
  <c r="K36" i="68" s="1"/>
  <c r="N33" i="68"/>
  <c r="U26" i="68"/>
  <c r="S26" i="68"/>
  <c r="U25" i="68"/>
  <c r="S25" i="68"/>
  <c r="U24" i="68"/>
  <c r="S24" i="68"/>
  <c r="U23" i="68"/>
  <c r="S23" i="68"/>
  <c r="U22" i="68"/>
  <c r="S22" i="68"/>
  <c r="U21" i="68"/>
  <c r="S21" i="68"/>
  <c r="U20" i="68"/>
  <c r="S20" i="68"/>
  <c r="U19" i="68"/>
  <c r="S19" i="68"/>
  <c r="U18" i="68"/>
  <c r="S18" i="68"/>
  <c r="U17" i="68"/>
  <c r="S17" i="68"/>
  <c r="U16" i="68"/>
  <c r="S16" i="68"/>
  <c r="U15" i="68"/>
  <c r="S15" i="68"/>
  <c r="U14" i="68"/>
  <c r="S14" i="68"/>
  <c r="U13" i="68"/>
  <c r="S13" i="68"/>
  <c r="U12" i="68"/>
  <c r="S12" i="68"/>
  <c r="I12" i="68"/>
  <c r="I13" i="68" s="1"/>
  <c r="I14" i="68" s="1"/>
  <c r="U11" i="68"/>
  <c r="T11" i="68"/>
  <c r="S11" i="68"/>
  <c r="T10" i="68"/>
  <c r="S10" i="68"/>
  <c r="U9" i="68"/>
  <c r="T9" i="68"/>
  <c r="AR36" i="67"/>
  <c r="AR37" i="67" s="1"/>
  <c r="AR38" i="67" s="1"/>
  <c r="AR39" i="67" s="1"/>
  <c r="AR40" i="67" s="1"/>
  <c r="AR41" i="67" s="1"/>
  <c r="AR42" i="67" s="1"/>
  <c r="AR43" i="67" s="1"/>
  <c r="AR44" i="67" s="1"/>
  <c r="AR45" i="67" s="1"/>
  <c r="AR46" i="67" s="1"/>
  <c r="AR47" i="67" s="1"/>
  <c r="AR48" i="67" s="1"/>
  <c r="AR49" i="67" s="1"/>
  <c r="AR50" i="67" s="1"/>
  <c r="AR51" i="67" s="1"/>
  <c r="AR52" i="67" s="1"/>
  <c r="AR53" i="67" s="1"/>
  <c r="AR54" i="67" s="1"/>
  <c r="AR55" i="67" s="1"/>
  <c r="AR56" i="67" s="1"/>
  <c r="AR57" i="67" s="1"/>
  <c r="AR58" i="67" s="1"/>
  <c r="AR59" i="67" s="1"/>
  <c r="AQ36" i="67"/>
  <c r="AQ37" i="67" s="1"/>
  <c r="AQ38" i="67" s="1"/>
  <c r="AQ39" i="67" s="1"/>
  <c r="AQ40" i="67" s="1"/>
  <c r="AQ41" i="67" s="1"/>
  <c r="AQ42" i="67" s="1"/>
  <c r="AQ43" i="67" s="1"/>
  <c r="AQ44" i="67" s="1"/>
  <c r="AQ45" i="67" s="1"/>
  <c r="AQ46" i="67" s="1"/>
  <c r="AQ47" i="67" s="1"/>
  <c r="AQ48" i="67" s="1"/>
  <c r="AQ49" i="67" s="1"/>
  <c r="AQ50" i="67" s="1"/>
  <c r="AQ51" i="67" s="1"/>
  <c r="AQ52" i="67" s="1"/>
  <c r="AQ53" i="67" s="1"/>
  <c r="AQ54" i="67" s="1"/>
  <c r="AQ55" i="67" s="1"/>
  <c r="AQ56" i="67" s="1"/>
  <c r="AQ57" i="67" s="1"/>
  <c r="AQ58" i="67" s="1"/>
  <c r="AQ59" i="67" s="1"/>
  <c r="K36" i="67"/>
  <c r="AP34" i="67"/>
  <c r="AO34" i="67"/>
  <c r="AN34" i="67"/>
  <c r="AM34" i="67"/>
  <c r="AL34" i="67"/>
  <c r="AK34" i="67"/>
  <c r="AJ34" i="67"/>
  <c r="AI34" i="67"/>
  <c r="AH34" i="67"/>
  <c r="AG34" i="67"/>
  <c r="AF34" i="67"/>
  <c r="AE34" i="67"/>
  <c r="AD34" i="67"/>
  <c r="AC34" i="67"/>
  <c r="AB34" i="67"/>
  <c r="AA34" i="67"/>
  <c r="Z34" i="67"/>
  <c r="Y34" i="67"/>
  <c r="X34" i="67"/>
  <c r="W34" i="67"/>
  <c r="V34" i="67"/>
  <c r="U34" i="67"/>
  <c r="T34" i="67"/>
  <c r="S34" i="67"/>
  <c r="N33" i="67"/>
  <c r="U27" i="67"/>
  <c r="T27" i="67"/>
  <c r="S27" i="67"/>
  <c r="U26" i="67"/>
  <c r="S26" i="67"/>
  <c r="U25" i="67"/>
  <c r="S25" i="67"/>
  <c r="U24" i="67"/>
  <c r="S24" i="67"/>
  <c r="U23" i="67"/>
  <c r="S23" i="67"/>
  <c r="U22" i="67"/>
  <c r="S22" i="67"/>
  <c r="U21" i="67"/>
  <c r="S21" i="67"/>
  <c r="U20" i="67"/>
  <c r="S20" i="67"/>
  <c r="U19" i="67"/>
  <c r="S19" i="67"/>
  <c r="U18" i="67"/>
  <c r="S18" i="67"/>
  <c r="U17" i="67"/>
  <c r="S17" i="67"/>
  <c r="U16" i="67"/>
  <c r="S16" i="67"/>
  <c r="U15" i="67"/>
  <c r="S15" i="67"/>
  <c r="U14" i="67"/>
  <c r="S14" i="67"/>
  <c r="U13" i="67"/>
  <c r="S13" i="67"/>
  <c r="U12" i="67"/>
  <c r="S12" i="67"/>
  <c r="I12" i="67"/>
  <c r="I13" i="67" s="1"/>
  <c r="U11" i="67"/>
  <c r="T11" i="67"/>
  <c r="S11" i="67"/>
  <c r="X10" i="67"/>
  <c r="W10" i="67"/>
  <c r="V10" i="67"/>
  <c r="U10" i="67"/>
  <c r="T10" i="67"/>
  <c r="S10" i="67"/>
  <c r="U9" i="67"/>
  <c r="T9" i="67"/>
  <c r="AQ120" i="69" l="1"/>
  <c r="T12" i="68"/>
  <c r="AR120" i="69"/>
  <c r="AQ120" i="68"/>
  <c r="AR120" i="68"/>
  <c r="K37" i="67"/>
  <c r="AR37" i="68"/>
  <c r="AR38" i="68" s="1"/>
  <c r="AR39" i="68" s="1"/>
  <c r="I15" i="68"/>
  <c r="T14" i="68"/>
  <c r="I14" i="67"/>
  <c r="T13" i="67"/>
  <c r="K38" i="67"/>
  <c r="K37" i="68"/>
  <c r="T12" i="67"/>
  <c r="T13" i="68"/>
  <c r="AQ38" i="68"/>
  <c r="I13" i="69"/>
  <c r="T12" i="69"/>
  <c r="AQ37" i="69"/>
  <c r="AR38" i="69"/>
  <c r="K37" i="69"/>
  <c r="AQ122" i="68" l="1"/>
  <c r="AQ122" i="69"/>
  <c r="K38" i="68"/>
  <c r="I15" i="67"/>
  <c r="T14" i="67"/>
  <c r="AR39" i="69"/>
  <c r="I14" i="69"/>
  <c r="T13" i="69"/>
  <c r="K39" i="67"/>
  <c r="K38" i="69"/>
  <c r="AQ38" i="69"/>
  <c r="AQ39" i="68"/>
  <c r="AR40" i="68"/>
  <c r="I16" i="68"/>
  <c r="T15" i="68"/>
  <c r="AR95" i="69" l="1"/>
  <c r="AR96" i="69" s="1"/>
  <c r="AR97" i="69" s="1"/>
  <c r="AR98" i="69" s="1"/>
  <c r="AR99" i="69" s="1"/>
  <c r="AR100" i="69" s="1"/>
  <c r="AR101" i="69" s="1"/>
  <c r="AR102" i="69" s="1"/>
  <c r="AR103" i="69" s="1"/>
  <c r="AR104" i="69" s="1"/>
  <c r="AR105" i="69" s="1"/>
  <c r="AR106" i="69" s="1"/>
  <c r="AR107" i="69" s="1"/>
  <c r="AR108" i="69" s="1"/>
  <c r="AR109" i="69" s="1"/>
  <c r="AR110" i="69" s="1"/>
  <c r="AR111" i="69" s="1"/>
  <c r="AR112" i="69" s="1"/>
  <c r="AR113" i="69" s="1"/>
  <c r="AR114" i="69" s="1"/>
  <c r="AR115" i="69" s="1"/>
  <c r="AR116" i="69" s="1"/>
  <c r="AR117" i="69" s="1"/>
  <c r="AR118" i="69" s="1"/>
  <c r="AQ95" i="69"/>
  <c r="AQ96" i="69" s="1"/>
  <c r="AQ97" i="69" s="1"/>
  <c r="AQ98" i="69" s="1"/>
  <c r="AQ99" i="69" s="1"/>
  <c r="AQ100" i="69" s="1"/>
  <c r="AQ101" i="69" s="1"/>
  <c r="AQ102" i="69" s="1"/>
  <c r="AQ103" i="69" s="1"/>
  <c r="AQ104" i="69" s="1"/>
  <c r="AQ105" i="69" s="1"/>
  <c r="AQ106" i="69" s="1"/>
  <c r="AQ107" i="69" s="1"/>
  <c r="AQ108" i="69" s="1"/>
  <c r="AQ109" i="69" s="1"/>
  <c r="AQ110" i="69" s="1"/>
  <c r="AQ111" i="69" s="1"/>
  <c r="AQ112" i="69" s="1"/>
  <c r="AQ113" i="69" s="1"/>
  <c r="AQ114" i="69" s="1"/>
  <c r="AQ115" i="69" s="1"/>
  <c r="AQ116" i="69" s="1"/>
  <c r="AQ117" i="69" s="1"/>
  <c r="AQ118" i="69" s="1"/>
  <c r="AR95" i="68"/>
  <c r="AR96" i="68" s="1"/>
  <c r="AR97" i="68" s="1"/>
  <c r="AR98" i="68" s="1"/>
  <c r="AR99" i="68" s="1"/>
  <c r="AR100" i="68" s="1"/>
  <c r="AR101" i="68" s="1"/>
  <c r="AR102" i="68" s="1"/>
  <c r="AR103" i="68" s="1"/>
  <c r="AR104" i="68" s="1"/>
  <c r="AR105" i="68" s="1"/>
  <c r="AR106" i="68" s="1"/>
  <c r="AR107" i="68" s="1"/>
  <c r="AR108" i="68" s="1"/>
  <c r="AR109" i="68" s="1"/>
  <c r="AR110" i="68" s="1"/>
  <c r="AR111" i="68" s="1"/>
  <c r="AR112" i="68" s="1"/>
  <c r="AR113" i="68" s="1"/>
  <c r="AR114" i="68" s="1"/>
  <c r="AR115" i="68" s="1"/>
  <c r="AR116" i="68" s="1"/>
  <c r="AR117" i="68" s="1"/>
  <c r="AR118" i="68" s="1"/>
  <c r="AQ95" i="68"/>
  <c r="AQ96" i="68" s="1"/>
  <c r="AQ97" i="68" s="1"/>
  <c r="AQ98" i="68" s="1"/>
  <c r="AQ99" i="68" s="1"/>
  <c r="AQ100" i="68" s="1"/>
  <c r="AQ101" i="68" s="1"/>
  <c r="AQ102" i="68" s="1"/>
  <c r="AQ103" i="68" s="1"/>
  <c r="AQ104" i="68" s="1"/>
  <c r="AQ105" i="68" s="1"/>
  <c r="AQ106" i="68" s="1"/>
  <c r="AQ107" i="68" s="1"/>
  <c r="AQ108" i="68" s="1"/>
  <c r="AQ109" i="68" s="1"/>
  <c r="AQ110" i="68" s="1"/>
  <c r="AQ111" i="68" s="1"/>
  <c r="AQ112" i="68" s="1"/>
  <c r="AQ113" i="68" s="1"/>
  <c r="AQ114" i="68" s="1"/>
  <c r="AQ115" i="68" s="1"/>
  <c r="AQ116" i="68" s="1"/>
  <c r="AQ117" i="68" s="1"/>
  <c r="AQ118" i="68" s="1"/>
  <c r="K39" i="69"/>
  <c r="T15" i="67"/>
  <c r="I16" i="67"/>
  <c r="I17" i="68"/>
  <c r="T16" i="68"/>
  <c r="AQ40" i="68"/>
  <c r="AR40" i="69"/>
  <c r="AR41" i="68"/>
  <c r="AQ39" i="69"/>
  <c r="K40" i="67"/>
  <c r="I15" i="69"/>
  <c r="T14" i="69"/>
  <c r="K39" i="68"/>
  <c r="T15" i="69" l="1"/>
  <c r="I16" i="69"/>
  <c r="AQ40" i="69"/>
  <c r="AR41" i="69"/>
  <c r="K40" i="69"/>
  <c r="K40" i="68"/>
  <c r="K41" i="67"/>
  <c r="I18" i="68"/>
  <c r="T17" i="68"/>
  <c r="AR42" i="68"/>
  <c r="AQ41" i="68"/>
  <c r="I17" i="67"/>
  <c r="T16" i="67"/>
  <c r="I19" i="68" l="1"/>
  <c r="T18" i="68"/>
  <c r="L40" i="68"/>
  <c r="K41" i="68"/>
  <c r="AQ41" i="69"/>
  <c r="AR43" i="68"/>
  <c r="K42" i="67"/>
  <c r="K41" i="69"/>
  <c r="I18" i="67"/>
  <c r="T17" i="67"/>
  <c r="AR42" i="69"/>
  <c r="I17" i="69"/>
  <c r="T16" i="69"/>
  <c r="AQ42" i="68"/>
  <c r="I18" i="69" l="1"/>
  <c r="T17" i="69"/>
  <c r="I19" i="67"/>
  <c r="T18" i="67"/>
  <c r="K42" i="68"/>
  <c r="L41" i="68"/>
  <c r="AQ43" i="68"/>
  <c r="AR43" i="69"/>
  <c r="AQ42" i="69"/>
  <c r="K43" i="67"/>
  <c r="K42" i="69"/>
  <c r="AR44" i="68"/>
  <c r="O40" i="68"/>
  <c r="T19" i="68"/>
  <c r="I20" i="68"/>
  <c r="L37" i="68"/>
  <c r="L38" i="68"/>
  <c r="L39" i="68"/>
  <c r="O37" i="68" l="1"/>
  <c r="K43" i="69"/>
  <c r="I20" i="67"/>
  <c r="T19" i="67"/>
  <c r="L37" i="67"/>
  <c r="L38" i="67"/>
  <c r="L39" i="67"/>
  <c r="L40" i="67"/>
  <c r="L41" i="67"/>
  <c r="O39" i="68"/>
  <c r="I21" i="68"/>
  <c r="T20" i="68"/>
  <c r="AR45" i="68"/>
  <c r="L42" i="67"/>
  <c r="AR44" i="69"/>
  <c r="O41" i="68"/>
  <c r="O38" i="68"/>
  <c r="L43" i="67"/>
  <c r="K44" i="67"/>
  <c r="AQ43" i="69"/>
  <c r="AQ44" i="68"/>
  <c r="K43" i="68"/>
  <c r="L42" i="68"/>
  <c r="O42" i="68" s="1"/>
  <c r="I19" i="69"/>
  <c r="L42" i="69" s="1"/>
  <c r="T18" i="69"/>
  <c r="L43" i="68" l="1"/>
  <c r="O43" i="68"/>
  <c r="K44" i="68"/>
  <c r="O42" i="67"/>
  <c r="I22" i="68"/>
  <c r="T21" i="68"/>
  <c r="O41" i="67"/>
  <c r="O37" i="67"/>
  <c r="AQ44" i="69"/>
  <c r="AR45" i="69"/>
  <c r="AR46" i="68"/>
  <c r="O40" i="67"/>
  <c r="I20" i="69"/>
  <c r="T19" i="69"/>
  <c r="L37" i="69"/>
  <c r="L38" i="69"/>
  <c r="L39" i="69"/>
  <c r="L40" i="69"/>
  <c r="L41" i="69"/>
  <c r="AQ45" i="68"/>
  <c r="L44" i="67"/>
  <c r="O44" i="67"/>
  <c r="K45" i="67"/>
  <c r="O39" i="67"/>
  <c r="L43" i="69"/>
  <c r="O43" i="69"/>
  <c r="K44" i="69"/>
  <c r="O43" i="67"/>
  <c r="O38" i="67"/>
  <c r="I21" i="67"/>
  <c r="T20" i="67"/>
  <c r="O42" i="69"/>
  <c r="K45" i="69" l="1"/>
  <c r="L44" i="69"/>
  <c r="O44" i="69"/>
  <c r="O41" i="69"/>
  <c r="O37" i="69"/>
  <c r="O40" i="69"/>
  <c r="AR46" i="69"/>
  <c r="L44" i="68"/>
  <c r="O44" i="68" s="1"/>
  <c r="K45" i="68"/>
  <c r="I22" i="67"/>
  <c r="T21" i="67"/>
  <c r="AQ46" i="68"/>
  <c r="O39" i="69"/>
  <c r="K46" i="67"/>
  <c r="L45" i="67"/>
  <c r="O38" i="69"/>
  <c r="I21" i="69"/>
  <c r="T20" i="69"/>
  <c r="AR47" i="68"/>
  <c r="AQ45" i="69"/>
  <c r="I23" i="68"/>
  <c r="T22" i="68"/>
  <c r="K47" i="67" l="1"/>
  <c r="L46" i="67"/>
  <c r="O46" i="67" s="1"/>
  <c r="I23" i="67"/>
  <c r="T22" i="67"/>
  <c r="AQ46" i="69"/>
  <c r="K46" i="68"/>
  <c r="L45" i="68"/>
  <c r="I22" i="69"/>
  <c r="T21" i="69"/>
  <c r="K46" i="69"/>
  <c r="L45" i="69"/>
  <c r="I24" i="68"/>
  <c r="T23" i="68"/>
  <c r="AR48" i="68"/>
  <c r="O45" i="67"/>
  <c r="AQ47" i="68"/>
  <c r="AR47" i="69"/>
  <c r="AR49" i="68" l="1"/>
  <c r="L47" i="67"/>
  <c r="O47" i="67" s="1"/>
  <c r="K48" i="67"/>
  <c r="AQ48" i="68"/>
  <c r="I24" i="67"/>
  <c r="T23" i="67"/>
  <c r="AR48" i="69"/>
  <c r="L46" i="69"/>
  <c r="O46" i="69" s="1"/>
  <c r="K47" i="69"/>
  <c r="O45" i="68"/>
  <c r="I25" i="68"/>
  <c r="T24" i="68"/>
  <c r="I23" i="69"/>
  <c r="T22" i="69"/>
  <c r="AQ47" i="69"/>
  <c r="O45" i="69"/>
  <c r="L46" i="68"/>
  <c r="O46" i="68"/>
  <c r="K47" i="68"/>
  <c r="AQ48" i="69" l="1"/>
  <c r="I24" i="69"/>
  <c r="T23" i="69"/>
  <c r="L47" i="69"/>
  <c r="O47" i="69" s="1"/>
  <c r="K48" i="69"/>
  <c r="AR50" i="68"/>
  <c r="L47" i="68"/>
  <c r="O47" i="68" s="1"/>
  <c r="K48" i="68"/>
  <c r="I25" i="67"/>
  <c r="T24" i="67"/>
  <c r="K49" i="67"/>
  <c r="L48" i="67"/>
  <c r="I26" i="68"/>
  <c r="T26" i="68" s="1"/>
  <c r="T25" i="68"/>
  <c r="AR49" i="69"/>
  <c r="AQ49" i="68"/>
  <c r="K49" i="69" l="1"/>
  <c r="L48" i="69"/>
  <c r="O48" i="69" s="1"/>
  <c r="AQ49" i="69"/>
  <c r="K50" i="67"/>
  <c r="L49" i="67"/>
  <c r="L36" i="68"/>
  <c r="I26" i="67"/>
  <c r="T26" i="67" s="1"/>
  <c r="T25" i="67"/>
  <c r="AQ50" i="68"/>
  <c r="AR50" i="69"/>
  <c r="O48" i="67"/>
  <c r="K49" i="68"/>
  <c r="L48" i="68"/>
  <c r="O48" i="68" s="1"/>
  <c r="AR51" i="68"/>
  <c r="I25" i="69"/>
  <c r="T24" i="69"/>
  <c r="O36" i="68" l="1"/>
  <c r="AQ51" i="68"/>
  <c r="L36" i="67"/>
  <c r="O49" i="67"/>
  <c r="I26" i="69"/>
  <c r="T26" i="69" s="1"/>
  <c r="T25" i="69"/>
  <c r="AR52" i="68"/>
  <c r="O49" i="68"/>
  <c r="K50" i="68"/>
  <c r="L49" i="68"/>
  <c r="AR51" i="69"/>
  <c r="O50" i="67"/>
  <c r="K51" i="67"/>
  <c r="L50" i="67"/>
  <c r="AQ50" i="69"/>
  <c r="K50" i="69"/>
  <c r="L49" i="69"/>
  <c r="AR52" i="69" l="1"/>
  <c r="L50" i="69"/>
  <c r="K51" i="69"/>
  <c r="O36" i="67"/>
  <c r="L50" i="68"/>
  <c r="O50" i="68" s="1"/>
  <c r="K51" i="68"/>
  <c r="L36" i="69"/>
  <c r="AR53" i="68"/>
  <c r="O49" i="69"/>
  <c r="AQ51" i="69"/>
  <c r="L51" i="67"/>
  <c r="O51" i="67" s="1"/>
  <c r="K52" i="67"/>
  <c r="AQ52" i="68"/>
  <c r="AR54" i="68" l="1"/>
  <c r="AQ53" i="68"/>
  <c r="O36" i="69"/>
  <c r="L51" i="69"/>
  <c r="K52" i="69"/>
  <c r="AR53" i="69"/>
  <c r="L52" i="67"/>
  <c r="O52" i="67"/>
  <c r="K53" i="67"/>
  <c r="AQ52" i="69"/>
  <c r="L51" i="68"/>
  <c r="K52" i="68"/>
  <c r="O50" i="69"/>
  <c r="AR54" i="69" l="1"/>
  <c r="AQ53" i="69"/>
  <c r="K53" i="68"/>
  <c r="L52" i="68"/>
  <c r="O52" i="68" s="1"/>
  <c r="K53" i="69"/>
  <c r="L52" i="69"/>
  <c r="O52" i="69" s="1"/>
  <c r="AR55" i="68"/>
  <c r="O51" i="68"/>
  <c r="K54" i="67"/>
  <c r="L53" i="67"/>
  <c r="O53" i="67" s="1"/>
  <c r="O51" i="69"/>
  <c r="AQ54" i="68"/>
  <c r="K54" i="68" l="1"/>
  <c r="L53" i="68"/>
  <c r="AR56" i="68"/>
  <c r="AQ55" i="68"/>
  <c r="AQ54" i="69"/>
  <c r="L54" i="67"/>
  <c r="O54" i="67" s="1"/>
  <c r="K55" i="67"/>
  <c r="K54" i="69"/>
  <c r="L53" i="69"/>
  <c r="O53" i="69" s="1"/>
  <c r="AR55" i="69"/>
  <c r="AQ56" i="68" l="1"/>
  <c r="L55" i="67"/>
  <c r="O55" i="67" s="1"/>
  <c r="K56" i="67"/>
  <c r="AQ55" i="69"/>
  <c r="AR57" i="68"/>
  <c r="L54" i="68"/>
  <c r="O54" i="68" s="1"/>
  <c r="K55" i="68"/>
  <c r="AR56" i="69"/>
  <c r="L54" i="69"/>
  <c r="O54" i="69"/>
  <c r="K55" i="69"/>
  <c r="O53" i="68"/>
  <c r="AQ56" i="69" l="1"/>
  <c r="K57" i="67"/>
  <c r="L56" i="67"/>
  <c r="O56" i="67" s="1"/>
  <c r="AQ57" i="68"/>
  <c r="L55" i="69"/>
  <c r="O55" i="69" s="1"/>
  <c r="K56" i="69"/>
  <c r="L55" i="68"/>
  <c r="O55" i="68" s="1"/>
  <c r="K56" i="68"/>
  <c r="AR58" i="68"/>
  <c r="AR57" i="69"/>
  <c r="AR58" i="69" l="1"/>
  <c r="K57" i="69"/>
  <c r="L56" i="69"/>
  <c r="O56" i="69"/>
  <c r="K58" i="67"/>
  <c r="L57" i="67"/>
  <c r="K57" i="68"/>
  <c r="L56" i="68"/>
  <c r="O56" i="68" s="1"/>
  <c r="AR59" i="68"/>
  <c r="AQ57" i="69"/>
  <c r="AQ58" i="68"/>
  <c r="AR59" i="69" l="1"/>
  <c r="K58" i="68"/>
  <c r="L57" i="68"/>
  <c r="O57" i="68" s="1"/>
  <c r="O57" i="67"/>
  <c r="K58" i="69"/>
  <c r="L57" i="69"/>
  <c r="O57" i="69" s="1"/>
  <c r="AQ59" i="68"/>
  <c r="AQ58" i="69"/>
  <c r="K59" i="67"/>
  <c r="L58" i="67"/>
  <c r="O58" i="67" s="1"/>
  <c r="L58" i="68" l="1"/>
  <c r="O58" i="68" s="1"/>
  <c r="K59" i="68"/>
  <c r="L58" i="69"/>
  <c r="O58" i="69"/>
  <c r="K59" i="69"/>
  <c r="AQ59" i="69"/>
  <c r="L59" i="67"/>
  <c r="O59" i="67"/>
  <c r="L59" i="69" l="1"/>
  <c r="O59" i="69"/>
  <c r="L59" i="68"/>
  <c r="O59" i="68"/>
  <c r="K9" i="53" l="1"/>
  <c r="K9" i="49"/>
  <c r="K9" i="45"/>
  <c r="V26" i="45" l="1"/>
  <c r="V25" i="45"/>
  <c r="V24" i="45"/>
  <c r="V23" i="45"/>
  <c r="V22" i="45"/>
  <c r="V21" i="45"/>
  <c r="V20" i="45"/>
  <c r="V19" i="45"/>
  <c r="V18" i="45"/>
  <c r="V17" i="45"/>
  <c r="V16" i="45"/>
  <c r="V15" i="45"/>
  <c r="V14" i="45"/>
  <c r="V13" i="45"/>
  <c r="V12" i="45"/>
  <c r="V11" i="45"/>
  <c r="J8" i="45"/>
  <c r="K26" i="45" s="1"/>
  <c r="V26" i="53"/>
  <c r="V25" i="53"/>
  <c r="V24" i="53"/>
  <c r="V23" i="53"/>
  <c r="V22" i="53"/>
  <c r="V21" i="53"/>
  <c r="V20" i="53"/>
  <c r="V19" i="53"/>
  <c r="V18" i="53"/>
  <c r="V17" i="53"/>
  <c r="V16" i="53"/>
  <c r="V15" i="53"/>
  <c r="V14" i="53"/>
  <c r="V13" i="53"/>
  <c r="V12" i="53"/>
  <c r="V11" i="53"/>
  <c r="J8" i="53"/>
  <c r="K24" i="53" s="1"/>
  <c r="K24" i="67" s="1"/>
  <c r="V24" i="67" l="1"/>
  <c r="M56" i="67"/>
  <c r="M57" i="67"/>
  <c r="K21" i="45"/>
  <c r="K11" i="45"/>
  <c r="K15" i="45"/>
  <c r="K19" i="45"/>
  <c r="K23" i="45"/>
  <c r="K13" i="45"/>
  <c r="K17" i="45"/>
  <c r="K12" i="45"/>
  <c r="K16" i="45"/>
  <c r="K20" i="45"/>
  <c r="K24" i="45"/>
  <c r="K25" i="45"/>
  <c r="K14" i="45"/>
  <c r="K18" i="45"/>
  <c r="K22" i="45"/>
  <c r="K25" i="53"/>
  <c r="K25" i="67" s="1"/>
  <c r="K13" i="53"/>
  <c r="K13" i="67" s="1"/>
  <c r="K17" i="53"/>
  <c r="K17" i="67" s="1"/>
  <c r="K21" i="53"/>
  <c r="K21" i="67" s="1"/>
  <c r="K14" i="53"/>
  <c r="K14" i="67" s="1"/>
  <c r="K18" i="53"/>
  <c r="K18" i="67" s="1"/>
  <c r="K22" i="53"/>
  <c r="K22" i="67" s="1"/>
  <c r="K26" i="53"/>
  <c r="K26" i="67" s="1"/>
  <c r="K11" i="53"/>
  <c r="K11" i="67" s="1"/>
  <c r="K15" i="53"/>
  <c r="K15" i="67" s="1"/>
  <c r="K19" i="53"/>
  <c r="K19" i="67" s="1"/>
  <c r="K23" i="53"/>
  <c r="K23" i="67" s="1"/>
  <c r="K12" i="53"/>
  <c r="K12" i="67" s="1"/>
  <c r="K16" i="53"/>
  <c r="K16" i="67" s="1"/>
  <c r="K20" i="53"/>
  <c r="K20" i="67" s="1"/>
  <c r="V26" i="49"/>
  <c r="V25" i="49"/>
  <c r="V24" i="49"/>
  <c r="V23" i="49"/>
  <c r="V22" i="49"/>
  <c r="V21" i="49"/>
  <c r="V20" i="49"/>
  <c r="V19" i="49"/>
  <c r="V18" i="49"/>
  <c r="V17" i="49"/>
  <c r="V16" i="49"/>
  <c r="V15" i="49"/>
  <c r="V14" i="49"/>
  <c r="V13" i="49"/>
  <c r="V12" i="49"/>
  <c r="V11" i="49"/>
  <c r="J8" i="49"/>
  <c r="M6" i="64"/>
  <c r="P12" i="67" l="1"/>
  <c r="V12" i="67"/>
  <c r="M38" i="67"/>
  <c r="M39" i="67"/>
  <c r="P14" i="67"/>
  <c r="V14" i="67"/>
  <c r="N40" i="67"/>
  <c r="M42" i="67"/>
  <c r="M41" i="67"/>
  <c r="V25" i="67"/>
  <c r="N56" i="67"/>
  <c r="P56" i="67" s="1"/>
  <c r="N57" i="67"/>
  <c r="P57" i="67" s="1"/>
  <c r="M58" i="67"/>
  <c r="V23" i="67"/>
  <c r="N53" i="67"/>
  <c r="N54" i="67"/>
  <c r="M55" i="67"/>
  <c r="V26" i="67"/>
  <c r="M36" i="67"/>
  <c r="N58" i="67"/>
  <c r="M59" i="67"/>
  <c r="V21" i="67"/>
  <c r="N50" i="67"/>
  <c r="N51" i="67"/>
  <c r="M52" i="67"/>
  <c r="V20" i="67"/>
  <c r="N49" i="67"/>
  <c r="M50" i="67"/>
  <c r="M51" i="67"/>
  <c r="V19" i="67"/>
  <c r="N47" i="67"/>
  <c r="N48" i="67"/>
  <c r="M49" i="67"/>
  <c r="V22" i="67"/>
  <c r="N52" i="67"/>
  <c r="M53" i="67"/>
  <c r="M54" i="67"/>
  <c r="V17" i="67"/>
  <c r="P17" i="67"/>
  <c r="N44" i="67"/>
  <c r="N45" i="67"/>
  <c r="M46" i="67"/>
  <c r="N55" i="67"/>
  <c r="V16" i="67"/>
  <c r="P16" i="67"/>
  <c r="N43" i="67"/>
  <c r="M44" i="67"/>
  <c r="M45" i="67"/>
  <c r="P15" i="67"/>
  <c r="V15" i="67"/>
  <c r="N42" i="67"/>
  <c r="N41" i="67"/>
  <c r="M43" i="67"/>
  <c r="V18" i="67"/>
  <c r="P18" i="67"/>
  <c r="N46" i="67"/>
  <c r="M47" i="67"/>
  <c r="M48" i="67"/>
  <c r="P13" i="67"/>
  <c r="V13" i="67"/>
  <c r="N39" i="67"/>
  <c r="M40" i="67"/>
  <c r="N38" i="67"/>
  <c r="K29" i="67"/>
  <c r="M29" i="67" s="1"/>
  <c r="K28" i="67"/>
  <c r="K27" i="67"/>
  <c r="V11" i="67"/>
  <c r="K30" i="67"/>
  <c r="M30" i="67" s="1"/>
  <c r="P11" i="67"/>
  <c r="N37" i="67"/>
  <c r="M37" i="67"/>
  <c r="K24" i="49"/>
  <c r="K20" i="49"/>
  <c r="K16" i="49"/>
  <c r="K12" i="49"/>
  <c r="K23" i="49"/>
  <c r="K19" i="49"/>
  <c r="K15" i="49"/>
  <c r="K26" i="49"/>
  <c r="K22" i="49"/>
  <c r="K18" i="49"/>
  <c r="K14" i="49"/>
  <c r="K25" i="49"/>
  <c r="K21" i="49"/>
  <c r="K17" i="49"/>
  <c r="K13" i="49"/>
  <c r="K11" i="49"/>
  <c r="A3" i="66"/>
  <c r="P40" i="67" l="1"/>
  <c r="P44" i="67"/>
  <c r="P48" i="67"/>
  <c r="P54" i="67"/>
  <c r="P37" i="67"/>
  <c r="P46" i="67"/>
  <c r="P42" i="67"/>
  <c r="P39" i="67"/>
  <c r="P47" i="67"/>
  <c r="P43" i="67"/>
  <c r="P49" i="67"/>
  <c r="P51" i="67"/>
  <c r="Q57" i="67"/>
  <c r="P38" i="67"/>
  <c r="P45" i="67"/>
  <c r="P53" i="67"/>
  <c r="P50" i="67"/>
  <c r="P52" i="67"/>
  <c r="P55" i="67"/>
  <c r="Q56" i="67" s="1"/>
  <c r="P58" i="67"/>
  <c r="Q58" i="67" s="1"/>
  <c r="P41" i="67"/>
  <c r="V28" i="67"/>
  <c r="V29" i="67"/>
  <c r="N36" i="67"/>
  <c r="P36" i="67" s="1"/>
  <c r="N59" i="67"/>
  <c r="P59" i="67" s="1"/>
  <c r="Q59" i="67" s="1"/>
  <c r="P20" i="67"/>
  <c r="Q20" i="67" s="1"/>
  <c r="P21" i="67"/>
  <c r="Q21" i="67" s="1"/>
  <c r="K31" i="67"/>
  <c r="M28" i="67"/>
  <c r="B9" i="52"/>
  <c r="Q48" i="67" l="1"/>
  <c r="AE48" i="67" s="1"/>
  <c r="Q40" i="67"/>
  <c r="W40" i="67" s="1"/>
  <c r="Q54" i="67"/>
  <c r="Q46" i="67"/>
  <c r="Q49" i="67"/>
  <c r="Q39" i="67"/>
  <c r="Q44" i="67"/>
  <c r="Q42" i="67"/>
  <c r="Q55" i="67"/>
  <c r="Q43" i="67"/>
  <c r="Q45" i="67"/>
  <c r="Q51" i="67"/>
  <c r="AO58" i="67"/>
  <c r="Q52" i="67"/>
  <c r="Q53" i="67"/>
  <c r="AN57" i="67"/>
  <c r="AM56" i="67"/>
  <c r="Q47" i="67"/>
  <c r="Q41" i="67"/>
  <c r="Q50" i="67"/>
  <c r="Q38" i="67"/>
  <c r="AP59" i="67"/>
  <c r="Q37" i="67"/>
  <c r="Q36" i="67"/>
  <c r="K18" i="65"/>
  <c r="K17" i="65"/>
  <c r="K16" i="65"/>
  <c r="K15" i="65"/>
  <c r="K14" i="65"/>
  <c r="K13" i="65"/>
  <c r="K12" i="65"/>
  <c r="K11" i="65"/>
  <c r="AK54" i="67" l="1"/>
  <c r="AK55" i="67" s="1"/>
  <c r="AC46" i="67"/>
  <c r="AC47" i="67" s="1"/>
  <c r="Y42" i="67"/>
  <c r="Y43" i="67" s="1"/>
  <c r="AB45" i="67"/>
  <c r="AB46" i="67" s="1"/>
  <c r="AL55" i="67"/>
  <c r="AF49" i="67"/>
  <c r="AA44" i="67"/>
  <c r="AA45" i="67" s="1"/>
  <c r="AH51" i="67"/>
  <c r="Z43" i="67"/>
  <c r="V39" i="67"/>
  <c r="AN58" i="67"/>
  <c r="U38" i="67"/>
  <c r="AG50" i="67"/>
  <c r="X41" i="67"/>
  <c r="AM57" i="67"/>
  <c r="AJ53" i="67"/>
  <c r="AO59" i="67"/>
  <c r="W41" i="67"/>
  <c r="AI52" i="67"/>
  <c r="AD47" i="67"/>
  <c r="AE49" i="67"/>
  <c r="T37" i="67"/>
  <c r="S36" i="67"/>
  <c r="AP36" i="67"/>
  <c r="K20" i="65"/>
  <c r="P12" i="65"/>
  <c r="I12" i="65"/>
  <c r="I13" i="65" s="1"/>
  <c r="I14" i="65" s="1"/>
  <c r="I15" i="65" s="1"/>
  <c r="I16" i="65" s="1"/>
  <c r="I17" i="65" s="1"/>
  <c r="I18" i="65" s="1"/>
  <c r="AP85" i="65"/>
  <c r="AO85" i="65"/>
  <c r="AN85" i="65"/>
  <c r="AM85" i="65"/>
  <c r="AL85" i="65"/>
  <c r="AK85" i="65"/>
  <c r="AJ85" i="65"/>
  <c r="AI85" i="65"/>
  <c r="AH85" i="65"/>
  <c r="AG85" i="65"/>
  <c r="AF85" i="65"/>
  <c r="AE85" i="65"/>
  <c r="AD85" i="65"/>
  <c r="AC85" i="65"/>
  <c r="AB85" i="65"/>
  <c r="AA85" i="65"/>
  <c r="Z85" i="65"/>
  <c r="Y85" i="65"/>
  <c r="X85" i="65"/>
  <c r="W85" i="65"/>
  <c r="V85" i="65"/>
  <c r="U85" i="65"/>
  <c r="T85" i="65"/>
  <c r="S85" i="65"/>
  <c r="AP26" i="65"/>
  <c r="AO26" i="65"/>
  <c r="AN26" i="65"/>
  <c r="AM26" i="65"/>
  <c r="AL26" i="65"/>
  <c r="AK26" i="65"/>
  <c r="AJ26" i="65"/>
  <c r="AI26" i="65"/>
  <c r="AH26" i="65"/>
  <c r="AG26" i="65"/>
  <c r="AF26" i="65"/>
  <c r="AE26" i="65"/>
  <c r="AD26" i="65"/>
  <c r="AC26" i="65"/>
  <c r="AB26" i="65"/>
  <c r="AA26" i="65"/>
  <c r="Z26" i="65"/>
  <c r="Y26" i="65"/>
  <c r="X26" i="65"/>
  <c r="W26" i="65"/>
  <c r="V26" i="65"/>
  <c r="U26" i="65"/>
  <c r="T26" i="65"/>
  <c r="S26" i="65"/>
  <c r="Q25" i="65"/>
  <c r="K28" i="65" s="1"/>
  <c r="N25" i="65"/>
  <c r="P14" i="65"/>
  <c r="P13" i="65"/>
  <c r="P11" i="65"/>
  <c r="M7" i="65"/>
  <c r="M6" i="65"/>
  <c r="M20" i="65" l="1"/>
  <c r="AL56" i="67"/>
  <c r="AF50" i="67"/>
  <c r="V40" i="67"/>
  <c r="Z44" i="67"/>
  <c r="AH52" i="67"/>
  <c r="U39" i="67"/>
  <c r="AD48" i="67"/>
  <c r="AJ54" i="67"/>
  <c r="AG51" i="67"/>
  <c r="X42" i="67"/>
  <c r="AI53" i="67"/>
  <c r="T38" i="67"/>
  <c r="S37" i="67"/>
  <c r="L28" i="65"/>
  <c r="P17" i="65"/>
  <c r="Q17" i="65" s="1"/>
  <c r="P16" i="65"/>
  <c r="Q16" i="65" s="1"/>
  <c r="K29" i="65"/>
  <c r="K30" i="65" s="1"/>
  <c r="AR28" i="65"/>
  <c r="AQ28" i="65"/>
  <c r="K19" i="65"/>
  <c r="K21" i="65"/>
  <c r="M21" i="65" s="1"/>
  <c r="K22" i="65"/>
  <c r="M22" i="65" s="1"/>
  <c r="AQ29" i="65" l="1"/>
  <c r="AQ30" i="65" s="1"/>
  <c r="AQ31" i="65" s="1"/>
  <c r="AQ32" i="65" s="1"/>
  <c r="AQ33" i="65" s="1"/>
  <c r="AQ34" i="65" s="1"/>
  <c r="AQ35" i="65" s="1"/>
  <c r="AQ36" i="65" s="1"/>
  <c r="AQ37" i="65" s="1"/>
  <c r="AQ38" i="65" s="1"/>
  <c r="AQ39" i="65" s="1"/>
  <c r="AQ40" i="65" s="1"/>
  <c r="AQ41" i="65" s="1"/>
  <c r="AQ42" i="65" s="1"/>
  <c r="AQ43" i="65" s="1"/>
  <c r="AQ44" i="65" s="1"/>
  <c r="AQ45" i="65" s="1"/>
  <c r="AQ46" i="65" s="1"/>
  <c r="AQ47" i="65" s="1"/>
  <c r="AQ48" i="65" s="1"/>
  <c r="AQ49" i="65" s="1"/>
  <c r="AQ50" i="65" s="1"/>
  <c r="AQ51" i="65" s="1"/>
  <c r="K23" i="65"/>
  <c r="AR29" i="65"/>
  <c r="AR30" i="65" s="1"/>
  <c r="AR31" i="65" s="1"/>
  <c r="AR32" i="65" s="1"/>
  <c r="AR33" i="65" s="1"/>
  <c r="AR34" i="65" s="1"/>
  <c r="AR35" i="65" s="1"/>
  <c r="AR36" i="65" s="1"/>
  <c r="AR37" i="65" s="1"/>
  <c r="AR38" i="65" s="1"/>
  <c r="AR39" i="65" s="1"/>
  <c r="AR40" i="65" s="1"/>
  <c r="AR41" i="65" s="1"/>
  <c r="AR42" i="65" s="1"/>
  <c r="AR43" i="65" s="1"/>
  <c r="AR44" i="65" s="1"/>
  <c r="AR45" i="65" s="1"/>
  <c r="AR46" i="65" s="1"/>
  <c r="AR47" i="65" s="1"/>
  <c r="AR48" i="65" s="1"/>
  <c r="AR49" i="65" s="1"/>
  <c r="AR50" i="65" s="1"/>
  <c r="AR51" i="65" s="1"/>
  <c r="K31" i="65"/>
  <c r="K32" i="65" l="1"/>
  <c r="K33" i="65" l="1"/>
  <c r="K34" i="65" l="1"/>
  <c r="L29" i="65" l="1"/>
  <c r="L30" i="65"/>
  <c r="L31" i="65"/>
  <c r="L32" i="65"/>
  <c r="L34" i="65"/>
  <c r="K35" i="65"/>
  <c r="L33" i="65"/>
  <c r="M34" i="65" l="1"/>
  <c r="N34" i="65"/>
  <c r="N29" i="65"/>
  <c r="M29" i="65"/>
  <c r="O29" i="65"/>
  <c r="M33" i="65"/>
  <c r="N33" i="65"/>
  <c r="O33" i="65"/>
  <c r="M32" i="65"/>
  <c r="N32" i="65"/>
  <c r="O32" i="65"/>
  <c r="K36" i="65"/>
  <c r="L35" i="65"/>
  <c r="O35" i="65"/>
  <c r="N31" i="65"/>
  <c r="M31" i="65"/>
  <c r="O31" i="65"/>
  <c r="O34" i="65"/>
  <c r="M30" i="65"/>
  <c r="N30" i="65"/>
  <c r="O30" i="65"/>
  <c r="P33" i="65" l="1"/>
  <c r="N35" i="65"/>
  <c r="M35" i="65"/>
  <c r="P32" i="65"/>
  <c r="P34" i="65"/>
  <c r="P31" i="65"/>
  <c r="K37" i="65"/>
  <c r="L36" i="65"/>
  <c r="O36" i="65" s="1"/>
  <c r="P29" i="65"/>
  <c r="P30" i="65"/>
  <c r="Q33" i="65" l="1"/>
  <c r="Q30" i="65"/>
  <c r="U30" i="65" s="1"/>
  <c r="L37" i="65"/>
  <c r="O37" i="65" s="1"/>
  <c r="K38" i="65"/>
  <c r="Q31" i="65"/>
  <c r="P35" i="65"/>
  <c r="N36" i="65"/>
  <c r="M36" i="65"/>
  <c r="Q34" i="65"/>
  <c r="Q32" i="65"/>
  <c r="X33" i="65" l="1"/>
  <c r="Y34" i="65"/>
  <c r="W32" i="65"/>
  <c r="Q35" i="65"/>
  <c r="V31" i="65"/>
  <c r="K39" i="65"/>
  <c r="L38" i="65"/>
  <c r="O38" i="65" s="1"/>
  <c r="U31" i="65"/>
  <c r="P36" i="65"/>
  <c r="Q36" i="65" s="1"/>
  <c r="N37" i="65"/>
  <c r="M37" i="65"/>
  <c r="X34" i="65" l="1"/>
  <c r="AA36" i="65"/>
  <c r="K40" i="65"/>
  <c r="L39" i="65"/>
  <c r="W33" i="65"/>
  <c r="V32" i="65"/>
  <c r="Y35" i="65"/>
  <c r="P37" i="65"/>
  <c r="M38" i="65"/>
  <c r="N38" i="65"/>
  <c r="Z35" i="65"/>
  <c r="K41" i="65" l="1"/>
  <c r="L40" i="65"/>
  <c r="O40" i="65" s="1"/>
  <c r="P38" i="65"/>
  <c r="AA37" i="65"/>
  <c r="N39" i="65"/>
  <c r="M39" i="65"/>
  <c r="Z36" i="65"/>
  <c r="Q37" i="65"/>
  <c r="O39" i="65"/>
  <c r="P39" i="65" l="1"/>
  <c r="Q39" i="65" s="1"/>
  <c r="AB37" i="65"/>
  <c r="Q38" i="65"/>
  <c r="M28" i="65"/>
  <c r="N28" i="65"/>
  <c r="O28" i="65"/>
  <c r="M40" i="65"/>
  <c r="N40" i="65"/>
  <c r="L41" i="65"/>
  <c r="O41" i="65" s="1"/>
  <c r="K42" i="65"/>
  <c r="P28" i="65" l="1"/>
  <c r="Q29" i="65" s="1"/>
  <c r="AB38" i="65"/>
  <c r="M41" i="65"/>
  <c r="N41" i="65"/>
  <c r="AD39" i="65"/>
  <c r="L42" i="65"/>
  <c r="O42" i="65" s="1"/>
  <c r="K43" i="65"/>
  <c r="P40" i="65"/>
  <c r="AC38" i="65"/>
  <c r="AC39" i="65" l="1"/>
  <c r="T29" i="65"/>
  <c r="Q40" i="65"/>
  <c r="K44" i="65"/>
  <c r="L43" i="65"/>
  <c r="O43" i="65" s="1"/>
  <c r="AD40" i="65"/>
  <c r="M42" i="65"/>
  <c r="N42" i="65"/>
  <c r="P41" i="65"/>
  <c r="P42" i="65" l="1"/>
  <c r="Q42" i="65" s="1"/>
  <c r="T30" i="65"/>
  <c r="K45" i="65"/>
  <c r="L44" i="65"/>
  <c r="O44" i="65" s="1"/>
  <c r="AE40" i="65"/>
  <c r="N43" i="65"/>
  <c r="M43" i="65"/>
  <c r="Q41" i="65"/>
  <c r="AG42" i="65" l="1"/>
  <c r="AG43" i="65" s="1"/>
  <c r="P43" i="65"/>
  <c r="AE41" i="65"/>
  <c r="N44" i="65"/>
  <c r="M44" i="65"/>
  <c r="AF41" i="65"/>
  <c r="L45" i="65"/>
  <c r="O45" i="65" s="1"/>
  <c r="K46" i="65"/>
  <c r="P44" i="65" l="1"/>
  <c r="Q44" i="65" s="1"/>
  <c r="K47" i="65"/>
  <c r="L46" i="65"/>
  <c r="N45" i="65"/>
  <c r="M45" i="65"/>
  <c r="AF42" i="65"/>
  <c r="Q43" i="65"/>
  <c r="P45" i="65" l="1"/>
  <c r="Q45" i="65" s="1"/>
  <c r="M46" i="65"/>
  <c r="N46" i="65"/>
  <c r="O46" i="65"/>
  <c r="AH43" i="65"/>
  <c r="K48" i="65"/>
  <c r="L47" i="65"/>
  <c r="O47" i="65" s="1"/>
  <c r="AI44" i="65"/>
  <c r="AI45" i="65" l="1"/>
  <c r="K49" i="65"/>
  <c r="L48" i="65"/>
  <c r="O48" i="65" s="1"/>
  <c r="AJ45" i="65"/>
  <c r="N47" i="65"/>
  <c r="M47" i="65"/>
  <c r="AH44" i="65"/>
  <c r="P46" i="65"/>
  <c r="L49" i="65" l="1"/>
  <c r="O49" i="65" s="1"/>
  <c r="K50" i="65"/>
  <c r="AJ46" i="65"/>
  <c r="Q46" i="65"/>
  <c r="P47" i="65"/>
  <c r="M48" i="65"/>
  <c r="N48" i="65"/>
  <c r="P48" i="65" l="1"/>
  <c r="Q48" i="65" s="1"/>
  <c r="AK46" i="65"/>
  <c r="L50" i="65"/>
  <c r="O50" i="65" s="1"/>
  <c r="K51" i="65"/>
  <c r="Q47" i="65"/>
  <c r="M49" i="65"/>
  <c r="N49" i="65"/>
  <c r="P49" i="65" l="1"/>
  <c r="Q49" i="65" s="1"/>
  <c r="L51" i="65"/>
  <c r="O51" i="65" s="1"/>
  <c r="AL47" i="65"/>
  <c r="M50" i="65"/>
  <c r="N50" i="65"/>
  <c r="AM48" i="65"/>
  <c r="AK47" i="65"/>
  <c r="P50" i="65" l="1"/>
  <c r="Q50" i="65" s="1"/>
  <c r="AM49" i="65"/>
  <c r="N51" i="65"/>
  <c r="M51" i="65"/>
  <c r="AL48" i="65"/>
  <c r="AN49" i="65"/>
  <c r="AO50" i="65" l="1"/>
  <c r="AO51" i="65" s="1"/>
  <c r="AN50" i="65"/>
  <c r="P51" i="65"/>
  <c r="Q28" i="65" l="1"/>
  <c r="Q51" i="65"/>
  <c r="S28" i="65" l="1"/>
  <c r="AP51" i="65"/>
  <c r="S29" i="65" l="1"/>
  <c r="AP28" i="65"/>
  <c r="K26" i="64" l="1"/>
  <c r="K25" i="64"/>
  <c r="K24" i="64"/>
  <c r="K23" i="64"/>
  <c r="K22" i="64"/>
  <c r="K21" i="64"/>
  <c r="K20" i="64"/>
  <c r="K19" i="64"/>
  <c r="K18" i="64"/>
  <c r="K17" i="64"/>
  <c r="K16" i="64"/>
  <c r="K15" i="64"/>
  <c r="K14" i="64"/>
  <c r="K13" i="64"/>
  <c r="K12" i="64"/>
  <c r="K11" i="64"/>
  <c r="K11" i="55"/>
  <c r="K15" i="68" l="1"/>
  <c r="K15" i="69"/>
  <c r="K23" i="68"/>
  <c r="K23" i="69"/>
  <c r="K12" i="69"/>
  <c r="K12" i="68"/>
  <c r="K16" i="69"/>
  <c r="K16" i="68"/>
  <c r="K20" i="69"/>
  <c r="K20" i="68"/>
  <c r="K24" i="69"/>
  <c r="K24" i="68"/>
  <c r="K25" i="69"/>
  <c r="K25" i="68"/>
  <c r="K11" i="68"/>
  <c r="K11" i="69"/>
  <c r="K19" i="68"/>
  <c r="K19" i="69"/>
  <c r="K13" i="69"/>
  <c r="K13" i="68"/>
  <c r="K17" i="69"/>
  <c r="K17" i="68"/>
  <c r="K21" i="69"/>
  <c r="K21" i="68"/>
  <c r="K14" i="69"/>
  <c r="K14" i="68"/>
  <c r="K18" i="69"/>
  <c r="K18" i="68"/>
  <c r="K22" i="69"/>
  <c r="K22" i="68"/>
  <c r="K26" i="69"/>
  <c r="K26" i="68"/>
  <c r="K27" i="64"/>
  <c r="K30" i="64"/>
  <c r="Q33" i="64"/>
  <c r="K36" i="64"/>
  <c r="M36" i="69" l="1"/>
  <c r="N58" i="69"/>
  <c r="M59" i="69"/>
  <c r="V26" i="69"/>
  <c r="P18" i="68"/>
  <c r="N46" i="68"/>
  <c r="M47" i="68"/>
  <c r="M48" i="68"/>
  <c r="V18" i="68"/>
  <c r="N50" i="68"/>
  <c r="N51" i="68"/>
  <c r="M52" i="68"/>
  <c r="V21" i="68"/>
  <c r="P13" i="68"/>
  <c r="M40" i="68"/>
  <c r="N38" i="68"/>
  <c r="N39" i="68"/>
  <c r="V13" i="68"/>
  <c r="K27" i="69"/>
  <c r="K30" i="69"/>
  <c r="M30" i="69" s="1"/>
  <c r="P11" i="69"/>
  <c r="K29" i="69"/>
  <c r="M29" i="69" s="1"/>
  <c r="K28" i="69"/>
  <c r="M37" i="69"/>
  <c r="V11" i="69"/>
  <c r="N55" i="68"/>
  <c r="M56" i="68"/>
  <c r="M57" i="68"/>
  <c r="V24" i="68"/>
  <c r="P16" i="68"/>
  <c r="N43" i="68"/>
  <c r="M44" i="68"/>
  <c r="M45" i="68"/>
  <c r="V16" i="68"/>
  <c r="N53" i="69"/>
  <c r="N54" i="69"/>
  <c r="M55" i="69"/>
  <c r="V23" i="69"/>
  <c r="P18" i="69"/>
  <c r="N46" i="69"/>
  <c r="M47" i="69"/>
  <c r="M48" i="69"/>
  <c r="V18" i="69"/>
  <c r="N50" i="69"/>
  <c r="N51" i="69"/>
  <c r="M52" i="69"/>
  <c r="V21" i="69"/>
  <c r="P13" i="69"/>
  <c r="N39" i="69"/>
  <c r="N38" i="69"/>
  <c r="M40" i="69"/>
  <c r="V13" i="69"/>
  <c r="K27" i="68"/>
  <c r="P11" i="68"/>
  <c r="K30" i="68"/>
  <c r="M30" i="68" s="1"/>
  <c r="K28" i="68"/>
  <c r="K29" i="68"/>
  <c r="M29" i="68" s="1"/>
  <c r="M37" i="68"/>
  <c r="V11" i="68"/>
  <c r="N55" i="69"/>
  <c r="M56" i="69"/>
  <c r="M57" i="69"/>
  <c r="V24" i="69"/>
  <c r="P16" i="69"/>
  <c r="N43" i="69"/>
  <c r="M44" i="69"/>
  <c r="M45" i="69"/>
  <c r="V16" i="69"/>
  <c r="N53" i="68"/>
  <c r="N54" i="68"/>
  <c r="M55" i="68"/>
  <c r="V23" i="68"/>
  <c r="N52" i="68"/>
  <c r="M53" i="68"/>
  <c r="M54" i="68"/>
  <c r="V22" i="68"/>
  <c r="P14" i="68"/>
  <c r="N40" i="68"/>
  <c r="M41" i="68"/>
  <c r="M42" i="68"/>
  <c r="V14" i="68"/>
  <c r="P17" i="68"/>
  <c r="N44" i="68"/>
  <c r="N45" i="68"/>
  <c r="M46" i="68"/>
  <c r="V17" i="68"/>
  <c r="N47" i="69"/>
  <c r="N48" i="69"/>
  <c r="M49" i="69"/>
  <c r="V19" i="69"/>
  <c r="N56" i="68"/>
  <c r="N57" i="68"/>
  <c r="M58" i="68"/>
  <c r="V25" i="68"/>
  <c r="N49" i="68"/>
  <c r="M50" i="68"/>
  <c r="M51" i="68"/>
  <c r="V20" i="68"/>
  <c r="P12" i="68"/>
  <c r="N37" i="68"/>
  <c r="M38" i="68"/>
  <c r="M39" i="68"/>
  <c r="V12" i="68"/>
  <c r="P15" i="69"/>
  <c r="N42" i="69"/>
  <c r="N41" i="69"/>
  <c r="M43" i="69"/>
  <c r="V15" i="69"/>
  <c r="M36" i="68"/>
  <c r="N58" i="68"/>
  <c r="M59" i="68"/>
  <c r="V26" i="68"/>
  <c r="N52" i="69"/>
  <c r="M53" i="69"/>
  <c r="M54" i="69"/>
  <c r="V22" i="69"/>
  <c r="P14" i="69"/>
  <c r="M42" i="69"/>
  <c r="M41" i="69"/>
  <c r="N40" i="69"/>
  <c r="V14" i="69"/>
  <c r="P17" i="69"/>
  <c r="N44" i="69"/>
  <c r="N45" i="69"/>
  <c r="M46" i="69"/>
  <c r="V17" i="69"/>
  <c r="N47" i="68"/>
  <c r="N48" i="68"/>
  <c r="M49" i="68"/>
  <c r="V19" i="68"/>
  <c r="N56" i="69"/>
  <c r="N57" i="69"/>
  <c r="M58" i="69"/>
  <c r="V25" i="69"/>
  <c r="N49" i="69"/>
  <c r="M50" i="69"/>
  <c r="P50" i="69" s="1"/>
  <c r="M51" i="69"/>
  <c r="P51" i="69" s="1"/>
  <c r="V20" i="69"/>
  <c r="P12" i="69"/>
  <c r="M38" i="69"/>
  <c r="N37" i="69"/>
  <c r="M39" i="69"/>
  <c r="V12" i="69"/>
  <c r="P15" i="68"/>
  <c r="N41" i="68"/>
  <c r="N42" i="68"/>
  <c r="M43" i="68"/>
  <c r="P43" i="68" s="1"/>
  <c r="V15" i="68"/>
  <c r="AY5" i="60"/>
  <c r="E139" i="62"/>
  <c r="C138" i="62"/>
  <c r="D138" i="62"/>
  <c r="E138" i="62"/>
  <c r="B138" i="62"/>
  <c r="P11" i="64"/>
  <c r="Y20" i="60"/>
  <c r="W20" i="60"/>
  <c r="M11" i="64"/>
  <c r="M12" i="64" s="1"/>
  <c r="M13" i="64" s="1"/>
  <c r="M14" i="64" s="1"/>
  <c r="M15" i="64" s="1"/>
  <c r="M16" i="64" s="1"/>
  <c r="M17" i="64" s="1"/>
  <c r="M18" i="64" s="1"/>
  <c r="M19" i="64" s="1"/>
  <c r="M20" i="64" s="1"/>
  <c r="M21" i="64" s="1"/>
  <c r="M22" i="64" s="1"/>
  <c r="M23" i="64" s="1"/>
  <c r="M24" i="64" s="1"/>
  <c r="M25" i="64" s="1"/>
  <c r="M26" i="64" s="1"/>
  <c r="L11" i="64"/>
  <c r="AY6" i="60" s="1"/>
  <c r="M7" i="64"/>
  <c r="M30" i="64" l="1"/>
  <c r="Q27" i="64" s="1"/>
  <c r="P41" i="69"/>
  <c r="P46" i="69"/>
  <c r="P58" i="69"/>
  <c r="P38" i="69"/>
  <c r="P50" i="68"/>
  <c r="P53" i="69"/>
  <c r="P51" i="68"/>
  <c r="P49" i="69"/>
  <c r="Q50" i="69" s="1"/>
  <c r="AG50" i="69" s="1"/>
  <c r="P45" i="68"/>
  <c r="Q51" i="69"/>
  <c r="AH51" i="69" s="1"/>
  <c r="P54" i="69"/>
  <c r="P43" i="69"/>
  <c r="P41" i="68"/>
  <c r="P54" i="68"/>
  <c r="L12" i="64"/>
  <c r="P42" i="69"/>
  <c r="P39" i="68"/>
  <c r="P44" i="69"/>
  <c r="P52" i="69"/>
  <c r="M28" i="68"/>
  <c r="K31" i="68"/>
  <c r="N36" i="68"/>
  <c r="P36" i="68" s="1"/>
  <c r="N59" i="68"/>
  <c r="P59" i="68" s="1"/>
  <c r="M28" i="69"/>
  <c r="K31" i="69"/>
  <c r="P38" i="68"/>
  <c r="P46" i="68"/>
  <c r="P57" i="69"/>
  <c r="P48" i="69"/>
  <c r="P44" i="68"/>
  <c r="N36" i="69"/>
  <c r="P36" i="69" s="1"/>
  <c r="N59" i="69"/>
  <c r="P59" i="69" s="1"/>
  <c r="P40" i="68"/>
  <c r="P52" i="68"/>
  <c r="P53" i="68"/>
  <c r="P56" i="69"/>
  <c r="P20" i="68"/>
  <c r="Q20" i="68" s="1"/>
  <c r="P21" i="68"/>
  <c r="Q21" i="68" s="1"/>
  <c r="P55" i="68"/>
  <c r="P37" i="68"/>
  <c r="P40" i="69"/>
  <c r="P47" i="69"/>
  <c r="P57" i="68"/>
  <c r="P20" i="69"/>
  <c r="Q20" i="69" s="1"/>
  <c r="P21" i="69"/>
  <c r="Q21" i="69" s="1"/>
  <c r="P48" i="68"/>
  <c r="P39" i="69"/>
  <c r="P49" i="68"/>
  <c r="P58" i="68"/>
  <c r="P42" i="68"/>
  <c r="P45" i="69"/>
  <c r="P55" i="69"/>
  <c r="P56" i="68"/>
  <c r="P37" i="69"/>
  <c r="P47" i="68"/>
  <c r="N22" i="60" l="1"/>
  <c r="Q41" i="69"/>
  <c r="X41" i="69" s="1"/>
  <c r="Q43" i="69"/>
  <c r="AV102" i="69" s="1"/>
  <c r="Q46" i="69"/>
  <c r="AC46" i="69" s="1"/>
  <c r="Q47" i="69"/>
  <c r="AV106" i="69" s="1"/>
  <c r="Q56" i="69"/>
  <c r="AV115" i="69" s="1"/>
  <c r="Q38" i="69"/>
  <c r="U38" i="69" s="1"/>
  <c r="Q39" i="69"/>
  <c r="AV98" i="69" s="1"/>
  <c r="Q54" i="68"/>
  <c r="AV113" i="68" s="1"/>
  <c r="AV109" i="69"/>
  <c r="Q42" i="69"/>
  <c r="Y42" i="69" s="1"/>
  <c r="Q50" i="68"/>
  <c r="AV109" i="68" s="1"/>
  <c r="Q41" i="68"/>
  <c r="AV100" i="68" s="1"/>
  <c r="Q53" i="69"/>
  <c r="AV112" i="69" s="1"/>
  <c r="Q54" i="69"/>
  <c r="AK54" i="69" s="1"/>
  <c r="Q51" i="68"/>
  <c r="AH51" i="68" s="1"/>
  <c r="Q52" i="69"/>
  <c r="AI52" i="69" s="1"/>
  <c r="Q40" i="68"/>
  <c r="AV99" i="68" s="1"/>
  <c r="Q45" i="69"/>
  <c r="AV104" i="69" s="1"/>
  <c r="Q39" i="68"/>
  <c r="V39" i="68" s="1"/>
  <c r="L13" i="64"/>
  <c r="L14" i="64" s="1"/>
  <c r="L15" i="64" s="1"/>
  <c r="L16" i="64" s="1"/>
  <c r="L17" i="64" s="1"/>
  <c r="L18" i="64" s="1"/>
  <c r="L19" i="64" s="1"/>
  <c r="L20" i="64" s="1"/>
  <c r="L21" i="64" s="1"/>
  <c r="L22" i="64" s="1"/>
  <c r="L23" i="64" s="1"/>
  <c r="L24" i="64" s="1"/>
  <c r="L25" i="64" s="1"/>
  <c r="L26" i="64" s="1"/>
  <c r="AY7" i="60"/>
  <c r="Q44" i="69"/>
  <c r="AA44" i="69" s="1"/>
  <c r="AV110" i="69"/>
  <c r="Q58" i="68"/>
  <c r="AV117" i="68" s="1"/>
  <c r="Q38" i="68"/>
  <c r="U38" i="68" s="1"/>
  <c r="Q48" i="68"/>
  <c r="Q49" i="68"/>
  <c r="Q48" i="69"/>
  <c r="Q49" i="69"/>
  <c r="Q46" i="68"/>
  <c r="Q47" i="68"/>
  <c r="Q55" i="69"/>
  <c r="AH52" i="69"/>
  <c r="AH111" i="69" s="1"/>
  <c r="AH110" i="69"/>
  <c r="AG51" i="69"/>
  <c r="AG110" i="69" s="1"/>
  <c r="AG109" i="69"/>
  <c r="Q57" i="69"/>
  <c r="Q58" i="69"/>
  <c r="Q59" i="69"/>
  <c r="Q42" i="68"/>
  <c r="Q43" i="68"/>
  <c r="Q37" i="68"/>
  <c r="Q36" i="68"/>
  <c r="Q52" i="68"/>
  <c r="Q53" i="68"/>
  <c r="Q44" i="68"/>
  <c r="Q45" i="68"/>
  <c r="AV100" i="69"/>
  <c r="Q40" i="69"/>
  <c r="Q57" i="68"/>
  <c r="Q59" i="68"/>
  <c r="Q56" i="68"/>
  <c r="Q37" i="69"/>
  <c r="Q36" i="69"/>
  <c r="Q55" i="68"/>
  <c r="AP93" i="64"/>
  <c r="AO93" i="64"/>
  <c r="AN93" i="64"/>
  <c r="AM93" i="64"/>
  <c r="AL93" i="64"/>
  <c r="AK93" i="64"/>
  <c r="AJ93" i="64"/>
  <c r="AI93" i="64"/>
  <c r="AH93" i="64"/>
  <c r="AG93" i="64"/>
  <c r="AF93" i="64"/>
  <c r="AE93" i="64"/>
  <c r="AD93" i="64"/>
  <c r="AC93" i="64"/>
  <c r="AB93" i="64"/>
  <c r="AA93" i="64"/>
  <c r="Z93" i="64"/>
  <c r="Y93" i="64"/>
  <c r="X93" i="64"/>
  <c r="W93" i="64"/>
  <c r="V93" i="64"/>
  <c r="U93" i="64"/>
  <c r="T93" i="64"/>
  <c r="S93" i="64"/>
  <c r="AR36" i="64"/>
  <c r="AQ36" i="64"/>
  <c r="AP34" i="64"/>
  <c r="AO34" i="64"/>
  <c r="AN34" i="64"/>
  <c r="AM34" i="64"/>
  <c r="AL34" i="64"/>
  <c r="AK34" i="64"/>
  <c r="AJ34" i="64"/>
  <c r="AI34" i="64"/>
  <c r="AH34" i="64"/>
  <c r="AG34" i="64"/>
  <c r="AF34" i="64"/>
  <c r="AE34" i="64"/>
  <c r="AD34" i="64"/>
  <c r="AC34" i="64"/>
  <c r="AB34" i="64"/>
  <c r="AA34" i="64"/>
  <c r="Z34" i="64"/>
  <c r="Y34" i="64"/>
  <c r="X34" i="64"/>
  <c r="W34" i="64"/>
  <c r="V34" i="64"/>
  <c r="U34" i="64"/>
  <c r="T34" i="64"/>
  <c r="S34" i="64"/>
  <c r="N33" i="64"/>
  <c r="L22" i="60"/>
  <c r="F22" i="60" s="1"/>
  <c r="K29" i="64"/>
  <c r="K28" i="64"/>
  <c r="U26" i="64"/>
  <c r="S26" i="64"/>
  <c r="U25" i="64"/>
  <c r="S25" i="64"/>
  <c r="U24" i="64"/>
  <c r="S24" i="64"/>
  <c r="U23" i="64"/>
  <c r="S23" i="64"/>
  <c r="U22" i="64"/>
  <c r="S22" i="64"/>
  <c r="U21" i="64"/>
  <c r="S21" i="64"/>
  <c r="U20" i="64"/>
  <c r="S20" i="64"/>
  <c r="U19" i="64"/>
  <c r="S19" i="64"/>
  <c r="U18" i="64"/>
  <c r="S18" i="64"/>
  <c r="P18" i="64"/>
  <c r="U17" i="64"/>
  <c r="S17" i="64"/>
  <c r="P17" i="64"/>
  <c r="U16" i="64"/>
  <c r="S16" i="64"/>
  <c r="P16" i="64"/>
  <c r="U15" i="64"/>
  <c r="S15" i="64"/>
  <c r="P15" i="64"/>
  <c r="U14" i="64"/>
  <c r="S14" i="64"/>
  <c r="P14" i="64"/>
  <c r="U13" i="64"/>
  <c r="S13" i="64"/>
  <c r="P13" i="64"/>
  <c r="U12" i="64"/>
  <c r="T12" i="64"/>
  <c r="S12" i="64"/>
  <c r="P12" i="64"/>
  <c r="I12" i="64"/>
  <c r="I13" i="64" s="1"/>
  <c r="I14" i="64" s="1"/>
  <c r="I15" i="64" s="1"/>
  <c r="U11" i="64"/>
  <c r="T11" i="64"/>
  <c r="S11" i="64"/>
  <c r="T10" i="64"/>
  <c r="S10" i="64"/>
  <c r="U9" i="64"/>
  <c r="T9" i="64"/>
  <c r="G22" i="60" l="1"/>
  <c r="D22" i="60"/>
  <c r="AV105" i="69"/>
  <c r="Z43" i="69"/>
  <c r="AD47" i="69"/>
  <c r="AD106" i="69" s="1"/>
  <c r="M29" i="64"/>
  <c r="Q29" i="64" s="1"/>
  <c r="O24" i="60" s="1"/>
  <c r="L29" i="64"/>
  <c r="M24" i="60" s="1"/>
  <c r="M28" i="64"/>
  <c r="Q28" i="64" s="1"/>
  <c r="N24" i="60" s="1"/>
  <c r="L28" i="64"/>
  <c r="L24" i="60" s="1"/>
  <c r="V39" i="69"/>
  <c r="V40" i="69" s="1"/>
  <c r="V99" i="69" s="1"/>
  <c r="AM56" i="69"/>
  <c r="AM57" i="69" s="1"/>
  <c r="AM116" i="69" s="1"/>
  <c r="W40" i="68"/>
  <c r="W99" i="68" s="1"/>
  <c r="AV97" i="68"/>
  <c r="AV97" i="69"/>
  <c r="AG50" i="68"/>
  <c r="AG109" i="68" s="1"/>
  <c r="AK54" i="68"/>
  <c r="AK55" i="68" s="1"/>
  <c r="AK114" i="68" s="1"/>
  <c r="AV101" i="69"/>
  <c r="AV113" i="69"/>
  <c r="AV111" i="69"/>
  <c r="AJ53" i="69"/>
  <c r="AJ54" i="69" s="1"/>
  <c r="AJ113" i="69" s="1"/>
  <c r="AV110" i="68"/>
  <c r="X41" i="68"/>
  <c r="X42" i="68" s="1"/>
  <c r="X101" i="68" s="1"/>
  <c r="AO58" i="68"/>
  <c r="AO59" i="68" s="1"/>
  <c r="AO118" i="68" s="1"/>
  <c r="AV98" i="68"/>
  <c r="AV103" i="69"/>
  <c r="AB45" i="69"/>
  <c r="AB104" i="69" s="1"/>
  <c r="P20" i="64"/>
  <c r="Q20" i="64" s="1"/>
  <c r="AL55" i="68"/>
  <c r="AV114" i="68"/>
  <c r="AP59" i="68"/>
  <c r="AV118" i="68"/>
  <c r="AC47" i="69"/>
  <c r="AC106" i="69" s="1"/>
  <c r="AC105" i="69"/>
  <c r="AK55" i="69"/>
  <c r="AK114" i="69" s="1"/>
  <c r="AK113" i="69"/>
  <c r="AA44" i="68"/>
  <c r="AV103" i="68"/>
  <c r="T37" i="68"/>
  <c r="AV96" i="68"/>
  <c r="U39" i="69"/>
  <c r="U98" i="69" s="1"/>
  <c r="U97" i="69"/>
  <c r="AO58" i="69"/>
  <c r="AV117" i="69"/>
  <c r="AL55" i="69"/>
  <c r="AV114" i="69"/>
  <c r="AC46" i="68"/>
  <c r="AV105" i="68"/>
  <c r="AE48" i="68"/>
  <c r="AV107" i="68"/>
  <c r="AM56" i="68"/>
  <c r="AV115" i="68"/>
  <c r="U39" i="68"/>
  <c r="U98" i="68" s="1"/>
  <c r="U97" i="68"/>
  <c r="AD47" i="68"/>
  <c r="AV106" i="68"/>
  <c r="AF49" i="68"/>
  <c r="AV108" i="68"/>
  <c r="S36" i="69"/>
  <c r="AV95" i="69"/>
  <c r="AN57" i="68"/>
  <c r="AV116" i="68"/>
  <c r="AJ53" i="68"/>
  <c r="AV112" i="68"/>
  <c r="Z43" i="68"/>
  <c r="AV102" i="68"/>
  <c r="AN57" i="69"/>
  <c r="AV116" i="69"/>
  <c r="AF49" i="69"/>
  <c r="AV108" i="69"/>
  <c r="AB45" i="68"/>
  <c r="AV104" i="68"/>
  <c r="S36" i="68"/>
  <c r="AV95" i="68"/>
  <c r="AP59" i="69"/>
  <c r="AV118" i="69"/>
  <c r="T37" i="69"/>
  <c r="AV96" i="69"/>
  <c r="W40" i="69"/>
  <c r="AV99" i="69"/>
  <c r="AH52" i="68"/>
  <c r="AH111" i="68" s="1"/>
  <c r="AH110" i="68"/>
  <c r="X42" i="69"/>
  <c r="X101" i="69" s="1"/>
  <c r="X100" i="69"/>
  <c r="AI52" i="68"/>
  <c r="AV111" i="68"/>
  <c r="AA45" i="69"/>
  <c r="AA104" i="69" s="1"/>
  <c r="AA103" i="69"/>
  <c r="Y42" i="68"/>
  <c r="AV101" i="68"/>
  <c r="V40" i="68"/>
  <c r="V99" i="68" s="1"/>
  <c r="V98" i="68"/>
  <c r="AI53" i="69"/>
  <c r="AI112" i="69" s="1"/>
  <c r="AI111" i="69"/>
  <c r="AE48" i="69"/>
  <c r="AV107" i="69"/>
  <c r="Y43" i="69"/>
  <c r="Y102" i="69" s="1"/>
  <c r="Y101" i="69"/>
  <c r="P21" i="64"/>
  <c r="Q21" i="64" s="1"/>
  <c r="K31" i="64"/>
  <c r="M31" i="64" s="1"/>
  <c r="Q30" i="64" s="1"/>
  <c r="I16" i="64"/>
  <c r="T15" i="64"/>
  <c r="T14" i="64"/>
  <c r="AQ37" i="64"/>
  <c r="AR37" i="64"/>
  <c r="T13" i="64"/>
  <c r="K37" i="64"/>
  <c r="AD48" i="69" l="1"/>
  <c r="AD107" i="69" s="1"/>
  <c r="AG51" i="68"/>
  <c r="AG110" i="68" s="1"/>
  <c r="Z44" i="69"/>
  <c r="Z103" i="69" s="1"/>
  <c r="Z102" i="69"/>
  <c r="W41" i="68"/>
  <c r="W100" i="68" s="1"/>
  <c r="AM115" i="69"/>
  <c r="V98" i="69"/>
  <c r="AK113" i="68"/>
  <c r="AJ112" i="69"/>
  <c r="AB46" i="69"/>
  <c r="AB105" i="69" s="1"/>
  <c r="X100" i="68"/>
  <c r="AO117" i="68"/>
  <c r="H24" i="60"/>
  <c r="Y43" i="68"/>
  <c r="Y102" i="68" s="1"/>
  <c r="Y101" i="68"/>
  <c r="AI53" i="68"/>
  <c r="AI112" i="68" s="1"/>
  <c r="AI111" i="68"/>
  <c r="T38" i="69"/>
  <c r="T97" i="69" s="1"/>
  <c r="T96" i="69"/>
  <c r="S37" i="68"/>
  <c r="S96" i="68" s="1"/>
  <c r="S95" i="68"/>
  <c r="AF50" i="69"/>
  <c r="AF109" i="69" s="1"/>
  <c r="AF108" i="69"/>
  <c r="Z44" i="68"/>
  <c r="Z103" i="68" s="1"/>
  <c r="Z102" i="68"/>
  <c r="AN58" i="68"/>
  <c r="AN117" i="68" s="1"/>
  <c r="AN116" i="68"/>
  <c r="AF50" i="68"/>
  <c r="AF109" i="68" s="1"/>
  <c r="AF108" i="68"/>
  <c r="AL56" i="69"/>
  <c r="AL115" i="69" s="1"/>
  <c r="AL114" i="69"/>
  <c r="AP36" i="68"/>
  <c r="AP95" i="68" s="1"/>
  <c r="AP118" i="68"/>
  <c r="AE49" i="69"/>
  <c r="AE108" i="69" s="1"/>
  <c r="AE107" i="69"/>
  <c r="W41" i="69"/>
  <c r="W100" i="69" s="1"/>
  <c r="W99" i="69"/>
  <c r="AP36" i="69"/>
  <c r="AP95" i="69" s="1"/>
  <c r="AP118" i="69"/>
  <c r="AB46" i="68"/>
  <c r="AB105" i="68" s="1"/>
  <c r="AB104" i="68"/>
  <c r="AN58" i="69"/>
  <c r="AN117" i="69" s="1"/>
  <c r="AN116" i="69"/>
  <c r="AJ54" i="68"/>
  <c r="AJ113" i="68" s="1"/>
  <c r="AJ112" i="68"/>
  <c r="S37" i="69"/>
  <c r="S96" i="69" s="1"/>
  <c r="S95" i="69"/>
  <c r="AD48" i="68"/>
  <c r="AD107" i="68" s="1"/>
  <c r="AD106" i="68"/>
  <c r="AM57" i="68"/>
  <c r="AM116" i="68" s="1"/>
  <c r="AM115" i="68"/>
  <c r="AE49" i="68"/>
  <c r="AE108" i="68" s="1"/>
  <c r="AE107" i="68"/>
  <c r="AC47" i="68"/>
  <c r="AC106" i="68" s="1"/>
  <c r="AC105" i="68"/>
  <c r="AO59" i="69"/>
  <c r="AO118" i="69" s="1"/>
  <c r="AO117" i="69"/>
  <c r="T38" i="68"/>
  <c r="T97" i="68" s="1"/>
  <c r="T96" i="68"/>
  <c r="AA45" i="68"/>
  <c r="AA104" i="68" s="1"/>
  <c r="AA103" i="68"/>
  <c r="AL56" i="68"/>
  <c r="AL115" i="68" s="1"/>
  <c r="AL114" i="68"/>
  <c r="F24" i="60"/>
  <c r="K38" i="64"/>
  <c r="AR38" i="64"/>
  <c r="AQ38" i="64"/>
  <c r="I17" i="64"/>
  <c r="T16" i="64"/>
  <c r="D24" i="60" l="1"/>
  <c r="AT96" i="68"/>
  <c r="AU96" i="68" s="1"/>
  <c r="AT95" i="68"/>
  <c r="AU95" i="68" s="1"/>
  <c r="AT96" i="69"/>
  <c r="AU96" i="69" s="1"/>
  <c r="AT95" i="69"/>
  <c r="AU95" i="69" s="1"/>
  <c r="I18" i="64"/>
  <c r="T17" i="64"/>
  <c r="AQ39" i="64"/>
  <c r="AR39" i="64"/>
  <c r="K39" i="64"/>
  <c r="B314" i="62"/>
  <c r="B270" i="62"/>
  <c r="B225" i="62"/>
  <c r="C270" i="62"/>
  <c r="D270" i="62"/>
  <c r="E270" i="62"/>
  <c r="E271" i="62"/>
  <c r="C314" i="62"/>
  <c r="D314" i="62"/>
  <c r="E314" i="62"/>
  <c r="E315" i="62"/>
  <c r="B226" i="62"/>
  <c r="C226" i="62"/>
  <c r="D226" i="62"/>
  <c r="E226" i="62"/>
  <c r="E227" i="62"/>
  <c r="E182" i="62"/>
  <c r="E181" i="62"/>
  <c r="D181" i="62"/>
  <c r="C181" i="62"/>
  <c r="B181" i="62"/>
  <c r="E94" i="62"/>
  <c r="E93" i="62"/>
  <c r="D93" i="62"/>
  <c r="C93" i="62"/>
  <c r="B93" i="62"/>
  <c r="E50" i="62"/>
  <c r="E49" i="62"/>
  <c r="D49" i="62"/>
  <c r="C49" i="62"/>
  <c r="B49" i="62"/>
  <c r="E6" i="62"/>
  <c r="E5" i="62"/>
  <c r="D5" i="62"/>
  <c r="C5" i="62"/>
  <c r="B5" i="62"/>
  <c r="H4" i="62"/>
  <c r="E4" i="62"/>
  <c r="B4" i="62"/>
  <c r="C2" i="62"/>
  <c r="AX96" i="69" l="1"/>
  <c r="AA11" i="69" s="1"/>
  <c r="AW96" i="69"/>
  <c r="Z11" i="69" s="1"/>
  <c r="AX95" i="68"/>
  <c r="AA10" i="68" s="1"/>
  <c r="AW95" i="68"/>
  <c r="Z10" i="68" s="1"/>
  <c r="AW95" i="69"/>
  <c r="Z10" i="69" s="1"/>
  <c r="AX95" i="69"/>
  <c r="AA10" i="69" s="1"/>
  <c r="AX96" i="68"/>
  <c r="AA11" i="68" s="1"/>
  <c r="AW96" i="68"/>
  <c r="Z11" i="68" s="1"/>
  <c r="K40" i="64"/>
  <c r="AR40" i="64"/>
  <c r="I19" i="64"/>
  <c r="T18" i="64"/>
  <c r="AQ40" i="64"/>
  <c r="R63" i="60"/>
  <c r="Q63" i="60"/>
  <c r="R62" i="60"/>
  <c r="Q62" i="60"/>
  <c r="R61" i="60"/>
  <c r="Q61" i="60"/>
  <c r="R59" i="60"/>
  <c r="Q59" i="60"/>
  <c r="R58" i="60"/>
  <c r="Q58" i="60"/>
  <c r="R57" i="60"/>
  <c r="Q57" i="60"/>
  <c r="R56" i="60"/>
  <c r="Q56" i="60"/>
  <c r="S63" i="60"/>
  <c r="S61" i="60"/>
  <c r="S58" i="60"/>
  <c r="S59" i="60"/>
  <c r="S56" i="60"/>
  <c r="S57" i="60"/>
  <c r="S62" i="60"/>
  <c r="L39" i="64" l="1"/>
  <c r="O39" i="64" s="1"/>
  <c r="AQ41" i="64"/>
  <c r="N39" i="64"/>
  <c r="M39" i="64"/>
  <c r="I20" i="64"/>
  <c r="T19" i="64"/>
  <c r="L37" i="64"/>
  <c r="L38" i="64"/>
  <c r="AR41" i="64"/>
  <c r="K41" i="64"/>
  <c r="L40" i="64"/>
  <c r="O40" i="64" s="1"/>
  <c r="Q33" i="55"/>
  <c r="Q33" i="54"/>
  <c r="Q33" i="51"/>
  <c r="Q33" i="50"/>
  <c r="Q33" i="47"/>
  <c r="Q33" i="46"/>
  <c r="Q33" i="43"/>
  <c r="T62" i="60"/>
  <c r="T56" i="60"/>
  <c r="T57" i="60"/>
  <c r="T59" i="60"/>
  <c r="T61" i="60"/>
  <c r="T58" i="60"/>
  <c r="T63" i="60"/>
  <c r="M37" i="64" l="1"/>
  <c r="N37" i="64"/>
  <c r="O37" i="64"/>
  <c r="L41" i="64"/>
  <c r="O41" i="64" s="1"/>
  <c r="K42" i="64"/>
  <c r="N40" i="64"/>
  <c r="M40" i="64"/>
  <c r="AR42" i="64"/>
  <c r="M38" i="64"/>
  <c r="N38" i="64"/>
  <c r="O38" i="64"/>
  <c r="I21" i="64"/>
  <c r="T20" i="64"/>
  <c r="P39" i="64"/>
  <c r="AQ42" i="64"/>
  <c r="W5" i="60"/>
  <c r="Y5" i="60"/>
  <c r="W10" i="60"/>
  <c r="Y10" i="60"/>
  <c r="W15" i="60"/>
  <c r="Y15" i="60"/>
  <c r="W25" i="60"/>
  <c r="Y25" i="60"/>
  <c r="W31" i="60"/>
  <c r="Y31" i="60"/>
  <c r="W38" i="60"/>
  <c r="Y38" i="60"/>
  <c r="W45" i="60"/>
  <c r="Y45" i="60"/>
  <c r="P40" i="64" l="1"/>
  <c r="Q40" i="64" s="1"/>
  <c r="P37" i="64"/>
  <c r="AQ43" i="64"/>
  <c r="I22" i="64"/>
  <c r="T21" i="64"/>
  <c r="AR43" i="64"/>
  <c r="L42" i="64"/>
  <c r="O42" i="64" s="1"/>
  <c r="K43" i="64"/>
  <c r="N41" i="64"/>
  <c r="M41" i="64"/>
  <c r="P38" i="64"/>
  <c r="Q39" i="64" s="1"/>
  <c r="E12" i="52"/>
  <c r="E11" i="52"/>
  <c r="E10" i="52"/>
  <c r="E9" i="52"/>
  <c r="E8" i="52"/>
  <c r="E7" i="52"/>
  <c r="E6" i="52"/>
  <c r="E5" i="52"/>
  <c r="W40" i="64" l="1"/>
  <c r="W41" i="64" s="1"/>
  <c r="Q38" i="64"/>
  <c r="AR44" i="64"/>
  <c r="AQ44" i="64"/>
  <c r="M42" i="64"/>
  <c r="N42" i="64"/>
  <c r="V39" i="64"/>
  <c r="P41" i="64"/>
  <c r="K44" i="64"/>
  <c r="L43" i="64"/>
  <c r="I23" i="64"/>
  <c r="T22" i="64"/>
  <c r="AL5" i="60"/>
  <c r="AM5" i="60"/>
  <c r="CY5" i="60" s="1"/>
  <c r="AN5" i="60"/>
  <c r="AO5" i="60"/>
  <c r="AP5" i="60"/>
  <c r="AQ5" i="60"/>
  <c r="CX5" i="60" s="1"/>
  <c r="AR5" i="60"/>
  <c r="AS5" i="60"/>
  <c r="AT5" i="60"/>
  <c r="AU5" i="60"/>
  <c r="AV5" i="60"/>
  <c r="AW5" i="60"/>
  <c r="AX5" i="60"/>
  <c r="BP25" i="60"/>
  <c r="K18" i="52"/>
  <c r="BP23" i="60"/>
  <c r="K17" i="52"/>
  <c r="AU22" i="60" s="1"/>
  <c r="BP21" i="60"/>
  <c r="K16" i="52"/>
  <c r="AU20" i="60" s="1"/>
  <c r="BP19" i="60"/>
  <c r="K15" i="52"/>
  <c r="AU18" i="60" s="1"/>
  <c r="BP17" i="60"/>
  <c r="K14" i="52"/>
  <c r="AU16" i="60" s="1"/>
  <c r="BP15" i="60"/>
  <c r="K13" i="52"/>
  <c r="AU14" i="60" s="1"/>
  <c r="BP13" i="60"/>
  <c r="K12" i="52"/>
  <c r="AU12" i="60" s="1"/>
  <c r="BP11" i="60"/>
  <c r="K11" i="52"/>
  <c r="AU10" i="60" s="1"/>
  <c r="DD8" i="60"/>
  <c r="CX8" i="60"/>
  <c r="CW8" i="60"/>
  <c r="CY8" i="60"/>
  <c r="CY11" i="60"/>
  <c r="CY13" i="60"/>
  <c r="CY15" i="60"/>
  <c r="CY17" i="60"/>
  <c r="CY19" i="60"/>
  <c r="CY21" i="60"/>
  <c r="CY23" i="60"/>
  <c r="CY25" i="60"/>
  <c r="CV9" i="60"/>
  <c r="CU25" i="60"/>
  <c r="CU24" i="60"/>
  <c r="CU23" i="60"/>
  <c r="CU22" i="60"/>
  <c r="CU21" i="60"/>
  <c r="CU20" i="60"/>
  <c r="CU19" i="60"/>
  <c r="CU18" i="60"/>
  <c r="CU17" i="60"/>
  <c r="CU16" i="60"/>
  <c r="CU15" i="60"/>
  <c r="CU14" i="60"/>
  <c r="CU13" i="60"/>
  <c r="CU12" i="60"/>
  <c r="CU11" i="60"/>
  <c r="CU10" i="60"/>
  <c r="CU9" i="60"/>
  <c r="CV8" i="60"/>
  <c r="CV6" i="60"/>
  <c r="CV7" i="60"/>
  <c r="CV5" i="60"/>
  <c r="CE19" i="60"/>
  <c r="CE18" i="60"/>
  <c r="CD18" i="60"/>
  <c r="CC18" i="60"/>
  <c r="CB18" i="60"/>
  <c r="CE17" i="60"/>
  <c r="CE16" i="60"/>
  <c r="CD16" i="60"/>
  <c r="CC16" i="60"/>
  <c r="CB16" i="60"/>
  <c r="CE15" i="60"/>
  <c r="CE14" i="60"/>
  <c r="CD14" i="60"/>
  <c r="CC14" i="60"/>
  <c r="CB14" i="60"/>
  <c r="CE13" i="60"/>
  <c r="CE12" i="60"/>
  <c r="CD12" i="60"/>
  <c r="CC12" i="60"/>
  <c r="CB12" i="60"/>
  <c r="CE11" i="60"/>
  <c r="CE10" i="60"/>
  <c r="CD10" i="60"/>
  <c r="CC10" i="60"/>
  <c r="CB10" i="60"/>
  <c r="CE9" i="60"/>
  <c r="CE8" i="60"/>
  <c r="CD8" i="60"/>
  <c r="CC8" i="60"/>
  <c r="CB8" i="60"/>
  <c r="CE7" i="60"/>
  <c r="CE6" i="60"/>
  <c r="CD6" i="60"/>
  <c r="CC6" i="60"/>
  <c r="CB6" i="60"/>
  <c r="K11" i="54"/>
  <c r="AW10" i="60" s="1"/>
  <c r="K12" i="54"/>
  <c r="AW11" i="60" s="1"/>
  <c r="BR11" i="60" s="1"/>
  <c r="BY11" i="60" s="1"/>
  <c r="K26" i="54"/>
  <c r="K25" i="54"/>
  <c r="AW24" i="60" s="1"/>
  <c r="K13" i="54"/>
  <c r="AW12" i="60" s="1"/>
  <c r="K14" i="54"/>
  <c r="AW13" i="60" s="1"/>
  <c r="K15" i="54"/>
  <c r="K16" i="54"/>
  <c r="AW15" i="60" s="1"/>
  <c r="K17" i="54"/>
  <c r="K18" i="54"/>
  <c r="AW17" i="60" s="1"/>
  <c r="K19" i="54"/>
  <c r="AW18" i="60" s="1"/>
  <c r="K20" i="54"/>
  <c r="AW19" i="60" s="1"/>
  <c r="K21" i="54"/>
  <c r="AW20" i="60" s="1"/>
  <c r="K22" i="54"/>
  <c r="AW21" i="60" s="1"/>
  <c r="K23" i="54"/>
  <c r="AW22" i="60" s="1"/>
  <c r="K24" i="54"/>
  <c r="AW23" i="60" s="1"/>
  <c r="K11" i="48"/>
  <c r="AQ10" i="60" s="1"/>
  <c r="K12" i="48"/>
  <c r="AQ11" i="60" s="1"/>
  <c r="K26" i="48"/>
  <c r="K11" i="50"/>
  <c r="AS10" i="60" s="1"/>
  <c r="K12" i="50"/>
  <c r="K26" i="50"/>
  <c r="AS25" i="60" s="1"/>
  <c r="BN25" i="60" s="1"/>
  <c r="K25" i="48"/>
  <c r="AQ24" i="60" s="1"/>
  <c r="K25" i="50"/>
  <c r="AS24" i="60" s="1"/>
  <c r="K13" i="48"/>
  <c r="AQ12" i="60" s="1"/>
  <c r="BL12" i="60" s="1"/>
  <c r="K13" i="50"/>
  <c r="AS12" i="60" s="1"/>
  <c r="K14" i="48"/>
  <c r="AQ13" i="60" s="1"/>
  <c r="K14" i="50"/>
  <c r="AS13" i="60" s="1"/>
  <c r="K15" i="48"/>
  <c r="AQ14" i="60" s="1"/>
  <c r="BL14" i="60" s="1"/>
  <c r="K15" i="50"/>
  <c r="K16" i="48"/>
  <c r="AQ15" i="60" s="1"/>
  <c r="K16" i="50"/>
  <c r="AS15" i="60" s="1"/>
  <c r="K17" i="48"/>
  <c r="AQ16" i="60" s="1"/>
  <c r="BL16" i="60" s="1"/>
  <c r="K17" i="50"/>
  <c r="K18" i="48"/>
  <c r="AQ17" i="60" s="1"/>
  <c r="K18" i="50"/>
  <c r="AS17" i="60" s="1"/>
  <c r="K19" i="48"/>
  <c r="AQ18" i="60" s="1"/>
  <c r="K19" i="50"/>
  <c r="AS18" i="60" s="1"/>
  <c r="BN18" i="60" s="1"/>
  <c r="K20" i="48"/>
  <c r="AQ19" i="60" s="1"/>
  <c r="K20" i="50"/>
  <c r="AS19" i="60" s="1"/>
  <c r="K21" i="48"/>
  <c r="AQ20" i="60" s="1"/>
  <c r="BL20" i="60" s="1"/>
  <c r="K21" i="50"/>
  <c r="AS20" i="60" s="1"/>
  <c r="BN20" i="60" s="1"/>
  <c r="K22" i="48"/>
  <c r="AQ21" i="60" s="1"/>
  <c r="K22" i="50"/>
  <c r="K23" i="48"/>
  <c r="AQ22" i="60" s="1"/>
  <c r="BL22" i="60" s="1"/>
  <c r="K23" i="50"/>
  <c r="AS22" i="60" s="1"/>
  <c r="BN22" i="60" s="1"/>
  <c r="K24" i="48"/>
  <c r="AQ23" i="60" s="1"/>
  <c r="K24" i="50"/>
  <c r="AS23" i="60" s="1"/>
  <c r="K26" i="44"/>
  <c r="AM25" i="60" s="1"/>
  <c r="BH25" i="60" s="1"/>
  <c r="K11" i="44"/>
  <c r="AM10" i="60" s="1"/>
  <c r="K26" i="46"/>
  <c r="K11" i="46"/>
  <c r="K27" i="46" s="1"/>
  <c r="K12" i="44"/>
  <c r="K12" i="46"/>
  <c r="AO11" i="60" s="1"/>
  <c r="K13" i="44"/>
  <c r="AM12" i="60" s="1"/>
  <c r="K13" i="46"/>
  <c r="AO12" i="60" s="1"/>
  <c r="K14" i="44"/>
  <c r="AM13" i="60" s="1"/>
  <c r="BH13" i="60" s="1"/>
  <c r="K14" i="46"/>
  <c r="K15" i="44"/>
  <c r="AM14" i="60" s="1"/>
  <c r="K15" i="46"/>
  <c r="AO14" i="60" s="1"/>
  <c r="K16" i="44"/>
  <c r="AM15" i="60" s="1"/>
  <c r="BH15" i="60" s="1"/>
  <c r="K16" i="46"/>
  <c r="AO15" i="60" s="1"/>
  <c r="BJ15" i="60" s="1"/>
  <c r="K17" i="44"/>
  <c r="AM16" i="60" s="1"/>
  <c r="K17" i="46"/>
  <c r="AO16" i="60" s="1"/>
  <c r="K18" i="44"/>
  <c r="AM17" i="60" s="1"/>
  <c r="BH17" i="60" s="1"/>
  <c r="K18" i="46"/>
  <c r="K19" i="44"/>
  <c r="AM18" i="60" s="1"/>
  <c r="K19" i="46"/>
  <c r="K20" i="44"/>
  <c r="AM19" i="60" s="1"/>
  <c r="BH19" i="60" s="1"/>
  <c r="K20" i="46"/>
  <c r="AO19" i="60" s="1"/>
  <c r="BJ19" i="60" s="1"/>
  <c r="K21" i="44"/>
  <c r="AM20" i="60" s="1"/>
  <c r="K21" i="46"/>
  <c r="AO20" i="60" s="1"/>
  <c r="K22" i="44"/>
  <c r="AM21" i="60" s="1"/>
  <c r="BH21" i="60" s="1"/>
  <c r="K22" i="46"/>
  <c r="K23" i="44"/>
  <c r="AM22" i="60" s="1"/>
  <c r="K23" i="46"/>
  <c r="AO22" i="60" s="1"/>
  <c r="K24" i="44"/>
  <c r="AM23" i="60" s="1"/>
  <c r="BH23" i="60" s="1"/>
  <c r="K24" i="46"/>
  <c r="AO23" i="60" s="1"/>
  <c r="BJ23" i="60" s="1"/>
  <c r="K25" i="44"/>
  <c r="AM24" i="60" s="1"/>
  <c r="K25" i="46"/>
  <c r="AO24" i="60" s="1"/>
  <c r="AV25" i="60"/>
  <c r="BQ25" i="60" s="1"/>
  <c r="BX25" i="60" s="1"/>
  <c r="AV10" i="60"/>
  <c r="K26" i="55"/>
  <c r="AX25" i="60" s="1"/>
  <c r="K27" i="55"/>
  <c r="AV23" i="60"/>
  <c r="BQ23" i="60" s="1"/>
  <c r="AV24" i="60"/>
  <c r="K24" i="55"/>
  <c r="AX23" i="60" s="1"/>
  <c r="K25" i="55"/>
  <c r="AX24" i="60" s="1"/>
  <c r="K12" i="55"/>
  <c r="AX11" i="60" s="1"/>
  <c r="K13" i="55"/>
  <c r="AX12" i="60" s="1"/>
  <c r="AV13" i="60"/>
  <c r="K14" i="55"/>
  <c r="AX13" i="60" s="1"/>
  <c r="AV14" i="60"/>
  <c r="BQ14" i="60" s="1"/>
  <c r="K15" i="55"/>
  <c r="V16" i="64"/>
  <c r="K16" i="55"/>
  <c r="AX15" i="60" s="1"/>
  <c r="P17" i="53"/>
  <c r="K17" i="55"/>
  <c r="AV17" i="60"/>
  <c r="K18" i="55"/>
  <c r="AX17" i="60" s="1"/>
  <c r="AV18" i="60"/>
  <c r="BQ18" i="60" s="1"/>
  <c r="K19" i="55"/>
  <c r="V20" i="64"/>
  <c r="K20" i="55"/>
  <c r="AX19" i="60" s="1"/>
  <c r="K21" i="55"/>
  <c r="AX20" i="60" s="1"/>
  <c r="BS20" i="60" s="1"/>
  <c r="AV21" i="60"/>
  <c r="K22" i="55"/>
  <c r="AX21" i="60" s="1"/>
  <c r="AV22" i="60"/>
  <c r="K23" i="55"/>
  <c r="AX22" i="60" s="1"/>
  <c r="BS22" i="60" s="1"/>
  <c r="AR25" i="60"/>
  <c r="K27" i="49"/>
  <c r="K26" i="51"/>
  <c r="AT25" i="60" s="1"/>
  <c r="K11" i="51"/>
  <c r="K25" i="51"/>
  <c r="AT24" i="60" s="1"/>
  <c r="AR11" i="60"/>
  <c r="K12" i="51"/>
  <c r="AT11" i="60" s="1"/>
  <c r="BO11" i="60" s="1"/>
  <c r="AR12" i="60"/>
  <c r="BM12" i="60" s="1"/>
  <c r="K13" i="51"/>
  <c r="AT12" i="60" s="1"/>
  <c r="AR13" i="60"/>
  <c r="K14" i="51"/>
  <c r="AT13" i="60" s="1"/>
  <c r="BO13" i="60" s="1"/>
  <c r="BW13" i="60" s="1"/>
  <c r="K15" i="51"/>
  <c r="AT14" i="60" s="1"/>
  <c r="K16" i="51"/>
  <c r="AT15" i="60" s="1"/>
  <c r="AR16" i="60"/>
  <c r="K17" i="51"/>
  <c r="AT16" i="60" s="1"/>
  <c r="K18" i="51"/>
  <c r="AT17" i="60" s="1"/>
  <c r="K19" i="51"/>
  <c r="AT18" i="60" s="1"/>
  <c r="AR19" i="60"/>
  <c r="K20" i="51"/>
  <c r="AT19" i="60" s="1"/>
  <c r="AR20" i="60"/>
  <c r="BM20" i="60" s="1"/>
  <c r="K21" i="51"/>
  <c r="AT20" i="60" s="1"/>
  <c r="AR21" i="60"/>
  <c r="K22" i="51"/>
  <c r="AT21" i="60" s="1"/>
  <c r="K23" i="51"/>
  <c r="AT22" i="60" s="1"/>
  <c r="K24" i="51"/>
  <c r="AN25" i="60"/>
  <c r="AN10" i="60"/>
  <c r="AN24" i="60"/>
  <c r="BI24" i="60" s="1"/>
  <c r="K26" i="47"/>
  <c r="AP25" i="60" s="1"/>
  <c r="K11" i="47"/>
  <c r="AP10" i="60" s="1"/>
  <c r="K25" i="47"/>
  <c r="K24" i="47"/>
  <c r="AP23" i="60" s="1"/>
  <c r="AN11" i="60"/>
  <c r="K12" i="47"/>
  <c r="AP11" i="60" s="1"/>
  <c r="K13" i="47"/>
  <c r="AP12" i="60" s="1"/>
  <c r="K14" i="47"/>
  <c r="AP13" i="60" s="1"/>
  <c r="AN14" i="60"/>
  <c r="K15" i="47"/>
  <c r="AP14" i="60" s="1"/>
  <c r="AN15" i="60"/>
  <c r="K16" i="47"/>
  <c r="AP15" i="60" s="1"/>
  <c r="AN16" i="60"/>
  <c r="K17" i="47"/>
  <c r="AP16" i="60" s="1"/>
  <c r="AN17" i="60"/>
  <c r="K18" i="47"/>
  <c r="AP17" i="60" s="1"/>
  <c r="AN18" i="60"/>
  <c r="K19" i="47"/>
  <c r="AP18" i="60" s="1"/>
  <c r="AN19" i="60"/>
  <c r="K20" i="47"/>
  <c r="AP19" i="60" s="1"/>
  <c r="AN20" i="60"/>
  <c r="K21" i="47"/>
  <c r="AP20" i="60" s="1"/>
  <c r="AN21" i="60"/>
  <c r="K22" i="47"/>
  <c r="AP21" i="60" s="1"/>
  <c r="AN22" i="60"/>
  <c r="K23" i="47"/>
  <c r="AP22" i="60" s="1"/>
  <c r="K26" i="39"/>
  <c r="AK25" i="60" s="1"/>
  <c r="K11" i="39"/>
  <c r="AK10" i="60" s="1"/>
  <c r="K26" i="43"/>
  <c r="AL25" i="60" s="1"/>
  <c r="K11" i="43"/>
  <c r="AL10" i="60" s="1"/>
  <c r="K25" i="39"/>
  <c r="AK24" i="60" s="1"/>
  <c r="K25" i="43"/>
  <c r="K12" i="39"/>
  <c r="AK11" i="60" s="1"/>
  <c r="K12" i="43"/>
  <c r="AL11" i="60" s="1"/>
  <c r="K13" i="39"/>
  <c r="AK12" i="60" s="1"/>
  <c r="K13" i="43"/>
  <c r="AL12" i="60" s="1"/>
  <c r="K14" i="39"/>
  <c r="AK13" i="60" s="1"/>
  <c r="K14" i="43"/>
  <c r="AL13" i="60" s="1"/>
  <c r="K15" i="39"/>
  <c r="AK14" i="60" s="1"/>
  <c r="K15" i="43"/>
  <c r="AL14" i="60" s="1"/>
  <c r="K16" i="39"/>
  <c r="AK15" i="60" s="1"/>
  <c r="K16" i="43"/>
  <c r="AL15" i="60" s="1"/>
  <c r="K17" i="39"/>
  <c r="AK16" i="60" s="1"/>
  <c r="K17" i="43"/>
  <c r="AL16" i="60" s="1"/>
  <c r="K18" i="39"/>
  <c r="AK17" i="60" s="1"/>
  <c r="K18" i="43"/>
  <c r="AL17" i="60" s="1"/>
  <c r="K19" i="39"/>
  <c r="AK18" i="60" s="1"/>
  <c r="K19" i="43"/>
  <c r="K20" i="39"/>
  <c r="AK19" i="60" s="1"/>
  <c r="K20" i="43"/>
  <c r="K21" i="39"/>
  <c r="AK20" i="60" s="1"/>
  <c r="K21" i="43"/>
  <c r="AL20" i="60" s="1"/>
  <c r="K22" i="39"/>
  <c r="AK21" i="60" s="1"/>
  <c r="K22" i="43"/>
  <c r="K23" i="39"/>
  <c r="AK22" i="60" s="1"/>
  <c r="K23" i="43"/>
  <c r="AL22" i="60" s="1"/>
  <c r="K24" i="39"/>
  <c r="AK23" i="60" s="1"/>
  <c r="K24" i="43"/>
  <c r="AL23" i="60" s="1"/>
  <c r="U26" i="55"/>
  <c r="S26" i="55"/>
  <c r="U25" i="55"/>
  <c r="S25" i="55"/>
  <c r="U24" i="55"/>
  <c r="S24" i="55"/>
  <c r="U23" i="55"/>
  <c r="S23" i="55"/>
  <c r="U22" i="55"/>
  <c r="S22" i="55"/>
  <c r="U21" i="55"/>
  <c r="S21" i="55"/>
  <c r="U20" i="55"/>
  <c r="S20" i="55"/>
  <c r="U19" i="55"/>
  <c r="S19" i="55"/>
  <c r="U18" i="55"/>
  <c r="S18" i="55"/>
  <c r="U17" i="55"/>
  <c r="S17" i="55"/>
  <c r="U16" i="55"/>
  <c r="S16" i="55"/>
  <c r="U15" i="55"/>
  <c r="S15" i="55"/>
  <c r="U14" i="55"/>
  <c r="S14" i="55"/>
  <c r="U13" i="55"/>
  <c r="S13" i="55"/>
  <c r="U12" i="55"/>
  <c r="S12" i="55"/>
  <c r="U11" i="55"/>
  <c r="T11" i="55"/>
  <c r="S11" i="55"/>
  <c r="T10" i="55"/>
  <c r="S10" i="55"/>
  <c r="U9" i="55"/>
  <c r="T9" i="55"/>
  <c r="U26" i="51"/>
  <c r="S26" i="51"/>
  <c r="U25" i="51"/>
  <c r="S25" i="51"/>
  <c r="U24" i="51"/>
  <c r="S24" i="51"/>
  <c r="U23" i="51"/>
  <c r="S23" i="51"/>
  <c r="U22" i="51"/>
  <c r="S22" i="51"/>
  <c r="U21" i="51"/>
  <c r="S21" i="51"/>
  <c r="U20" i="51"/>
  <c r="S20" i="51"/>
  <c r="U19" i="51"/>
  <c r="S19" i="51"/>
  <c r="U18" i="51"/>
  <c r="S18" i="51"/>
  <c r="U17" i="51"/>
  <c r="S17" i="51"/>
  <c r="U16" i="51"/>
  <c r="S16" i="51"/>
  <c r="U15" i="51"/>
  <c r="S15" i="51"/>
  <c r="U14" i="51"/>
  <c r="S14" i="51"/>
  <c r="U13" i="51"/>
  <c r="S13" i="51"/>
  <c r="U12" i="51"/>
  <c r="S12" i="51"/>
  <c r="U11" i="51"/>
  <c r="T11" i="51"/>
  <c r="S11" i="51"/>
  <c r="T10" i="51"/>
  <c r="S10" i="51"/>
  <c r="U9" i="51"/>
  <c r="T9" i="51"/>
  <c r="T9" i="47"/>
  <c r="U9" i="47"/>
  <c r="S10" i="47"/>
  <c r="T10" i="47"/>
  <c r="S11" i="47"/>
  <c r="T11" i="47"/>
  <c r="U11" i="47"/>
  <c r="S12" i="47"/>
  <c r="U12" i="47"/>
  <c r="S13" i="47"/>
  <c r="U13" i="47"/>
  <c r="S14" i="47"/>
  <c r="U14" i="47"/>
  <c r="S15" i="47"/>
  <c r="U15" i="47"/>
  <c r="S16" i="47"/>
  <c r="U16" i="47"/>
  <c r="S17" i="47"/>
  <c r="U17" i="47"/>
  <c r="S18" i="47"/>
  <c r="U18" i="47"/>
  <c r="S19" i="47"/>
  <c r="U19" i="47"/>
  <c r="S20" i="47"/>
  <c r="U20" i="47"/>
  <c r="S21" i="47"/>
  <c r="U21" i="47"/>
  <c r="S22" i="47"/>
  <c r="U22" i="47"/>
  <c r="S23" i="47"/>
  <c r="U23" i="47"/>
  <c r="S24" i="47"/>
  <c r="U24" i="47"/>
  <c r="S25" i="47"/>
  <c r="U25" i="47"/>
  <c r="S26" i="47"/>
  <c r="U26" i="47"/>
  <c r="BE10" i="60"/>
  <c r="CV10" i="60" s="1"/>
  <c r="BE12" i="60"/>
  <c r="CV12" i="60" s="1"/>
  <c r="BE14" i="60"/>
  <c r="CV14" i="60" s="1"/>
  <c r="BE16" i="60"/>
  <c r="CV16" i="60" s="1"/>
  <c r="BE18" i="60"/>
  <c r="CV18" i="60" s="1"/>
  <c r="BE20" i="60"/>
  <c r="CV20" i="60" s="1"/>
  <c r="BE22" i="60"/>
  <c r="CV22" i="60" s="1"/>
  <c r="BE24" i="60"/>
  <c r="CV24" i="60" s="1"/>
  <c r="BC10" i="60"/>
  <c r="BD10" i="60"/>
  <c r="BC11" i="60"/>
  <c r="BD11" i="60"/>
  <c r="BC12" i="60"/>
  <c r="BD12" i="60"/>
  <c r="BC13" i="60"/>
  <c r="BD13" i="60"/>
  <c r="BC14" i="60"/>
  <c r="BD14" i="60"/>
  <c r="BC15" i="60"/>
  <c r="BD15" i="60"/>
  <c r="BC16" i="60"/>
  <c r="BD16" i="60"/>
  <c r="BC17" i="60"/>
  <c r="BD17" i="60"/>
  <c r="BC18" i="60"/>
  <c r="BD18" i="60"/>
  <c r="BC19" i="60"/>
  <c r="BD19" i="60"/>
  <c r="BC20" i="60"/>
  <c r="BD20" i="60"/>
  <c r="BC21" i="60"/>
  <c r="BD21" i="60"/>
  <c r="BC22" i="60"/>
  <c r="BD22" i="60"/>
  <c r="BC23" i="60"/>
  <c r="BD23" i="60"/>
  <c r="BC24" i="60"/>
  <c r="BD24" i="60"/>
  <c r="BC25" i="60"/>
  <c r="BD25" i="60"/>
  <c r="BF4" i="60"/>
  <c r="BG4" i="60"/>
  <c r="BH4" i="60"/>
  <c r="BI4" i="60"/>
  <c r="BJ4" i="60"/>
  <c r="BK4" i="60"/>
  <c r="BL4" i="60"/>
  <c r="BM4" i="60"/>
  <c r="BN4" i="60"/>
  <c r="BO4" i="60"/>
  <c r="BP4" i="60"/>
  <c r="BQ4" i="60"/>
  <c r="BR4" i="60"/>
  <c r="BS4" i="60"/>
  <c r="U27" i="53"/>
  <c r="T27" i="53"/>
  <c r="S27" i="53"/>
  <c r="W26" i="53"/>
  <c r="W26" i="67" s="1"/>
  <c r="U26" i="53"/>
  <c r="S26" i="53"/>
  <c r="W25" i="53"/>
  <c r="W25" i="67" s="1"/>
  <c r="U25" i="53"/>
  <c r="S25" i="53"/>
  <c r="W24" i="53"/>
  <c r="W24" i="67" s="1"/>
  <c r="U24" i="53"/>
  <c r="S24" i="53"/>
  <c r="W23" i="53"/>
  <c r="W23" i="67" s="1"/>
  <c r="U23" i="53"/>
  <c r="S23" i="53"/>
  <c r="W22" i="53"/>
  <c r="W22" i="67" s="1"/>
  <c r="U22" i="53"/>
  <c r="S22" i="53"/>
  <c r="W21" i="53"/>
  <c r="W21" i="67" s="1"/>
  <c r="U21" i="53"/>
  <c r="S21" i="53"/>
  <c r="W20" i="53"/>
  <c r="W20" i="67" s="1"/>
  <c r="U20" i="53"/>
  <c r="S20" i="53"/>
  <c r="W19" i="53"/>
  <c r="W19" i="67" s="1"/>
  <c r="U19" i="53"/>
  <c r="S19" i="53"/>
  <c r="W18" i="53"/>
  <c r="W18" i="67" s="1"/>
  <c r="U18" i="53"/>
  <c r="S18" i="53"/>
  <c r="W17" i="53"/>
  <c r="W17" i="67" s="1"/>
  <c r="U17" i="53"/>
  <c r="S17" i="53"/>
  <c r="W16" i="53"/>
  <c r="W16" i="67" s="1"/>
  <c r="U16" i="53"/>
  <c r="S16" i="53"/>
  <c r="W15" i="53"/>
  <c r="W15" i="67" s="1"/>
  <c r="U15" i="53"/>
  <c r="S15" i="53"/>
  <c r="W14" i="53"/>
  <c r="W14" i="67" s="1"/>
  <c r="U14" i="53"/>
  <c r="S14" i="53"/>
  <c r="W13" i="53"/>
  <c r="W13" i="67" s="1"/>
  <c r="U13" i="53"/>
  <c r="S13" i="53"/>
  <c r="W12" i="53"/>
  <c r="W12" i="67" s="1"/>
  <c r="U12" i="53"/>
  <c r="S12" i="53"/>
  <c r="W11" i="53"/>
  <c r="W11" i="67" s="1"/>
  <c r="U11" i="53"/>
  <c r="T11" i="53"/>
  <c r="S11" i="53"/>
  <c r="X10" i="53"/>
  <c r="W10" i="53"/>
  <c r="V10" i="53"/>
  <c r="U10" i="53"/>
  <c r="T10" i="53"/>
  <c r="S10" i="53"/>
  <c r="U9" i="53"/>
  <c r="T9" i="53"/>
  <c r="U27" i="49"/>
  <c r="T27" i="49"/>
  <c r="S27" i="49"/>
  <c r="W26" i="49"/>
  <c r="AZ25" i="60" s="1"/>
  <c r="U26" i="49"/>
  <c r="S26" i="49"/>
  <c r="W25" i="49"/>
  <c r="AZ24" i="60" s="1"/>
  <c r="U25" i="49"/>
  <c r="S25" i="49"/>
  <c r="W24" i="49"/>
  <c r="AZ23" i="60" s="1"/>
  <c r="U24" i="49"/>
  <c r="S24" i="49"/>
  <c r="W23" i="49"/>
  <c r="AZ22" i="60" s="1"/>
  <c r="U23" i="49"/>
  <c r="S23" i="49"/>
  <c r="W22" i="49"/>
  <c r="AZ21" i="60" s="1"/>
  <c r="U22" i="49"/>
  <c r="S22" i="49"/>
  <c r="W21" i="49"/>
  <c r="AZ20" i="60" s="1"/>
  <c r="U21" i="49"/>
  <c r="S21" i="49"/>
  <c r="W20" i="49"/>
  <c r="AZ19" i="60" s="1"/>
  <c r="U20" i="49"/>
  <c r="S20" i="49"/>
  <c r="W19" i="49"/>
  <c r="AZ18" i="60" s="1"/>
  <c r="U19" i="49"/>
  <c r="S19" i="49"/>
  <c r="W18" i="49"/>
  <c r="AZ17" i="60" s="1"/>
  <c r="U18" i="49"/>
  <c r="S18" i="49"/>
  <c r="W17" i="49"/>
  <c r="AZ16" i="60" s="1"/>
  <c r="U17" i="49"/>
  <c r="S17" i="49"/>
  <c r="W16" i="49"/>
  <c r="AZ15" i="60" s="1"/>
  <c r="U16" i="49"/>
  <c r="S16" i="49"/>
  <c r="W15" i="49"/>
  <c r="AZ14" i="60" s="1"/>
  <c r="U15" i="49"/>
  <c r="S15" i="49"/>
  <c r="W14" i="49"/>
  <c r="AZ13" i="60" s="1"/>
  <c r="U14" i="49"/>
  <c r="S14" i="49"/>
  <c r="W13" i="49"/>
  <c r="AZ12" i="60" s="1"/>
  <c r="U13" i="49"/>
  <c r="S13" i="49"/>
  <c r="W12" i="49"/>
  <c r="AZ11" i="60" s="1"/>
  <c r="U12" i="49"/>
  <c r="S12" i="49"/>
  <c r="W11" i="49"/>
  <c r="U11" i="49"/>
  <c r="T11" i="49"/>
  <c r="S11" i="49"/>
  <c r="X10" i="49"/>
  <c r="W10" i="49"/>
  <c r="V10" i="49"/>
  <c r="U10" i="49"/>
  <c r="T10" i="49"/>
  <c r="S10" i="49"/>
  <c r="U9" i="49"/>
  <c r="T9" i="49"/>
  <c r="U27" i="45"/>
  <c r="T27" i="45"/>
  <c r="S27" i="45"/>
  <c r="W26" i="45"/>
  <c r="AY25" i="60" s="1"/>
  <c r="U26" i="45"/>
  <c r="S26" i="45"/>
  <c r="W25" i="45"/>
  <c r="AY24" i="60" s="1"/>
  <c r="U25" i="45"/>
  <c r="S25" i="45"/>
  <c r="W24" i="45"/>
  <c r="AY23" i="60" s="1"/>
  <c r="U24" i="45"/>
  <c r="S24" i="45"/>
  <c r="W23" i="45"/>
  <c r="AY22" i="60" s="1"/>
  <c r="U23" i="45"/>
  <c r="S23" i="45"/>
  <c r="W22" i="45"/>
  <c r="AY21" i="60" s="1"/>
  <c r="U22" i="45"/>
  <c r="S22" i="45"/>
  <c r="W21" i="45"/>
  <c r="AY20" i="60" s="1"/>
  <c r="U21" i="45"/>
  <c r="S21" i="45"/>
  <c r="W20" i="45"/>
  <c r="AY19" i="60" s="1"/>
  <c r="U20" i="45"/>
  <c r="S20" i="45"/>
  <c r="W19" i="45"/>
  <c r="AY18" i="60" s="1"/>
  <c r="U19" i="45"/>
  <c r="S19" i="45"/>
  <c r="W18" i="45"/>
  <c r="AY17" i="60" s="1"/>
  <c r="U18" i="45"/>
  <c r="S18" i="45"/>
  <c r="W17" i="45"/>
  <c r="AY16" i="60" s="1"/>
  <c r="U17" i="45"/>
  <c r="S17" i="45"/>
  <c r="W16" i="45"/>
  <c r="AY15" i="60" s="1"/>
  <c r="U16" i="45"/>
  <c r="S16" i="45"/>
  <c r="W15" i="45"/>
  <c r="AY14" i="60" s="1"/>
  <c r="U15" i="45"/>
  <c r="S15" i="45"/>
  <c r="W14" i="45"/>
  <c r="AY13" i="60" s="1"/>
  <c r="U14" i="45"/>
  <c r="S14" i="45"/>
  <c r="W13" i="45"/>
  <c r="AY12" i="60" s="1"/>
  <c r="U13" i="45"/>
  <c r="S13" i="45"/>
  <c r="W12" i="45"/>
  <c r="AY11" i="60" s="1"/>
  <c r="U12" i="45"/>
  <c r="S12" i="45"/>
  <c r="W11" i="45"/>
  <c r="AY10" i="60" s="1"/>
  <c r="U11" i="45"/>
  <c r="T11" i="45"/>
  <c r="S11" i="45"/>
  <c r="X10" i="45"/>
  <c r="W10" i="45"/>
  <c r="V10" i="45"/>
  <c r="U10" i="45"/>
  <c r="T10" i="45"/>
  <c r="S10" i="45"/>
  <c r="U9" i="45"/>
  <c r="T9" i="45"/>
  <c r="AB61" i="60"/>
  <c r="AB59" i="60"/>
  <c r="AB57" i="60"/>
  <c r="AE56" i="60"/>
  <c r="AP93" i="55"/>
  <c r="AO93" i="55"/>
  <c r="AN93" i="55"/>
  <c r="AM93" i="55"/>
  <c r="AL93" i="55"/>
  <c r="AK93" i="55"/>
  <c r="AJ93" i="55"/>
  <c r="AI93" i="55"/>
  <c r="AH93" i="55"/>
  <c r="AG93" i="55"/>
  <c r="AF93" i="55"/>
  <c r="AE93" i="55"/>
  <c r="AD93" i="55"/>
  <c r="AC93" i="55"/>
  <c r="AB93" i="55"/>
  <c r="AA93" i="55"/>
  <c r="Z93" i="55"/>
  <c r="Y93" i="55"/>
  <c r="X93" i="55"/>
  <c r="W93" i="55"/>
  <c r="V93" i="55"/>
  <c r="U93" i="55"/>
  <c r="T93" i="55"/>
  <c r="S93" i="55"/>
  <c r="K36" i="55"/>
  <c r="AP34" i="55"/>
  <c r="AO34" i="55"/>
  <c r="AN34" i="55"/>
  <c r="AM34" i="55"/>
  <c r="AL34" i="55"/>
  <c r="AK34" i="55"/>
  <c r="AJ34" i="55"/>
  <c r="AI34" i="55"/>
  <c r="AH34" i="55"/>
  <c r="AG34" i="55"/>
  <c r="AF34" i="55"/>
  <c r="AE34" i="55"/>
  <c r="AD34" i="55"/>
  <c r="AC34" i="55"/>
  <c r="AB34" i="55"/>
  <c r="AA34" i="55"/>
  <c r="Z34" i="55"/>
  <c r="Y34" i="55"/>
  <c r="X34" i="55"/>
  <c r="W34" i="55"/>
  <c r="V34" i="55"/>
  <c r="U34" i="55"/>
  <c r="T34" i="55"/>
  <c r="S34" i="55"/>
  <c r="N33" i="55"/>
  <c r="K37" i="55" s="1"/>
  <c r="K38" i="55" s="1"/>
  <c r="K39" i="55" s="1"/>
  <c r="I12" i="55"/>
  <c r="M7" i="55"/>
  <c r="M6" i="55"/>
  <c r="AP93" i="54"/>
  <c r="AO93" i="54"/>
  <c r="AN93" i="54"/>
  <c r="AM93" i="54"/>
  <c r="AL93" i="54"/>
  <c r="AK93" i="54"/>
  <c r="AJ93" i="54"/>
  <c r="AI93" i="54"/>
  <c r="AH93" i="54"/>
  <c r="AG93" i="54"/>
  <c r="AF93" i="54"/>
  <c r="AE93" i="54"/>
  <c r="AD93" i="54"/>
  <c r="AC93" i="54"/>
  <c r="AB93" i="54"/>
  <c r="AA93" i="54"/>
  <c r="Z93" i="54"/>
  <c r="Y93" i="54"/>
  <c r="X93" i="54"/>
  <c r="W93" i="54"/>
  <c r="V93" i="54"/>
  <c r="U93" i="54"/>
  <c r="T93" i="54"/>
  <c r="S93" i="54"/>
  <c r="K36" i="54"/>
  <c r="AP34" i="54"/>
  <c r="AO34" i="54"/>
  <c r="AN34" i="54"/>
  <c r="AM34" i="54"/>
  <c r="AL34" i="54"/>
  <c r="AK34" i="54"/>
  <c r="AJ34" i="54"/>
  <c r="AI34" i="54"/>
  <c r="AH34" i="54"/>
  <c r="AG34" i="54"/>
  <c r="AF34" i="54"/>
  <c r="AE34" i="54"/>
  <c r="AD34" i="54"/>
  <c r="AC34" i="54"/>
  <c r="AB34" i="54"/>
  <c r="AA34" i="54"/>
  <c r="Z34" i="54"/>
  <c r="Y34" i="54"/>
  <c r="X34" i="54"/>
  <c r="W34" i="54"/>
  <c r="V34" i="54"/>
  <c r="U34" i="54"/>
  <c r="T34" i="54"/>
  <c r="S34" i="54"/>
  <c r="N33" i="54"/>
  <c r="I12" i="54"/>
  <c r="I13" i="54" s="1"/>
  <c r="I14" i="54" s="1"/>
  <c r="I15" i="54" s="1"/>
  <c r="I16" i="54" s="1"/>
  <c r="I17" i="54" s="1"/>
  <c r="I18" i="54" s="1"/>
  <c r="I19" i="54" s="1"/>
  <c r="I20" i="54" s="1"/>
  <c r="I21" i="54" s="1"/>
  <c r="I22" i="54" s="1"/>
  <c r="I23" i="54" s="1"/>
  <c r="I24" i="54" s="1"/>
  <c r="I25" i="54" s="1"/>
  <c r="I26" i="54" s="1"/>
  <c r="M7" i="54"/>
  <c r="M6" i="54"/>
  <c r="K36" i="53"/>
  <c r="AP34" i="53"/>
  <c r="AO34" i="53"/>
  <c r="AN34" i="53"/>
  <c r="AM34" i="53"/>
  <c r="AL34" i="53"/>
  <c r="AK34" i="53"/>
  <c r="AJ34" i="53"/>
  <c r="AI34" i="53"/>
  <c r="AH34" i="53"/>
  <c r="AG34" i="53"/>
  <c r="AF34" i="53"/>
  <c r="AE34" i="53"/>
  <c r="AD34" i="53"/>
  <c r="AC34" i="53"/>
  <c r="AB34" i="53"/>
  <c r="AA34" i="53"/>
  <c r="Z34" i="53"/>
  <c r="Y34" i="53"/>
  <c r="X34" i="53"/>
  <c r="W34" i="53"/>
  <c r="V34" i="53"/>
  <c r="U34" i="53"/>
  <c r="T34" i="53"/>
  <c r="S34" i="53"/>
  <c r="N33" i="53"/>
  <c r="P15" i="53"/>
  <c r="I12" i="53"/>
  <c r="T12" i="53" s="1"/>
  <c r="M7" i="53"/>
  <c r="M6" i="53"/>
  <c r="K36" i="52"/>
  <c r="AP34" i="52"/>
  <c r="AO34" i="52"/>
  <c r="AN34" i="52"/>
  <c r="AM34" i="52"/>
  <c r="AL34" i="52"/>
  <c r="AK34" i="52"/>
  <c r="AJ34" i="52"/>
  <c r="AI34" i="52"/>
  <c r="AH34" i="52"/>
  <c r="AG34" i="52"/>
  <c r="AF34" i="52"/>
  <c r="AE34" i="52"/>
  <c r="AD34" i="52"/>
  <c r="AC34" i="52"/>
  <c r="AB34" i="52"/>
  <c r="AA34" i="52"/>
  <c r="Z34" i="52"/>
  <c r="Y34" i="52"/>
  <c r="X34" i="52"/>
  <c r="W34" i="52"/>
  <c r="V34" i="52"/>
  <c r="U34" i="52"/>
  <c r="T34" i="52"/>
  <c r="S34" i="52"/>
  <c r="N33" i="52"/>
  <c r="I12" i="52"/>
  <c r="I13" i="52" s="1"/>
  <c r="I14" i="52" s="1"/>
  <c r="I15" i="52" s="1"/>
  <c r="I16" i="52" s="1"/>
  <c r="I17" i="52" s="1"/>
  <c r="I18" i="52" s="1"/>
  <c r="I19" i="52" s="1"/>
  <c r="M7" i="52"/>
  <c r="AQ54" i="52" s="1"/>
  <c r="M6" i="52"/>
  <c r="AR45" i="52" s="1"/>
  <c r="AO92" i="51"/>
  <c r="AN92" i="51"/>
  <c r="AM92" i="51"/>
  <c r="AL92" i="51"/>
  <c r="AK92" i="51"/>
  <c r="AJ92" i="51"/>
  <c r="AI92" i="51"/>
  <c r="AH92" i="51"/>
  <c r="AG92" i="51"/>
  <c r="AF92" i="51"/>
  <c r="AE92" i="51"/>
  <c r="AD92" i="51"/>
  <c r="AC92" i="51"/>
  <c r="AB92" i="51"/>
  <c r="AA92" i="51"/>
  <c r="Z92" i="51"/>
  <c r="Y92" i="51"/>
  <c r="X92" i="51"/>
  <c r="W92" i="51"/>
  <c r="V92" i="51"/>
  <c r="U92" i="51"/>
  <c r="T92" i="51"/>
  <c r="S92" i="51"/>
  <c r="K36" i="51"/>
  <c r="AO34" i="51"/>
  <c r="AN34" i="51"/>
  <c r="AM34" i="51"/>
  <c r="AL34" i="51"/>
  <c r="AK34" i="51"/>
  <c r="AJ34" i="51"/>
  <c r="AI34" i="51"/>
  <c r="AH34" i="51"/>
  <c r="AG34" i="51"/>
  <c r="AF34" i="51"/>
  <c r="AE34" i="51"/>
  <c r="AD34" i="51"/>
  <c r="AC34" i="51"/>
  <c r="AB34" i="51"/>
  <c r="AA34" i="51"/>
  <c r="Z34" i="51"/>
  <c r="Y34" i="51"/>
  <c r="X34" i="51"/>
  <c r="W34" i="51"/>
  <c r="V34" i="51"/>
  <c r="U34" i="51"/>
  <c r="T34" i="51"/>
  <c r="S34" i="51"/>
  <c r="N33" i="51"/>
  <c r="I12" i="51"/>
  <c r="AT6" i="60"/>
  <c r="M7" i="51"/>
  <c r="AP52" i="51" s="1"/>
  <c r="M6" i="51"/>
  <c r="AT7" i="60" s="1"/>
  <c r="AO106" i="50"/>
  <c r="AN106" i="50"/>
  <c r="AM106" i="50"/>
  <c r="AL106" i="50"/>
  <c r="AK106" i="50"/>
  <c r="AJ106" i="50"/>
  <c r="AI106" i="50"/>
  <c r="AH106" i="50"/>
  <c r="AG106" i="50"/>
  <c r="AF106" i="50"/>
  <c r="AE106" i="50"/>
  <c r="AD106" i="50"/>
  <c r="AC106" i="50"/>
  <c r="AB106" i="50"/>
  <c r="AA106" i="50"/>
  <c r="Z106" i="50"/>
  <c r="Y106" i="50"/>
  <c r="X106" i="50"/>
  <c r="W106" i="50"/>
  <c r="V106" i="50"/>
  <c r="U106" i="50"/>
  <c r="T106" i="50"/>
  <c r="S106" i="50"/>
  <c r="K36" i="50"/>
  <c r="AO34" i="50"/>
  <c r="AN34" i="50"/>
  <c r="AM34" i="50"/>
  <c r="AL34" i="50"/>
  <c r="AK34" i="50"/>
  <c r="AJ34" i="50"/>
  <c r="AI34" i="50"/>
  <c r="AH34" i="50"/>
  <c r="AG34" i="50"/>
  <c r="AF34" i="50"/>
  <c r="AE34" i="50"/>
  <c r="AD34" i="50"/>
  <c r="AC34" i="50"/>
  <c r="AB34" i="50"/>
  <c r="AA34" i="50"/>
  <c r="Z34" i="50"/>
  <c r="Y34" i="50"/>
  <c r="X34" i="50"/>
  <c r="W34" i="50"/>
  <c r="V34" i="50"/>
  <c r="U34" i="50"/>
  <c r="T34" i="50"/>
  <c r="S34" i="50"/>
  <c r="N33" i="50"/>
  <c r="I12" i="50"/>
  <c r="I13" i="50" s="1"/>
  <c r="I14" i="50" s="1"/>
  <c r="I15" i="50" s="1"/>
  <c r="I16" i="50" s="1"/>
  <c r="I17" i="50" s="1"/>
  <c r="I18" i="50" s="1"/>
  <c r="I19" i="50" s="1"/>
  <c r="I20" i="50" s="1"/>
  <c r="I21" i="50" s="1"/>
  <c r="I22" i="50" s="1"/>
  <c r="I23" i="50" s="1"/>
  <c r="I24" i="50" s="1"/>
  <c r="I25" i="50" s="1"/>
  <c r="I26" i="50" s="1"/>
  <c r="M7" i="50"/>
  <c r="P6" i="50"/>
  <c r="M6" i="50"/>
  <c r="AQ57" i="50" s="1"/>
  <c r="K36" i="49"/>
  <c r="AO34" i="49"/>
  <c r="AN34" i="49"/>
  <c r="AM34" i="49"/>
  <c r="AL34" i="49"/>
  <c r="AK34" i="49"/>
  <c r="AJ34" i="49"/>
  <c r="AI34" i="49"/>
  <c r="AH34" i="49"/>
  <c r="AG34" i="49"/>
  <c r="AF34" i="49"/>
  <c r="AE34" i="49"/>
  <c r="AD34" i="49"/>
  <c r="AC34" i="49"/>
  <c r="AB34" i="49"/>
  <c r="AA34" i="49"/>
  <c r="Z34" i="49"/>
  <c r="Y34" i="49"/>
  <c r="X34" i="49"/>
  <c r="W34" i="49"/>
  <c r="V34" i="49"/>
  <c r="U34" i="49"/>
  <c r="T34" i="49"/>
  <c r="S34" i="49"/>
  <c r="N33" i="49"/>
  <c r="I12" i="49"/>
  <c r="M7" i="49"/>
  <c r="AP54" i="49" s="1"/>
  <c r="M6" i="49"/>
  <c r="K36" i="48"/>
  <c r="AO34" i="48"/>
  <c r="AN34" i="48"/>
  <c r="AM34" i="48"/>
  <c r="AL34" i="48"/>
  <c r="AK34" i="48"/>
  <c r="AJ34" i="48"/>
  <c r="AI34" i="48"/>
  <c r="AH34" i="48"/>
  <c r="AG34" i="48"/>
  <c r="AF34" i="48"/>
  <c r="AE34" i="48"/>
  <c r="AD34" i="48"/>
  <c r="AC34" i="48"/>
  <c r="AB34" i="48"/>
  <c r="AA34" i="48"/>
  <c r="Z34" i="48"/>
  <c r="Y34" i="48"/>
  <c r="X34" i="48"/>
  <c r="W34" i="48"/>
  <c r="V34" i="48"/>
  <c r="U34" i="48"/>
  <c r="T34" i="48"/>
  <c r="S34" i="48"/>
  <c r="N33" i="48"/>
  <c r="I12" i="48"/>
  <c r="I13" i="48" s="1"/>
  <c r="I14" i="48" s="1"/>
  <c r="I15" i="48" s="1"/>
  <c r="I16" i="48" s="1"/>
  <c r="I17" i="48" s="1"/>
  <c r="I18" i="48" s="1"/>
  <c r="I19" i="48" s="1"/>
  <c r="M7" i="48"/>
  <c r="AP57" i="48" s="1"/>
  <c r="M6" i="48"/>
  <c r="AJ87" i="47"/>
  <c r="AI87" i="47"/>
  <c r="AH87" i="47"/>
  <c r="AG87" i="47"/>
  <c r="AF87" i="47"/>
  <c r="AE87" i="47"/>
  <c r="AD87" i="47"/>
  <c r="AC87" i="47"/>
  <c r="AB87" i="47"/>
  <c r="AA87" i="47"/>
  <c r="Z87" i="47"/>
  <c r="Y87" i="47"/>
  <c r="X87" i="47"/>
  <c r="W87" i="47"/>
  <c r="V87" i="47"/>
  <c r="U87" i="47"/>
  <c r="T87" i="47"/>
  <c r="S87" i="47"/>
  <c r="K36" i="47"/>
  <c r="AJ34" i="47"/>
  <c r="AI34" i="47"/>
  <c r="AH34" i="47"/>
  <c r="AG34" i="47"/>
  <c r="AF34" i="47"/>
  <c r="AE34" i="47"/>
  <c r="AD34" i="47"/>
  <c r="AC34" i="47"/>
  <c r="AB34" i="47"/>
  <c r="AA34" i="47"/>
  <c r="Z34" i="47"/>
  <c r="Y34" i="47"/>
  <c r="X34" i="47"/>
  <c r="W34" i="47"/>
  <c r="V34" i="47"/>
  <c r="U34" i="47"/>
  <c r="T34" i="47"/>
  <c r="S34" i="47"/>
  <c r="N33" i="47"/>
  <c r="P12" i="47"/>
  <c r="I12" i="47"/>
  <c r="M7" i="47"/>
  <c r="AK48" i="47" s="1"/>
  <c r="M6" i="47"/>
  <c r="BB119" i="46"/>
  <c r="BA119" i="46"/>
  <c r="AZ119" i="46"/>
  <c r="AY119" i="46"/>
  <c r="AX119" i="46"/>
  <c r="AW119" i="46"/>
  <c r="AV119" i="46"/>
  <c r="AU119" i="46"/>
  <c r="AT119" i="46"/>
  <c r="AS119" i="46"/>
  <c r="AR119" i="46"/>
  <c r="AQ119" i="46"/>
  <c r="AP119" i="46"/>
  <c r="AO119" i="46"/>
  <c r="AN119" i="46"/>
  <c r="AM119" i="46"/>
  <c r="AL119" i="46"/>
  <c r="AK119" i="46"/>
  <c r="AJ119" i="46"/>
  <c r="AI119" i="46"/>
  <c r="AH119" i="46"/>
  <c r="AG119" i="46"/>
  <c r="AF119" i="46"/>
  <c r="AE119" i="46"/>
  <c r="AD119" i="46"/>
  <c r="AC119" i="46"/>
  <c r="AB119" i="46"/>
  <c r="AA119" i="46"/>
  <c r="Z119" i="46"/>
  <c r="Y119" i="46"/>
  <c r="X119" i="46"/>
  <c r="W119" i="46"/>
  <c r="V119" i="46"/>
  <c r="U119" i="46"/>
  <c r="T119" i="46"/>
  <c r="S119" i="46"/>
  <c r="K36" i="46"/>
  <c r="BB34" i="46"/>
  <c r="BA34" i="46"/>
  <c r="AZ34" i="46"/>
  <c r="AY34" i="46"/>
  <c r="AX34" i="46"/>
  <c r="AW34" i="46"/>
  <c r="AV34" i="46"/>
  <c r="AU34" i="46"/>
  <c r="AT34" i="46"/>
  <c r="AS34" i="46"/>
  <c r="AR34" i="46"/>
  <c r="AQ34" i="46"/>
  <c r="AP34" i="46"/>
  <c r="AO34" i="46"/>
  <c r="AN34" i="46"/>
  <c r="AM34" i="46"/>
  <c r="AL34" i="46"/>
  <c r="AK34" i="46"/>
  <c r="AJ34" i="46"/>
  <c r="AI34" i="46"/>
  <c r="AH34" i="46"/>
  <c r="AG34" i="46"/>
  <c r="AF34" i="46"/>
  <c r="AE34" i="46"/>
  <c r="AD34" i="46"/>
  <c r="AC34" i="46"/>
  <c r="AB34" i="46"/>
  <c r="AA34" i="46"/>
  <c r="Z34" i="46"/>
  <c r="Y34" i="46"/>
  <c r="X34" i="46"/>
  <c r="W34" i="46"/>
  <c r="V34" i="46"/>
  <c r="U34" i="46"/>
  <c r="T34" i="46"/>
  <c r="S34" i="46"/>
  <c r="N33" i="46"/>
  <c r="I12" i="46"/>
  <c r="I13" i="46" s="1"/>
  <c r="I14" i="46" s="1"/>
  <c r="I15" i="46" s="1"/>
  <c r="I16" i="46" s="1"/>
  <c r="I17" i="46" s="1"/>
  <c r="I18" i="46" s="1"/>
  <c r="I19" i="46" s="1"/>
  <c r="M7" i="46"/>
  <c r="BC56" i="46" s="1"/>
  <c r="M6" i="46"/>
  <c r="BD56" i="46" s="1"/>
  <c r="K36" i="45"/>
  <c r="AJ34" i="45"/>
  <c r="AI34" i="45"/>
  <c r="AH34" i="45"/>
  <c r="AG34" i="45"/>
  <c r="AF34" i="45"/>
  <c r="AE34" i="45"/>
  <c r="AD34" i="45"/>
  <c r="AC34" i="45"/>
  <c r="AB34" i="45"/>
  <c r="AA34" i="45"/>
  <c r="Z34" i="45"/>
  <c r="Y34" i="45"/>
  <c r="X34" i="45"/>
  <c r="W34" i="45"/>
  <c r="V34" i="45"/>
  <c r="U34" i="45"/>
  <c r="T34" i="45"/>
  <c r="S34" i="45"/>
  <c r="N33" i="45"/>
  <c r="K37" i="45" s="1"/>
  <c r="I12" i="45"/>
  <c r="M7" i="45"/>
  <c r="AK38" i="45" s="1"/>
  <c r="M6" i="45"/>
  <c r="AL41" i="45" s="1"/>
  <c r="K36" i="44"/>
  <c r="BB34" i="44"/>
  <c r="BA34" i="44"/>
  <c r="AZ34" i="44"/>
  <c r="AY34" i="44"/>
  <c r="AX34" i="44"/>
  <c r="AW34" i="44"/>
  <c r="AV34" i="44"/>
  <c r="AU34" i="44"/>
  <c r="AT34" i="44"/>
  <c r="AS34" i="44"/>
  <c r="AR34" i="44"/>
  <c r="AQ34" i="44"/>
  <c r="AP34" i="44"/>
  <c r="AO34" i="44"/>
  <c r="AN34" i="44"/>
  <c r="AM34" i="44"/>
  <c r="AL34" i="44"/>
  <c r="AK34" i="44"/>
  <c r="AJ34" i="44"/>
  <c r="AI34" i="44"/>
  <c r="AH34" i="44"/>
  <c r="AG34" i="44"/>
  <c r="AF34" i="44"/>
  <c r="AE34" i="44"/>
  <c r="AD34" i="44"/>
  <c r="AC34" i="44"/>
  <c r="AB34" i="44"/>
  <c r="AA34" i="44"/>
  <c r="Z34" i="44"/>
  <c r="Y34" i="44"/>
  <c r="X34" i="44"/>
  <c r="W34" i="44"/>
  <c r="V34" i="44"/>
  <c r="U34" i="44"/>
  <c r="T34" i="44"/>
  <c r="S34" i="44"/>
  <c r="N33" i="44"/>
  <c r="I12" i="44"/>
  <c r="I13" i="44" s="1"/>
  <c r="I14" i="44" s="1"/>
  <c r="I15" i="44" s="1"/>
  <c r="I16" i="44" s="1"/>
  <c r="I17" i="44" s="1"/>
  <c r="I18" i="44" s="1"/>
  <c r="I19" i="44" s="1"/>
  <c r="M7" i="44"/>
  <c r="M6" i="44"/>
  <c r="BD60" i="44" s="1"/>
  <c r="AJ87" i="43"/>
  <c r="AI87" i="43"/>
  <c r="AH87" i="43"/>
  <c r="AG87" i="43"/>
  <c r="AF87" i="43"/>
  <c r="AE87" i="43"/>
  <c r="AD87" i="43"/>
  <c r="AC87" i="43"/>
  <c r="AB87" i="43"/>
  <c r="AA87" i="43"/>
  <c r="Z87" i="43"/>
  <c r="Y87" i="43"/>
  <c r="X87" i="43"/>
  <c r="W87" i="43"/>
  <c r="V87" i="43"/>
  <c r="U87" i="43"/>
  <c r="T87" i="43"/>
  <c r="S87" i="43"/>
  <c r="K36" i="43"/>
  <c r="AJ34" i="43"/>
  <c r="AI34" i="43"/>
  <c r="AH34" i="43"/>
  <c r="AG34" i="43"/>
  <c r="AF34" i="43"/>
  <c r="AE34" i="43"/>
  <c r="AD34" i="43"/>
  <c r="AC34" i="43"/>
  <c r="AB34" i="43"/>
  <c r="AA34" i="43"/>
  <c r="Z34" i="43"/>
  <c r="Y34" i="43"/>
  <c r="X34" i="43"/>
  <c r="W34" i="43"/>
  <c r="V34" i="43"/>
  <c r="U34" i="43"/>
  <c r="T34" i="43"/>
  <c r="S34" i="43"/>
  <c r="N33" i="43"/>
  <c r="I12" i="43"/>
  <c r="I13" i="43" s="1"/>
  <c r="I14" i="43" s="1"/>
  <c r="I15" i="43" s="1"/>
  <c r="I16" i="43" s="1"/>
  <c r="I17" i="43" s="1"/>
  <c r="I18" i="43" s="1"/>
  <c r="I19" i="43" s="1"/>
  <c r="I20" i="43" s="1"/>
  <c r="I21" i="43" s="1"/>
  <c r="I22" i="43" s="1"/>
  <c r="I23" i="43" s="1"/>
  <c r="I24" i="43" s="1"/>
  <c r="I25" i="43" s="1"/>
  <c r="I26" i="43" s="1"/>
  <c r="M7" i="43"/>
  <c r="AK51" i="43" s="1"/>
  <c r="M6" i="43"/>
  <c r="K36" i="39"/>
  <c r="AJ34" i="39"/>
  <c r="AI34" i="39"/>
  <c r="AH34" i="39"/>
  <c r="AG34" i="39"/>
  <c r="AF34" i="39"/>
  <c r="AE34" i="39"/>
  <c r="AD34" i="39"/>
  <c r="AC34" i="39"/>
  <c r="AB34" i="39"/>
  <c r="AA34" i="39"/>
  <c r="Z34" i="39"/>
  <c r="Y34" i="39"/>
  <c r="X34" i="39"/>
  <c r="W34" i="39"/>
  <c r="V34" i="39"/>
  <c r="U34" i="39"/>
  <c r="T34" i="39"/>
  <c r="S34" i="39"/>
  <c r="N33" i="39"/>
  <c r="K37" i="39" s="1"/>
  <c r="I12" i="39"/>
  <c r="I13" i="39" s="1"/>
  <c r="I14" i="39" s="1"/>
  <c r="I15" i="39" s="1"/>
  <c r="I16" i="39" s="1"/>
  <c r="I17" i="39" s="1"/>
  <c r="I18" i="39" s="1"/>
  <c r="I19" i="39" s="1"/>
  <c r="M5" i="39"/>
  <c r="AK5" i="60" s="1"/>
  <c r="V17" i="64"/>
  <c r="P16" i="43"/>
  <c r="BD44" i="46"/>
  <c r="BD70" i="46"/>
  <c r="BD66" i="46"/>
  <c r="BD62" i="46"/>
  <c r="BD58" i="46"/>
  <c r="BD54" i="46"/>
  <c r="BD50" i="46"/>
  <c r="BD46" i="46"/>
  <c r="BD42" i="46"/>
  <c r="BD38" i="46"/>
  <c r="P6" i="46"/>
  <c r="BD71" i="46"/>
  <c r="BD67" i="46"/>
  <c r="BD63" i="46"/>
  <c r="BD59" i="46"/>
  <c r="BD55" i="46"/>
  <c r="BD51" i="46"/>
  <c r="BD47" i="46"/>
  <c r="BD43" i="46"/>
  <c r="BD39" i="46"/>
  <c r="BD69" i="46"/>
  <c r="BD65" i="46"/>
  <c r="BD61" i="46"/>
  <c r="BD57" i="46"/>
  <c r="BD53" i="46"/>
  <c r="BD49" i="46"/>
  <c r="BD45" i="46"/>
  <c r="BD41" i="46"/>
  <c r="BD37" i="46"/>
  <c r="AO7" i="60"/>
  <c r="BD64" i="46"/>
  <c r="BD68" i="46"/>
  <c r="BD60" i="46"/>
  <c r="BD36" i="46"/>
  <c r="BD52" i="46"/>
  <c r="K54" i="39"/>
  <c r="AK38" i="43"/>
  <c r="AL39" i="43"/>
  <c r="AL43" i="43"/>
  <c r="AL51" i="43"/>
  <c r="BC52" i="44"/>
  <c r="BD37" i="44"/>
  <c r="BD41" i="44"/>
  <c r="BD48" i="44"/>
  <c r="BD62" i="44"/>
  <c r="AL7" i="60"/>
  <c r="AK37" i="43"/>
  <c r="AL46" i="43"/>
  <c r="AL50" i="43"/>
  <c r="BD44" i="44"/>
  <c r="BD50" i="44"/>
  <c r="BC54" i="44"/>
  <c r="AL37" i="43"/>
  <c r="AL49" i="43"/>
  <c r="BD70" i="44"/>
  <c r="BD65" i="44"/>
  <c r="BD61" i="44"/>
  <c r="BD49" i="44"/>
  <c r="BD45" i="44"/>
  <c r="BD43" i="44"/>
  <c r="BD54" i="44"/>
  <c r="BD68" i="44"/>
  <c r="BC71" i="44"/>
  <c r="AK37" i="45"/>
  <c r="AK41" i="45"/>
  <c r="AK45" i="45"/>
  <c r="AK49" i="45"/>
  <c r="AK53" i="45"/>
  <c r="BC40" i="46"/>
  <c r="AQ55" i="48"/>
  <c r="AQ51" i="48"/>
  <c r="AQ47" i="48"/>
  <c r="AQ43" i="48"/>
  <c r="AQ56" i="48"/>
  <c r="AQ52" i="48"/>
  <c r="AQ48" i="48"/>
  <c r="AQ44" i="48"/>
  <c r="AQ40" i="48"/>
  <c r="AQ36" i="48"/>
  <c r="AQ7" i="60"/>
  <c r="AQ57" i="48"/>
  <c r="AQ53" i="48"/>
  <c r="AQ49" i="48"/>
  <c r="AQ45" i="48"/>
  <c r="AQ41" i="48"/>
  <c r="AQ37" i="48"/>
  <c r="AQ50" i="48"/>
  <c r="P6" i="48"/>
  <c r="AQ58" i="48"/>
  <c r="AQ38" i="48"/>
  <c r="AQ54" i="48"/>
  <c r="AQ42" i="48"/>
  <c r="AQ39" i="48"/>
  <c r="AQ46" i="48"/>
  <c r="AL52" i="47"/>
  <c r="AL48" i="47"/>
  <c r="AL44" i="47"/>
  <c r="AL40" i="47"/>
  <c r="AL47" i="47"/>
  <c r="AL46" i="47"/>
  <c r="AL45" i="47"/>
  <c r="AL36" i="47"/>
  <c r="AL43" i="47"/>
  <c r="AL42" i="47"/>
  <c r="AL41" i="47"/>
  <c r="AP7" i="60"/>
  <c r="AL37" i="47"/>
  <c r="AL38" i="47"/>
  <c r="AL39" i="47"/>
  <c r="AL50" i="47"/>
  <c r="AL51" i="47"/>
  <c r="AK42" i="45"/>
  <c r="AK46" i="45"/>
  <c r="AL47" i="45"/>
  <c r="AL53" i="47"/>
  <c r="AK51" i="47"/>
  <c r="AK47" i="47"/>
  <c r="AK43" i="47"/>
  <c r="AK39" i="47"/>
  <c r="AK36" i="47"/>
  <c r="AK44" i="47"/>
  <c r="AK45" i="47"/>
  <c r="AK46" i="47"/>
  <c r="AR7" i="60"/>
  <c r="AQ39" i="49"/>
  <c r="AQ43" i="49"/>
  <c r="AQ47" i="49"/>
  <c r="AQ51" i="49"/>
  <c r="AQ55" i="49"/>
  <c r="AP58" i="49"/>
  <c r="AS7" i="60"/>
  <c r="AQ36" i="50"/>
  <c r="AQ40" i="50"/>
  <c r="AP43" i="50"/>
  <c r="AQ44" i="50"/>
  <c r="AQ48" i="50"/>
  <c r="AP39" i="48"/>
  <c r="AP43" i="48"/>
  <c r="AP47" i="48"/>
  <c r="AP51" i="48"/>
  <c r="AP37" i="49"/>
  <c r="AQ38" i="49"/>
  <c r="AP41" i="49"/>
  <c r="AQ42" i="49"/>
  <c r="AP45" i="49"/>
  <c r="AQ46" i="49"/>
  <c r="AP49" i="49"/>
  <c r="AQ50" i="49"/>
  <c r="AP53" i="49"/>
  <c r="AQ54" i="49"/>
  <c r="AQ58" i="49"/>
  <c r="K37" i="50"/>
  <c r="AQ39" i="50"/>
  <c r="AQ43" i="50"/>
  <c r="AQ47" i="50"/>
  <c r="AQ49" i="50"/>
  <c r="AP53" i="50"/>
  <c r="AQ37" i="49"/>
  <c r="AQ41" i="49"/>
  <c r="AQ45" i="49"/>
  <c r="AQ49" i="49"/>
  <c r="AQ53" i="49"/>
  <c r="AQ55" i="50"/>
  <c r="AQ51" i="50"/>
  <c r="AQ38" i="50"/>
  <c r="AQ42" i="50"/>
  <c r="AQ46" i="50"/>
  <c r="AQ52" i="50"/>
  <c r="AQ53" i="50"/>
  <c r="AQ54" i="50"/>
  <c r="AQ56" i="52"/>
  <c r="AP38" i="51"/>
  <c r="AP42" i="51"/>
  <c r="AP46" i="51"/>
  <c r="AP50" i="51"/>
  <c r="AR59" i="52"/>
  <c r="AR55" i="52"/>
  <c r="AR51" i="52"/>
  <c r="AR56" i="52"/>
  <c r="AR52" i="52"/>
  <c r="AR53" i="52"/>
  <c r="AR46" i="52"/>
  <c r="AR42" i="52"/>
  <c r="AR38" i="52"/>
  <c r="AR58" i="52"/>
  <c r="AR50" i="52"/>
  <c r="AR49" i="52"/>
  <c r="AR47" i="52"/>
  <c r="AR43" i="52"/>
  <c r="AR39" i="52"/>
  <c r="AU7" i="60"/>
  <c r="AR57" i="52"/>
  <c r="AR48" i="52"/>
  <c r="AR44" i="52"/>
  <c r="AR40" i="52"/>
  <c r="AR36" i="52"/>
  <c r="P6" i="52"/>
  <c r="AR41" i="52"/>
  <c r="AR37" i="53"/>
  <c r="AR38" i="53"/>
  <c r="AV7" i="60"/>
  <c r="AR40" i="53"/>
  <c r="AQ59" i="54"/>
  <c r="AQ55" i="54"/>
  <c r="AQ51" i="54"/>
  <c r="AQ47" i="54"/>
  <c r="AQ43" i="54"/>
  <c r="AQ39" i="54"/>
  <c r="AQ56" i="54"/>
  <c r="AQ52" i="54"/>
  <c r="AQ48" i="54"/>
  <c r="AQ44" i="54"/>
  <c r="AQ40" i="54"/>
  <c r="AQ57" i="54"/>
  <c r="AQ53" i="54"/>
  <c r="AQ49" i="54"/>
  <c r="AQ45" i="54"/>
  <c r="AQ46" i="54"/>
  <c r="AQ41" i="54"/>
  <c r="AQ50" i="54"/>
  <c r="AW6" i="60"/>
  <c r="AQ54" i="54"/>
  <c r="AQ38" i="54"/>
  <c r="AQ37" i="54"/>
  <c r="AQ36" i="54"/>
  <c r="AQ58" i="54"/>
  <c r="AQ42" i="54"/>
  <c r="P7" i="54"/>
  <c r="AP58" i="51"/>
  <c r="AP54" i="51"/>
  <c r="AP55" i="51"/>
  <c r="AP37" i="51"/>
  <c r="AP41" i="51"/>
  <c r="AP45" i="51"/>
  <c r="AP49" i="51"/>
  <c r="AP56" i="51"/>
  <c r="P11" i="52"/>
  <c r="AR37" i="52"/>
  <c r="AR54" i="52"/>
  <c r="AP36" i="51"/>
  <c r="AP40" i="51"/>
  <c r="AP44" i="51"/>
  <c r="AP48" i="51"/>
  <c r="AQ54" i="51"/>
  <c r="AP57" i="51"/>
  <c r="AQ56" i="53"/>
  <c r="AQ52" i="53"/>
  <c r="AQ48" i="53"/>
  <c r="AQ44" i="53"/>
  <c r="AQ40" i="53"/>
  <c r="AQ36" i="53"/>
  <c r="AV6" i="60"/>
  <c r="AQ57" i="53"/>
  <c r="AQ53" i="53"/>
  <c r="AQ49" i="53"/>
  <c r="AQ45" i="53"/>
  <c r="AQ41" i="53"/>
  <c r="AQ37" i="53"/>
  <c r="AQ43" i="53"/>
  <c r="AQ51" i="53"/>
  <c r="AQ59" i="53"/>
  <c r="K37" i="52"/>
  <c r="AQ38" i="53"/>
  <c r="AQ46" i="53"/>
  <c r="AQ54" i="53"/>
  <c r="AR48" i="54"/>
  <c r="AR57" i="54"/>
  <c r="AR41" i="54"/>
  <c r="AR46" i="54"/>
  <c r="AR39" i="54"/>
  <c r="AQ49" i="55"/>
  <c r="AQ48" i="55"/>
  <c r="AQ47" i="55"/>
  <c r="AQ54" i="55"/>
  <c r="AX6" i="60"/>
  <c r="AQ37" i="55"/>
  <c r="AR38" i="55"/>
  <c r="AR48" i="55"/>
  <c r="AR56" i="55"/>
  <c r="AR37" i="55"/>
  <c r="AR40" i="55"/>
  <c r="AR43" i="55"/>
  <c r="AR51" i="55"/>
  <c r="AR58" i="55"/>
  <c r="AR54" i="55"/>
  <c r="AR50" i="55"/>
  <c r="AR46" i="55"/>
  <c r="AR42" i="55"/>
  <c r="AR57" i="55"/>
  <c r="AR53" i="55"/>
  <c r="AR49" i="55"/>
  <c r="AR45" i="55"/>
  <c r="AR41" i="55"/>
  <c r="AX7" i="60"/>
  <c r="AR36" i="55"/>
  <c r="AR44" i="55"/>
  <c r="AR52" i="55"/>
  <c r="K38" i="52"/>
  <c r="K39" i="52" s="1"/>
  <c r="L39" i="52" s="1"/>
  <c r="K38" i="50"/>
  <c r="BH16" i="60"/>
  <c r="CY7" i="60"/>
  <c r="CZ13" i="60" s="1"/>
  <c r="AK43" i="45" l="1"/>
  <c r="L38" i="50"/>
  <c r="O38" i="50" s="1"/>
  <c r="DD7" i="60"/>
  <c r="L37" i="50"/>
  <c r="O37" i="50" s="1"/>
  <c r="P7" i="48"/>
  <c r="AP37" i="48"/>
  <c r="AR6" i="60"/>
  <c r="AQ40" i="49"/>
  <c r="M7" i="39"/>
  <c r="AP58" i="48"/>
  <c r="AQ56" i="49"/>
  <c r="AQ58" i="50"/>
  <c r="AQ58" i="55"/>
  <c r="AQ43" i="55"/>
  <c r="AQ36" i="55"/>
  <c r="AQ55" i="55"/>
  <c r="AQ52" i="55"/>
  <c r="AQ53" i="55"/>
  <c r="AR48" i="53"/>
  <c r="AR42" i="53"/>
  <c r="AR41" i="53"/>
  <c r="AQ44" i="52"/>
  <c r="AQ39" i="52"/>
  <c r="AQ38" i="52"/>
  <c r="AQ51" i="52"/>
  <c r="AP52" i="50"/>
  <c r="AP46" i="50"/>
  <c r="AP49" i="50"/>
  <c r="AP54" i="50"/>
  <c r="AK46" i="43"/>
  <c r="K37" i="44"/>
  <c r="K38" i="44" s="1"/>
  <c r="AK51" i="45"/>
  <c r="BD40" i="46"/>
  <c r="AQ6" i="60"/>
  <c r="CX6" i="60" s="1"/>
  <c r="AP38" i="48"/>
  <c r="AQ57" i="49"/>
  <c r="AP43" i="49"/>
  <c r="AQ50" i="50"/>
  <c r="AS6" i="60"/>
  <c r="L36" i="52"/>
  <c r="O36" i="52" s="1"/>
  <c r="BX23" i="60"/>
  <c r="BR20" i="60"/>
  <c r="BR12" i="60"/>
  <c r="DD5" i="60"/>
  <c r="CZ16" i="60"/>
  <c r="AQ38" i="55"/>
  <c r="AQ51" i="55"/>
  <c r="AQ41" i="55"/>
  <c r="AQ40" i="55"/>
  <c r="AQ56" i="55"/>
  <c r="AQ57" i="55"/>
  <c r="AR52" i="53"/>
  <c r="AR54" i="53"/>
  <c r="AR53" i="53"/>
  <c r="AQ52" i="51"/>
  <c r="AQ57" i="52"/>
  <c r="AQ49" i="52"/>
  <c r="AQ53" i="52"/>
  <c r="AQ50" i="52"/>
  <c r="AP51" i="50"/>
  <c r="AP58" i="50"/>
  <c r="AK40" i="43"/>
  <c r="BD48" i="46"/>
  <c r="AP48" i="48"/>
  <c r="AQ48" i="49"/>
  <c r="BW11" i="60"/>
  <c r="BJ24" i="60"/>
  <c r="BJ22" i="60"/>
  <c r="BJ20" i="60"/>
  <c r="BJ16" i="60"/>
  <c r="BJ14" i="60"/>
  <c r="BJ12" i="60"/>
  <c r="BN23" i="60"/>
  <c r="BN19" i="60"/>
  <c r="BV19" i="60" s="1"/>
  <c r="BN15" i="60"/>
  <c r="BV15" i="60" s="1"/>
  <c r="BN13" i="60"/>
  <c r="BV13" i="60" s="1"/>
  <c r="BN24" i="60"/>
  <c r="AQ50" i="55"/>
  <c r="AQ42" i="55"/>
  <c r="AQ59" i="55"/>
  <c r="AQ46" i="55"/>
  <c r="AQ39" i="55"/>
  <c r="AQ44" i="55"/>
  <c r="AQ45" i="55"/>
  <c r="AR39" i="53"/>
  <c r="AR43" i="53"/>
  <c r="AR58" i="53"/>
  <c r="AR57" i="53"/>
  <c r="AQ36" i="52"/>
  <c r="AQ52" i="52"/>
  <c r="AQ37" i="52"/>
  <c r="AP42" i="50"/>
  <c r="BC65" i="46"/>
  <c r="K37" i="46"/>
  <c r="AP49" i="48"/>
  <c r="AP51" i="49"/>
  <c r="AQ37" i="50"/>
  <c r="P15" i="50"/>
  <c r="P18" i="54"/>
  <c r="P11" i="51"/>
  <c r="P12" i="46"/>
  <c r="P13" i="50"/>
  <c r="P17" i="54"/>
  <c r="W19" i="51"/>
  <c r="DF11" i="60"/>
  <c r="DF17" i="60"/>
  <c r="DF16" i="60"/>
  <c r="DF23" i="60"/>
  <c r="DF15" i="60"/>
  <c r="DF10" i="60"/>
  <c r="DF24" i="60"/>
  <c r="DF21" i="60"/>
  <c r="DF18" i="60"/>
  <c r="DF25" i="60"/>
  <c r="DF22" i="60"/>
  <c r="AR55" i="54"/>
  <c r="AR59" i="54"/>
  <c r="T12" i="55"/>
  <c r="I13" i="55"/>
  <c r="K39" i="50"/>
  <c r="L39" i="50" s="1"/>
  <c r="O39" i="50" s="1"/>
  <c r="AR121" i="55"/>
  <c r="AR38" i="54"/>
  <c r="P6" i="54"/>
  <c r="AR50" i="54"/>
  <c r="AR45" i="54"/>
  <c r="AR36" i="54"/>
  <c r="AR52" i="54"/>
  <c r="AQ49" i="51"/>
  <c r="AQ41" i="51"/>
  <c r="AQ46" i="51"/>
  <c r="AQ38" i="51"/>
  <c r="AQ47" i="51"/>
  <c r="AQ56" i="51"/>
  <c r="BC68" i="46"/>
  <c r="BC36" i="46"/>
  <c r="AQ48" i="52"/>
  <c r="L36" i="54"/>
  <c r="BI19" i="60"/>
  <c r="BI15" i="60"/>
  <c r="CZ23" i="60"/>
  <c r="CW5" i="60"/>
  <c r="P17" i="55"/>
  <c r="AR37" i="54"/>
  <c r="AR51" i="54"/>
  <c r="AR54" i="54"/>
  <c r="AR49" i="54"/>
  <c r="AR40" i="54"/>
  <c r="AR56" i="54"/>
  <c r="AR55" i="53"/>
  <c r="AQ53" i="51"/>
  <c r="AR56" i="53"/>
  <c r="AR51" i="53"/>
  <c r="AR36" i="53"/>
  <c r="AR46" i="53"/>
  <c r="AR45" i="53"/>
  <c r="AQ58" i="51"/>
  <c r="AQ55" i="51"/>
  <c r="P7" i="52"/>
  <c r="AQ43" i="52"/>
  <c r="AQ42" i="52"/>
  <c r="AQ41" i="52"/>
  <c r="AQ55" i="52"/>
  <c r="AQ58" i="52"/>
  <c r="BC49" i="46"/>
  <c r="AL42" i="45"/>
  <c r="P16" i="50"/>
  <c r="P12" i="54"/>
  <c r="BD38" i="44"/>
  <c r="BD46" i="44"/>
  <c r="BD63" i="44"/>
  <c r="BD36" i="44"/>
  <c r="BD51" i="44"/>
  <c r="BD66" i="44"/>
  <c r="BD57" i="44"/>
  <c r="BD39" i="44"/>
  <c r="BD55" i="44"/>
  <c r="BD47" i="44"/>
  <c r="BD64" i="44"/>
  <c r="BD40" i="44"/>
  <c r="BD52" i="44"/>
  <c r="BD69" i="44"/>
  <c r="BD53" i="44"/>
  <c r="BD56" i="44"/>
  <c r="K37" i="49"/>
  <c r="K38" i="49" s="1"/>
  <c r="K39" i="49" s="1"/>
  <c r="K40" i="49" s="1"/>
  <c r="AQ55" i="53"/>
  <c r="AQ42" i="53"/>
  <c r="AR39" i="55"/>
  <c r="AR59" i="55"/>
  <c r="L23" i="39"/>
  <c r="L15" i="39"/>
  <c r="L13" i="39"/>
  <c r="BC39" i="46"/>
  <c r="BC44" i="46"/>
  <c r="BC60" i="46"/>
  <c r="BC41" i="46"/>
  <c r="BC57" i="46"/>
  <c r="BC48" i="46"/>
  <c r="BC64" i="46"/>
  <c r="BC45" i="46"/>
  <c r="BC61" i="46"/>
  <c r="BC54" i="46"/>
  <c r="T12" i="49"/>
  <c r="I13" i="49"/>
  <c r="T13" i="49" s="1"/>
  <c r="AQ39" i="51"/>
  <c r="BC53" i="46"/>
  <c r="AK38" i="39"/>
  <c r="AL52" i="45"/>
  <c r="AL49" i="45"/>
  <c r="AN7" i="60"/>
  <c r="AL38" i="45"/>
  <c r="AL46" i="45"/>
  <c r="AL43" i="45"/>
  <c r="AL45" i="45"/>
  <c r="AL53" i="45"/>
  <c r="I20" i="48"/>
  <c r="I21" i="48" s="1"/>
  <c r="I22" i="48" s="1"/>
  <c r="I23" i="48" s="1"/>
  <c r="I24" i="48" s="1"/>
  <c r="I25" i="48" s="1"/>
  <c r="I26" i="48" s="1"/>
  <c r="L36" i="48"/>
  <c r="O36" i="48" s="1"/>
  <c r="L36" i="50"/>
  <c r="N36" i="50" s="1"/>
  <c r="BI21" i="60"/>
  <c r="BI17" i="60"/>
  <c r="BQ22" i="60"/>
  <c r="AR47" i="54"/>
  <c r="O36" i="54"/>
  <c r="AR42" i="54"/>
  <c r="AR58" i="54"/>
  <c r="AR53" i="54"/>
  <c r="AR44" i="54"/>
  <c r="AR113" i="65"/>
  <c r="AR121" i="64"/>
  <c r="AQ45" i="51"/>
  <c r="AQ37" i="51"/>
  <c r="AR47" i="53"/>
  <c r="AQ50" i="51"/>
  <c r="AQ42" i="51"/>
  <c r="AQ121" i="54"/>
  <c r="AR59" i="53"/>
  <c r="AR44" i="53"/>
  <c r="AR50" i="53"/>
  <c r="AR49" i="53"/>
  <c r="AQ51" i="51"/>
  <c r="AQ43" i="51"/>
  <c r="AQ40" i="52"/>
  <c r="AU6" i="60"/>
  <c r="CY6" i="60" s="1"/>
  <c r="AQ47" i="52"/>
  <c r="AQ46" i="52"/>
  <c r="AQ45" i="52"/>
  <c r="AQ59" i="52"/>
  <c r="BC37" i="46"/>
  <c r="AL39" i="45"/>
  <c r="BC52" i="46"/>
  <c r="AL50" i="45"/>
  <c r="AL48" i="43"/>
  <c r="AL38" i="43"/>
  <c r="AL41" i="43"/>
  <c r="AL47" i="43"/>
  <c r="AL42" i="43"/>
  <c r="AL45" i="43"/>
  <c r="BC44" i="44"/>
  <c r="BC36" i="44"/>
  <c r="BD159" i="46" s="1"/>
  <c r="BC42" i="44"/>
  <c r="AP41" i="50"/>
  <c r="AP44" i="50"/>
  <c r="AP50" i="50"/>
  <c r="AP38" i="50"/>
  <c r="AP39" i="50"/>
  <c r="AP47" i="50"/>
  <c r="P7" i="50"/>
  <c r="AP55" i="50"/>
  <c r="AQ58" i="53"/>
  <c r="M6" i="39"/>
  <c r="AK38" i="47"/>
  <c r="AP42" i="48"/>
  <c r="AP53" i="48"/>
  <c r="AQ36" i="49"/>
  <c r="AP119" i="51" s="1"/>
  <c r="AQ44" i="49"/>
  <c r="AQ52" i="49"/>
  <c r="AQ41" i="50"/>
  <c r="AP53" i="51"/>
  <c r="K37" i="53"/>
  <c r="K38" i="53" s="1"/>
  <c r="K39" i="53" s="1"/>
  <c r="K40" i="53" s="1"/>
  <c r="BI25" i="60"/>
  <c r="BM21" i="60"/>
  <c r="BM19" i="60"/>
  <c r="BM16" i="60"/>
  <c r="BM13" i="60"/>
  <c r="BM11" i="60"/>
  <c r="BQ17" i="60"/>
  <c r="BX17" i="60" s="1"/>
  <c r="BQ13" i="60"/>
  <c r="BX13" i="60" s="1"/>
  <c r="BH24" i="60"/>
  <c r="BH22" i="60"/>
  <c r="BH20" i="60"/>
  <c r="BH18" i="60"/>
  <c r="BH14" i="60"/>
  <c r="BH12" i="60"/>
  <c r="BL23" i="60"/>
  <c r="BL21" i="60"/>
  <c r="BL19" i="60"/>
  <c r="BL17" i="60"/>
  <c r="BL13" i="60"/>
  <c r="BL24" i="60"/>
  <c r="BP14" i="60"/>
  <c r="BX14" i="60" s="1"/>
  <c r="BP18" i="60"/>
  <c r="BX18" i="60" s="1"/>
  <c r="AK109" i="47"/>
  <c r="AK36" i="45"/>
  <c r="AL109" i="47" s="1"/>
  <c r="AP44" i="48"/>
  <c r="AP54" i="48"/>
  <c r="AP39" i="49"/>
  <c r="AP47" i="49"/>
  <c r="AP55" i="49"/>
  <c r="BI22" i="60"/>
  <c r="BI20" i="60"/>
  <c r="BI18" i="60"/>
  <c r="BI16" i="60"/>
  <c r="BI14" i="60"/>
  <c r="BI11" i="60"/>
  <c r="BM25" i="60"/>
  <c r="BQ21" i="60"/>
  <c r="BX21" i="60" s="1"/>
  <c r="BQ24" i="60"/>
  <c r="BH10" i="60"/>
  <c r="BV25" i="60"/>
  <c r="BL11" i="60"/>
  <c r="X25" i="67"/>
  <c r="W25" i="68"/>
  <c r="W25" i="69"/>
  <c r="X12" i="67"/>
  <c r="W12" i="68"/>
  <c r="W12" i="69"/>
  <c r="X16" i="67"/>
  <c r="W16" i="68"/>
  <c r="W16" i="69"/>
  <c r="X20" i="67"/>
  <c r="W20" i="69"/>
  <c r="W20" i="68"/>
  <c r="X24" i="67"/>
  <c r="W24" i="69"/>
  <c r="W24" i="68"/>
  <c r="X17" i="67"/>
  <c r="W17" i="69"/>
  <c r="W17" i="68"/>
  <c r="W29" i="67"/>
  <c r="W28" i="67"/>
  <c r="X11" i="67"/>
  <c r="W11" i="69"/>
  <c r="W11" i="68"/>
  <c r="X15" i="67"/>
  <c r="W15" i="69"/>
  <c r="W15" i="68"/>
  <c r="X19" i="67"/>
  <c r="W19" i="69"/>
  <c r="W19" i="68"/>
  <c r="X23" i="67"/>
  <c r="W23" i="69"/>
  <c r="W23" i="68"/>
  <c r="X13" i="67"/>
  <c r="W13" i="68"/>
  <c r="W13" i="69"/>
  <c r="X21" i="67"/>
  <c r="W21" i="69"/>
  <c r="W21" i="68"/>
  <c r="X14" i="67"/>
  <c r="W14" i="68"/>
  <c r="W14" i="69"/>
  <c r="X18" i="67"/>
  <c r="W18" i="69"/>
  <c r="W18" i="68"/>
  <c r="X22" i="67"/>
  <c r="W22" i="69"/>
  <c r="W22" i="68"/>
  <c r="X26" i="67"/>
  <c r="W26" i="69"/>
  <c r="W26" i="68"/>
  <c r="P13" i="55"/>
  <c r="P13" i="43"/>
  <c r="P14" i="55"/>
  <c r="W25" i="51"/>
  <c r="P17" i="43"/>
  <c r="P16" i="47"/>
  <c r="W23" i="51"/>
  <c r="P14" i="47"/>
  <c r="W21" i="51"/>
  <c r="W17" i="51"/>
  <c r="W21" i="55"/>
  <c r="P15" i="43"/>
  <c r="X16" i="45"/>
  <c r="X25" i="49"/>
  <c r="X20" i="53"/>
  <c r="X13" i="49"/>
  <c r="P14" i="52"/>
  <c r="P18" i="46"/>
  <c r="V13" i="64"/>
  <c r="V13" i="55"/>
  <c r="BA17" i="60"/>
  <c r="W18" i="64"/>
  <c r="BA21" i="60"/>
  <c r="W22" i="64"/>
  <c r="K29" i="48"/>
  <c r="P14" i="39"/>
  <c r="X14" i="49"/>
  <c r="W14" i="51"/>
  <c r="V23" i="64"/>
  <c r="BA12" i="60"/>
  <c r="W13" i="64"/>
  <c r="BA16" i="60"/>
  <c r="W17" i="64"/>
  <c r="BA20" i="60"/>
  <c r="W21" i="64"/>
  <c r="BA24" i="60"/>
  <c r="W25" i="64"/>
  <c r="V21" i="55"/>
  <c r="V21" i="64"/>
  <c r="BA13" i="60"/>
  <c r="W14" i="64"/>
  <c r="P15" i="44"/>
  <c r="P16" i="45"/>
  <c r="P16" i="48"/>
  <c r="W26" i="51"/>
  <c r="V15" i="64"/>
  <c r="BA11" i="60"/>
  <c r="W12" i="64"/>
  <c r="BA15" i="60"/>
  <c r="W16" i="64"/>
  <c r="BA19" i="60"/>
  <c r="W20" i="64"/>
  <c r="BA23" i="60"/>
  <c r="W24" i="64"/>
  <c r="BA25" i="60"/>
  <c r="W26" i="64"/>
  <c r="V25" i="47"/>
  <c r="P12" i="48"/>
  <c r="X12" i="49"/>
  <c r="W18" i="51"/>
  <c r="V19" i="64"/>
  <c r="W29" i="49"/>
  <c r="W29" i="53"/>
  <c r="W11" i="64"/>
  <c r="BA14" i="60"/>
  <c r="W15" i="64"/>
  <c r="BA18" i="60"/>
  <c r="W19" i="64"/>
  <c r="BA22" i="60"/>
  <c r="W23" i="64"/>
  <c r="U38" i="64"/>
  <c r="U39" i="64" s="1"/>
  <c r="BP22" i="60"/>
  <c r="BV22" i="60" s="1"/>
  <c r="K40" i="55"/>
  <c r="K41" i="55" s="1"/>
  <c r="K42" i="55" s="1"/>
  <c r="I20" i="44"/>
  <c r="I21" i="44" s="1"/>
  <c r="I22" i="44" s="1"/>
  <c r="I23" i="44" s="1"/>
  <c r="I24" i="44" s="1"/>
  <c r="I25" i="44" s="1"/>
  <c r="I26" i="44" s="1"/>
  <c r="L37" i="44"/>
  <c r="O37" i="44" s="1"/>
  <c r="CZ10" i="60"/>
  <c r="O39" i="52"/>
  <c r="L38" i="52"/>
  <c r="O38" i="52" s="1"/>
  <c r="L37" i="52"/>
  <c r="O37" i="52" s="1"/>
  <c r="BC49" i="44"/>
  <c r="K38" i="45"/>
  <c r="K41" i="53"/>
  <c r="K40" i="52"/>
  <c r="BC63" i="44"/>
  <c r="BC45" i="44"/>
  <c r="BC37" i="44"/>
  <c r="BC62" i="44"/>
  <c r="BC47" i="44"/>
  <c r="BC69" i="44"/>
  <c r="BC56" i="44"/>
  <c r="BC40" i="44"/>
  <c r="BC51" i="44"/>
  <c r="BC65" i="44"/>
  <c r="BC43" i="44"/>
  <c r="BC70" i="44"/>
  <c r="BC57" i="44"/>
  <c r="BC66" i="44"/>
  <c r="BC46" i="44"/>
  <c r="AM6" i="60"/>
  <c r="CW6" i="60" s="1"/>
  <c r="BC61" i="44"/>
  <c r="BC41" i="44"/>
  <c r="P7" i="44"/>
  <c r="BC68" i="44"/>
  <c r="BC48" i="44"/>
  <c r="BC50" i="44"/>
  <c r="BC67" i="44"/>
  <c r="BC39" i="44"/>
  <c r="BC55" i="44"/>
  <c r="BC58" i="44"/>
  <c r="BC64" i="44"/>
  <c r="BC38" i="44"/>
  <c r="BC59" i="44"/>
  <c r="BC60" i="44"/>
  <c r="BC53" i="44"/>
  <c r="K39" i="44"/>
  <c r="L38" i="44"/>
  <c r="O38" i="44" s="1"/>
  <c r="K41" i="49"/>
  <c r="I20" i="39"/>
  <c r="I21" i="39" s="1"/>
  <c r="I22" i="39" s="1"/>
  <c r="I23" i="39" s="1"/>
  <c r="I24" i="39" s="1"/>
  <c r="I25" i="39" s="1"/>
  <c r="I26" i="39" s="1"/>
  <c r="AK52" i="43"/>
  <c r="AK50" i="43"/>
  <c r="AK44" i="43"/>
  <c r="AK48" i="43"/>
  <c r="AK47" i="43"/>
  <c r="AK39" i="43"/>
  <c r="AL6" i="60"/>
  <c r="AK43" i="43"/>
  <c r="AK45" i="43"/>
  <c r="AK49" i="43"/>
  <c r="AK53" i="43"/>
  <c r="AK36" i="43"/>
  <c r="AK42" i="43"/>
  <c r="AK41" i="43"/>
  <c r="I20" i="46"/>
  <c r="I21" i="46" s="1"/>
  <c r="I22" i="46" s="1"/>
  <c r="I23" i="46" s="1"/>
  <c r="I24" i="46" s="1"/>
  <c r="I25" i="46" s="1"/>
  <c r="I26" i="46" s="1"/>
  <c r="L37" i="46"/>
  <c r="M37" i="46" s="1"/>
  <c r="K38" i="46"/>
  <c r="L38" i="46" s="1"/>
  <c r="BC66" i="46"/>
  <c r="BC58" i="46"/>
  <c r="BC51" i="46"/>
  <c r="BC43" i="46"/>
  <c r="BC38" i="46"/>
  <c r="BC69" i="46"/>
  <c r="BC71" i="46"/>
  <c r="BC63" i="46"/>
  <c r="BC50" i="46"/>
  <c r="BC42" i="46"/>
  <c r="AO6" i="60"/>
  <c r="BC62" i="46"/>
  <c r="BC47" i="46"/>
  <c r="BC59" i="46"/>
  <c r="BC46" i="46"/>
  <c r="BC70" i="46"/>
  <c r="BC55" i="46"/>
  <c r="P7" i="46"/>
  <c r="BC67" i="46"/>
  <c r="AK41" i="39"/>
  <c r="AK50" i="39"/>
  <c r="L26" i="39"/>
  <c r="L22" i="39"/>
  <c r="L11" i="39"/>
  <c r="AK6" i="60" s="1"/>
  <c r="AK39" i="39"/>
  <c r="AK40" i="39"/>
  <c r="AK44" i="39"/>
  <c r="AK53" i="39"/>
  <c r="AK37" i="39"/>
  <c r="AK46" i="39"/>
  <c r="L25" i="39"/>
  <c r="L20" i="39"/>
  <c r="AK51" i="39"/>
  <c r="L18" i="39"/>
  <c r="L17" i="39"/>
  <c r="AK49" i="39"/>
  <c r="L16" i="39"/>
  <c r="AK42" i="39"/>
  <c r="L24" i="39"/>
  <c r="L19" i="39"/>
  <c r="AK47" i="39"/>
  <c r="L14" i="39"/>
  <c r="AK36" i="39"/>
  <c r="L21" i="39"/>
  <c r="L37" i="39"/>
  <c r="O37" i="39" s="1"/>
  <c r="K38" i="39"/>
  <c r="K37" i="43"/>
  <c r="K54" i="43"/>
  <c r="L36" i="43"/>
  <c r="O36" i="43" s="1"/>
  <c r="T12" i="45"/>
  <c r="I13" i="45"/>
  <c r="AK43" i="39"/>
  <c r="L12" i="39"/>
  <c r="M13" i="39"/>
  <c r="AL40" i="39"/>
  <c r="AL52" i="39"/>
  <c r="AL43" i="39"/>
  <c r="AL51" i="39"/>
  <c r="M20" i="39"/>
  <c r="M25" i="39"/>
  <c r="AL46" i="39"/>
  <c r="AL49" i="39"/>
  <c r="AL53" i="43"/>
  <c r="AL36" i="43"/>
  <c r="AL44" i="43"/>
  <c r="AL52" i="43"/>
  <c r="BD67" i="44"/>
  <c r="AK50" i="45"/>
  <c r="AL37" i="39"/>
  <c r="BD59" i="44"/>
  <c r="BD58" i="44"/>
  <c r="BD42" i="44"/>
  <c r="AK52" i="45"/>
  <c r="AK48" i="45"/>
  <c r="AK44" i="45"/>
  <c r="AK40" i="45"/>
  <c r="AN6" i="60"/>
  <c r="AK39" i="45"/>
  <c r="AK47" i="45"/>
  <c r="AQ44" i="51"/>
  <c r="AQ48" i="51"/>
  <c r="AQ36" i="51"/>
  <c r="AQ57" i="51"/>
  <c r="AQ40" i="51"/>
  <c r="T12" i="51"/>
  <c r="I13" i="51"/>
  <c r="M21" i="39"/>
  <c r="AL48" i="39"/>
  <c r="M18" i="39"/>
  <c r="AL47" i="39"/>
  <c r="M15" i="39"/>
  <c r="M23" i="39"/>
  <c r="AL38" i="39"/>
  <c r="M12" i="39"/>
  <c r="AL40" i="43"/>
  <c r="P6" i="44"/>
  <c r="AM7" i="60"/>
  <c r="BD71" i="44"/>
  <c r="AK50" i="47"/>
  <c r="AK42" i="47"/>
  <c r="AK37" i="47"/>
  <c r="AK41" i="47"/>
  <c r="AK53" i="47"/>
  <c r="AK49" i="47"/>
  <c r="AK40" i="47"/>
  <c r="AP6" i="60"/>
  <c r="CX7" i="60" s="1"/>
  <c r="T12" i="47"/>
  <c r="I13" i="47"/>
  <c r="AK52" i="47"/>
  <c r="K37" i="51"/>
  <c r="K38" i="51" s="1"/>
  <c r="AL51" i="45"/>
  <c r="AL36" i="45"/>
  <c r="AP55" i="48"/>
  <c r="K37" i="48"/>
  <c r="K38" i="48" s="1"/>
  <c r="AP40" i="48"/>
  <c r="AP45" i="48"/>
  <c r="AP50" i="48"/>
  <c r="AP56" i="48"/>
  <c r="AP40" i="49"/>
  <c r="AP44" i="49"/>
  <c r="AP48" i="49"/>
  <c r="AP52" i="49"/>
  <c r="AP56" i="49"/>
  <c r="AP40" i="50"/>
  <c r="AP45" i="50"/>
  <c r="AL37" i="45"/>
  <c r="AL40" i="45"/>
  <c r="AL44" i="45"/>
  <c r="AL48" i="45"/>
  <c r="K37" i="47"/>
  <c r="AL49" i="47"/>
  <c r="AP36" i="48"/>
  <c r="AQ133" i="50" s="1"/>
  <c r="AP41" i="48"/>
  <c r="AP46" i="48"/>
  <c r="AP52" i="48"/>
  <c r="AP57" i="49"/>
  <c r="AP36" i="50"/>
  <c r="AQ45" i="50"/>
  <c r="AQ56" i="50"/>
  <c r="AP36" i="49"/>
  <c r="AP38" i="49"/>
  <c r="AP42" i="49"/>
  <c r="AP46" i="49"/>
  <c r="AP50" i="49"/>
  <c r="AP56" i="50"/>
  <c r="AP57" i="50"/>
  <c r="AP37" i="50"/>
  <c r="AP48" i="50"/>
  <c r="BF23" i="60"/>
  <c r="BF21" i="60"/>
  <c r="BF19" i="60"/>
  <c r="BF17" i="60"/>
  <c r="BF15" i="60"/>
  <c r="BF13" i="60"/>
  <c r="BF11" i="60"/>
  <c r="AP43" i="51"/>
  <c r="AQ47" i="53"/>
  <c r="K37" i="54"/>
  <c r="K38" i="54" s="1"/>
  <c r="AR47" i="55"/>
  <c r="BO25" i="60"/>
  <c r="BW25" i="60" s="1"/>
  <c r="BS12" i="60"/>
  <c r="BS24" i="60"/>
  <c r="AP39" i="51"/>
  <c r="AP51" i="51"/>
  <c r="I13" i="53"/>
  <c r="AQ50" i="53"/>
  <c r="AR43" i="54"/>
  <c r="AR55" i="55"/>
  <c r="BF22" i="60"/>
  <c r="BF20" i="60"/>
  <c r="BF18" i="60"/>
  <c r="BF16" i="60"/>
  <c r="BF14" i="60"/>
  <c r="BF12" i="60"/>
  <c r="BF24" i="60"/>
  <c r="BF25" i="60"/>
  <c r="BS21" i="60"/>
  <c r="BZ21" i="60" s="1"/>
  <c r="BS19" i="60"/>
  <c r="BZ19" i="60" s="1"/>
  <c r="BS23" i="60"/>
  <c r="BZ23" i="60" s="1"/>
  <c r="BS25" i="60"/>
  <c r="BZ25" i="60" s="1"/>
  <c r="AP47" i="51"/>
  <c r="AQ39" i="53"/>
  <c r="AW7" i="60"/>
  <c r="DD6" i="60" s="1"/>
  <c r="BO21" i="60"/>
  <c r="BW21" i="60" s="1"/>
  <c r="BO19" i="60"/>
  <c r="BW19" i="60" s="1"/>
  <c r="BO17" i="60"/>
  <c r="BW17" i="60" s="1"/>
  <c r="BO15" i="60"/>
  <c r="BW15" i="60" s="1"/>
  <c r="BS17" i="60"/>
  <c r="BZ17" i="60" s="1"/>
  <c r="BS15" i="60"/>
  <c r="BZ15" i="60" s="1"/>
  <c r="BS13" i="60"/>
  <c r="BZ13" i="60" s="1"/>
  <c r="BS11" i="60"/>
  <c r="BZ11" i="60" s="1"/>
  <c r="V15" i="47"/>
  <c r="P12" i="49"/>
  <c r="P14" i="50"/>
  <c r="W20" i="55"/>
  <c r="W25" i="55"/>
  <c r="P11" i="44"/>
  <c r="V21" i="47"/>
  <c r="P16" i="49"/>
  <c r="W12" i="51"/>
  <c r="X13" i="53"/>
  <c r="W15" i="55"/>
  <c r="P11" i="46"/>
  <c r="P12" i="52"/>
  <c r="P15" i="55"/>
  <c r="P11" i="50"/>
  <c r="P11" i="45"/>
  <c r="P16" i="39"/>
  <c r="X13" i="45"/>
  <c r="P14" i="49"/>
  <c r="P17" i="50"/>
  <c r="P18" i="50"/>
  <c r="P16" i="54"/>
  <c r="W22" i="55"/>
  <c r="P18" i="53"/>
  <c r="W24" i="51"/>
  <c r="X15" i="49"/>
  <c r="P12" i="44"/>
  <c r="K30" i="50"/>
  <c r="M30" i="50" s="1"/>
  <c r="Q27" i="50" s="1"/>
  <c r="P11" i="43"/>
  <c r="K30" i="43"/>
  <c r="M30" i="43" s="1"/>
  <c r="Q27" i="43" s="1"/>
  <c r="P13" i="47"/>
  <c r="W16" i="51"/>
  <c r="P18" i="49"/>
  <c r="V16" i="55"/>
  <c r="K29" i="55"/>
  <c r="P13" i="54"/>
  <c r="P12" i="51"/>
  <c r="P15" i="47"/>
  <c r="K28" i="44"/>
  <c r="P14" i="43"/>
  <c r="P16" i="44"/>
  <c r="V18" i="51"/>
  <c r="P16" i="51"/>
  <c r="W12" i="55"/>
  <c r="P18" i="51"/>
  <c r="P13" i="53"/>
  <c r="K28" i="55"/>
  <c r="P12" i="43"/>
  <c r="P17" i="47"/>
  <c r="W26" i="47"/>
  <c r="V24" i="51"/>
  <c r="P14" i="51"/>
  <c r="W20" i="51"/>
  <c r="W22" i="51"/>
  <c r="P18" i="55"/>
  <c r="P18" i="47"/>
  <c r="P16" i="55"/>
  <c r="P15" i="49"/>
  <c r="X19" i="49"/>
  <c r="V19" i="51"/>
  <c r="V11" i="47"/>
  <c r="V15" i="51"/>
  <c r="X24" i="49"/>
  <c r="X18" i="49"/>
  <c r="K30" i="54"/>
  <c r="M30" i="54" s="1"/>
  <c r="Q27" i="54" s="1"/>
  <c r="K29" i="50"/>
  <c r="K28" i="48"/>
  <c r="P18" i="44"/>
  <c r="K28" i="47"/>
  <c r="M28" i="47" s="1"/>
  <c r="W11" i="47"/>
  <c r="W19" i="47"/>
  <c r="P15" i="51"/>
  <c r="P12" i="53"/>
  <c r="P16" i="53"/>
  <c r="V17" i="55"/>
  <c r="V16" i="47"/>
  <c r="M36" i="54"/>
  <c r="K29" i="47"/>
  <c r="P18" i="39"/>
  <c r="X21" i="45"/>
  <c r="W21" i="47"/>
  <c r="W13" i="47"/>
  <c r="P15" i="48"/>
  <c r="P12" i="50"/>
  <c r="K30" i="51"/>
  <c r="M30" i="51" s="1"/>
  <c r="Q27" i="51" s="1"/>
  <c r="P11" i="54"/>
  <c r="P13" i="48"/>
  <c r="K29" i="51"/>
  <c r="P14" i="46"/>
  <c r="V25" i="51"/>
  <c r="K29" i="49"/>
  <c r="M29" i="49" s="1"/>
  <c r="K30" i="49"/>
  <c r="M30" i="49" s="1"/>
  <c r="Q27" i="49" s="1"/>
  <c r="P11" i="48"/>
  <c r="K29" i="46"/>
  <c r="K29" i="44"/>
  <c r="K30" i="39"/>
  <c r="M30" i="39" s="1"/>
  <c r="Q27" i="39" s="1"/>
  <c r="P15" i="39"/>
  <c r="X26" i="45"/>
  <c r="W15" i="47"/>
  <c r="W17" i="47"/>
  <c r="V11" i="51"/>
  <c r="P17" i="49"/>
  <c r="P14" i="53"/>
  <c r="N43" i="64"/>
  <c r="M43" i="64"/>
  <c r="I24" i="64"/>
  <c r="T23" i="64"/>
  <c r="Q41" i="64"/>
  <c r="V40" i="64"/>
  <c r="AR45" i="64"/>
  <c r="O43" i="64"/>
  <c r="AQ45" i="64"/>
  <c r="K45" i="64"/>
  <c r="L44" i="64"/>
  <c r="O44" i="64" s="1"/>
  <c r="P42" i="64"/>
  <c r="V24" i="47"/>
  <c r="X24" i="45"/>
  <c r="V13" i="47"/>
  <c r="V14" i="51"/>
  <c r="V12" i="51"/>
  <c r="X22" i="53"/>
  <c r="X25" i="53"/>
  <c r="P13" i="52"/>
  <c r="P11" i="55"/>
  <c r="K30" i="55"/>
  <c r="M30" i="55" s="1"/>
  <c r="Q27" i="55" s="1"/>
  <c r="K28" i="54"/>
  <c r="K29" i="54"/>
  <c r="K30" i="53"/>
  <c r="M30" i="53" s="1"/>
  <c r="Q27" i="53" s="1"/>
  <c r="K28" i="51"/>
  <c r="K30" i="48"/>
  <c r="M30" i="48" s="1"/>
  <c r="Q27" i="48" s="1"/>
  <c r="P11" i="47"/>
  <c r="K28" i="39"/>
  <c r="K28" i="43"/>
  <c r="M28" i="43" s="1"/>
  <c r="K29" i="43"/>
  <c r="P13" i="39"/>
  <c r="P11" i="39"/>
  <c r="P13" i="44"/>
  <c r="K30" i="44"/>
  <c r="M30" i="44" s="1"/>
  <c r="Q27" i="44" s="1"/>
  <c r="W25" i="47"/>
  <c r="W23" i="47"/>
  <c r="W12" i="47"/>
  <c r="W16" i="47"/>
  <c r="W14" i="47"/>
  <c r="P18" i="48"/>
  <c r="P17" i="51"/>
  <c r="W13" i="51"/>
  <c r="W11" i="51"/>
  <c r="P15" i="54"/>
  <c r="W17" i="55"/>
  <c r="W26" i="55"/>
  <c r="W18" i="55"/>
  <c r="W24" i="55"/>
  <c r="P17" i="44"/>
  <c r="P13" i="45"/>
  <c r="K22" i="52"/>
  <c r="M22" i="52" s="1"/>
  <c r="Q19" i="52" s="1"/>
  <c r="X11" i="45"/>
  <c r="X16" i="53"/>
  <c r="V20" i="55"/>
  <c r="K28" i="53"/>
  <c r="K29" i="53"/>
  <c r="M29" i="53" s="1"/>
  <c r="K28" i="50"/>
  <c r="K28" i="49"/>
  <c r="P11" i="49"/>
  <c r="P14" i="45"/>
  <c r="K30" i="47"/>
  <c r="K29" i="39"/>
  <c r="K29" i="45"/>
  <c r="M29" i="45" s="1"/>
  <c r="P12" i="39"/>
  <c r="P17" i="39"/>
  <c r="P18" i="43"/>
  <c r="P14" i="44"/>
  <c r="P17" i="45"/>
  <c r="P15" i="45"/>
  <c r="W20" i="47"/>
  <c r="W18" i="47"/>
  <c r="W24" i="47"/>
  <c r="W22" i="47"/>
  <c r="P14" i="48"/>
  <c r="P17" i="48"/>
  <c r="P13" i="49"/>
  <c r="W15" i="51"/>
  <c r="P11" i="53"/>
  <c r="X17" i="53"/>
  <c r="P14" i="54"/>
  <c r="W23" i="55"/>
  <c r="W13" i="55"/>
  <c r="W19" i="55"/>
  <c r="W14" i="55"/>
  <c r="W16" i="55"/>
  <c r="P12" i="45"/>
  <c r="P13" i="51"/>
  <c r="P12" i="55"/>
  <c r="W11" i="55"/>
  <c r="X23" i="53"/>
  <c r="X21" i="53"/>
  <c r="K28" i="46"/>
  <c r="K30" i="46"/>
  <c r="P17" i="46"/>
  <c r="P16" i="46"/>
  <c r="P13" i="46"/>
  <c r="P15" i="46"/>
  <c r="K30" i="45"/>
  <c r="K28" i="45"/>
  <c r="P18" i="45"/>
  <c r="M36" i="52"/>
  <c r="K27" i="44"/>
  <c r="N37" i="52"/>
  <c r="K27" i="54"/>
  <c r="K40" i="50"/>
  <c r="K41" i="50" s="1"/>
  <c r="L41" i="50" s="1"/>
  <c r="O41" i="50" s="1"/>
  <c r="K38" i="47"/>
  <c r="M38" i="46"/>
  <c r="N38" i="46"/>
  <c r="K39" i="46"/>
  <c r="O38" i="46"/>
  <c r="M39" i="50"/>
  <c r="M37" i="50"/>
  <c r="M36" i="50"/>
  <c r="N38" i="50"/>
  <c r="N36" i="48"/>
  <c r="N38" i="52"/>
  <c r="K27" i="48"/>
  <c r="M36" i="48"/>
  <c r="AO10" i="60"/>
  <c r="BJ10" i="60" s="1"/>
  <c r="K27" i="45"/>
  <c r="N36" i="54"/>
  <c r="M39" i="52"/>
  <c r="N36" i="52"/>
  <c r="K19" i="52"/>
  <c r="M37" i="52"/>
  <c r="K27" i="50"/>
  <c r="N37" i="50"/>
  <c r="K27" i="53"/>
  <c r="W28" i="53"/>
  <c r="CZ25" i="60"/>
  <c r="CZ24" i="60"/>
  <c r="CZ21" i="60"/>
  <c r="CZ17" i="60"/>
  <c r="CZ14" i="60"/>
  <c r="CZ18" i="60"/>
  <c r="CZ11" i="60"/>
  <c r="BN17" i="60"/>
  <c r="BV17" i="60" s="1"/>
  <c r="CZ15" i="60"/>
  <c r="CZ20" i="60"/>
  <c r="DF14" i="60"/>
  <c r="DF13" i="60"/>
  <c r="CZ22" i="60"/>
  <c r="CZ12" i="60"/>
  <c r="CZ19" i="60"/>
  <c r="DF20" i="60"/>
  <c r="DF12" i="60"/>
  <c r="DF19" i="60"/>
  <c r="BV23" i="60"/>
  <c r="BL18" i="60"/>
  <c r="BL15" i="60"/>
  <c r="BN12" i="60"/>
  <c r="BR19" i="60"/>
  <c r="BY19" i="60" s="1"/>
  <c r="BR15" i="60"/>
  <c r="BY15" i="60" s="1"/>
  <c r="BP12" i="60"/>
  <c r="BP16" i="60"/>
  <c r="BP20" i="60"/>
  <c r="AX18" i="60"/>
  <c r="BS18" i="60" s="1"/>
  <c r="AX14" i="60"/>
  <c r="BS14" i="60" s="1"/>
  <c r="AX10" i="60"/>
  <c r="AX16" i="60"/>
  <c r="BS16" i="60" s="1"/>
  <c r="BR21" i="60"/>
  <c r="BY21" i="60" s="1"/>
  <c r="DD21" i="60"/>
  <c r="BR18" i="60"/>
  <c r="DD18" i="60"/>
  <c r="BR10" i="60"/>
  <c r="DD10" i="60"/>
  <c r="BR23" i="60"/>
  <c r="BY23" i="60" s="1"/>
  <c r="DD23" i="60"/>
  <c r="BR17" i="60"/>
  <c r="BY17" i="60" s="1"/>
  <c r="DD17" i="60"/>
  <c r="DD13" i="60"/>
  <c r="BR13" i="60"/>
  <c r="BY13" i="60" s="1"/>
  <c r="BR24" i="60"/>
  <c r="DD24" i="60"/>
  <c r="BR22" i="60"/>
  <c r="DD22" i="60"/>
  <c r="AW16" i="60"/>
  <c r="BR16" i="60" s="1"/>
  <c r="AW14" i="60"/>
  <c r="AW25" i="60"/>
  <c r="BQ10" i="60"/>
  <c r="AV20" i="60"/>
  <c r="AV19" i="60"/>
  <c r="AV16" i="60"/>
  <c r="AV15" i="60"/>
  <c r="AV12" i="60"/>
  <c r="AV11" i="60"/>
  <c r="BA10" i="60"/>
  <c r="BP10" i="60"/>
  <c r="N39" i="52"/>
  <c r="AU24" i="60"/>
  <c r="BP24" i="60" s="1"/>
  <c r="BV24" i="60" s="1"/>
  <c r="BO16" i="60"/>
  <c r="CY16" i="60"/>
  <c r="BO14" i="60"/>
  <c r="CY14" i="60"/>
  <c r="BO12" i="60"/>
  <c r="CY12" i="60"/>
  <c r="BO22" i="60"/>
  <c r="CY22" i="60"/>
  <c r="BO20" i="60"/>
  <c r="CY20" i="60"/>
  <c r="BO24" i="60"/>
  <c r="CY18" i="60"/>
  <c r="BO18" i="60"/>
  <c r="K27" i="51"/>
  <c r="AT23" i="60"/>
  <c r="BO23" i="60" s="1"/>
  <c r="BW23" i="60" s="1"/>
  <c r="AT10" i="60"/>
  <c r="BN10" i="60"/>
  <c r="AS21" i="60"/>
  <c r="BN21" i="60" s="1"/>
  <c r="BV21" i="60" s="1"/>
  <c r="AS16" i="60"/>
  <c r="BN16" i="60" s="1"/>
  <c r="AS11" i="60"/>
  <c r="BN11" i="60" s="1"/>
  <c r="BV11" i="60" s="1"/>
  <c r="AS14" i="60"/>
  <c r="BN14" i="60" s="1"/>
  <c r="N39" i="50"/>
  <c r="M38" i="50"/>
  <c r="AR18" i="60"/>
  <c r="BM18" i="60" s="1"/>
  <c r="AR17" i="60"/>
  <c r="BM17" i="60" s="1"/>
  <c r="AR10" i="60"/>
  <c r="W28" i="49"/>
  <c r="AR24" i="60"/>
  <c r="BM24" i="60" s="1"/>
  <c r="AR23" i="60"/>
  <c r="BM23" i="60" s="1"/>
  <c r="AR15" i="60"/>
  <c r="BM15" i="60" s="1"/>
  <c r="AZ10" i="60"/>
  <c r="AR22" i="60"/>
  <c r="BM22" i="60" s="1"/>
  <c r="AR14" i="60"/>
  <c r="BM14" i="60" s="1"/>
  <c r="BL10" i="60"/>
  <c r="AQ25" i="60"/>
  <c r="BL25" i="60" s="1"/>
  <c r="BK13" i="60"/>
  <c r="CX13" i="60"/>
  <c r="CX21" i="60"/>
  <c r="BK21" i="60"/>
  <c r="BK20" i="60"/>
  <c r="CX20" i="60"/>
  <c r="BK17" i="60"/>
  <c r="CX17" i="60"/>
  <c r="BK16" i="60"/>
  <c r="CX16" i="60"/>
  <c r="BK14" i="60"/>
  <c r="CX14" i="60"/>
  <c r="BK10" i="60"/>
  <c r="CX10" i="60"/>
  <c r="BK15" i="60"/>
  <c r="CX15" i="60"/>
  <c r="CX11" i="60"/>
  <c r="BK11" i="60"/>
  <c r="BK23" i="60"/>
  <c r="CX23" i="60"/>
  <c r="BK22" i="60"/>
  <c r="CX22" i="60"/>
  <c r="BK19" i="60"/>
  <c r="CX19" i="60"/>
  <c r="BK18" i="60"/>
  <c r="CX18" i="60"/>
  <c r="BK12" i="60"/>
  <c r="CX12" i="60"/>
  <c r="BK25" i="60"/>
  <c r="K27" i="47"/>
  <c r="AP24" i="60"/>
  <c r="AP27" i="60" s="1"/>
  <c r="BJ11" i="60"/>
  <c r="AO25" i="60"/>
  <c r="BJ25" i="60" s="1"/>
  <c r="AO17" i="60"/>
  <c r="BJ17" i="60" s="1"/>
  <c r="AO18" i="60"/>
  <c r="BJ18" i="60" s="1"/>
  <c r="AO21" i="60"/>
  <c r="BJ21" i="60" s="1"/>
  <c r="AO13" i="60"/>
  <c r="BJ13" i="60" s="1"/>
  <c r="BI10" i="60"/>
  <c r="AN13" i="60"/>
  <c r="BI13" i="60" s="1"/>
  <c r="W29" i="45"/>
  <c r="AN23" i="60"/>
  <c r="BI23" i="60" s="1"/>
  <c r="W28" i="45"/>
  <c r="AN12" i="60"/>
  <c r="BI12" i="60" s="1"/>
  <c r="AM11" i="60"/>
  <c r="AM27" i="60" s="1"/>
  <c r="CW23" i="60"/>
  <c r="BG23" i="60"/>
  <c r="BG17" i="60"/>
  <c r="CW17" i="60"/>
  <c r="BG16" i="60"/>
  <c r="CW16" i="60"/>
  <c r="BG11" i="60"/>
  <c r="BG22" i="60"/>
  <c r="CW22" i="60"/>
  <c r="CW10" i="60"/>
  <c r="BG10" i="60"/>
  <c r="BG20" i="60"/>
  <c r="CW20" i="60"/>
  <c r="CW15" i="60"/>
  <c r="BG15" i="60"/>
  <c r="CW14" i="60"/>
  <c r="BG14" i="60"/>
  <c r="CW13" i="60"/>
  <c r="BG13" i="60"/>
  <c r="BG12" i="60"/>
  <c r="CW12" i="60"/>
  <c r="CW25" i="60"/>
  <c r="BG25" i="60"/>
  <c r="K27" i="43"/>
  <c r="AL24" i="60"/>
  <c r="AL19" i="60"/>
  <c r="AL18" i="60"/>
  <c r="AL21" i="60"/>
  <c r="BF10" i="60"/>
  <c r="AK29" i="60"/>
  <c r="AK27" i="60"/>
  <c r="AK28" i="60"/>
  <c r="N37" i="39"/>
  <c r="K27" i="39"/>
  <c r="M30" i="46" l="1"/>
  <c r="Q27" i="46" s="1"/>
  <c r="M30" i="47"/>
  <c r="Q27" i="47" s="1"/>
  <c r="M30" i="45"/>
  <c r="Q27" i="45" s="1"/>
  <c r="AK45" i="39"/>
  <c r="AK48" i="39"/>
  <c r="AK52" i="39"/>
  <c r="L29" i="39"/>
  <c r="M8" i="60" s="1"/>
  <c r="M29" i="39"/>
  <c r="Q29" i="39" s="1"/>
  <c r="O8" i="60" s="1"/>
  <c r="M28" i="50"/>
  <c r="Q28" i="50" s="1"/>
  <c r="N44" i="60" s="1"/>
  <c r="L28" i="50"/>
  <c r="L44" i="60" s="1"/>
  <c r="Q28" i="43"/>
  <c r="N9" i="60" s="1"/>
  <c r="L28" i="43"/>
  <c r="L9" i="60" s="1"/>
  <c r="L28" i="51"/>
  <c r="L19" i="60" s="1"/>
  <c r="M28" i="51"/>
  <c r="Q28" i="51" s="1"/>
  <c r="N19" i="60" s="1"/>
  <c r="Q28" i="47"/>
  <c r="N14" i="60" s="1"/>
  <c r="L28" i="47"/>
  <c r="L14" i="60" s="1"/>
  <c r="L29" i="43"/>
  <c r="M9" i="60" s="1"/>
  <c r="M29" i="43"/>
  <c r="Q29" i="43" s="1"/>
  <c r="O9" i="60" s="1"/>
  <c r="M28" i="54"/>
  <c r="Q28" i="54" s="1"/>
  <c r="N51" i="60" s="1"/>
  <c r="L28" i="54"/>
  <c r="L51" i="60" s="1"/>
  <c r="M29" i="46"/>
  <c r="Q29" i="46" s="1"/>
  <c r="O37" i="60" s="1"/>
  <c r="L29" i="46"/>
  <c r="M37" i="60" s="1"/>
  <c r="M29" i="47"/>
  <c r="Q29" i="47" s="1"/>
  <c r="O14" i="60" s="1"/>
  <c r="L29" i="47"/>
  <c r="M14" i="60" s="1"/>
  <c r="BY20" i="60"/>
  <c r="L28" i="46"/>
  <c r="L37" i="60" s="1"/>
  <c r="M28" i="46"/>
  <c r="Q28" i="46" s="1"/>
  <c r="N37" i="60" s="1"/>
  <c r="L28" i="39"/>
  <c r="L8" i="60" s="1"/>
  <c r="M29" i="51"/>
  <c r="Q29" i="51" s="1"/>
  <c r="O19" i="60" s="1"/>
  <c r="L29" i="51"/>
  <c r="M19" i="60" s="1"/>
  <c r="L29" i="50"/>
  <c r="M44" i="60" s="1"/>
  <c r="M29" i="50"/>
  <c r="Q29" i="50" s="1"/>
  <c r="O44" i="60" s="1"/>
  <c r="M29" i="48"/>
  <c r="Q29" i="48" s="1"/>
  <c r="O43" i="60" s="1"/>
  <c r="L29" i="48"/>
  <c r="M43" i="60" s="1"/>
  <c r="M29" i="54"/>
  <c r="Q29" i="54" s="1"/>
  <c r="O51" i="60" s="1"/>
  <c r="L29" i="54"/>
  <c r="M51" i="60" s="1"/>
  <c r="M29" i="44"/>
  <c r="Q29" i="44" s="1"/>
  <c r="O36" i="60" s="1"/>
  <c r="L29" i="44"/>
  <c r="M36" i="60" s="1"/>
  <c r="M28" i="48"/>
  <c r="Q28" i="48" s="1"/>
  <c r="N43" i="60" s="1"/>
  <c r="L28" i="48"/>
  <c r="L43" i="60" s="1"/>
  <c r="M28" i="55"/>
  <c r="Q28" i="55" s="1"/>
  <c r="N29" i="60" s="1"/>
  <c r="L28" i="55"/>
  <c r="L29" i="60" s="1"/>
  <c r="L28" i="44"/>
  <c r="L36" i="60" s="1"/>
  <c r="M28" i="44"/>
  <c r="Q28" i="44" s="1"/>
  <c r="N36" i="60" s="1"/>
  <c r="M29" i="55"/>
  <c r="Q29" i="55" s="1"/>
  <c r="O29" i="60" s="1"/>
  <c r="L29" i="55"/>
  <c r="M29" i="60" s="1"/>
  <c r="Q29" i="53"/>
  <c r="L29" i="53"/>
  <c r="L28" i="53"/>
  <c r="M28" i="53"/>
  <c r="Q28" i="53" s="1"/>
  <c r="L28" i="49"/>
  <c r="L18" i="60" s="1"/>
  <c r="M28" i="49"/>
  <c r="Q28" i="49" s="1"/>
  <c r="N18" i="60" s="1"/>
  <c r="Q29" i="49"/>
  <c r="O18" i="60" s="1"/>
  <c r="L29" i="49"/>
  <c r="M18" i="60" s="1"/>
  <c r="L28" i="45"/>
  <c r="L13" i="60" s="1"/>
  <c r="M28" i="45"/>
  <c r="Q28" i="45" s="1"/>
  <c r="N13" i="60" s="1"/>
  <c r="Q29" i="45"/>
  <c r="O13" i="60" s="1"/>
  <c r="L29" i="45"/>
  <c r="M13" i="60" s="1"/>
  <c r="DA21" i="60"/>
  <c r="DB21" i="60" s="1"/>
  <c r="DA11" i="60"/>
  <c r="DB11" i="60" s="1"/>
  <c r="DA24" i="60"/>
  <c r="DA10" i="60"/>
  <c r="AK111" i="47"/>
  <c r="L36" i="46"/>
  <c r="AK89" i="47"/>
  <c r="AK90" i="47" s="1"/>
  <c r="AK91" i="47" s="1"/>
  <c r="AK92" i="47" s="1"/>
  <c r="AK93" i="47" s="1"/>
  <c r="AK94" i="47" s="1"/>
  <c r="AK95" i="47" s="1"/>
  <c r="AK96" i="47" s="1"/>
  <c r="AK97" i="47" s="1"/>
  <c r="AK98" i="47" s="1"/>
  <c r="AK99" i="47" s="1"/>
  <c r="AK100" i="47" s="1"/>
  <c r="AK101" i="47" s="1"/>
  <c r="AK102" i="47" s="1"/>
  <c r="AK103" i="47" s="1"/>
  <c r="AK104" i="47" s="1"/>
  <c r="AK105" i="47" s="1"/>
  <c r="AK106" i="47" s="1"/>
  <c r="O36" i="50"/>
  <c r="P36" i="50" s="1"/>
  <c r="AQ121" i="55"/>
  <c r="AQ123" i="55" s="1"/>
  <c r="BV18" i="60"/>
  <c r="BV14" i="60"/>
  <c r="BZ18" i="60"/>
  <c r="BY18" i="60"/>
  <c r="BW18" i="60"/>
  <c r="BX22" i="60"/>
  <c r="I3" i="66"/>
  <c r="F185" i="62"/>
  <c r="F186" i="62"/>
  <c r="AR95" i="55"/>
  <c r="AR96" i="55" s="1"/>
  <c r="AR97" i="55" s="1"/>
  <c r="AR98" i="55" s="1"/>
  <c r="AR99" i="55" s="1"/>
  <c r="AR100" i="55" s="1"/>
  <c r="AR101" i="55" s="1"/>
  <c r="AR102" i="55" s="1"/>
  <c r="AR103" i="55" s="1"/>
  <c r="AR104" i="55" s="1"/>
  <c r="AR105" i="55" s="1"/>
  <c r="AR106" i="55" s="1"/>
  <c r="AR107" i="55" s="1"/>
  <c r="AR108" i="55" s="1"/>
  <c r="AR109" i="55" s="1"/>
  <c r="AR110" i="55" s="1"/>
  <c r="AR111" i="55" s="1"/>
  <c r="AR112" i="55" s="1"/>
  <c r="AR113" i="55" s="1"/>
  <c r="AR114" i="55" s="1"/>
  <c r="AR115" i="55" s="1"/>
  <c r="AR116" i="55" s="1"/>
  <c r="AR117" i="55" s="1"/>
  <c r="AR118" i="55" s="1"/>
  <c r="L7" i="60"/>
  <c r="F7" i="60" s="1"/>
  <c r="L37" i="48"/>
  <c r="N37" i="48" s="1"/>
  <c r="N48" i="60"/>
  <c r="CW7" i="60"/>
  <c r="DA19" i="60"/>
  <c r="DB19" i="60" s="1"/>
  <c r="AQ95" i="55"/>
  <c r="AQ96" i="55" s="1"/>
  <c r="AQ97" i="55" s="1"/>
  <c r="AQ98" i="55" s="1"/>
  <c r="AQ99" i="55" s="1"/>
  <c r="AQ100" i="55" s="1"/>
  <c r="AQ101" i="55" s="1"/>
  <c r="AQ102" i="55" s="1"/>
  <c r="AQ103" i="55" s="1"/>
  <c r="AQ104" i="55" s="1"/>
  <c r="AQ105" i="55" s="1"/>
  <c r="AQ106" i="55" s="1"/>
  <c r="AQ107" i="55" s="1"/>
  <c r="AQ108" i="55" s="1"/>
  <c r="AQ109" i="55" s="1"/>
  <c r="AQ110" i="55" s="1"/>
  <c r="AQ111" i="55" s="1"/>
  <c r="AQ112" i="55" s="1"/>
  <c r="AQ113" i="55" s="1"/>
  <c r="AQ114" i="55" s="1"/>
  <c r="AQ115" i="55" s="1"/>
  <c r="AQ116" i="55" s="1"/>
  <c r="AQ117" i="55" s="1"/>
  <c r="AQ118" i="55" s="1"/>
  <c r="BC159" i="46"/>
  <c r="BC161" i="46" s="1"/>
  <c r="BD121" i="46" s="1"/>
  <c r="N37" i="44"/>
  <c r="BW14" i="60"/>
  <c r="DA14" i="60"/>
  <c r="DB14" i="60" s="1"/>
  <c r="DA20" i="60"/>
  <c r="DB20" i="60" s="1"/>
  <c r="DA13" i="60"/>
  <c r="DB13" i="60" s="1"/>
  <c r="M38" i="52"/>
  <c r="P38" i="52" s="1"/>
  <c r="M37" i="44"/>
  <c r="N46" i="60"/>
  <c r="P16" i="52"/>
  <c r="N41" i="60"/>
  <c r="AL109" i="43"/>
  <c r="L36" i="39"/>
  <c r="DA17" i="60"/>
  <c r="DB17" i="60" s="1"/>
  <c r="L36" i="44"/>
  <c r="DA25" i="60"/>
  <c r="DB25" i="60" s="1"/>
  <c r="AL45" i="39"/>
  <c r="AL42" i="39"/>
  <c r="M19" i="39"/>
  <c r="AL44" i="39"/>
  <c r="AL41" i="39"/>
  <c r="M26" i="39"/>
  <c r="M28" i="39" s="1"/>
  <c r="Q28" i="39" s="1"/>
  <c r="N8" i="60" s="1"/>
  <c r="M11" i="39"/>
  <c r="AK7" i="60" s="1"/>
  <c r="AL36" i="39"/>
  <c r="AK109" i="43" s="1"/>
  <c r="AK111" i="43" s="1"/>
  <c r="AL50" i="39"/>
  <c r="M14" i="39"/>
  <c r="M22" i="39"/>
  <c r="M16" i="39"/>
  <c r="AL53" i="39"/>
  <c r="M24" i="39"/>
  <c r="M17" i="39"/>
  <c r="AL39" i="39"/>
  <c r="AR121" i="54"/>
  <c r="AQ123" i="54" s="1"/>
  <c r="AQ95" i="54" s="1"/>
  <c r="L34" i="60"/>
  <c r="F34" i="60" s="1"/>
  <c r="O30" i="46"/>
  <c r="L17" i="60"/>
  <c r="F17" i="60" s="1"/>
  <c r="N17" i="60"/>
  <c r="G17" i="60" s="1"/>
  <c r="AQ119" i="51"/>
  <c r="AP121" i="51" s="1"/>
  <c r="F54" i="62"/>
  <c r="F53" i="62"/>
  <c r="AQ113" i="65"/>
  <c r="AQ115" i="65" s="1"/>
  <c r="AR87" i="65" s="1"/>
  <c r="AR88" i="65" s="1"/>
  <c r="AR89" i="65" s="1"/>
  <c r="AR90" i="65" s="1"/>
  <c r="AR91" i="65" s="1"/>
  <c r="AR92" i="65" s="1"/>
  <c r="AR93" i="65" s="1"/>
  <c r="AR94" i="65" s="1"/>
  <c r="AR95" i="65" s="1"/>
  <c r="AR96" i="65" s="1"/>
  <c r="AR97" i="65" s="1"/>
  <c r="AR98" i="65" s="1"/>
  <c r="AR99" i="65" s="1"/>
  <c r="AR100" i="65" s="1"/>
  <c r="AR101" i="65" s="1"/>
  <c r="AR102" i="65" s="1"/>
  <c r="AR103" i="65" s="1"/>
  <c r="AR104" i="65" s="1"/>
  <c r="AR105" i="65" s="1"/>
  <c r="AR106" i="65" s="1"/>
  <c r="AR107" i="65" s="1"/>
  <c r="AR108" i="65" s="1"/>
  <c r="AR109" i="65" s="1"/>
  <c r="AR110" i="65" s="1"/>
  <c r="AQ121" i="64"/>
  <c r="AQ123" i="64" s="1"/>
  <c r="AR95" i="64" s="1"/>
  <c r="T13" i="55"/>
  <c r="I14" i="55"/>
  <c r="BZ14" i="60"/>
  <c r="DA12" i="60"/>
  <c r="DA18" i="60"/>
  <c r="DA15" i="60"/>
  <c r="DB15" i="60" s="1"/>
  <c r="AL89" i="47"/>
  <c r="DA23" i="60"/>
  <c r="DB23" i="60" s="1"/>
  <c r="DA16" i="60"/>
  <c r="DB16" i="60" s="1"/>
  <c r="DA22" i="60"/>
  <c r="DB22" i="60" s="1"/>
  <c r="M36" i="43"/>
  <c r="M37" i="39"/>
  <c r="P37" i="39" s="1"/>
  <c r="N36" i="46"/>
  <c r="L37" i="54"/>
  <c r="M37" i="54" s="1"/>
  <c r="O30" i="44"/>
  <c r="M38" i="44"/>
  <c r="AP133" i="50"/>
  <c r="AP135" i="50" s="1"/>
  <c r="AQ108" i="50" s="1"/>
  <c r="AP108" i="50"/>
  <c r="I14" i="49"/>
  <c r="T14" i="49" s="1"/>
  <c r="L21" i="60"/>
  <c r="F21" i="60" s="1"/>
  <c r="X29" i="67"/>
  <c r="Y29" i="67" s="1"/>
  <c r="X28" i="67"/>
  <c r="Y28" i="67" s="1"/>
  <c r="X15" i="53"/>
  <c r="V13" i="51"/>
  <c r="BW22" i="60"/>
  <c r="BZ22" i="60"/>
  <c r="BY22" i="60"/>
  <c r="BZ12" i="60"/>
  <c r="V19" i="55"/>
  <c r="V23" i="55"/>
  <c r="X19" i="53"/>
  <c r="X25" i="45"/>
  <c r="X26" i="53"/>
  <c r="V26" i="64"/>
  <c r="V14" i="55"/>
  <c r="V14" i="64"/>
  <c r="V15" i="55"/>
  <c r="V26" i="55"/>
  <c r="V24" i="55"/>
  <c r="V24" i="64"/>
  <c r="V25" i="55"/>
  <c r="V25" i="64"/>
  <c r="V11" i="55"/>
  <c r="V11" i="64"/>
  <c r="V12" i="55"/>
  <c r="V12" i="64"/>
  <c r="X18" i="53"/>
  <c r="V18" i="64"/>
  <c r="V22" i="55"/>
  <c r="V22" i="64"/>
  <c r="K42" i="53"/>
  <c r="N38" i="44"/>
  <c r="DE13" i="60"/>
  <c r="DE21" i="60"/>
  <c r="DE14" i="60"/>
  <c r="DE22" i="60"/>
  <c r="DE19" i="60"/>
  <c r="DE15" i="60"/>
  <c r="DE23" i="60"/>
  <c r="DE16" i="60"/>
  <c r="DE24" i="60"/>
  <c r="DE11" i="60"/>
  <c r="DE20" i="60"/>
  <c r="DE17" i="60"/>
  <c r="DE25" i="60"/>
  <c r="DE18" i="60"/>
  <c r="DE10" i="60"/>
  <c r="DE12" i="60"/>
  <c r="I14" i="53"/>
  <c r="T13" i="53"/>
  <c r="I15" i="49"/>
  <c r="T13" i="47"/>
  <c r="I14" i="47"/>
  <c r="K39" i="39"/>
  <c r="L38" i="39"/>
  <c r="O38" i="39" s="1"/>
  <c r="K40" i="44"/>
  <c r="L39" i="44"/>
  <c r="K38" i="43"/>
  <c r="L37" i="43"/>
  <c r="L41" i="60"/>
  <c r="F41" i="60" s="1"/>
  <c r="N37" i="46"/>
  <c r="T13" i="51"/>
  <c r="I14" i="51"/>
  <c r="K42" i="49"/>
  <c r="K41" i="52"/>
  <c r="L40" i="52"/>
  <c r="O40" i="52" s="1"/>
  <c r="T13" i="45"/>
  <c r="I14" i="45"/>
  <c r="O30" i="50"/>
  <c r="N42" i="60" s="1"/>
  <c r="G42" i="60" s="1"/>
  <c r="O37" i="46"/>
  <c r="X14" i="53"/>
  <c r="X11" i="49"/>
  <c r="K39" i="45"/>
  <c r="X11" i="53"/>
  <c r="N7" i="60"/>
  <c r="G7" i="60" s="1"/>
  <c r="P17" i="52"/>
  <c r="P20" i="50"/>
  <c r="X15" i="45"/>
  <c r="P21" i="53"/>
  <c r="P21" i="50"/>
  <c r="Q21" i="50" s="1"/>
  <c r="P21" i="55"/>
  <c r="P21" i="43"/>
  <c r="P20" i="47"/>
  <c r="BY16" i="60"/>
  <c r="BW16" i="60"/>
  <c r="X24" i="53"/>
  <c r="P21" i="39"/>
  <c r="P20" i="43"/>
  <c r="H9" i="60" s="1"/>
  <c r="P21" i="51"/>
  <c r="K31" i="44"/>
  <c r="M31" i="44" s="1"/>
  <c r="Q30" i="44" s="1"/>
  <c r="K31" i="55"/>
  <c r="M31" i="55" s="1"/>
  <c r="Q30" i="55" s="1"/>
  <c r="K31" i="48"/>
  <c r="M31" i="48" s="1"/>
  <c r="Q30" i="48" s="1"/>
  <c r="P20" i="55"/>
  <c r="P21" i="54"/>
  <c r="P36" i="52"/>
  <c r="P37" i="52"/>
  <c r="P20" i="39"/>
  <c r="P21" i="47"/>
  <c r="Q21" i="47" s="1"/>
  <c r="P20" i="53"/>
  <c r="Q20" i="53" s="1"/>
  <c r="K31" i="51"/>
  <c r="M31" i="51" s="1"/>
  <c r="Q30" i="51" s="1"/>
  <c r="P20" i="51"/>
  <c r="V26" i="51"/>
  <c r="X26" i="49"/>
  <c r="P36" i="54"/>
  <c r="K31" i="54"/>
  <c r="M31" i="54" s="1"/>
  <c r="Q30" i="54" s="1"/>
  <c r="P21" i="48"/>
  <c r="X12" i="53"/>
  <c r="P20" i="44"/>
  <c r="V18" i="55"/>
  <c r="X23" i="49"/>
  <c r="V23" i="51"/>
  <c r="L48" i="60"/>
  <c r="F48" i="60" s="1"/>
  <c r="O30" i="54"/>
  <c r="N49" i="60" s="1"/>
  <c r="G49" i="60" s="1"/>
  <c r="X17" i="49"/>
  <c r="V17" i="51"/>
  <c r="V26" i="47"/>
  <c r="K31" i="47"/>
  <c r="M31" i="47" s="1"/>
  <c r="Q30" i="47" s="1"/>
  <c r="L6" i="60"/>
  <c r="F6" i="60" s="1"/>
  <c r="N6" i="60"/>
  <c r="L16" i="60"/>
  <c r="F16" i="60" s="1"/>
  <c r="N16" i="60"/>
  <c r="V28" i="53"/>
  <c r="V29" i="53"/>
  <c r="K31" i="50"/>
  <c r="M31" i="50" s="1"/>
  <c r="Q30" i="50" s="1"/>
  <c r="L45" i="64"/>
  <c r="O45" i="64" s="1"/>
  <c r="K46" i="64"/>
  <c r="AQ46" i="64"/>
  <c r="AR46" i="64"/>
  <c r="X41" i="64"/>
  <c r="P43" i="64"/>
  <c r="N44" i="64"/>
  <c r="M44" i="64"/>
  <c r="Q42" i="64"/>
  <c r="I25" i="64"/>
  <c r="T24" i="64"/>
  <c r="P21" i="44"/>
  <c r="V29" i="49"/>
  <c r="V16" i="51"/>
  <c r="X16" i="49"/>
  <c r="L46" i="60"/>
  <c r="F46" i="60" s="1"/>
  <c r="O22" i="52"/>
  <c r="N47" i="60" s="1"/>
  <c r="G47" i="60" s="1"/>
  <c r="V20" i="51"/>
  <c r="X20" i="49"/>
  <c r="L32" i="60"/>
  <c r="F32" i="60" s="1"/>
  <c r="L39" i="60"/>
  <c r="F39" i="60" s="1"/>
  <c r="O30" i="48"/>
  <c r="N40" i="60" s="1"/>
  <c r="G40" i="60" s="1"/>
  <c r="N39" i="60"/>
  <c r="P20" i="54"/>
  <c r="Q20" i="54" s="1"/>
  <c r="X21" i="49"/>
  <c r="V21" i="51"/>
  <c r="P20" i="49"/>
  <c r="Q20" i="49" s="1"/>
  <c r="P21" i="49"/>
  <c r="Q21" i="49" s="1"/>
  <c r="K31" i="43"/>
  <c r="M31" i="43" s="1"/>
  <c r="Q30" i="43" s="1"/>
  <c r="V28" i="49"/>
  <c r="P20" i="48"/>
  <c r="X17" i="45"/>
  <c r="V17" i="47"/>
  <c r="K31" i="49"/>
  <c r="M31" i="49" s="1"/>
  <c r="Q30" i="49" s="1"/>
  <c r="K31" i="39"/>
  <c r="M31" i="39" s="1"/>
  <c r="Q30" i="39" s="1"/>
  <c r="L27" i="60"/>
  <c r="F27" i="60" s="1"/>
  <c r="N27" i="60"/>
  <c r="P21" i="45"/>
  <c r="K31" i="53"/>
  <c r="M31" i="53" s="1"/>
  <c r="Q30" i="53" s="1"/>
  <c r="V22" i="51"/>
  <c r="X22" i="49"/>
  <c r="L12" i="60"/>
  <c r="F12" i="60" s="1"/>
  <c r="N12" i="60"/>
  <c r="X18" i="45"/>
  <c r="V18" i="47"/>
  <c r="L26" i="60"/>
  <c r="F26" i="60" s="1"/>
  <c r="K31" i="46"/>
  <c r="P38" i="46"/>
  <c r="P21" i="46"/>
  <c r="Q21" i="46" s="1"/>
  <c r="P20" i="46"/>
  <c r="Q20" i="46" s="1"/>
  <c r="X22" i="45"/>
  <c r="V22" i="47"/>
  <c r="K31" i="45"/>
  <c r="M31" i="45" s="1"/>
  <c r="Q30" i="45" s="1"/>
  <c r="X12" i="45"/>
  <c r="V28" i="45"/>
  <c r="V12" i="47"/>
  <c r="V29" i="45"/>
  <c r="P20" i="45"/>
  <c r="Q20" i="45" s="1"/>
  <c r="X23" i="45"/>
  <c r="V23" i="47"/>
  <c r="X14" i="45"/>
  <c r="V14" i="47"/>
  <c r="L11" i="60"/>
  <c r="F11" i="60" s="1"/>
  <c r="N11" i="60"/>
  <c r="X19" i="45"/>
  <c r="V19" i="47"/>
  <c r="V20" i="47"/>
  <c r="X20" i="45"/>
  <c r="BW12" i="60"/>
  <c r="BV12" i="60"/>
  <c r="BZ16" i="60"/>
  <c r="M37" i="48"/>
  <c r="K42" i="50"/>
  <c r="L42" i="50" s="1"/>
  <c r="O37" i="48"/>
  <c r="K39" i="48"/>
  <c r="L38" i="48"/>
  <c r="P36" i="48"/>
  <c r="L40" i="50"/>
  <c r="M40" i="50" s="1"/>
  <c r="M41" i="50"/>
  <c r="N41" i="50"/>
  <c r="P37" i="50"/>
  <c r="K43" i="55"/>
  <c r="N37" i="54"/>
  <c r="O37" i="54"/>
  <c r="K39" i="54"/>
  <c r="L38" i="54"/>
  <c r="O38" i="54" s="1"/>
  <c r="K39" i="51"/>
  <c r="P38" i="50"/>
  <c r="P39" i="50"/>
  <c r="K39" i="47"/>
  <c r="K40" i="46"/>
  <c r="L39" i="46"/>
  <c r="O39" i="46" s="1"/>
  <c r="BY12" i="60"/>
  <c r="P39" i="52"/>
  <c r="BV16" i="60"/>
  <c r="K21" i="52"/>
  <c r="K20" i="52"/>
  <c r="CX25" i="60"/>
  <c r="AQ29" i="60"/>
  <c r="AV27" i="60"/>
  <c r="DB18" i="60"/>
  <c r="BV20" i="60"/>
  <c r="AQ28" i="60"/>
  <c r="BW24" i="60"/>
  <c r="BW20" i="60"/>
  <c r="DB12" i="60"/>
  <c r="BZ20" i="60"/>
  <c r="AL28" i="60"/>
  <c r="CW11" i="60"/>
  <c r="AW27" i="60"/>
  <c r="AX28" i="60"/>
  <c r="AX29" i="60"/>
  <c r="BS10" i="60"/>
  <c r="BZ10" i="60" s="1"/>
  <c r="AX27" i="60"/>
  <c r="DD25" i="60"/>
  <c r="BR25" i="60"/>
  <c r="BY25" i="60" s="1"/>
  <c r="AW29" i="60"/>
  <c r="AW28" i="60"/>
  <c r="DD14" i="60"/>
  <c r="BR14" i="60"/>
  <c r="BY14" i="60" s="1"/>
  <c r="BQ16" i="60"/>
  <c r="BX16" i="60" s="1"/>
  <c r="DD16" i="60"/>
  <c r="BQ11" i="60"/>
  <c r="BX11" i="60" s="1"/>
  <c r="AV28" i="60"/>
  <c r="DD11" i="60"/>
  <c r="AV29" i="60"/>
  <c r="BQ12" i="60"/>
  <c r="BX12" i="60" s="1"/>
  <c r="DD12" i="60"/>
  <c r="BQ20" i="60"/>
  <c r="BX20" i="60" s="1"/>
  <c r="DD20" i="60"/>
  <c r="BQ15" i="60"/>
  <c r="BX15" i="60" s="1"/>
  <c r="DD15" i="60"/>
  <c r="BQ19" i="60"/>
  <c r="BX19" i="60" s="1"/>
  <c r="DD19" i="60"/>
  <c r="BY10" i="60"/>
  <c r="BX10" i="60"/>
  <c r="BV10" i="60"/>
  <c r="AU27" i="60"/>
  <c r="CY24" i="60"/>
  <c r="DB24" i="60" s="1"/>
  <c r="AU28" i="60"/>
  <c r="BZ24" i="60"/>
  <c r="BX24" i="60"/>
  <c r="BY24" i="60"/>
  <c r="AU29" i="60"/>
  <c r="AT29" i="60"/>
  <c r="BO10" i="60"/>
  <c r="BW10" i="60" s="1"/>
  <c r="AT28" i="60"/>
  <c r="AT27" i="60"/>
  <c r="CY10" i="60"/>
  <c r="DB10" i="60" s="1"/>
  <c r="AS29" i="60"/>
  <c r="AS27" i="60"/>
  <c r="AS28" i="60"/>
  <c r="AR27" i="60"/>
  <c r="AR28" i="60"/>
  <c r="BM10" i="60"/>
  <c r="AR29" i="60"/>
  <c r="AQ27" i="60"/>
  <c r="AP29" i="60"/>
  <c r="BK24" i="60"/>
  <c r="CX24" i="60"/>
  <c r="AP28" i="60"/>
  <c r="AO27" i="60"/>
  <c r="AO28" i="60"/>
  <c r="AO29" i="60"/>
  <c r="AN29" i="60"/>
  <c r="AN28" i="60"/>
  <c r="AN27" i="60"/>
  <c r="AM29" i="60"/>
  <c r="BH11" i="60"/>
  <c r="AM28" i="60"/>
  <c r="CW19" i="60"/>
  <c r="BG19" i="60"/>
  <c r="N36" i="43"/>
  <c r="P36" i="43" s="1"/>
  <c r="CW21" i="60"/>
  <c r="BG21" i="60"/>
  <c r="BG18" i="60"/>
  <c r="CW18" i="60"/>
  <c r="BG24" i="60"/>
  <c r="CW24" i="60"/>
  <c r="AL29" i="60"/>
  <c r="AL27" i="60"/>
  <c r="N36" i="39"/>
  <c r="M31" i="46" l="1"/>
  <c r="Q30" i="46" s="1"/>
  <c r="P37" i="44"/>
  <c r="L21" i="52"/>
  <c r="M50" i="60" s="1"/>
  <c r="F50" i="60" s="1"/>
  <c r="M21" i="52"/>
  <c r="Q21" i="52" s="1"/>
  <c r="O50" i="60" s="1"/>
  <c r="L20" i="52"/>
  <c r="L50" i="60" s="1"/>
  <c r="H50" i="60" s="1"/>
  <c r="M20" i="52"/>
  <c r="Q20" i="52" s="1"/>
  <c r="N50" i="60" s="1"/>
  <c r="O28" i="60"/>
  <c r="O23" i="60"/>
  <c r="N28" i="60"/>
  <c r="N23" i="60"/>
  <c r="M28" i="60"/>
  <c r="F28" i="60" s="1"/>
  <c r="M23" i="60"/>
  <c r="F23" i="60" s="1"/>
  <c r="L28" i="60"/>
  <c r="H28" i="60" s="1"/>
  <c r="L23" i="60"/>
  <c r="H23" i="60" s="1"/>
  <c r="BC121" i="46"/>
  <c r="O36" i="46"/>
  <c r="M36" i="46"/>
  <c r="P36" i="46" s="1"/>
  <c r="AR95" i="54"/>
  <c r="F44" i="60"/>
  <c r="N34" i="60"/>
  <c r="G34" i="60" s="1"/>
  <c r="D46" i="60"/>
  <c r="G46" i="60"/>
  <c r="D41" i="60"/>
  <c r="G41" i="60"/>
  <c r="Q38" i="52"/>
  <c r="U38" i="52" s="1"/>
  <c r="X3" i="66"/>
  <c r="AQ109" i="50"/>
  <c r="AQ110" i="50" s="1"/>
  <c r="AQ111" i="50" s="1"/>
  <c r="AQ112" i="50" s="1"/>
  <c r="AQ113" i="50" s="1"/>
  <c r="AQ114" i="50" s="1"/>
  <c r="AQ115" i="50" s="1"/>
  <c r="AQ116" i="50" s="1"/>
  <c r="AQ117" i="50" s="1"/>
  <c r="AQ118" i="50" s="1"/>
  <c r="AQ119" i="50" s="1"/>
  <c r="AQ120" i="50" s="1"/>
  <c r="AQ121" i="50" s="1"/>
  <c r="AQ122" i="50" s="1"/>
  <c r="AQ123" i="50" s="1"/>
  <c r="AQ124" i="50" s="1"/>
  <c r="AQ125" i="50" s="1"/>
  <c r="AQ126" i="50" s="1"/>
  <c r="AQ127" i="50" s="1"/>
  <c r="AQ128" i="50" s="1"/>
  <c r="AQ129" i="50" s="1"/>
  <c r="AQ130" i="50" s="1"/>
  <c r="F9" i="62"/>
  <c r="F10" i="62"/>
  <c r="AL89" i="43"/>
  <c r="T3" i="66"/>
  <c r="BD122" i="46"/>
  <c r="BD123" i="46" s="1"/>
  <c r="BD124" i="46" s="1"/>
  <c r="BD125" i="46" s="1"/>
  <c r="BD126" i="46" s="1"/>
  <c r="BD127" i="46" s="1"/>
  <c r="BD128" i="46" s="1"/>
  <c r="BD129" i="46" s="1"/>
  <c r="BD130" i="46" s="1"/>
  <c r="BD131" i="46" s="1"/>
  <c r="BD132" i="46" s="1"/>
  <c r="BD133" i="46" s="1"/>
  <c r="BD134" i="46" s="1"/>
  <c r="BD135" i="46" s="1"/>
  <c r="BD136" i="46" s="1"/>
  <c r="BD137" i="46" s="1"/>
  <c r="BD138" i="46" s="1"/>
  <c r="BD139" i="46" s="1"/>
  <c r="BD140" i="46" s="1"/>
  <c r="BD141" i="46" s="1"/>
  <c r="BD142" i="46" s="1"/>
  <c r="BD143" i="46" s="1"/>
  <c r="BD144" i="46" s="1"/>
  <c r="BD145" i="46" s="1"/>
  <c r="BD146" i="46" s="1"/>
  <c r="BD147" i="46" s="1"/>
  <c r="BD148" i="46" s="1"/>
  <c r="BD149" i="46" s="1"/>
  <c r="BD150" i="46" s="1"/>
  <c r="BD151" i="46" s="1"/>
  <c r="BD152" i="46" s="1"/>
  <c r="BD153" i="46" s="1"/>
  <c r="BD154" i="46" s="1"/>
  <c r="BD155" i="46" s="1"/>
  <c r="BD156" i="46" s="1"/>
  <c r="G48" i="60"/>
  <c r="D48" i="60"/>
  <c r="Q21" i="43"/>
  <c r="AQ95" i="64"/>
  <c r="AR96" i="54"/>
  <c r="AR97" i="54" s="1"/>
  <c r="AR98" i="54" s="1"/>
  <c r="AR99" i="54" s="1"/>
  <c r="AR100" i="54" s="1"/>
  <c r="AR101" i="54" s="1"/>
  <c r="AR102" i="54" s="1"/>
  <c r="AR103" i="54" s="1"/>
  <c r="AR104" i="54" s="1"/>
  <c r="AR105" i="54" s="1"/>
  <c r="AR106" i="54" s="1"/>
  <c r="AR107" i="54" s="1"/>
  <c r="AR108" i="54" s="1"/>
  <c r="AR109" i="54" s="1"/>
  <c r="AR110" i="54" s="1"/>
  <c r="AR111" i="54" s="1"/>
  <c r="AR112" i="54" s="1"/>
  <c r="AR113" i="54" s="1"/>
  <c r="AR114" i="54" s="1"/>
  <c r="AR115" i="54" s="1"/>
  <c r="AR116" i="54" s="1"/>
  <c r="AR117" i="54" s="1"/>
  <c r="AR118" i="54" s="1"/>
  <c r="AB3" i="66"/>
  <c r="O36" i="44"/>
  <c r="M36" i="44"/>
  <c r="Q16" i="52"/>
  <c r="AK89" i="43"/>
  <c r="F51" i="60"/>
  <c r="Q21" i="54"/>
  <c r="AR96" i="64"/>
  <c r="AR97" i="64" s="1"/>
  <c r="AR98" i="64" s="1"/>
  <c r="AR99" i="64" s="1"/>
  <c r="AR100" i="64" s="1"/>
  <c r="AR101" i="64" s="1"/>
  <c r="AR102" i="64" s="1"/>
  <c r="AR103" i="64" s="1"/>
  <c r="AR104" i="64" s="1"/>
  <c r="AR105" i="64" s="1"/>
  <c r="AR106" i="64" s="1"/>
  <c r="AR107" i="64" s="1"/>
  <c r="AR108" i="64" s="1"/>
  <c r="AR109" i="64" s="1"/>
  <c r="AR110" i="64" s="1"/>
  <c r="AR111" i="64" s="1"/>
  <c r="AR112" i="64" s="1"/>
  <c r="AR113" i="64" s="1"/>
  <c r="AR114" i="64" s="1"/>
  <c r="AR115" i="64" s="1"/>
  <c r="AR116" i="64" s="1"/>
  <c r="AR117" i="64" s="1"/>
  <c r="AR118" i="64" s="1"/>
  <c r="P3" i="66"/>
  <c r="F98" i="62"/>
  <c r="F97" i="62"/>
  <c r="H29" i="60"/>
  <c r="Q20" i="55"/>
  <c r="F29" i="60"/>
  <c r="Q21" i="55"/>
  <c r="F36" i="60"/>
  <c r="Q21" i="44"/>
  <c r="Q20" i="43"/>
  <c r="P37" i="46"/>
  <c r="Q38" i="46" s="1"/>
  <c r="P38" i="44"/>
  <c r="T14" i="55"/>
  <c r="I15" i="55"/>
  <c r="AQ87" i="65"/>
  <c r="AQ88" i="65" s="1"/>
  <c r="AQ89" i="65" s="1"/>
  <c r="AQ90" i="65" s="1"/>
  <c r="AQ91" i="65" s="1"/>
  <c r="AQ92" i="65" s="1"/>
  <c r="AQ93" i="65" s="1"/>
  <c r="AQ94" i="65" s="1"/>
  <c r="AQ95" i="65" s="1"/>
  <c r="AQ96" i="65" s="1"/>
  <c r="AQ97" i="65" s="1"/>
  <c r="AQ98" i="65" s="1"/>
  <c r="AQ99" i="65" s="1"/>
  <c r="AQ100" i="65" s="1"/>
  <c r="AQ101" i="65" s="1"/>
  <c r="AQ102" i="65" s="1"/>
  <c r="AQ103" i="65" s="1"/>
  <c r="AQ104" i="65" s="1"/>
  <c r="AQ105" i="65" s="1"/>
  <c r="AQ106" i="65" s="1"/>
  <c r="AQ107" i="65" s="1"/>
  <c r="AQ108" i="65" s="1"/>
  <c r="AQ109" i="65" s="1"/>
  <c r="AQ110" i="65" s="1"/>
  <c r="AQ94" i="51"/>
  <c r="AQ96" i="54"/>
  <c r="AQ97" i="54" s="1"/>
  <c r="AQ98" i="54" s="1"/>
  <c r="AQ99" i="54" s="1"/>
  <c r="AQ100" i="54" s="1"/>
  <c r="AQ101" i="54" s="1"/>
  <c r="AQ102" i="54" s="1"/>
  <c r="AQ103" i="54" s="1"/>
  <c r="AQ104" i="54" s="1"/>
  <c r="AQ105" i="54" s="1"/>
  <c r="AQ106" i="54" s="1"/>
  <c r="AQ107" i="54" s="1"/>
  <c r="AQ108" i="54" s="1"/>
  <c r="AQ109" i="54" s="1"/>
  <c r="AQ110" i="54" s="1"/>
  <c r="AQ111" i="54" s="1"/>
  <c r="AQ112" i="54" s="1"/>
  <c r="AQ113" i="54" s="1"/>
  <c r="AQ114" i="54" s="1"/>
  <c r="AQ115" i="54" s="1"/>
  <c r="AQ116" i="54" s="1"/>
  <c r="AQ117" i="54" s="1"/>
  <c r="AQ118" i="54" s="1"/>
  <c r="AC3" i="66"/>
  <c r="H19" i="60"/>
  <c r="Q20" i="51"/>
  <c r="Q17" i="52"/>
  <c r="AP109" i="50"/>
  <c r="AP110" i="50" s="1"/>
  <c r="AP111" i="50" s="1"/>
  <c r="AP112" i="50" s="1"/>
  <c r="AP113" i="50" s="1"/>
  <c r="AP114" i="50" s="1"/>
  <c r="AP115" i="50" s="1"/>
  <c r="AP116" i="50" s="1"/>
  <c r="AP117" i="50" s="1"/>
  <c r="AP118" i="50" s="1"/>
  <c r="AP119" i="50" s="1"/>
  <c r="AP120" i="50" s="1"/>
  <c r="AP121" i="50" s="1"/>
  <c r="AP122" i="50" s="1"/>
  <c r="AP123" i="50" s="1"/>
  <c r="AP124" i="50" s="1"/>
  <c r="AP125" i="50" s="1"/>
  <c r="AP126" i="50" s="1"/>
  <c r="AP127" i="50" s="1"/>
  <c r="AP128" i="50" s="1"/>
  <c r="AP129" i="50" s="1"/>
  <c r="AP130" i="50" s="1"/>
  <c r="Y3" i="66"/>
  <c r="U3" i="66"/>
  <c r="BC122" i="46"/>
  <c r="BC123" i="46" s="1"/>
  <c r="BC124" i="46" s="1"/>
  <c r="BC125" i="46" s="1"/>
  <c r="BC126" i="46" s="1"/>
  <c r="BC127" i="46" s="1"/>
  <c r="BC128" i="46" s="1"/>
  <c r="BC129" i="46" s="1"/>
  <c r="BC130" i="46" s="1"/>
  <c r="BC131" i="46" s="1"/>
  <c r="BC132" i="46" s="1"/>
  <c r="BC133" i="46" s="1"/>
  <c r="BC134" i="46" s="1"/>
  <c r="BC135" i="46" s="1"/>
  <c r="BC136" i="46" s="1"/>
  <c r="BC137" i="46" s="1"/>
  <c r="BC138" i="46" s="1"/>
  <c r="BC139" i="46" s="1"/>
  <c r="BC140" i="46" s="1"/>
  <c r="BC141" i="46" s="1"/>
  <c r="BC142" i="46" s="1"/>
  <c r="BC143" i="46" s="1"/>
  <c r="BC144" i="46" s="1"/>
  <c r="BC145" i="46" s="1"/>
  <c r="BC146" i="46" s="1"/>
  <c r="BC147" i="46" s="1"/>
  <c r="BC148" i="46" s="1"/>
  <c r="BC149" i="46" s="1"/>
  <c r="BC150" i="46" s="1"/>
  <c r="BC151" i="46" s="1"/>
  <c r="BC152" i="46" s="1"/>
  <c r="BC153" i="46" s="1"/>
  <c r="BC154" i="46" s="1"/>
  <c r="BC155" i="46" s="1"/>
  <c r="BC156" i="46" s="1"/>
  <c r="H43" i="60"/>
  <c r="Q20" i="48"/>
  <c r="H36" i="60"/>
  <c r="Q20" i="44"/>
  <c r="H8" i="60"/>
  <c r="Q20" i="39"/>
  <c r="Q21" i="51"/>
  <c r="N36" i="44"/>
  <c r="Q21" i="48"/>
  <c r="F8" i="60"/>
  <c r="Q21" i="39"/>
  <c r="Q20" i="47"/>
  <c r="H44" i="60"/>
  <c r="Q20" i="50"/>
  <c r="D44" i="60" s="1"/>
  <c r="H3" i="66"/>
  <c r="AL90" i="47"/>
  <c r="AL91" i="47" s="1"/>
  <c r="AL92" i="47" s="1"/>
  <c r="AL93" i="47" s="1"/>
  <c r="AL94" i="47" s="1"/>
  <c r="AL95" i="47" s="1"/>
  <c r="AL96" i="47" s="1"/>
  <c r="AL97" i="47" s="1"/>
  <c r="AL98" i="47" s="1"/>
  <c r="AL99" i="47" s="1"/>
  <c r="AL100" i="47" s="1"/>
  <c r="AL101" i="47" s="1"/>
  <c r="AL102" i="47" s="1"/>
  <c r="AL103" i="47" s="1"/>
  <c r="AL104" i="47" s="1"/>
  <c r="AL105" i="47" s="1"/>
  <c r="AL106" i="47" s="1"/>
  <c r="O36" i="39"/>
  <c r="M36" i="39"/>
  <c r="P36" i="39" s="1"/>
  <c r="Q37" i="39" s="1"/>
  <c r="AP94" i="51"/>
  <c r="Q21" i="53"/>
  <c r="Q21" i="45"/>
  <c r="N26" i="60"/>
  <c r="D26" i="60" s="1"/>
  <c r="N21" i="60"/>
  <c r="D17" i="60"/>
  <c r="P37" i="54"/>
  <c r="Q37" i="54" s="1"/>
  <c r="F19" i="60"/>
  <c r="H14" i="60"/>
  <c r="N39" i="44"/>
  <c r="M39" i="44"/>
  <c r="T15" i="49"/>
  <c r="I16" i="49"/>
  <c r="T14" i="53"/>
  <c r="I15" i="53"/>
  <c r="T14" i="45"/>
  <c r="I15" i="45"/>
  <c r="L41" i="52"/>
  <c r="K42" i="52"/>
  <c r="I15" i="51"/>
  <c r="T14" i="51"/>
  <c r="K39" i="43"/>
  <c r="L38" i="43"/>
  <c r="K40" i="45"/>
  <c r="O40" i="44"/>
  <c r="K41" i="44"/>
  <c r="L40" i="44"/>
  <c r="M38" i="39"/>
  <c r="N38" i="39"/>
  <c r="K43" i="53"/>
  <c r="N40" i="52"/>
  <c r="M40" i="52"/>
  <c r="K43" i="49"/>
  <c r="O37" i="43"/>
  <c r="M37" i="43"/>
  <c r="N37" i="43"/>
  <c r="O39" i="44"/>
  <c r="L39" i="39"/>
  <c r="K40" i="39"/>
  <c r="T14" i="47"/>
  <c r="I15" i="47"/>
  <c r="Q39" i="52"/>
  <c r="V39" i="52" s="1"/>
  <c r="N35" i="60"/>
  <c r="G35" i="60" s="1"/>
  <c r="D7" i="60"/>
  <c r="Q37" i="52"/>
  <c r="T37" i="52" s="1"/>
  <c r="T38" i="52" s="1"/>
  <c r="F13" i="60"/>
  <c r="F9" i="60"/>
  <c r="X28" i="53"/>
  <c r="AD21" i="60" s="1"/>
  <c r="X28" i="49"/>
  <c r="AD16" i="60" s="1"/>
  <c r="AD59" i="60" s="1"/>
  <c r="F43" i="60"/>
  <c r="F14" i="60"/>
  <c r="D6" i="60"/>
  <c r="G6" i="60"/>
  <c r="X29" i="49"/>
  <c r="Y29" i="49" s="1"/>
  <c r="AE17" i="60" s="1"/>
  <c r="AE60" i="60" s="1"/>
  <c r="G16" i="60"/>
  <c r="D16" i="60"/>
  <c r="X29" i="53"/>
  <c r="AD22" i="60" s="1"/>
  <c r="AR47" i="64"/>
  <c r="AQ47" i="64"/>
  <c r="I26" i="64"/>
  <c r="T25" i="64"/>
  <c r="N45" i="64"/>
  <c r="M45" i="64"/>
  <c r="Y42" i="64"/>
  <c r="P44" i="64"/>
  <c r="X42" i="64"/>
  <c r="L46" i="64"/>
  <c r="O46" i="64" s="1"/>
  <c r="K47" i="64"/>
  <c r="Q43" i="64"/>
  <c r="H18" i="60"/>
  <c r="H51" i="60"/>
  <c r="D12" i="60"/>
  <c r="G12" i="60"/>
  <c r="N32" i="60"/>
  <c r="N33" i="60"/>
  <c r="G33" i="60" s="1"/>
  <c r="G27" i="60"/>
  <c r="D27" i="60"/>
  <c r="F18" i="60"/>
  <c r="D39" i="60"/>
  <c r="G39" i="60"/>
  <c r="H37" i="60"/>
  <c r="F37" i="60"/>
  <c r="H13" i="60"/>
  <c r="X28" i="45"/>
  <c r="X29" i="45"/>
  <c r="D11" i="60"/>
  <c r="G11" i="60"/>
  <c r="K43" i="50"/>
  <c r="K44" i="50" s="1"/>
  <c r="Q38" i="50"/>
  <c r="P37" i="48"/>
  <c r="Q37" i="48" s="1"/>
  <c r="T37" i="48" s="1"/>
  <c r="T38" i="48" s="1"/>
  <c r="P41" i="50"/>
  <c r="Q37" i="50"/>
  <c r="O38" i="48"/>
  <c r="M38" i="48"/>
  <c r="N38" i="48"/>
  <c r="L39" i="48"/>
  <c r="K40" i="48"/>
  <c r="O40" i="50"/>
  <c r="N40" i="50"/>
  <c r="Q39" i="50"/>
  <c r="K44" i="55"/>
  <c r="L39" i="54"/>
  <c r="K40" i="54"/>
  <c r="M38" i="54"/>
  <c r="N38" i="54"/>
  <c r="K40" i="51"/>
  <c r="M42" i="50"/>
  <c r="N42" i="50"/>
  <c r="O42" i="50"/>
  <c r="K40" i="47"/>
  <c r="N39" i="46"/>
  <c r="M39" i="46"/>
  <c r="K41" i="46"/>
  <c r="L40" i="46"/>
  <c r="O40" i="46" s="1"/>
  <c r="D34" i="60"/>
  <c r="K23" i="52"/>
  <c r="M23" i="52" s="1"/>
  <c r="Q22" i="52" s="1"/>
  <c r="BV27" i="60"/>
  <c r="BV26" i="60"/>
  <c r="Q38" i="44" l="1"/>
  <c r="U38" i="44" s="1"/>
  <c r="Q37" i="46"/>
  <c r="T37" i="46" s="1"/>
  <c r="D50" i="60"/>
  <c r="D51" i="60"/>
  <c r="D19" i="60"/>
  <c r="D43" i="60"/>
  <c r="D36" i="60"/>
  <c r="D9" i="60"/>
  <c r="D14" i="60"/>
  <c r="P36" i="44"/>
  <c r="Q37" i="44" s="1"/>
  <c r="T37" i="44" s="1"/>
  <c r="T38" i="44" s="1"/>
  <c r="E3" i="66"/>
  <c r="AK90" i="43"/>
  <c r="AK91" i="43" s="1"/>
  <c r="AK92" i="43" s="1"/>
  <c r="AK93" i="43" s="1"/>
  <c r="AK94" i="43" s="1"/>
  <c r="AK95" i="43" s="1"/>
  <c r="AK96" i="43" s="1"/>
  <c r="AK97" i="43" s="1"/>
  <c r="AK98" i="43" s="1"/>
  <c r="AK99" i="43" s="1"/>
  <c r="AK100" i="43" s="1"/>
  <c r="AK101" i="43" s="1"/>
  <c r="AK102" i="43" s="1"/>
  <c r="AK103" i="43" s="1"/>
  <c r="AK104" i="43" s="1"/>
  <c r="AK105" i="43" s="1"/>
  <c r="AK106" i="43" s="1"/>
  <c r="AQ95" i="51"/>
  <c r="AQ96" i="51" s="1"/>
  <c r="AQ97" i="51" s="1"/>
  <c r="AQ98" i="51" s="1"/>
  <c r="AQ99" i="51" s="1"/>
  <c r="AQ100" i="51" s="1"/>
  <c r="AQ101" i="51" s="1"/>
  <c r="AQ102" i="51" s="1"/>
  <c r="AQ103" i="51" s="1"/>
  <c r="AQ104" i="51" s="1"/>
  <c r="AQ105" i="51" s="1"/>
  <c r="AQ106" i="51" s="1"/>
  <c r="AQ107" i="51" s="1"/>
  <c r="AQ108" i="51" s="1"/>
  <c r="AQ109" i="51" s="1"/>
  <c r="AQ110" i="51" s="1"/>
  <c r="AQ111" i="51" s="1"/>
  <c r="AQ112" i="51" s="1"/>
  <c r="AQ113" i="51" s="1"/>
  <c r="AQ114" i="51" s="1"/>
  <c r="AQ115" i="51" s="1"/>
  <c r="AQ116" i="51" s="1"/>
  <c r="L3" i="66"/>
  <c r="I16" i="55"/>
  <c r="T15" i="55"/>
  <c r="M3" i="66"/>
  <c r="AP95" i="51"/>
  <c r="AP96" i="51" s="1"/>
  <c r="AP97" i="51" s="1"/>
  <c r="AP98" i="51" s="1"/>
  <c r="AP99" i="51" s="1"/>
  <c r="AP100" i="51" s="1"/>
  <c r="AP101" i="51" s="1"/>
  <c r="AP102" i="51" s="1"/>
  <c r="AP103" i="51" s="1"/>
  <c r="AP104" i="51" s="1"/>
  <c r="AP105" i="51" s="1"/>
  <c r="AP106" i="51" s="1"/>
  <c r="AP107" i="51" s="1"/>
  <c r="AP108" i="51" s="1"/>
  <c r="AP109" i="51" s="1"/>
  <c r="AP110" i="51" s="1"/>
  <c r="AP111" i="51" s="1"/>
  <c r="AP112" i="51" s="1"/>
  <c r="AP113" i="51" s="1"/>
  <c r="AP114" i="51" s="1"/>
  <c r="AP115" i="51" s="1"/>
  <c r="AP116" i="51" s="1"/>
  <c r="Q3" i="66"/>
  <c r="AQ96" i="64"/>
  <c r="AQ97" i="64" s="1"/>
  <c r="AQ98" i="64" s="1"/>
  <c r="AQ99" i="64" s="1"/>
  <c r="AQ100" i="64" s="1"/>
  <c r="AQ101" i="64" s="1"/>
  <c r="AQ102" i="64" s="1"/>
  <c r="AQ103" i="64" s="1"/>
  <c r="AQ104" i="64" s="1"/>
  <c r="AQ105" i="64" s="1"/>
  <c r="AQ106" i="64" s="1"/>
  <c r="AQ107" i="64" s="1"/>
  <c r="AQ108" i="64" s="1"/>
  <c r="AQ109" i="64" s="1"/>
  <c r="AQ110" i="64" s="1"/>
  <c r="AQ111" i="64" s="1"/>
  <c r="AQ112" i="64" s="1"/>
  <c r="AQ113" i="64" s="1"/>
  <c r="AQ114" i="64" s="1"/>
  <c r="AQ115" i="64" s="1"/>
  <c r="AQ116" i="64" s="1"/>
  <c r="AQ117" i="64" s="1"/>
  <c r="AQ118" i="64" s="1"/>
  <c r="T26" i="64"/>
  <c r="L36" i="64"/>
  <c r="M36" i="64" s="1"/>
  <c r="D3" i="66"/>
  <c r="AL90" i="43"/>
  <c r="AL91" i="43" s="1"/>
  <c r="AL92" i="43" s="1"/>
  <c r="AL93" i="43" s="1"/>
  <c r="AL94" i="43" s="1"/>
  <c r="AL95" i="43" s="1"/>
  <c r="AL96" i="43" s="1"/>
  <c r="AL97" i="43" s="1"/>
  <c r="AL98" i="43" s="1"/>
  <c r="AL99" i="43" s="1"/>
  <c r="AL100" i="43" s="1"/>
  <c r="AL101" i="43" s="1"/>
  <c r="AL102" i="43" s="1"/>
  <c r="AL103" i="43" s="1"/>
  <c r="AL104" i="43" s="1"/>
  <c r="AL105" i="43" s="1"/>
  <c r="AL106" i="43" s="1"/>
  <c r="D13" i="60"/>
  <c r="G26" i="60"/>
  <c r="D29" i="60"/>
  <c r="AV96" i="54"/>
  <c r="D28" i="60"/>
  <c r="D23" i="60"/>
  <c r="G21" i="60"/>
  <c r="D21" i="60"/>
  <c r="P40" i="52"/>
  <c r="Q40" i="52" s="1"/>
  <c r="W40" i="52" s="1"/>
  <c r="W41" i="52" s="1"/>
  <c r="P38" i="54"/>
  <c r="Q38" i="54" s="1"/>
  <c r="AV97" i="54" s="1"/>
  <c r="D8" i="60"/>
  <c r="U38" i="50"/>
  <c r="V39" i="50"/>
  <c r="T37" i="50"/>
  <c r="AU109" i="50"/>
  <c r="U38" i="46"/>
  <c r="BH123" i="46"/>
  <c r="T15" i="47"/>
  <c r="I16" i="47"/>
  <c r="M39" i="39"/>
  <c r="N39" i="39"/>
  <c r="K44" i="53"/>
  <c r="L41" i="44"/>
  <c r="K42" i="44"/>
  <c r="M38" i="43"/>
  <c r="N38" i="43"/>
  <c r="L42" i="52"/>
  <c r="O42" i="52" s="1"/>
  <c r="K43" i="52"/>
  <c r="K40" i="43"/>
  <c r="L39" i="43"/>
  <c r="O39" i="43" s="1"/>
  <c r="M41" i="52"/>
  <c r="N41" i="52"/>
  <c r="T15" i="53"/>
  <c r="I16" i="53"/>
  <c r="P39" i="44"/>
  <c r="O39" i="39"/>
  <c r="K44" i="49"/>
  <c r="P38" i="39"/>
  <c r="K41" i="45"/>
  <c r="O41" i="52"/>
  <c r="K41" i="39"/>
  <c r="L40" i="39"/>
  <c r="P37" i="43"/>
  <c r="N40" i="44"/>
  <c r="M40" i="44"/>
  <c r="O38" i="43"/>
  <c r="I16" i="51"/>
  <c r="T15" i="51"/>
  <c r="T15" i="45"/>
  <c r="I16" i="45"/>
  <c r="T16" i="49"/>
  <c r="I17" i="49"/>
  <c r="AD17" i="60"/>
  <c r="AD60" i="60" s="1"/>
  <c r="Y28" i="53"/>
  <c r="AD26" i="60"/>
  <c r="AD61" i="60" s="1"/>
  <c r="Y28" i="49"/>
  <c r="AE16" i="60" s="1"/>
  <c r="AE59" i="60" s="1"/>
  <c r="AD27" i="60"/>
  <c r="AD62" i="60" s="1"/>
  <c r="Y29" i="53"/>
  <c r="P45" i="64"/>
  <c r="Q45" i="64" s="1"/>
  <c r="AR48" i="64"/>
  <c r="K48" i="64"/>
  <c r="L47" i="64"/>
  <c r="O47" i="64" s="1"/>
  <c r="M46" i="64"/>
  <c r="N46" i="64"/>
  <c r="Q44" i="64"/>
  <c r="Y43" i="64"/>
  <c r="Z43" i="64"/>
  <c r="AQ48" i="64"/>
  <c r="N36" i="64"/>
  <c r="D18" i="60"/>
  <c r="D32" i="60"/>
  <c r="G32" i="60"/>
  <c r="D37" i="60"/>
  <c r="Y28" i="45"/>
  <c r="AE11" i="60" s="1"/>
  <c r="AE57" i="60" s="1"/>
  <c r="AD11" i="60"/>
  <c r="AD57" i="60" s="1"/>
  <c r="Y29" i="45"/>
  <c r="AE12" i="60" s="1"/>
  <c r="AE58" i="60" s="1"/>
  <c r="AD12" i="60"/>
  <c r="AD58" i="60" s="1"/>
  <c r="L43" i="50"/>
  <c r="O43" i="50" s="1"/>
  <c r="P40" i="50"/>
  <c r="Q40" i="50" s="1"/>
  <c r="O39" i="48"/>
  <c r="N39" i="48"/>
  <c r="M39" i="48"/>
  <c r="P38" i="48"/>
  <c r="L40" i="48"/>
  <c r="K41" i="48"/>
  <c r="K45" i="55"/>
  <c r="K41" i="54"/>
  <c r="L40" i="54"/>
  <c r="O40" i="54" s="1"/>
  <c r="N39" i="54"/>
  <c r="M39" i="54"/>
  <c r="O39" i="54"/>
  <c r="T37" i="54"/>
  <c r="T96" i="54" s="1"/>
  <c r="K41" i="51"/>
  <c r="P42" i="50"/>
  <c r="Q42" i="50" s="1"/>
  <c r="K45" i="50"/>
  <c r="L44" i="50"/>
  <c r="K41" i="47"/>
  <c r="N40" i="46"/>
  <c r="M40" i="46"/>
  <c r="P39" i="46"/>
  <c r="K42" i="46"/>
  <c r="L41" i="46"/>
  <c r="U39" i="52"/>
  <c r="V40" i="52"/>
  <c r="U39" i="44"/>
  <c r="T37" i="39"/>
  <c r="BH122" i="46" l="1"/>
  <c r="T16" i="55"/>
  <c r="I17" i="55"/>
  <c r="U39" i="46"/>
  <c r="U124" i="46" s="1"/>
  <c r="U123" i="46"/>
  <c r="T38" i="50"/>
  <c r="T110" i="50" s="1"/>
  <c r="T109" i="50"/>
  <c r="AE27" i="60"/>
  <c r="AE62" i="60" s="1"/>
  <c r="AE22" i="60"/>
  <c r="AE26" i="60"/>
  <c r="AE61" i="60" s="1"/>
  <c r="AE21" i="60"/>
  <c r="U39" i="50"/>
  <c r="P38" i="43"/>
  <c r="Q38" i="43" s="1"/>
  <c r="V40" i="50"/>
  <c r="W40" i="50"/>
  <c r="W41" i="50" s="1"/>
  <c r="T38" i="46"/>
  <c r="T123" i="46" s="1"/>
  <c r="T122" i="46"/>
  <c r="O36" i="64"/>
  <c r="P36" i="64" s="1"/>
  <c r="L40" i="43"/>
  <c r="K41" i="43"/>
  <c r="M41" i="44"/>
  <c r="N41" i="44"/>
  <c r="T16" i="45"/>
  <c r="I17" i="45"/>
  <c r="M40" i="39"/>
  <c r="N40" i="39"/>
  <c r="Q39" i="44"/>
  <c r="V39" i="44" s="1"/>
  <c r="V40" i="44" s="1"/>
  <c r="P41" i="52"/>
  <c r="K44" i="52"/>
  <c r="L43" i="52"/>
  <c r="O43" i="52" s="1"/>
  <c r="K45" i="53"/>
  <c r="P39" i="39"/>
  <c r="Q39" i="39" s="1"/>
  <c r="V39" i="39" s="1"/>
  <c r="V40" i="39" s="1"/>
  <c r="Q37" i="43"/>
  <c r="AP90" i="43" s="1"/>
  <c r="P40" i="44"/>
  <c r="Q40" i="44" s="1"/>
  <c r="W40" i="44" s="1"/>
  <c r="W41" i="44" s="1"/>
  <c r="O40" i="39"/>
  <c r="K42" i="45"/>
  <c r="K45" i="49"/>
  <c r="T16" i="53"/>
  <c r="I17" i="53"/>
  <c r="K43" i="44"/>
  <c r="L42" i="44"/>
  <c r="O42" i="44" s="1"/>
  <c r="T16" i="47"/>
  <c r="I17" i="47"/>
  <c r="T16" i="51"/>
  <c r="I17" i="51"/>
  <c r="T17" i="49"/>
  <c r="I18" i="49"/>
  <c r="L41" i="39"/>
  <c r="O41" i="39" s="1"/>
  <c r="K42" i="39"/>
  <c r="Q38" i="39"/>
  <c r="U38" i="39" s="1"/>
  <c r="U39" i="39" s="1"/>
  <c r="N39" i="43"/>
  <c r="M39" i="43"/>
  <c r="M42" i="52"/>
  <c r="N42" i="52"/>
  <c r="O41" i="44"/>
  <c r="AR49" i="64"/>
  <c r="AB45" i="64"/>
  <c r="AQ49" i="64"/>
  <c r="K49" i="64"/>
  <c r="L48" i="64"/>
  <c r="O48" i="64" s="1"/>
  <c r="AA44" i="64"/>
  <c r="Z44" i="64"/>
  <c r="P46" i="64"/>
  <c r="N47" i="64"/>
  <c r="M47" i="64"/>
  <c r="M43" i="50"/>
  <c r="N43" i="50"/>
  <c r="P39" i="48"/>
  <c r="Q39" i="48" s="1"/>
  <c r="AU111" i="50" s="1"/>
  <c r="Q41" i="50"/>
  <c r="K42" i="48"/>
  <c r="L41" i="48"/>
  <c r="O40" i="48"/>
  <c r="N40" i="48"/>
  <c r="M40" i="48"/>
  <c r="Q38" i="48"/>
  <c r="AU110" i="50" s="1"/>
  <c r="K46" i="55"/>
  <c r="P39" i="54"/>
  <c r="M40" i="54"/>
  <c r="N40" i="54"/>
  <c r="T38" i="54"/>
  <c r="T97" i="54" s="1"/>
  <c r="K42" i="54"/>
  <c r="L41" i="54"/>
  <c r="O41" i="54" s="1"/>
  <c r="U38" i="54"/>
  <c r="U97" i="54" s="1"/>
  <c r="K42" i="51"/>
  <c r="M44" i="50"/>
  <c r="N44" i="50"/>
  <c r="K46" i="50"/>
  <c r="L45" i="50"/>
  <c r="O44" i="50"/>
  <c r="Y42" i="50"/>
  <c r="K42" i="47"/>
  <c r="Q39" i="46"/>
  <c r="M41" i="46"/>
  <c r="N41" i="46"/>
  <c r="P40" i="46"/>
  <c r="K43" i="46"/>
  <c r="L42" i="46"/>
  <c r="O41" i="46"/>
  <c r="T38" i="39"/>
  <c r="T17" i="55" l="1"/>
  <c r="I18" i="55"/>
  <c r="BH124" i="46"/>
  <c r="P40" i="39"/>
  <c r="Q40" i="39" s="1"/>
  <c r="W40" i="39" s="1"/>
  <c r="W41" i="39" s="1"/>
  <c r="AP91" i="43"/>
  <c r="X41" i="50"/>
  <c r="K46" i="53"/>
  <c r="P42" i="52"/>
  <c r="T18" i="49"/>
  <c r="I19" i="49"/>
  <c r="T17" i="47"/>
  <c r="I18" i="47"/>
  <c r="K46" i="49"/>
  <c r="T37" i="43"/>
  <c r="T90" i="43" s="1"/>
  <c r="L44" i="52"/>
  <c r="K45" i="52"/>
  <c r="T17" i="45"/>
  <c r="I18" i="45"/>
  <c r="P41" i="44"/>
  <c r="K44" i="44"/>
  <c r="L43" i="44"/>
  <c r="O43" i="44" s="1"/>
  <c r="P39" i="43"/>
  <c r="I18" i="53"/>
  <c r="T17" i="53"/>
  <c r="U38" i="43"/>
  <c r="U91" i="43" s="1"/>
  <c r="Q41" i="52"/>
  <c r="X41" i="52" s="1"/>
  <c r="X42" i="52" s="1"/>
  <c r="K42" i="43"/>
  <c r="L41" i="43"/>
  <c r="N41" i="39"/>
  <c r="M41" i="39"/>
  <c r="K43" i="39"/>
  <c r="L42" i="39"/>
  <c r="O42" i="39" s="1"/>
  <c r="T17" i="51"/>
  <c r="I18" i="51"/>
  <c r="N42" i="44"/>
  <c r="M42" i="44"/>
  <c r="K43" i="45"/>
  <c r="N43" i="52"/>
  <c r="M43" i="52"/>
  <c r="O40" i="43"/>
  <c r="N40" i="43"/>
  <c r="M40" i="43"/>
  <c r="AB46" i="64"/>
  <c r="Q46" i="64"/>
  <c r="AA45" i="64"/>
  <c r="N48" i="64"/>
  <c r="M48" i="64"/>
  <c r="AR50" i="64"/>
  <c r="AQ50" i="64"/>
  <c r="P47" i="64"/>
  <c r="Q37" i="64"/>
  <c r="L49" i="64"/>
  <c r="O49" i="64" s="1"/>
  <c r="K50" i="64"/>
  <c r="P41" i="46"/>
  <c r="Q41" i="46" s="1"/>
  <c r="P40" i="54"/>
  <c r="Q40" i="54" s="1"/>
  <c r="AV99" i="54" s="1"/>
  <c r="P43" i="50"/>
  <c r="Q43" i="50" s="1"/>
  <c r="V39" i="48"/>
  <c r="V111" i="50" s="1"/>
  <c r="U38" i="48"/>
  <c r="U110" i="50" s="1"/>
  <c r="M41" i="48"/>
  <c r="O41" i="48"/>
  <c r="N41" i="48"/>
  <c r="P40" i="48"/>
  <c r="Q40" i="48" s="1"/>
  <c r="AU112" i="50" s="1"/>
  <c r="K43" i="48"/>
  <c r="L42" i="48"/>
  <c r="O42" i="48" s="1"/>
  <c r="K47" i="55"/>
  <c r="U39" i="54"/>
  <c r="U98" i="54" s="1"/>
  <c r="K43" i="54"/>
  <c r="L42" i="54"/>
  <c r="Q39" i="54"/>
  <c r="AV98" i="54" s="1"/>
  <c r="M41" i="54"/>
  <c r="N41" i="54"/>
  <c r="K43" i="51"/>
  <c r="Y43" i="50"/>
  <c r="L46" i="50"/>
  <c r="O46" i="50" s="1"/>
  <c r="K47" i="50"/>
  <c r="M45" i="50"/>
  <c r="N45" i="50"/>
  <c r="O45" i="50"/>
  <c r="P44" i="50"/>
  <c r="K43" i="47"/>
  <c r="N42" i="46"/>
  <c r="M42" i="46"/>
  <c r="L43" i="46"/>
  <c r="O43" i="46" s="1"/>
  <c r="K44" i="46"/>
  <c r="V39" i="46"/>
  <c r="V124" i="46" s="1"/>
  <c r="O42" i="46"/>
  <c r="Q40" i="46"/>
  <c r="BH125" i="46" s="1"/>
  <c r="I19" i="55" l="1"/>
  <c r="T18" i="55"/>
  <c r="P42" i="44"/>
  <c r="Q42" i="44" s="1"/>
  <c r="Y42" i="44" s="1"/>
  <c r="Y43" i="44" s="1"/>
  <c r="P41" i="39"/>
  <c r="Q41" i="39" s="1"/>
  <c r="X41" i="39" s="1"/>
  <c r="X42" i="39" s="1"/>
  <c r="P40" i="43"/>
  <c r="Q40" i="43" s="1"/>
  <c r="AP93" i="43" s="1"/>
  <c r="X42" i="50"/>
  <c r="L44" i="44"/>
  <c r="O44" i="44" s="1"/>
  <c r="K45" i="44"/>
  <c r="L45" i="52"/>
  <c r="K46" i="52"/>
  <c r="K43" i="43"/>
  <c r="L42" i="43"/>
  <c r="U39" i="43"/>
  <c r="U92" i="43" s="1"/>
  <c r="Q41" i="44"/>
  <c r="X41" i="44" s="1"/>
  <c r="X42" i="44" s="1"/>
  <c r="N44" i="52"/>
  <c r="M44" i="52"/>
  <c r="K47" i="49"/>
  <c r="L46" i="49"/>
  <c r="O46" i="49" s="1"/>
  <c r="T19" i="49"/>
  <c r="L37" i="49"/>
  <c r="I20" i="49"/>
  <c r="L38" i="49"/>
  <c r="L39" i="49"/>
  <c r="L40" i="49"/>
  <c r="L41" i="49"/>
  <c r="L42" i="49"/>
  <c r="L43" i="49"/>
  <c r="L44" i="49"/>
  <c r="M41" i="43"/>
  <c r="N41" i="43"/>
  <c r="Q39" i="43"/>
  <c r="AP92" i="43" s="1"/>
  <c r="M42" i="39"/>
  <c r="N42" i="39"/>
  <c r="T18" i="45"/>
  <c r="I19" i="45"/>
  <c r="L45" i="49"/>
  <c r="P43" i="52"/>
  <c r="K44" i="45"/>
  <c r="L43" i="45"/>
  <c r="T18" i="51"/>
  <c r="I19" i="51"/>
  <c r="K44" i="39"/>
  <c r="L43" i="39"/>
  <c r="O43" i="39" s="1"/>
  <c r="O41" i="43"/>
  <c r="Q42" i="52"/>
  <c r="Y42" i="52" s="1"/>
  <c r="Y43" i="52" s="1"/>
  <c r="T18" i="53"/>
  <c r="I19" i="53"/>
  <c r="N43" i="44"/>
  <c r="M43" i="44"/>
  <c r="O44" i="52"/>
  <c r="T38" i="43"/>
  <c r="T91" i="43" s="1"/>
  <c r="I19" i="47"/>
  <c r="L43" i="47" s="1"/>
  <c r="O43" i="47" s="1"/>
  <c r="T18" i="47"/>
  <c r="K47" i="53"/>
  <c r="L46" i="53"/>
  <c r="P48" i="64"/>
  <c r="Q48" i="64" s="1"/>
  <c r="AR51" i="64"/>
  <c r="AC46" i="64"/>
  <c r="AQ51" i="64"/>
  <c r="Q47" i="64"/>
  <c r="N49" i="64"/>
  <c r="M49" i="64"/>
  <c r="T37" i="64"/>
  <c r="K51" i="64"/>
  <c r="L50" i="64"/>
  <c r="X41" i="46"/>
  <c r="P41" i="48"/>
  <c r="Q41" i="48" s="1"/>
  <c r="M42" i="48"/>
  <c r="N42" i="48"/>
  <c r="L43" i="48"/>
  <c r="K44" i="48"/>
  <c r="U39" i="48"/>
  <c r="U111" i="50" s="1"/>
  <c r="W40" i="48"/>
  <c r="W112" i="50" s="1"/>
  <c r="V40" i="48"/>
  <c r="V112" i="50" s="1"/>
  <c r="P45" i="50"/>
  <c r="Q45" i="50" s="1"/>
  <c r="Q44" i="50"/>
  <c r="K48" i="55"/>
  <c r="L47" i="55"/>
  <c r="M42" i="54"/>
  <c r="N42" i="54"/>
  <c r="K44" i="54"/>
  <c r="L43" i="54"/>
  <c r="O43" i="54" s="1"/>
  <c r="V39" i="54"/>
  <c r="V98" i="54" s="1"/>
  <c r="P41" i="54"/>
  <c r="W40" i="54"/>
  <c r="W99" i="54" s="1"/>
  <c r="O42" i="54"/>
  <c r="L43" i="51"/>
  <c r="K44" i="51"/>
  <c r="M46" i="50"/>
  <c r="N46" i="50"/>
  <c r="Z43" i="50"/>
  <c r="K48" i="50"/>
  <c r="L47" i="50"/>
  <c r="K44" i="47"/>
  <c r="V40" i="46"/>
  <c r="V125" i="46" s="1"/>
  <c r="K45" i="46"/>
  <c r="L44" i="46"/>
  <c r="O44" i="46" s="1"/>
  <c r="W40" i="46"/>
  <c r="W125" i="46" s="1"/>
  <c r="M43" i="46"/>
  <c r="N43" i="46"/>
  <c r="P42" i="46"/>
  <c r="L45" i="55" l="1"/>
  <c r="I20" i="55"/>
  <c r="L38" i="55"/>
  <c r="L43" i="55"/>
  <c r="L46" i="55"/>
  <c r="L37" i="55"/>
  <c r="L41" i="55"/>
  <c r="T19" i="55"/>
  <c r="L39" i="55"/>
  <c r="L44" i="55"/>
  <c r="L42" i="55"/>
  <c r="L40" i="55"/>
  <c r="X126" i="46"/>
  <c r="BH126" i="46"/>
  <c r="AA44" i="50"/>
  <c r="AA45" i="50" s="1"/>
  <c r="X42" i="46"/>
  <c r="X127" i="46" s="1"/>
  <c r="AB45" i="50"/>
  <c r="AB46" i="50" s="1"/>
  <c r="X41" i="48"/>
  <c r="X113" i="50" s="1"/>
  <c r="AU113" i="50"/>
  <c r="N46" i="53"/>
  <c r="M46" i="53"/>
  <c r="M44" i="49"/>
  <c r="N44" i="49"/>
  <c r="O44" i="49"/>
  <c r="O37" i="49"/>
  <c r="M37" i="49"/>
  <c r="N37" i="49"/>
  <c r="M42" i="43"/>
  <c r="N42" i="43"/>
  <c r="K48" i="53"/>
  <c r="L47" i="53"/>
  <c r="O47" i="53" s="1"/>
  <c r="N43" i="39"/>
  <c r="M43" i="39"/>
  <c r="N43" i="45"/>
  <c r="M43" i="45"/>
  <c r="W40" i="43"/>
  <c r="W93" i="43" s="1"/>
  <c r="N43" i="49"/>
  <c r="M43" i="49"/>
  <c r="O43" i="49"/>
  <c r="O39" i="49"/>
  <c r="N39" i="49"/>
  <c r="M39" i="49"/>
  <c r="K48" i="49"/>
  <c r="L47" i="49"/>
  <c r="O47" i="49" s="1"/>
  <c r="K44" i="43"/>
  <c r="L43" i="43"/>
  <c r="O43" i="43" s="1"/>
  <c r="M45" i="52"/>
  <c r="N45" i="52"/>
  <c r="V39" i="43"/>
  <c r="V92" i="43" s="1"/>
  <c r="O40" i="49"/>
  <c r="M40" i="49"/>
  <c r="N40" i="49"/>
  <c r="P43" i="44"/>
  <c r="K45" i="39"/>
  <c r="L44" i="39"/>
  <c r="O44" i="39" s="1"/>
  <c r="O43" i="45"/>
  <c r="N45" i="49"/>
  <c r="M45" i="49"/>
  <c r="O45" i="49"/>
  <c r="P42" i="39"/>
  <c r="M42" i="49"/>
  <c r="N42" i="49"/>
  <c r="O42" i="49"/>
  <c r="O38" i="49"/>
  <c r="N38" i="49"/>
  <c r="M38" i="49"/>
  <c r="P44" i="52"/>
  <c r="Q44" i="52" s="1"/>
  <c r="AA44" i="52" s="1"/>
  <c r="AA45" i="52" s="1"/>
  <c r="O45" i="52"/>
  <c r="K46" i="44"/>
  <c r="L45" i="44"/>
  <c r="O45" i="44"/>
  <c r="T19" i="53"/>
  <c r="I20" i="53"/>
  <c r="L37" i="53"/>
  <c r="L38" i="53"/>
  <c r="L39" i="53"/>
  <c r="L40" i="53"/>
  <c r="L41" i="53"/>
  <c r="L42" i="53"/>
  <c r="L43" i="53"/>
  <c r="L44" i="53"/>
  <c r="L45" i="53"/>
  <c r="L46" i="52"/>
  <c r="O46" i="52" s="1"/>
  <c r="K47" i="52"/>
  <c r="O46" i="53"/>
  <c r="T19" i="47"/>
  <c r="I20" i="47"/>
  <c r="L37" i="47"/>
  <c r="L38" i="47"/>
  <c r="L39" i="47"/>
  <c r="L40" i="47"/>
  <c r="L41" i="47"/>
  <c r="L42" i="47"/>
  <c r="I20" i="51"/>
  <c r="T19" i="51"/>
  <c r="L37" i="51"/>
  <c r="L38" i="51"/>
  <c r="L39" i="51"/>
  <c r="L40" i="51"/>
  <c r="L41" i="51"/>
  <c r="L42" i="51"/>
  <c r="L44" i="45"/>
  <c r="O44" i="45" s="1"/>
  <c r="K45" i="45"/>
  <c r="T19" i="45"/>
  <c r="I20" i="45"/>
  <c r="L37" i="45"/>
  <c r="L38" i="45"/>
  <c r="L39" i="45"/>
  <c r="L40" i="45"/>
  <c r="L41" i="45"/>
  <c r="L42" i="45"/>
  <c r="Q43" i="52"/>
  <c r="Z43" i="52" s="1"/>
  <c r="Z44" i="52" s="1"/>
  <c r="P41" i="43"/>
  <c r="Q41" i="43" s="1"/>
  <c r="AP94" i="43" s="1"/>
  <c r="M41" i="49"/>
  <c r="N41" i="49"/>
  <c r="O41" i="49"/>
  <c r="T20" i="49"/>
  <c r="I21" i="49"/>
  <c r="M46" i="49"/>
  <c r="N46" i="49"/>
  <c r="O42" i="43"/>
  <c r="M44" i="44"/>
  <c r="N44" i="44"/>
  <c r="AE48" i="64"/>
  <c r="P49" i="64"/>
  <c r="Q49" i="64" s="1"/>
  <c r="M50" i="64"/>
  <c r="N50" i="64"/>
  <c r="AC47" i="64"/>
  <c r="T38" i="64"/>
  <c r="K52" i="64"/>
  <c r="L51" i="64"/>
  <c r="O51" i="64" s="1"/>
  <c r="AR52" i="64"/>
  <c r="AD47" i="64"/>
  <c r="AQ52" i="64"/>
  <c r="O50" i="64"/>
  <c r="P43" i="46"/>
  <c r="Q43" i="46" s="1"/>
  <c r="L44" i="48"/>
  <c r="O44" i="48" s="1"/>
  <c r="K45" i="48"/>
  <c r="P42" i="48"/>
  <c r="Q42" i="48" s="1"/>
  <c r="AU114" i="50" s="1"/>
  <c r="W41" i="48"/>
  <c r="W113" i="50" s="1"/>
  <c r="N43" i="48"/>
  <c r="O43" i="48"/>
  <c r="M43" i="48"/>
  <c r="P46" i="50"/>
  <c r="Q46" i="50" s="1"/>
  <c r="L48" i="55"/>
  <c r="K49" i="55"/>
  <c r="M47" i="55"/>
  <c r="N47" i="55"/>
  <c r="O47" i="55"/>
  <c r="L44" i="54"/>
  <c r="O44" i="54" s="1"/>
  <c r="K45" i="54"/>
  <c r="P42" i="54"/>
  <c r="Q41" i="54"/>
  <c r="AV100" i="54" s="1"/>
  <c r="V40" i="54"/>
  <c r="V99" i="54" s="1"/>
  <c r="W41" i="54"/>
  <c r="W100" i="54" s="1"/>
  <c r="M43" i="54"/>
  <c r="N43" i="54"/>
  <c r="N43" i="51"/>
  <c r="M43" i="51"/>
  <c r="L44" i="51"/>
  <c r="O44" i="51" s="1"/>
  <c r="K45" i="51"/>
  <c r="O43" i="51"/>
  <c r="M47" i="50"/>
  <c r="N47" i="50"/>
  <c r="L48" i="50"/>
  <c r="O48" i="50" s="1"/>
  <c r="K49" i="50"/>
  <c r="O47" i="50"/>
  <c r="Z44" i="50"/>
  <c r="M43" i="47"/>
  <c r="N43" i="47"/>
  <c r="L44" i="47"/>
  <c r="O44" i="47" s="1"/>
  <c r="K45" i="47"/>
  <c r="Q42" i="46"/>
  <c r="BH127" i="46" s="1"/>
  <c r="W41" i="46"/>
  <c r="W126" i="46" s="1"/>
  <c r="M44" i="46"/>
  <c r="N44" i="46"/>
  <c r="L45" i="46"/>
  <c r="O45" i="46" s="1"/>
  <c r="K46" i="46"/>
  <c r="N40" i="55" l="1"/>
  <c r="O40" i="55"/>
  <c r="M40" i="55"/>
  <c r="O43" i="55"/>
  <c r="M43" i="55"/>
  <c r="N43" i="55"/>
  <c r="N42" i="55"/>
  <c r="M42" i="55"/>
  <c r="O42" i="55"/>
  <c r="M41" i="55"/>
  <c r="O41" i="55"/>
  <c r="N41" i="55"/>
  <c r="O38" i="55"/>
  <c r="N38" i="55"/>
  <c r="M38" i="55"/>
  <c r="O44" i="55"/>
  <c r="N44" i="55"/>
  <c r="M44" i="55"/>
  <c r="O37" i="55"/>
  <c r="N37" i="55"/>
  <c r="M37" i="55"/>
  <c r="I21" i="55"/>
  <c r="T20" i="55"/>
  <c r="N39" i="55"/>
  <c r="M39" i="55"/>
  <c r="O39" i="55"/>
  <c r="O46" i="55"/>
  <c r="N46" i="55"/>
  <c r="M46" i="55"/>
  <c r="O45" i="55"/>
  <c r="M45" i="55"/>
  <c r="N45" i="55"/>
  <c r="X42" i="48"/>
  <c r="X114" i="50" s="1"/>
  <c r="P46" i="49"/>
  <c r="AC46" i="50"/>
  <c r="P40" i="49"/>
  <c r="P44" i="49"/>
  <c r="AE49" i="64"/>
  <c r="N42" i="45"/>
  <c r="M42" i="45"/>
  <c r="O42" i="45"/>
  <c r="O41" i="51"/>
  <c r="N41" i="51"/>
  <c r="M41" i="51"/>
  <c r="O39" i="47"/>
  <c r="M39" i="47"/>
  <c r="N39" i="47"/>
  <c r="M45" i="53"/>
  <c r="N45" i="53"/>
  <c r="O45" i="53"/>
  <c r="O37" i="53"/>
  <c r="M37" i="53"/>
  <c r="N37" i="53"/>
  <c r="Q42" i="39"/>
  <c r="Y42" i="39" s="1"/>
  <c r="Y43" i="39" s="1"/>
  <c r="P45" i="52"/>
  <c r="Q45" i="52" s="1"/>
  <c r="AB45" i="52" s="1"/>
  <c r="AB46" i="52" s="1"/>
  <c r="P44" i="44"/>
  <c r="Q44" i="44" s="1"/>
  <c r="AA44" i="44" s="1"/>
  <c r="AA45" i="44" s="1"/>
  <c r="T21" i="49"/>
  <c r="I22" i="49"/>
  <c r="P41" i="49"/>
  <c r="M41" i="45"/>
  <c r="N41" i="45"/>
  <c r="O41" i="45"/>
  <c r="M37" i="45"/>
  <c r="O37" i="45"/>
  <c r="N37" i="45"/>
  <c r="K46" i="45"/>
  <c r="L45" i="45"/>
  <c r="O40" i="51"/>
  <c r="M40" i="51"/>
  <c r="N40" i="51"/>
  <c r="N42" i="47"/>
  <c r="M42" i="47"/>
  <c r="O42" i="47"/>
  <c r="O38" i="47"/>
  <c r="M38" i="47"/>
  <c r="N38" i="47"/>
  <c r="M46" i="52"/>
  <c r="N46" i="52"/>
  <c r="N44" i="53"/>
  <c r="M44" i="53"/>
  <c r="O44" i="53"/>
  <c r="O40" i="53"/>
  <c r="N40" i="53"/>
  <c r="M40" i="53"/>
  <c r="M45" i="44"/>
  <c r="N45" i="44"/>
  <c r="Q43" i="44"/>
  <c r="Z43" i="44" s="1"/>
  <c r="Z44" i="44" s="1"/>
  <c r="K49" i="49"/>
  <c r="W41" i="43"/>
  <c r="W94" i="43" s="1"/>
  <c r="P43" i="39"/>
  <c r="L48" i="53"/>
  <c r="O48" i="53" s="1"/>
  <c r="K49" i="53"/>
  <c r="P37" i="49"/>
  <c r="M38" i="45"/>
  <c r="N38" i="45"/>
  <c r="O38" i="45"/>
  <c r="N37" i="51"/>
  <c r="M37" i="51"/>
  <c r="O37" i="51"/>
  <c r="T20" i="47"/>
  <c r="I21" i="47"/>
  <c r="X41" i="43"/>
  <c r="X94" i="43" s="1"/>
  <c r="M40" i="45"/>
  <c r="N40" i="45"/>
  <c r="O40" i="45"/>
  <c r="N44" i="45"/>
  <c r="M44" i="45"/>
  <c r="N39" i="51"/>
  <c r="O39" i="51"/>
  <c r="M39" i="51"/>
  <c r="O41" i="47"/>
  <c r="N41" i="47"/>
  <c r="M41" i="47"/>
  <c r="O37" i="47"/>
  <c r="M37" i="47"/>
  <c r="N37" i="47"/>
  <c r="N43" i="53"/>
  <c r="M43" i="53"/>
  <c r="O43" i="53"/>
  <c r="O39" i="53"/>
  <c r="N39" i="53"/>
  <c r="M39" i="53"/>
  <c r="T20" i="53"/>
  <c r="I21" i="53"/>
  <c r="K47" i="44"/>
  <c r="L46" i="44"/>
  <c r="P38" i="49"/>
  <c r="P42" i="49"/>
  <c r="N43" i="43"/>
  <c r="M43" i="43"/>
  <c r="P39" i="49"/>
  <c r="P43" i="49"/>
  <c r="K48" i="52"/>
  <c r="L47" i="52"/>
  <c r="O47" i="52" s="1"/>
  <c r="N41" i="53"/>
  <c r="M41" i="53"/>
  <c r="O41" i="53"/>
  <c r="L45" i="39"/>
  <c r="O45" i="39" s="1"/>
  <c r="K46" i="39"/>
  <c r="N39" i="45"/>
  <c r="M39" i="45"/>
  <c r="O39" i="45"/>
  <c r="T20" i="45"/>
  <c r="I21" i="45"/>
  <c r="O42" i="51"/>
  <c r="N42" i="51"/>
  <c r="M42" i="51"/>
  <c r="O38" i="51"/>
  <c r="N38" i="51"/>
  <c r="M38" i="51"/>
  <c r="T20" i="51"/>
  <c r="I21" i="51"/>
  <c r="O40" i="47"/>
  <c r="N40" i="47"/>
  <c r="M40" i="47"/>
  <c r="N42" i="53"/>
  <c r="M42" i="53"/>
  <c r="O42" i="53"/>
  <c r="M38" i="53"/>
  <c r="N38" i="53"/>
  <c r="O38" i="53"/>
  <c r="P45" i="49"/>
  <c r="M44" i="39"/>
  <c r="N44" i="39"/>
  <c r="V40" i="43"/>
  <c r="V93" i="43" s="1"/>
  <c r="L44" i="43"/>
  <c r="K45" i="43"/>
  <c r="M47" i="49"/>
  <c r="N47" i="49"/>
  <c r="P43" i="45"/>
  <c r="M47" i="53"/>
  <c r="N47" i="53"/>
  <c r="P42" i="43"/>
  <c r="P46" i="53"/>
  <c r="P50" i="64"/>
  <c r="Q50" i="64" s="1"/>
  <c r="AQ53" i="64"/>
  <c r="AF49" i="64"/>
  <c r="AD48" i="64"/>
  <c r="N51" i="64"/>
  <c r="M51" i="64"/>
  <c r="AR53" i="64"/>
  <c r="L52" i="64"/>
  <c r="K53" i="64"/>
  <c r="P43" i="54"/>
  <c r="Q43" i="54" s="1"/>
  <c r="AV102" i="54" s="1"/>
  <c r="P43" i="48"/>
  <c r="Q43" i="48" s="1"/>
  <c r="Y42" i="48"/>
  <c r="Y114" i="50" s="1"/>
  <c r="M44" i="48"/>
  <c r="N44" i="48"/>
  <c r="L45" i="48"/>
  <c r="K46" i="48"/>
  <c r="P47" i="50"/>
  <c r="Q47" i="50" s="1"/>
  <c r="M48" i="55"/>
  <c r="N48" i="55"/>
  <c r="O48" i="55"/>
  <c r="P47" i="55"/>
  <c r="K50" i="55"/>
  <c r="K46" i="54"/>
  <c r="L45" i="54"/>
  <c r="O45" i="54" s="1"/>
  <c r="X41" i="54"/>
  <c r="X100" i="54" s="1"/>
  <c r="Q42" i="54"/>
  <c r="AV101" i="54" s="1"/>
  <c r="M44" i="54"/>
  <c r="N44" i="54"/>
  <c r="K46" i="51"/>
  <c r="L45" i="51"/>
  <c r="O45" i="51" s="1"/>
  <c r="M44" i="51"/>
  <c r="N44" i="51"/>
  <c r="P43" i="51"/>
  <c r="N48" i="50"/>
  <c r="M48" i="50"/>
  <c r="L49" i="50"/>
  <c r="O49" i="50"/>
  <c r="K50" i="50"/>
  <c r="K46" i="47"/>
  <c r="L45" i="47"/>
  <c r="M44" i="47"/>
  <c r="N44" i="47"/>
  <c r="P43" i="47"/>
  <c r="N45" i="46"/>
  <c r="M45" i="46"/>
  <c r="Y42" i="46"/>
  <c r="Y127" i="46" s="1"/>
  <c r="L46" i="46"/>
  <c r="K47" i="46"/>
  <c r="P44" i="46"/>
  <c r="Z43" i="46"/>
  <c r="P42" i="55" l="1"/>
  <c r="P38" i="55"/>
  <c r="P45" i="55"/>
  <c r="P40" i="55"/>
  <c r="T21" i="55"/>
  <c r="I22" i="55"/>
  <c r="P44" i="55"/>
  <c r="Q45" i="55" s="1"/>
  <c r="AB45" i="55" s="1"/>
  <c r="P41" i="55"/>
  <c r="P46" i="55"/>
  <c r="P39" i="55"/>
  <c r="P37" i="55"/>
  <c r="P43" i="55"/>
  <c r="Z128" i="46"/>
  <c r="Q46" i="49"/>
  <c r="AC46" i="49" s="1"/>
  <c r="AC47" i="49" s="1"/>
  <c r="P37" i="51"/>
  <c r="P38" i="51"/>
  <c r="P40" i="45"/>
  <c r="Q41" i="49"/>
  <c r="X41" i="49" s="1"/>
  <c r="X42" i="49" s="1"/>
  <c r="Q40" i="49"/>
  <c r="W40" i="49" s="1"/>
  <c r="W41" i="49" s="1"/>
  <c r="P46" i="52"/>
  <c r="Q46" i="52" s="1"/>
  <c r="AC46" i="52" s="1"/>
  <c r="AC47" i="52" s="1"/>
  <c r="P47" i="53"/>
  <c r="Q47" i="53" s="1"/>
  <c r="AV98" i="65" s="1"/>
  <c r="P37" i="53"/>
  <c r="P45" i="53"/>
  <c r="Q46" i="53" s="1"/>
  <c r="AV97" i="65" s="1"/>
  <c r="P41" i="51"/>
  <c r="P42" i="45"/>
  <c r="Q43" i="45" s="1"/>
  <c r="Z43" i="45" s="1"/>
  <c r="Z44" i="45" s="1"/>
  <c r="P40" i="47"/>
  <c r="P42" i="51"/>
  <c r="Q43" i="51" s="1"/>
  <c r="P41" i="53"/>
  <c r="P38" i="45"/>
  <c r="P38" i="47"/>
  <c r="Z43" i="48"/>
  <c r="Z115" i="50" s="1"/>
  <c r="AU115" i="50"/>
  <c r="AC47" i="50"/>
  <c r="BH128" i="46"/>
  <c r="AB46" i="55"/>
  <c r="P47" i="49"/>
  <c r="Q47" i="49" s="1"/>
  <c r="AD47" i="49" s="1"/>
  <c r="AD48" i="49" s="1"/>
  <c r="Q39" i="49"/>
  <c r="V39" i="49" s="1"/>
  <c r="V40" i="49" s="1"/>
  <c r="K46" i="43"/>
  <c r="L45" i="43"/>
  <c r="O45" i="43" s="1"/>
  <c r="K50" i="49"/>
  <c r="N45" i="45"/>
  <c r="M45" i="45"/>
  <c r="T22" i="49"/>
  <c r="I23" i="49"/>
  <c r="L49" i="49" s="1"/>
  <c r="M44" i="43"/>
  <c r="N44" i="43"/>
  <c r="K47" i="39"/>
  <c r="L46" i="39"/>
  <c r="N46" i="44"/>
  <c r="M46" i="44"/>
  <c r="P37" i="47"/>
  <c r="T21" i="47"/>
  <c r="I22" i="47"/>
  <c r="Q38" i="49"/>
  <c r="U38" i="49" s="1"/>
  <c r="U39" i="49" s="1"/>
  <c r="O45" i="45"/>
  <c r="Q43" i="49"/>
  <c r="Z43" i="49" s="1"/>
  <c r="Z44" i="49" s="1"/>
  <c r="Q44" i="49"/>
  <c r="AA44" i="49" s="1"/>
  <c r="AA45" i="49" s="1"/>
  <c r="I22" i="53"/>
  <c r="T21" i="53"/>
  <c r="Q42" i="43"/>
  <c r="AP95" i="43" s="1"/>
  <c r="O44" i="43"/>
  <c r="P44" i="39"/>
  <c r="P42" i="53"/>
  <c r="M45" i="39"/>
  <c r="N45" i="39"/>
  <c r="M47" i="52"/>
  <c r="N47" i="52"/>
  <c r="O46" i="44"/>
  <c r="P39" i="53"/>
  <c r="P43" i="53"/>
  <c r="P39" i="51"/>
  <c r="P44" i="45"/>
  <c r="Q44" i="45" s="1"/>
  <c r="AA44" i="45" s="1"/>
  <c r="AA45" i="45" s="1"/>
  <c r="X42" i="43"/>
  <c r="X95" i="43" s="1"/>
  <c r="K50" i="53"/>
  <c r="P45" i="44"/>
  <c r="Q45" i="44" s="1"/>
  <c r="AB45" i="44" s="1"/>
  <c r="AB46" i="44" s="1"/>
  <c r="P40" i="51"/>
  <c r="K47" i="45"/>
  <c r="P41" i="45"/>
  <c r="Q43" i="39"/>
  <c r="Z43" i="39" s="1"/>
  <c r="Z44" i="39" s="1"/>
  <c r="P39" i="47"/>
  <c r="P38" i="53"/>
  <c r="T21" i="51"/>
  <c r="I22" i="51"/>
  <c r="T21" i="45"/>
  <c r="I22" i="45"/>
  <c r="P39" i="45"/>
  <c r="L48" i="52"/>
  <c r="K49" i="52"/>
  <c r="P43" i="43"/>
  <c r="Q43" i="43" s="1"/>
  <c r="L47" i="44"/>
  <c r="K48" i="44"/>
  <c r="O47" i="44"/>
  <c r="P41" i="47"/>
  <c r="M48" i="53"/>
  <c r="N48" i="53"/>
  <c r="P40" i="53"/>
  <c r="P44" i="53"/>
  <c r="P42" i="47"/>
  <c r="P37" i="45"/>
  <c r="Q42" i="49"/>
  <c r="Q45" i="49"/>
  <c r="AB45" i="49" s="1"/>
  <c r="AB46" i="49" s="1"/>
  <c r="P51" i="64"/>
  <c r="Q51" i="64" s="1"/>
  <c r="N52" i="64"/>
  <c r="M52" i="64"/>
  <c r="AQ54" i="64"/>
  <c r="AG50" i="64"/>
  <c r="L53" i="64"/>
  <c r="O53" i="64" s="1"/>
  <c r="K54" i="64"/>
  <c r="AF50" i="64"/>
  <c r="AR54" i="64"/>
  <c r="O52" i="64"/>
  <c r="P48" i="50"/>
  <c r="Q48" i="50" s="1"/>
  <c r="P45" i="46"/>
  <c r="Q45" i="46" s="1"/>
  <c r="P44" i="47"/>
  <c r="Q44" i="47" s="1"/>
  <c r="P48" i="55"/>
  <c r="Q48" i="55" s="1"/>
  <c r="Y43" i="48"/>
  <c r="Y115" i="50" s="1"/>
  <c r="O45" i="48"/>
  <c r="M45" i="48"/>
  <c r="N45" i="48"/>
  <c r="P44" i="48"/>
  <c r="K47" i="48"/>
  <c r="L46" i="48"/>
  <c r="K51" i="55"/>
  <c r="Q47" i="55"/>
  <c r="P44" i="54"/>
  <c r="X42" i="54"/>
  <c r="X101" i="54" s="1"/>
  <c r="Y42" i="54"/>
  <c r="Y101" i="54" s="1"/>
  <c r="Z43" i="54"/>
  <c r="Z102" i="54" s="1"/>
  <c r="M45" i="54"/>
  <c r="N45" i="54"/>
  <c r="O46" i="54"/>
  <c r="K47" i="54"/>
  <c r="L46" i="54"/>
  <c r="K47" i="51"/>
  <c r="L46" i="51"/>
  <c r="P44" i="51"/>
  <c r="N45" i="51"/>
  <c r="M45" i="51"/>
  <c r="AD47" i="50"/>
  <c r="K51" i="50"/>
  <c r="L50" i="50"/>
  <c r="O50" i="50" s="1"/>
  <c r="M49" i="50"/>
  <c r="N49" i="50"/>
  <c r="M45" i="47"/>
  <c r="N45" i="47"/>
  <c r="O45" i="47"/>
  <c r="K47" i="47"/>
  <c r="Z44" i="46"/>
  <c r="Z129" i="46" s="1"/>
  <c r="M46" i="46"/>
  <c r="N46" i="46"/>
  <c r="Q44" i="46"/>
  <c r="BH129" i="46" s="1"/>
  <c r="L47" i="46"/>
  <c r="K48" i="46"/>
  <c r="O46" i="46"/>
  <c r="Y43" i="46"/>
  <c r="Y128" i="46" s="1"/>
  <c r="Q41" i="47" l="1"/>
  <c r="Q39" i="47"/>
  <c r="V39" i="47" s="1"/>
  <c r="Q42" i="55"/>
  <c r="Y42" i="55" s="1"/>
  <c r="Y43" i="55" s="1"/>
  <c r="Q38" i="55"/>
  <c r="U38" i="55" s="1"/>
  <c r="U39" i="55" s="1"/>
  <c r="Q46" i="55"/>
  <c r="AC46" i="55" s="1"/>
  <c r="AC47" i="55" s="1"/>
  <c r="Q44" i="55"/>
  <c r="AA44" i="55" s="1"/>
  <c r="AA45" i="55" s="1"/>
  <c r="AU101" i="51"/>
  <c r="Q42" i="45"/>
  <c r="Y42" i="45" s="1"/>
  <c r="Y43" i="45" s="1"/>
  <c r="Q41" i="55"/>
  <c r="X41" i="55" s="1"/>
  <c r="X42" i="55" s="1"/>
  <c r="Q40" i="55"/>
  <c r="W40" i="55" s="1"/>
  <c r="W41" i="55" s="1"/>
  <c r="Q39" i="55"/>
  <c r="V39" i="55" s="1"/>
  <c r="V40" i="55" s="1"/>
  <c r="T22" i="55"/>
  <c r="I23" i="55"/>
  <c r="Q43" i="55"/>
  <c r="Z43" i="55" s="1"/>
  <c r="Z44" i="55" s="1"/>
  <c r="AP96" i="43"/>
  <c r="Q39" i="51"/>
  <c r="AU97" i="51" s="1"/>
  <c r="Q41" i="51"/>
  <c r="X41" i="51" s="1"/>
  <c r="X99" i="51" s="1"/>
  <c r="Q38" i="51"/>
  <c r="U38" i="51" s="1"/>
  <c r="U39" i="51" s="1"/>
  <c r="U97" i="51" s="1"/>
  <c r="Q40" i="45"/>
  <c r="W40" i="45" s="1"/>
  <c r="W41" i="45" s="1"/>
  <c r="Q41" i="53"/>
  <c r="AV92" i="65" s="1"/>
  <c r="AU99" i="51"/>
  <c r="BH130" i="46"/>
  <c r="Q42" i="53"/>
  <c r="AV93" i="65" s="1"/>
  <c r="Q38" i="53"/>
  <c r="AV89" i="65" s="1"/>
  <c r="AV106" i="55"/>
  <c r="Q42" i="51"/>
  <c r="Y42" i="51" s="1"/>
  <c r="AP97" i="47"/>
  <c r="P48" i="53"/>
  <c r="Q48" i="53" s="1"/>
  <c r="AV99" i="65" s="1"/>
  <c r="Q42" i="47"/>
  <c r="AC46" i="53"/>
  <c r="AC97" i="65" s="1"/>
  <c r="AV105" i="64"/>
  <c r="Z44" i="48"/>
  <c r="Z116" i="50" s="1"/>
  <c r="Q38" i="45"/>
  <c r="U38" i="45" s="1"/>
  <c r="U39" i="45" s="1"/>
  <c r="AD47" i="53"/>
  <c r="AD98" i="65" s="1"/>
  <c r="AV106" i="64"/>
  <c r="Q40" i="47"/>
  <c r="Z43" i="43"/>
  <c r="Z96" i="43" s="1"/>
  <c r="P44" i="43"/>
  <c r="Y42" i="49"/>
  <c r="L48" i="44"/>
  <c r="O48" i="44" s="1"/>
  <c r="K49" i="44"/>
  <c r="Q43" i="47"/>
  <c r="AP96" i="47" s="1"/>
  <c r="P45" i="39"/>
  <c r="Q45" i="39" s="1"/>
  <c r="AB45" i="39" s="1"/>
  <c r="AB46" i="39" s="1"/>
  <c r="T22" i="53"/>
  <c r="I23" i="53"/>
  <c r="L50" i="53" s="1"/>
  <c r="P46" i="44"/>
  <c r="Q46" i="44" s="1"/>
  <c r="AC46" i="44" s="1"/>
  <c r="AC47" i="44" s="1"/>
  <c r="K48" i="39"/>
  <c r="L47" i="39"/>
  <c r="O47" i="39" s="1"/>
  <c r="P45" i="45"/>
  <c r="Q45" i="45" s="1"/>
  <c r="AB45" i="45" s="1"/>
  <c r="AB46" i="45" s="1"/>
  <c r="Q39" i="45"/>
  <c r="V39" i="45" s="1"/>
  <c r="V40" i="45" s="1"/>
  <c r="M48" i="52"/>
  <c r="N48" i="52"/>
  <c r="M46" i="39"/>
  <c r="N46" i="39"/>
  <c r="N49" i="49"/>
  <c r="M49" i="49"/>
  <c r="M47" i="44"/>
  <c r="N47" i="44"/>
  <c r="L49" i="52"/>
  <c r="O49" i="52" s="1"/>
  <c r="K50" i="52"/>
  <c r="T22" i="45"/>
  <c r="I23" i="45"/>
  <c r="L47" i="45" s="1"/>
  <c r="K48" i="45"/>
  <c r="K51" i="53"/>
  <c r="Q39" i="53"/>
  <c r="AV90" i="65" s="1"/>
  <c r="Q40" i="53"/>
  <c r="AV91" i="65" s="1"/>
  <c r="Q43" i="53"/>
  <c r="AV94" i="65" s="1"/>
  <c r="Y42" i="43"/>
  <c r="Y95" i="43" s="1"/>
  <c r="T22" i="47"/>
  <c r="I23" i="47"/>
  <c r="T23" i="49"/>
  <c r="I24" i="49"/>
  <c r="L48" i="49"/>
  <c r="O49" i="49"/>
  <c r="Q41" i="45"/>
  <c r="X41" i="45" s="1"/>
  <c r="X42" i="45" s="1"/>
  <c r="M45" i="43"/>
  <c r="N45" i="43"/>
  <c r="T22" i="51"/>
  <c r="I23" i="51"/>
  <c r="Q40" i="51"/>
  <c r="AU98" i="51" s="1"/>
  <c r="Q38" i="47"/>
  <c r="Q44" i="53"/>
  <c r="AV95" i="65" s="1"/>
  <c r="Q45" i="53"/>
  <c r="AV96" i="65" s="1"/>
  <c r="X41" i="47"/>
  <c r="O48" i="52"/>
  <c r="P47" i="52"/>
  <c r="Q44" i="39"/>
  <c r="AA44" i="39" s="1"/>
  <c r="AA45" i="39" s="1"/>
  <c r="O46" i="39"/>
  <c r="L50" i="49"/>
  <c r="O50" i="49" s="1"/>
  <c r="K51" i="49"/>
  <c r="K47" i="43"/>
  <c r="L46" i="43"/>
  <c r="AH51" i="64"/>
  <c r="K55" i="64"/>
  <c r="L54" i="64"/>
  <c r="AQ55" i="64"/>
  <c r="M53" i="64"/>
  <c r="N53" i="64"/>
  <c r="AG51" i="64"/>
  <c r="AR55" i="64"/>
  <c r="P52" i="64"/>
  <c r="P45" i="54"/>
  <c r="Q45" i="54" s="1"/>
  <c r="AV104" i="54" s="1"/>
  <c r="P45" i="51"/>
  <c r="Q45" i="51" s="1"/>
  <c r="AU103" i="51" s="1"/>
  <c r="P46" i="46"/>
  <c r="Q46" i="46" s="1"/>
  <c r="N46" i="48"/>
  <c r="O46" i="48"/>
  <c r="M46" i="48"/>
  <c r="P45" i="48"/>
  <c r="Q45" i="48" s="1"/>
  <c r="AU117" i="50" s="1"/>
  <c r="L47" i="48"/>
  <c r="K48" i="48"/>
  <c r="Q44" i="48"/>
  <c r="AU116" i="50" s="1"/>
  <c r="P49" i="50"/>
  <c r="Q49" i="50" s="1"/>
  <c r="AD47" i="55"/>
  <c r="AE48" i="55"/>
  <c r="L51" i="55"/>
  <c r="O51" i="55" s="1"/>
  <c r="K52" i="55"/>
  <c r="M46" i="54"/>
  <c r="N46" i="54"/>
  <c r="Y43" i="54"/>
  <c r="Y102" i="54" s="1"/>
  <c r="Z44" i="54"/>
  <c r="Z103" i="54" s="1"/>
  <c r="K48" i="54"/>
  <c r="L47" i="54"/>
  <c r="O47" i="54" s="1"/>
  <c r="Q44" i="54"/>
  <c r="AV103" i="54" s="1"/>
  <c r="M46" i="51"/>
  <c r="N46" i="51"/>
  <c r="K48" i="51"/>
  <c r="L47" i="51"/>
  <c r="O47" i="51" s="1"/>
  <c r="Z43" i="51"/>
  <c r="Z101" i="51" s="1"/>
  <c r="O46" i="51"/>
  <c r="Q44" i="51"/>
  <c r="AU102" i="51" s="1"/>
  <c r="K52" i="50"/>
  <c r="L51" i="50"/>
  <c r="AE48" i="50"/>
  <c r="M50" i="50"/>
  <c r="N50" i="50"/>
  <c r="AD48" i="50"/>
  <c r="K48" i="47"/>
  <c r="P45" i="47"/>
  <c r="AA44" i="47"/>
  <c r="AA97" i="47" s="1"/>
  <c r="N47" i="46"/>
  <c r="M47" i="46"/>
  <c r="AA44" i="46"/>
  <c r="AA129" i="46" s="1"/>
  <c r="K49" i="46"/>
  <c r="L48" i="46"/>
  <c r="AB45" i="46"/>
  <c r="AB130" i="46" s="1"/>
  <c r="O47" i="46"/>
  <c r="V39" i="51" l="1"/>
  <c r="V97" i="51" s="1"/>
  <c r="AV105" i="55"/>
  <c r="AP95" i="47"/>
  <c r="L49" i="55"/>
  <c r="T23" i="55"/>
  <c r="L50" i="55"/>
  <c r="I24" i="55"/>
  <c r="AP93" i="47"/>
  <c r="AP91" i="47"/>
  <c r="U96" i="51"/>
  <c r="AV100" i="55"/>
  <c r="AV100" i="64"/>
  <c r="AU100" i="51"/>
  <c r="AU96" i="51"/>
  <c r="Y42" i="47"/>
  <c r="Y95" i="47" s="1"/>
  <c r="AD106" i="55"/>
  <c r="X41" i="53"/>
  <c r="X92" i="65" s="1"/>
  <c r="AV97" i="55"/>
  <c r="AV97" i="64"/>
  <c r="U38" i="53"/>
  <c r="U89" i="65" s="1"/>
  <c r="AV101" i="55"/>
  <c r="W40" i="47"/>
  <c r="W93" i="47" s="1"/>
  <c r="Y42" i="53"/>
  <c r="Y43" i="53" s="1"/>
  <c r="AV101" i="64"/>
  <c r="V92" i="47"/>
  <c r="AP92" i="47"/>
  <c r="AV107" i="55"/>
  <c r="AV98" i="64"/>
  <c r="AV98" i="55"/>
  <c r="AP94" i="47"/>
  <c r="BH131" i="46"/>
  <c r="X94" i="47"/>
  <c r="Y100" i="51"/>
  <c r="Y43" i="51"/>
  <c r="AV104" i="64"/>
  <c r="AV104" i="55"/>
  <c r="AV102" i="64"/>
  <c r="AV102" i="55"/>
  <c r="AD48" i="53"/>
  <c r="AD106" i="64"/>
  <c r="AE48" i="53"/>
  <c r="AE99" i="65" s="1"/>
  <c r="AV107" i="64"/>
  <c r="AV103" i="64"/>
  <c r="AV103" i="55"/>
  <c r="AV99" i="64"/>
  <c r="AV99" i="55"/>
  <c r="AC47" i="53"/>
  <c r="AC98" i="65" s="1"/>
  <c r="AC105" i="64"/>
  <c r="AC105" i="55"/>
  <c r="N50" i="53"/>
  <c r="M50" i="53"/>
  <c r="O50" i="53"/>
  <c r="AB45" i="53"/>
  <c r="AB96" i="65" s="1"/>
  <c r="M48" i="49"/>
  <c r="N48" i="49"/>
  <c r="O48" i="49"/>
  <c r="M47" i="45"/>
  <c r="N47" i="45"/>
  <c r="T23" i="45"/>
  <c r="I24" i="45"/>
  <c r="L46" i="45"/>
  <c r="M46" i="43"/>
  <c r="N46" i="43"/>
  <c r="L51" i="49"/>
  <c r="K52" i="49"/>
  <c r="Q47" i="52"/>
  <c r="AD47" i="52" s="1"/>
  <c r="AD48" i="52" s="1"/>
  <c r="AA44" i="53"/>
  <c r="AA95" i="65" s="1"/>
  <c r="W40" i="51"/>
  <c r="W98" i="51" s="1"/>
  <c r="P45" i="43"/>
  <c r="Q45" i="43" s="1"/>
  <c r="AP98" i="43" s="1"/>
  <c r="Z43" i="53"/>
  <c r="Z94" i="65" s="1"/>
  <c r="K49" i="45"/>
  <c r="L48" i="45"/>
  <c r="O48" i="45" s="1"/>
  <c r="P46" i="39"/>
  <c r="Q46" i="39" s="1"/>
  <c r="AC46" i="39" s="1"/>
  <c r="AC47" i="39" s="1"/>
  <c r="L48" i="39"/>
  <c r="K49" i="39"/>
  <c r="Z44" i="43"/>
  <c r="Z97" i="43" s="1"/>
  <c r="T23" i="53"/>
  <c r="I24" i="53"/>
  <c r="L49" i="53"/>
  <c r="O46" i="43"/>
  <c r="I24" i="51"/>
  <c r="T23" i="51"/>
  <c r="T24" i="49"/>
  <c r="I25" i="49"/>
  <c r="W40" i="53"/>
  <c r="W91" i="65" s="1"/>
  <c r="L51" i="53"/>
  <c r="O51" i="53"/>
  <c r="K52" i="53"/>
  <c r="K51" i="52"/>
  <c r="L50" i="52"/>
  <c r="O50" i="52"/>
  <c r="P47" i="44"/>
  <c r="Q47" i="44" s="1"/>
  <c r="AD47" i="44" s="1"/>
  <c r="AD48" i="44" s="1"/>
  <c r="P49" i="49"/>
  <c r="V40" i="47"/>
  <c r="V93" i="47" s="1"/>
  <c r="L49" i="44"/>
  <c r="O49" i="44" s="1"/>
  <c r="K50" i="44"/>
  <c r="Y43" i="49"/>
  <c r="T23" i="47"/>
  <c r="I24" i="47"/>
  <c r="L46" i="47"/>
  <c r="N47" i="39"/>
  <c r="M47" i="39"/>
  <c r="L47" i="47"/>
  <c r="O47" i="47" s="1"/>
  <c r="K48" i="43"/>
  <c r="L47" i="43"/>
  <c r="N50" i="49"/>
  <c r="M50" i="49"/>
  <c r="X42" i="47"/>
  <c r="X95" i="47" s="1"/>
  <c r="U38" i="47"/>
  <c r="U91" i="47" s="1"/>
  <c r="Y43" i="43"/>
  <c r="Y96" i="43" s="1"/>
  <c r="V39" i="53"/>
  <c r="V90" i="65" s="1"/>
  <c r="O47" i="45"/>
  <c r="N49" i="52"/>
  <c r="M49" i="52"/>
  <c r="P48" i="52"/>
  <c r="Q48" i="52" s="1"/>
  <c r="AE48" i="52" s="1"/>
  <c r="AE49" i="52" s="1"/>
  <c r="Z43" i="47"/>
  <c r="Z96" i="47" s="1"/>
  <c r="N48" i="44"/>
  <c r="M48" i="44"/>
  <c r="Q44" i="43"/>
  <c r="AP97" i="43" s="1"/>
  <c r="X42" i="51"/>
  <c r="X100" i="51" s="1"/>
  <c r="AQ56" i="64"/>
  <c r="AH52" i="64"/>
  <c r="N54" i="64"/>
  <c r="M54" i="64"/>
  <c r="AR56" i="64"/>
  <c r="P53" i="64"/>
  <c r="Q53" i="64" s="1"/>
  <c r="O54" i="64"/>
  <c r="Q52" i="64"/>
  <c r="K56" i="64"/>
  <c r="L55" i="64"/>
  <c r="P46" i="48"/>
  <c r="Q46" i="48" s="1"/>
  <c r="AB45" i="48"/>
  <c r="AB117" i="50" s="1"/>
  <c r="K49" i="48"/>
  <c r="L48" i="48"/>
  <c r="O48" i="48" s="1"/>
  <c r="O47" i="48"/>
  <c r="N47" i="48"/>
  <c r="M47" i="48"/>
  <c r="AA44" i="48"/>
  <c r="AA116" i="50" s="1"/>
  <c r="P50" i="50"/>
  <c r="Q50" i="50" s="1"/>
  <c r="N51" i="55"/>
  <c r="M51" i="55"/>
  <c r="AE49" i="55"/>
  <c r="L52" i="55"/>
  <c r="O52" i="55" s="1"/>
  <c r="K53" i="55"/>
  <c r="AD48" i="55"/>
  <c r="AB45" i="54"/>
  <c r="AB104" i="54" s="1"/>
  <c r="M47" i="54"/>
  <c r="N47" i="54"/>
  <c r="AA44" i="54"/>
  <c r="AA103" i="54" s="1"/>
  <c r="L48" i="54"/>
  <c r="O48" i="54" s="1"/>
  <c r="K49" i="54"/>
  <c r="P46" i="54"/>
  <c r="Z44" i="51"/>
  <c r="Z102" i="51" s="1"/>
  <c r="P46" i="51"/>
  <c r="AA44" i="51"/>
  <c r="AA102" i="51" s="1"/>
  <c r="AB45" i="51"/>
  <c r="AB103" i="51" s="1"/>
  <c r="N47" i="51"/>
  <c r="M47" i="51"/>
  <c r="L48" i="51"/>
  <c r="O48" i="51" s="1"/>
  <c r="K49" i="51"/>
  <c r="M51" i="50"/>
  <c r="N51" i="50"/>
  <c r="AE49" i="50"/>
  <c r="L52" i="50"/>
  <c r="O52" i="50" s="1"/>
  <c r="K53" i="50"/>
  <c r="AF49" i="50"/>
  <c r="O51" i="50"/>
  <c r="K49" i="47"/>
  <c r="L48" i="47"/>
  <c r="O48" i="47" s="1"/>
  <c r="Q45" i="47"/>
  <c r="AP98" i="47" s="1"/>
  <c r="AA45" i="47"/>
  <c r="AA98" i="47" s="1"/>
  <c r="AC46" i="46"/>
  <c r="AC131" i="46" s="1"/>
  <c r="N48" i="46"/>
  <c r="M48" i="46"/>
  <c r="AA45" i="46"/>
  <c r="AA130" i="46" s="1"/>
  <c r="L49" i="46"/>
  <c r="O49" i="46" s="1"/>
  <c r="K50" i="46"/>
  <c r="P47" i="46"/>
  <c r="O48" i="46"/>
  <c r="AB46" i="46"/>
  <c r="AB131" i="46" s="1"/>
  <c r="W41" i="47" l="1"/>
  <c r="W94" i="47" s="1"/>
  <c r="N47" i="47"/>
  <c r="M47" i="47"/>
  <c r="V40" i="51"/>
  <c r="V98" i="51" s="1"/>
  <c r="O50" i="55"/>
  <c r="N50" i="55"/>
  <c r="M50" i="55"/>
  <c r="I25" i="55"/>
  <c r="T24" i="55"/>
  <c r="Y43" i="47"/>
  <c r="Y96" i="47" s="1"/>
  <c r="O49" i="55"/>
  <c r="M49" i="55"/>
  <c r="N49" i="55"/>
  <c r="X100" i="64"/>
  <c r="X42" i="53"/>
  <c r="X93" i="65" s="1"/>
  <c r="Y101" i="64"/>
  <c r="X100" i="55"/>
  <c r="U97" i="55"/>
  <c r="AD107" i="55"/>
  <c r="U39" i="53"/>
  <c r="U90" i="65" s="1"/>
  <c r="U97" i="64"/>
  <c r="Y93" i="65"/>
  <c r="Y101" i="55"/>
  <c r="P47" i="39"/>
  <c r="Q47" i="39" s="1"/>
  <c r="AD47" i="39" s="1"/>
  <c r="AD48" i="39" s="1"/>
  <c r="P49" i="52"/>
  <c r="Q49" i="52" s="1"/>
  <c r="AF49" i="52" s="1"/>
  <c r="AF50" i="52" s="1"/>
  <c r="Y102" i="64"/>
  <c r="Y94" i="65"/>
  <c r="P48" i="44"/>
  <c r="Q48" i="44" s="1"/>
  <c r="AE48" i="44" s="1"/>
  <c r="AE49" i="44" s="1"/>
  <c r="AD107" i="64"/>
  <c r="AD99" i="65"/>
  <c r="AC46" i="48"/>
  <c r="AU118" i="50"/>
  <c r="V98" i="64"/>
  <c r="V98" i="55"/>
  <c r="W99" i="64"/>
  <c r="W99" i="55"/>
  <c r="AA103" i="64"/>
  <c r="AA103" i="55"/>
  <c r="AB104" i="64"/>
  <c r="AB104" i="55"/>
  <c r="AC106" i="64"/>
  <c r="AC106" i="55"/>
  <c r="AE49" i="53"/>
  <c r="AE108" i="55" s="1"/>
  <c r="AE107" i="64"/>
  <c r="Y101" i="51"/>
  <c r="Z102" i="64"/>
  <c r="Z102" i="55"/>
  <c r="AE107" i="55"/>
  <c r="Y102" i="55"/>
  <c r="N51" i="49"/>
  <c r="M51" i="49"/>
  <c r="T24" i="45"/>
  <c r="I25" i="45"/>
  <c r="O47" i="43"/>
  <c r="M47" i="43"/>
  <c r="N47" i="43"/>
  <c r="M50" i="52"/>
  <c r="N50" i="52"/>
  <c r="M51" i="53"/>
  <c r="N51" i="53"/>
  <c r="T24" i="53"/>
  <c r="I25" i="53"/>
  <c r="N48" i="39"/>
  <c r="M48" i="39"/>
  <c r="W41" i="51"/>
  <c r="W99" i="51" s="1"/>
  <c r="V40" i="53"/>
  <c r="V91" i="65" s="1"/>
  <c r="U39" i="47"/>
  <c r="U92" i="47" s="1"/>
  <c r="T24" i="47"/>
  <c r="I25" i="47"/>
  <c r="L49" i="45"/>
  <c r="K50" i="45"/>
  <c r="AB45" i="43"/>
  <c r="AB98" i="43" s="1"/>
  <c r="K49" i="43"/>
  <c r="L48" i="43"/>
  <c r="O48" i="43" s="1"/>
  <c r="O46" i="47"/>
  <c r="N46" i="47"/>
  <c r="M46" i="47"/>
  <c r="N49" i="44"/>
  <c r="M49" i="44"/>
  <c r="K52" i="52"/>
  <c r="L51" i="52"/>
  <c r="O51" i="52" s="1"/>
  <c r="O48" i="39"/>
  <c r="Z44" i="53"/>
  <c r="Z95" i="65" s="1"/>
  <c r="L52" i="49"/>
  <c r="O52" i="49" s="1"/>
  <c r="K53" i="49"/>
  <c r="P46" i="43"/>
  <c r="Q46" i="43" s="1"/>
  <c r="AP99" i="43" s="1"/>
  <c r="N46" i="45"/>
  <c r="M46" i="45"/>
  <c r="O46" i="45"/>
  <c r="P47" i="45"/>
  <c r="P48" i="49"/>
  <c r="P50" i="53"/>
  <c r="K51" i="44"/>
  <c r="L50" i="44"/>
  <c r="T25" i="49"/>
  <c r="I26" i="49"/>
  <c r="T26" i="49" s="1"/>
  <c r="T24" i="51"/>
  <c r="I25" i="51"/>
  <c r="L49" i="39"/>
  <c r="O49" i="39" s="1"/>
  <c r="K50" i="39"/>
  <c r="AB46" i="53"/>
  <c r="AB97" i="65" s="1"/>
  <c r="AA44" i="43"/>
  <c r="AA97" i="43" s="1"/>
  <c r="Z44" i="47"/>
  <c r="Z97" i="47" s="1"/>
  <c r="P50" i="49"/>
  <c r="K53" i="53"/>
  <c r="L52" i="53"/>
  <c r="O52" i="53" s="1"/>
  <c r="W41" i="53"/>
  <c r="W92" i="65" s="1"/>
  <c r="M49" i="53"/>
  <c r="N49" i="53"/>
  <c r="O49" i="53"/>
  <c r="N48" i="45"/>
  <c r="M48" i="45"/>
  <c r="AA45" i="53"/>
  <c r="AA96" i="65" s="1"/>
  <c r="O51" i="49"/>
  <c r="L56" i="64"/>
  <c r="K57" i="64"/>
  <c r="AJ53" i="64"/>
  <c r="AR57" i="64"/>
  <c r="AQ57" i="64"/>
  <c r="N55" i="64"/>
  <c r="M55" i="64"/>
  <c r="AI52" i="64"/>
  <c r="O55" i="64"/>
  <c r="P54" i="64"/>
  <c r="P51" i="55"/>
  <c r="K50" i="48"/>
  <c r="L49" i="48"/>
  <c r="AA45" i="48"/>
  <c r="AA117" i="50" s="1"/>
  <c r="P47" i="48"/>
  <c r="Q47" i="48" s="1"/>
  <c r="M48" i="48"/>
  <c r="N48" i="48"/>
  <c r="AB46" i="48"/>
  <c r="AB118" i="50" s="1"/>
  <c r="N52" i="55"/>
  <c r="M52" i="55"/>
  <c r="L53" i="55"/>
  <c r="O53" i="55" s="1"/>
  <c r="K54" i="55"/>
  <c r="M48" i="54"/>
  <c r="N48" i="54"/>
  <c r="P47" i="54"/>
  <c r="Q47" i="54" s="1"/>
  <c r="AV106" i="54" s="1"/>
  <c r="Q46" i="54"/>
  <c r="AV105" i="54" s="1"/>
  <c r="K50" i="54"/>
  <c r="L49" i="54"/>
  <c r="O49" i="54" s="1"/>
  <c r="AA45" i="54"/>
  <c r="AA104" i="54" s="1"/>
  <c r="AB46" i="54"/>
  <c r="AB105" i="54" s="1"/>
  <c r="L49" i="51"/>
  <c r="O49" i="51" s="1"/>
  <c r="K50" i="51"/>
  <c r="AA45" i="51"/>
  <c r="AA103" i="51" s="1"/>
  <c r="Q46" i="51"/>
  <c r="AU104" i="51" s="1"/>
  <c r="M48" i="51"/>
  <c r="N48" i="51"/>
  <c r="AB46" i="51"/>
  <c r="AB104" i="51" s="1"/>
  <c r="P47" i="51"/>
  <c r="Q47" i="51" s="1"/>
  <c r="AU105" i="51" s="1"/>
  <c r="P51" i="50"/>
  <c r="AG50" i="50"/>
  <c r="AF50" i="50"/>
  <c r="N52" i="50"/>
  <c r="M52" i="50"/>
  <c r="L53" i="50"/>
  <c r="O53" i="50" s="1"/>
  <c r="K54" i="50"/>
  <c r="M48" i="47"/>
  <c r="N48" i="47"/>
  <c r="AB45" i="47"/>
  <c r="AB98" i="47" s="1"/>
  <c r="K50" i="47"/>
  <c r="L49" i="47"/>
  <c r="O49" i="47" s="1"/>
  <c r="P48" i="46"/>
  <c r="Q48" i="46" s="1"/>
  <c r="N49" i="46"/>
  <c r="M49" i="46"/>
  <c r="Q47" i="46"/>
  <c r="BH132" i="46" s="1"/>
  <c r="L50" i="46"/>
  <c r="O50" i="46" s="1"/>
  <c r="K51" i="46"/>
  <c r="AC47" i="46"/>
  <c r="AC132" i="46" s="1"/>
  <c r="P47" i="47" l="1"/>
  <c r="L36" i="49"/>
  <c r="P49" i="55"/>
  <c r="Q49" i="55" s="1"/>
  <c r="AF49" i="55" s="1"/>
  <c r="AF50" i="55" s="1"/>
  <c r="P50" i="55"/>
  <c r="Q51" i="55" s="1"/>
  <c r="AH51" i="55" s="1"/>
  <c r="I26" i="55"/>
  <c r="T26" i="55" s="1"/>
  <c r="T25" i="55"/>
  <c r="U98" i="55"/>
  <c r="U98" i="64"/>
  <c r="X101" i="64"/>
  <c r="X101" i="55"/>
  <c r="P46" i="47"/>
  <c r="Q46" i="47" s="1"/>
  <c r="AC46" i="47" s="1"/>
  <c r="AC47" i="47" s="1"/>
  <c r="P48" i="39"/>
  <c r="Q48" i="39" s="1"/>
  <c r="AE48" i="39" s="1"/>
  <c r="AE49" i="39" s="1"/>
  <c r="AE108" i="64"/>
  <c r="AE100" i="65"/>
  <c r="AD47" i="48"/>
  <c r="AD119" i="50" s="1"/>
  <c r="AU119" i="50"/>
  <c r="AA104" i="64"/>
  <c r="AA104" i="55"/>
  <c r="BH133" i="46"/>
  <c r="P48" i="45"/>
  <c r="Q48" i="45" s="1"/>
  <c r="AE48" i="45" s="1"/>
  <c r="AE49" i="45" s="1"/>
  <c r="AB105" i="64"/>
  <c r="AB105" i="55"/>
  <c r="W100" i="64"/>
  <c r="W100" i="55"/>
  <c r="Z103" i="64"/>
  <c r="Z103" i="55"/>
  <c r="V99" i="64"/>
  <c r="V99" i="55"/>
  <c r="AC47" i="48"/>
  <c r="AC119" i="50" s="1"/>
  <c r="AC118" i="50"/>
  <c r="N50" i="44"/>
  <c r="M50" i="44"/>
  <c r="AC46" i="43"/>
  <c r="AC99" i="43" s="1"/>
  <c r="M49" i="45"/>
  <c r="N49" i="45"/>
  <c r="P49" i="53"/>
  <c r="M49" i="39"/>
  <c r="N49" i="39"/>
  <c r="L51" i="44"/>
  <c r="K52" i="44"/>
  <c r="K53" i="52"/>
  <c r="L52" i="52"/>
  <c r="O52" i="52" s="1"/>
  <c r="N48" i="43"/>
  <c r="M48" i="43"/>
  <c r="O49" i="45"/>
  <c r="P51" i="53"/>
  <c r="Q51" i="53" s="1"/>
  <c r="AV102" i="65" s="1"/>
  <c r="P47" i="43"/>
  <c r="P51" i="49"/>
  <c r="AA45" i="43"/>
  <c r="AA98" i="43" s="1"/>
  <c r="O36" i="49"/>
  <c r="N36" i="49"/>
  <c r="M36" i="49"/>
  <c r="N52" i="53"/>
  <c r="M52" i="53"/>
  <c r="T25" i="51"/>
  <c r="I26" i="51"/>
  <c r="T26" i="51" s="1"/>
  <c r="P46" i="45"/>
  <c r="L53" i="49"/>
  <c r="O53" i="49" s="1"/>
  <c r="K54" i="49"/>
  <c r="Q50" i="49"/>
  <c r="AG50" i="49" s="1"/>
  <c r="AG51" i="49" s="1"/>
  <c r="K50" i="43"/>
  <c r="L49" i="43"/>
  <c r="AB46" i="43"/>
  <c r="AB99" i="43" s="1"/>
  <c r="T25" i="47"/>
  <c r="I26" i="47"/>
  <c r="T26" i="47" s="1"/>
  <c r="L36" i="47"/>
  <c r="I26" i="53"/>
  <c r="T26" i="53" s="1"/>
  <c r="T25" i="53"/>
  <c r="K54" i="53"/>
  <c r="L53" i="53"/>
  <c r="O53" i="53" s="1"/>
  <c r="L50" i="39"/>
  <c r="K51" i="39"/>
  <c r="O50" i="44"/>
  <c r="Q49" i="49"/>
  <c r="AF49" i="49" s="1"/>
  <c r="AF50" i="49" s="1"/>
  <c r="Q48" i="49"/>
  <c r="AE48" i="49" s="1"/>
  <c r="AE49" i="49" s="1"/>
  <c r="M52" i="49"/>
  <c r="N52" i="49"/>
  <c r="N51" i="52"/>
  <c r="M51" i="52"/>
  <c r="P49" i="44"/>
  <c r="K51" i="45"/>
  <c r="L50" i="45"/>
  <c r="O50" i="45" s="1"/>
  <c r="P50" i="52"/>
  <c r="T25" i="45"/>
  <c r="I26" i="45"/>
  <c r="T26" i="45" s="1"/>
  <c r="L36" i="45"/>
  <c r="AR58" i="64"/>
  <c r="N56" i="64"/>
  <c r="M56" i="64"/>
  <c r="Q54" i="64"/>
  <c r="AQ58" i="64"/>
  <c r="AJ54" i="64"/>
  <c r="L57" i="64"/>
  <c r="O57" i="64" s="1"/>
  <c r="K58" i="64"/>
  <c r="AI53" i="64"/>
  <c r="P55" i="64"/>
  <c r="Q55" i="64" s="1"/>
  <c r="O56" i="64"/>
  <c r="P48" i="51"/>
  <c r="Q48" i="51" s="1"/>
  <c r="P48" i="47"/>
  <c r="P48" i="54"/>
  <c r="Q48" i="54" s="1"/>
  <c r="AV107" i="54" s="1"/>
  <c r="P48" i="48"/>
  <c r="Q48" i="48" s="1"/>
  <c r="AU120" i="50" s="1"/>
  <c r="K51" i="48"/>
  <c r="L50" i="48"/>
  <c r="N49" i="48"/>
  <c r="O49" i="48"/>
  <c r="M49" i="48"/>
  <c r="L54" i="55"/>
  <c r="O54" i="55" s="1"/>
  <c r="K55" i="55"/>
  <c r="M53" i="55"/>
  <c r="N53" i="55"/>
  <c r="P52" i="55"/>
  <c r="AD47" i="54"/>
  <c r="AD106" i="54" s="1"/>
  <c r="M49" i="54"/>
  <c r="N49" i="54"/>
  <c r="L50" i="54"/>
  <c r="O50" i="54"/>
  <c r="K51" i="54"/>
  <c r="AC46" i="54"/>
  <c r="AC105" i="54" s="1"/>
  <c r="AD47" i="51"/>
  <c r="AD105" i="51" s="1"/>
  <c r="AC46" i="51"/>
  <c r="AC104" i="51" s="1"/>
  <c r="K51" i="51"/>
  <c r="L50" i="51"/>
  <c r="O50" i="51" s="1"/>
  <c r="N49" i="51"/>
  <c r="M49" i="51"/>
  <c r="P52" i="50"/>
  <c r="Q52" i="50" s="1"/>
  <c r="K55" i="50"/>
  <c r="L54" i="50"/>
  <c r="O54" i="50" s="1"/>
  <c r="AG51" i="50"/>
  <c r="N53" i="50"/>
  <c r="M53" i="50"/>
  <c r="Q51" i="50"/>
  <c r="AB46" i="47"/>
  <c r="AB99" i="47" s="1"/>
  <c r="M49" i="47"/>
  <c r="N49" i="47"/>
  <c r="L50" i="47"/>
  <c r="O50" i="47" s="1"/>
  <c r="K51" i="47"/>
  <c r="L51" i="46"/>
  <c r="K52" i="46"/>
  <c r="AE48" i="46"/>
  <c r="AE133" i="46" s="1"/>
  <c r="M50" i="46"/>
  <c r="N50" i="46"/>
  <c r="P49" i="46"/>
  <c r="Q49" i="46" s="1"/>
  <c r="AD47" i="46"/>
  <c r="AD132" i="46" s="1"/>
  <c r="Q48" i="47" l="1"/>
  <c r="AD48" i="48"/>
  <c r="AD120" i="50" s="1"/>
  <c r="L36" i="55"/>
  <c r="Q50" i="55"/>
  <c r="AG50" i="55" s="1"/>
  <c r="AG51" i="55" s="1"/>
  <c r="AP101" i="47"/>
  <c r="AU106" i="51"/>
  <c r="Q47" i="47"/>
  <c r="AD47" i="47" s="1"/>
  <c r="AD48" i="47" s="1"/>
  <c r="P51" i="52"/>
  <c r="Q51" i="52" s="1"/>
  <c r="AH51" i="52" s="1"/>
  <c r="AH52" i="52" s="1"/>
  <c r="P52" i="53"/>
  <c r="Q52" i="53" s="1"/>
  <c r="AV103" i="65" s="1"/>
  <c r="AH51" i="53"/>
  <c r="AH102" i="65" s="1"/>
  <c r="AV110" i="64"/>
  <c r="P48" i="43"/>
  <c r="Q48" i="43" s="1"/>
  <c r="AP101" i="43" s="1"/>
  <c r="AV110" i="55"/>
  <c r="O36" i="45"/>
  <c r="M36" i="45"/>
  <c r="N36" i="45"/>
  <c r="L50" i="43"/>
  <c r="O50" i="43" s="1"/>
  <c r="K51" i="43"/>
  <c r="M51" i="44"/>
  <c r="N51" i="44"/>
  <c r="K52" i="45"/>
  <c r="L51" i="45"/>
  <c r="N50" i="39"/>
  <c r="M50" i="39"/>
  <c r="Q46" i="45"/>
  <c r="AP99" i="47" s="1"/>
  <c r="Q47" i="45"/>
  <c r="P36" i="49"/>
  <c r="Q37" i="49" s="1"/>
  <c r="T37" i="49" s="1"/>
  <c r="T38" i="49" s="1"/>
  <c r="L53" i="52"/>
  <c r="O53" i="52" s="1"/>
  <c r="K54" i="52"/>
  <c r="P50" i="44"/>
  <c r="Q50" i="44" s="1"/>
  <c r="AG50" i="44" s="1"/>
  <c r="AG51" i="44" s="1"/>
  <c r="M53" i="53"/>
  <c r="N53" i="53"/>
  <c r="O36" i="47"/>
  <c r="M36" i="47"/>
  <c r="N36" i="47"/>
  <c r="K55" i="49"/>
  <c r="L54" i="49"/>
  <c r="O54" i="49" s="1"/>
  <c r="Q47" i="43"/>
  <c r="AP100" i="43" s="1"/>
  <c r="L52" i="44"/>
  <c r="O52" i="44" s="1"/>
  <c r="K53" i="44"/>
  <c r="P49" i="39"/>
  <c r="P49" i="45"/>
  <c r="M50" i="45"/>
  <c r="N50" i="45"/>
  <c r="K52" i="39"/>
  <c r="L51" i="39"/>
  <c r="O51" i="39" s="1"/>
  <c r="AC47" i="43"/>
  <c r="AC100" i="43" s="1"/>
  <c r="Q50" i="52"/>
  <c r="AG50" i="52" s="1"/>
  <c r="AG51" i="52" s="1"/>
  <c r="Q49" i="44"/>
  <c r="AF49" i="44" s="1"/>
  <c r="AF50" i="44" s="1"/>
  <c r="P52" i="49"/>
  <c r="O50" i="39"/>
  <c r="K55" i="53"/>
  <c r="L54" i="53"/>
  <c r="O54" i="53" s="1"/>
  <c r="L36" i="53"/>
  <c r="O49" i="43"/>
  <c r="M49" i="43"/>
  <c r="N49" i="43"/>
  <c r="N53" i="49"/>
  <c r="M53" i="49"/>
  <c r="L36" i="51"/>
  <c r="M52" i="52"/>
  <c r="N52" i="52"/>
  <c r="O51" i="44"/>
  <c r="Q50" i="53"/>
  <c r="AV101" i="65" s="1"/>
  <c r="Q49" i="53"/>
  <c r="AV100" i="65" s="1"/>
  <c r="Q51" i="49"/>
  <c r="AH51" i="49" s="1"/>
  <c r="AH52" i="49" s="1"/>
  <c r="K59" i="64"/>
  <c r="L58" i="64"/>
  <c r="O58" i="64" s="1"/>
  <c r="AQ59" i="64"/>
  <c r="M57" i="64"/>
  <c r="N57" i="64"/>
  <c r="AK54" i="64"/>
  <c r="P56" i="64"/>
  <c r="Q56" i="64" s="1"/>
  <c r="AR59" i="64"/>
  <c r="AL55" i="64"/>
  <c r="P49" i="54"/>
  <c r="Q49" i="54" s="1"/>
  <c r="P49" i="47"/>
  <c r="Q49" i="47" s="1"/>
  <c r="P53" i="55"/>
  <c r="Q53" i="55" s="1"/>
  <c r="AE48" i="48"/>
  <c r="P49" i="48"/>
  <c r="O50" i="48"/>
  <c r="N50" i="48"/>
  <c r="M50" i="48"/>
  <c r="L51" i="48"/>
  <c r="K52" i="48"/>
  <c r="P53" i="50"/>
  <c r="Q53" i="50" s="1"/>
  <c r="AH52" i="55"/>
  <c r="Q52" i="55"/>
  <c r="K56" i="55"/>
  <c r="L55" i="55"/>
  <c r="M54" i="55"/>
  <c r="N54" i="55"/>
  <c r="AE48" i="54"/>
  <c r="AE107" i="54" s="1"/>
  <c r="K52" i="54"/>
  <c r="L51" i="54"/>
  <c r="AC47" i="54"/>
  <c r="AC106" i="54" s="1"/>
  <c r="M50" i="54"/>
  <c r="N50" i="54"/>
  <c r="AD48" i="54"/>
  <c r="AD107" i="54" s="1"/>
  <c r="K52" i="51"/>
  <c r="L51" i="51"/>
  <c r="O51" i="51" s="1"/>
  <c r="P49" i="51"/>
  <c r="AE48" i="51"/>
  <c r="AE106" i="51" s="1"/>
  <c r="M50" i="51"/>
  <c r="N50" i="51"/>
  <c r="AC47" i="51"/>
  <c r="AC105" i="51" s="1"/>
  <c r="AD48" i="51"/>
  <c r="AD106" i="51" s="1"/>
  <c r="N54" i="50"/>
  <c r="M54" i="50"/>
  <c r="L55" i="50"/>
  <c r="O55" i="50" s="1"/>
  <c r="K56" i="50"/>
  <c r="AH51" i="50"/>
  <c r="AI52" i="50"/>
  <c r="N50" i="47"/>
  <c r="M50" i="47"/>
  <c r="AE48" i="47"/>
  <c r="AE101" i="47" s="1"/>
  <c r="L51" i="47"/>
  <c r="K52" i="47"/>
  <c r="AE49" i="46"/>
  <c r="AE134" i="46" s="1"/>
  <c r="AF49" i="46"/>
  <c r="K53" i="46"/>
  <c r="L52" i="46"/>
  <c r="O52" i="46" s="1"/>
  <c r="P50" i="46"/>
  <c r="M51" i="46"/>
  <c r="N51" i="46"/>
  <c r="AD48" i="46"/>
  <c r="AD133" i="46" s="1"/>
  <c r="O51" i="46"/>
  <c r="N36" i="55" l="1"/>
  <c r="M36" i="55"/>
  <c r="O36" i="55"/>
  <c r="AV111" i="55"/>
  <c r="AF134" i="46"/>
  <c r="AP100" i="47"/>
  <c r="P52" i="52"/>
  <c r="Q52" i="52" s="1"/>
  <c r="AI52" i="52" s="1"/>
  <c r="AI53" i="52" s="1"/>
  <c r="P50" i="45"/>
  <c r="Q50" i="45" s="1"/>
  <c r="AG50" i="45" s="1"/>
  <c r="AG51" i="45" s="1"/>
  <c r="P53" i="53"/>
  <c r="Q53" i="53" s="1"/>
  <c r="AV104" i="65" s="1"/>
  <c r="P51" i="44"/>
  <c r="Q51" i="44" s="1"/>
  <c r="AH51" i="44" s="1"/>
  <c r="AH52" i="44" s="1"/>
  <c r="BH134" i="46"/>
  <c r="AE49" i="48"/>
  <c r="AE121" i="50" s="1"/>
  <c r="AE120" i="50"/>
  <c r="P53" i="49"/>
  <c r="Q53" i="49" s="1"/>
  <c r="AJ53" i="49" s="1"/>
  <c r="AJ54" i="49" s="1"/>
  <c r="AV108" i="64"/>
  <c r="AV108" i="55"/>
  <c r="AH52" i="53"/>
  <c r="AH110" i="64"/>
  <c r="AH110" i="55"/>
  <c r="AF49" i="54"/>
  <c r="AF108" i="54" s="1"/>
  <c r="AV108" i="54"/>
  <c r="AV109" i="64"/>
  <c r="AV109" i="55"/>
  <c r="AI52" i="53"/>
  <c r="AI103" i="65" s="1"/>
  <c r="AV111" i="64"/>
  <c r="AF49" i="53"/>
  <c r="AF100" i="65" s="1"/>
  <c r="O36" i="53"/>
  <c r="M36" i="53"/>
  <c r="N36" i="53"/>
  <c r="L52" i="39"/>
  <c r="K53" i="39"/>
  <c r="P36" i="47"/>
  <c r="Q37" i="47" s="1"/>
  <c r="M53" i="52"/>
  <c r="N53" i="52"/>
  <c r="AD47" i="45"/>
  <c r="AD100" i="47" s="1"/>
  <c r="N51" i="45"/>
  <c r="M51" i="45"/>
  <c r="AG50" i="53"/>
  <c r="AG101" i="65" s="1"/>
  <c r="Q49" i="39"/>
  <c r="AF49" i="39" s="1"/>
  <c r="AF50" i="39" s="1"/>
  <c r="AE48" i="43"/>
  <c r="AE101" i="43" s="1"/>
  <c r="M54" i="49"/>
  <c r="N54" i="49"/>
  <c r="AC46" i="45"/>
  <c r="AC99" i="47" s="1"/>
  <c r="K53" i="45"/>
  <c r="L52" i="45"/>
  <c r="O52" i="45" s="1"/>
  <c r="P36" i="45"/>
  <c r="L55" i="53"/>
  <c r="O55" i="53" s="1"/>
  <c r="K56" i="53"/>
  <c r="Q49" i="45"/>
  <c r="AF49" i="45" s="1"/>
  <c r="AF50" i="45" s="1"/>
  <c r="M52" i="44"/>
  <c r="N52" i="44"/>
  <c r="M50" i="43"/>
  <c r="N50" i="43"/>
  <c r="O36" i="51"/>
  <c r="M36" i="51"/>
  <c r="N36" i="51"/>
  <c r="P49" i="43"/>
  <c r="Q49" i="43" s="1"/>
  <c r="M54" i="53"/>
  <c r="N54" i="53"/>
  <c r="M51" i="39"/>
  <c r="N51" i="39"/>
  <c r="L53" i="44"/>
  <c r="O53" i="44" s="1"/>
  <c r="K54" i="44"/>
  <c r="AD47" i="43"/>
  <c r="AD100" i="43" s="1"/>
  <c r="K56" i="49"/>
  <c r="L55" i="49"/>
  <c r="O55" i="49" s="1"/>
  <c r="L54" i="52"/>
  <c r="O54" i="52" s="1"/>
  <c r="K55" i="52"/>
  <c r="Q52" i="49"/>
  <c r="AI52" i="49" s="1"/>
  <c r="AI53" i="49" s="1"/>
  <c r="P50" i="39"/>
  <c r="O51" i="45"/>
  <c r="K52" i="43"/>
  <c r="L51" i="43"/>
  <c r="P57" i="64"/>
  <c r="Q57" i="64" s="1"/>
  <c r="AM56" i="64"/>
  <c r="AL56" i="64"/>
  <c r="AK55" i="64"/>
  <c r="N58" i="64"/>
  <c r="M58" i="64"/>
  <c r="L59" i="64"/>
  <c r="O59" i="64" s="1"/>
  <c r="P51" i="46"/>
  <c r="Q51" i="46" s="1"/>
  <c r="P50" i="51"/>
  <c r="Q50" i="51" s="1"/>
  <c r="AU108" i="51" s="1"/>
  <c r="L52" i="48"/>
  <c r="K53" i="48"/>
  <c r="Q49" i="48"/>
  <c r="AU121" i="50" s="1"/>
  <c r="P50" i="48"/>
  <c r="Q50" i="48" s="1"/>
  <c r="AU122" i="50" s="1"/>
  <c r="M51" i="48"/>
  <c r="O51" i="48"/>
  <c r="N51" i="48"/>
  <c r="L56" i="55"/>
  <c r="K57" i="55"/>
  <c r="AJ53" i="55"/>
  <c r="P54" i="55"/>
  <c r="M55" i="55"/>
  <c r="N55" i="55"/>
  <c r="O55" i="55"/>
  <c r="AI52" i="55"/>
  <c r="K53" i="54"/>
  <c r="L52" i="54"/>
  <c r="O52" i="54" s="1"/>
  <c r="P50" i="54"/>
  <c r="N51" i="54"/>
  <c r="M51" i="54"/>
  <c r="O51" i="54"/>
  <c r="AE49" i="54"/>
  <c r="AE108" i="54" s="1"/>
  <c r="Q49" i="51"/>
  <c r="AU107" i="51" s="1"/>
  <c r="N51" i="51"/>
  <c r="M51" i="51"/>
  <c r="AE49" i="51"/>
  <c r="AE107" i="51" s="1"/>
  <c r="K53" i="51"/>
  <c r="L52" i="51"/>
  <c r="AH52" i="50"/>
  <c r="L56" i="50"/>
  <c r="K57" i="50"/>
  <c r="AJ53" i="50"/>
  <c r="P54" i="50"/>
  <c r="AI53" i="50"/>
  <c r="N55" i="50"/>
  <c r="M55" i="50"/>
  <c r="L52" i="47"/>
  <c r="O52" i="47" s="1"/>
  <c r="K53" i="47"/>
  <c r="AF49" i="47"/>
  <c r="AE49" i="47"/>
  <c r="AE102" i="47" s="1"/>
  <c r="P50" i="47"/>
  <c r="N51" i="47"/>
  <c r="M51" i="47"/>
  <c r="O51" i="47"/>
  <c r="K54" i="46"/>
  <c r="L53" i="46"/>
  <c r="O53" i="46" s="1"/>
  <c r="AF50" i="46"/>
  <c r="AF135" i="46" s="1"/>
  <c r="M52" i="46"/>
  <c r="N52" i="46"/>
  <c r="Q50" i="46"/>
  <c r="BH135" i="46" s="1"/>
  <c r="P36" i="55" l="1"/>
  <c r="Q37" i="55" s="1"/>
  <c r="T37" i="55" s="1"/>
  <c r="T38" i="55" s="1"/>
  <c r="AI111" i="55"/>
  <c r="BH136" i="46"/>
  <c r="AF102" i="47"/>
  <c r="AJ53" i="53"/>
  <c r="AJ104" i="65" s="1"/>
  <c r="AP102" i="43"/>
  <c r="P52" i="44"/>
  <c r="Q52" i="44" s="1"/>
  <c r="AI52" i="44" s="1"/>
  <c r="AI53" i="44" s="1"/>
  <c r="P36" i="53"/>
  <c r="Q37" i="53" s="1"/>
  <c r="AV88" i="65" s="1"/>
  <c r="AV112" i="55"/>
  <c r="AV112" i="64"/>
  <c r="P36" i="51"/>
  <c r="Q37" i="51" s="1"/>
  <c r="AU95" i="51" s="1"/>
  <c r="AH111" i="64"/>
  <c r="AH103" i="65"/>
  <c r="P50" i="43"/>
  <c r="Q50" i="43" s="1"/>
  <c r="AG50" i="43" s="1"/>
  <c r="AP102" i="47"/>
  <c r="AF50" i="54"/>
  <c r="AF109" i="54" s="1"/>
  <c r="AG109" i="64"/>
  <c r="AG109" i="55"/>
  <c r="AI53" i="53"/>
  <c r="AI111" i="64"/>
  <c r="AF108" i="64"/>
  <c r="AF108" i="55"/>
  <c r="AH111" i="55"/>
  <c r="K57" i="49"/>
  <c r="L56" i="49"/>
  <c r="O56" i="49" s="1"/>
  <c r="M52" i="39"/>
  <c r="N52" i="39"/>
  <c r="M54" i="52"/>
  <c r="N54" i="52"/>
  <c r="AD48" i="43"/>
  <c r="AD101" i="43" s="1"/>
  <c r="M55" i="53"/>
  <c r="N55" i="53"/>
  <c r="N52" i="45"/>
  <c r="M52" i="45"/>
  <c r="AE49" i="43"/>
  <c r="AE102" i="43" s="1"/>
  <c r="P53" i="52"/>
  <c r="AF50" i="53"/>
  <c r="AF101" i="65" s="1"/>
  <c r="AC47" i="45"/>
  <c r="AC100" i="47" s="1"/>
  <c r="P51" i="45"/>
  <c r="O51" i="43"/>
  <c r="M51" i="43"/>
  <c r="N51" i="43"/>
  <c r="N55" i="49"/>
  <c r="M55" i="49"/>
  <c r="P54" i="53"/>
  <c r="L53" i="45"/>
  <c r="O53" i="45" s="1"/>
  <c r="AG51" i="53"/>
  <c r="AG102" i="65" s="1"/>
  <c r="O52" i="39"/>
  <c r="N53" i="44"/>
  <c r="M53" i="44"/>
  <c r="K53" i="43"/>
  <c r="L53" i="43" s="1"/>
  <c r="L52" i="43"/>
  <c r="L55" i="52"/>
  <c r="O55" i="52" s="1"/>
  <c r="K56" i="52"/>
  <c r="K55" i="44"/>
  <c r="L54" i="44"/>
  <c r="O54" i="44" s="1"/>
  <c r="P51" i="39"/>
  <c r="Q51" i="39" s="1"/>
  <c r="AH51" i="39" s="1"/>
  <c r="AH52" i="39" s="1"/>
  <c r="AF49" i="43"/>
  <c r="AF102" i="43" s="1"/>
  <c r="K57" i="53"/>
  <c r="L56" i="53"/>
  <c r="O56" i="53" s="1"/>
  <c r="Q37" i="45"/>
  <c r="T37" i="45" s="1"/>
  <c r="T38" i="45" s="1"/>
  <c r="P54" i="49"/>
  <c r="Q50" i="39"/>
  <c r="AG50" i="39" s="1"/>
  <c r="AG51" i="39" s="1"/>
  <c r="AD48" i="45"/>
  <c r="AD101" i="47" s="1"/>
  <c r="T37" i="47"/>
  <c r="L53" i="39"/>
  <c r="O53" i="39" s="1"/>
  <c r="P58" i="64"/>
  <c r="Q58" i="64" s="1"/>
  <c r="AM57" i="64"/>
  <c r="M59" i="64"/>
  <c r="N59" i="64"/>
  <c r="AN57" i="64"/>
  <c r="P51" i="54"/>
  <c r="Q51" i="54" s="1"/>
  <c r="AV110" i="54" s="1"/>
  <c r="P55" i="55"/>
  <c r="Q55" i="55" s="1"/>
  <c r="AG50" i="48"/>
  <c r="AG122" i="50" s="1"/>
  <c r="O52" i="48"/>
  <c r="M52" i="48"/>
  <c r="N52" i="48"/>
  <c r="AF49" i="48"/>
  <c r="AF121" i="50" s="1"/>
  <c r="P51" i="48"/>
  <c r="Q51" i="48" s="1"/>
  <c r="AU123" i="50" s="1"/>
  <c r="L53" i="48"/>
  <c r="K54" i="48"/>
  <c r="P55" i="50"/>
  <c r="Q55" i="50" s="1"/>
  <c r="AJ54" i="55"/>
  <c r="L57" i="55"/>
  <c r="K58" i="55"/>
  <c r="AI53" i="55"/>
  <c r="Q54" i="55"/>
  <c r="N56" i="55"/>
  <c r="M56" i="55"/>
  <c r="O56" i="55"/>
  <c r="K54" i="54"/>
  <c r="L53" i="54"/>
  <c r="Q50" i="54"/>
  <c r="AV109" i="54" s="1"/>
  <c r="N52" i="54"/>
  <c r="M52" i="54"/>
  <c r="N52" i="51"/>
  <c r="M52" i="51"/>
  <c r="P51" i="51"/>
  <c r="K54" i="51"/>
  <c r="L53" i="51"/>
  <c r="O53" i="51" s="1"/>
  <c r="AF49" i="51"/>
  <c r="AF107" i="51" s="1"/>
  <c r="O52" i="51"/>
  <c r="AG50" i="51"/>
  <c r="AG108" i="51" s="1"/>
  <c r="Q54" i="50"/>
  <c r="L57" i="50"/>
  <c r="O57" i="50" s="1"/>
  <c r="K58" i="50"/>
  <c r="AJ54" i="50"/>
  <c r="M56" i="50"/>
  <c r="N56" i="50"/>
  <c r="O56" i="50"/>
  <c r="Q50" i="47"/>
  <c r="AP103" i="47" s="1"/>
  <c r="AF50" i="47"/>
  <c r="AF103" i="47" s="1"/>
  <c r="L53" i="47"/>
  <c r="O53" i="47" s="1"/>
  <c r="P51" i="47"/>
  <c r="N52" i="47"/>
  <c r="M52" i="47"/>
  <c r="K55" i="46"/>
  <c r="L54" i="46"/>
  <c r="O54" i="46" s="1"/>
  <c r="AG50" i="46"/>
  <c r="AG135" i="46" s="1"/>
  <c r="AH51" i="46"/>
  <c r="AH136" i="46" s="1"/>
  <c r="P52" i="46"/>
  <c r="N53" i="46"/>
  <c r="M53" i="46"/>
  <c r="AJ54" i="53" l="1"/>
  <c r="AJ105" i="65" s="1"/>
  <c r="AJ112" i="64"/>
  <c r="AJ112" i="55"/>
  <c r="T90" i="47"/>
  <c r="AI112" i="55"/>
  <c r="T37" i="51"/>
  <c r="T95" i="51" s="1"/>
  <c r="P52" i="45"/>
  <c r="Q52" i="45" s="1"/>
  <c r="AI52" i="45" s="1"/>
  <c r="AI53" i="45" s="1"/>
  <c r="P54" i="52"/>
  <c r="Q54" i="52" s="1"/>
  <c r="AK54" i="52" s="1"/>
  <c r="AK55" i="52" s="1"/>
  <c r="AJ113" i="64"/>
  <c r="AI112" i="64"/>
  <c r="AI104" i="65"/>
  <c r="AP90" i="47"/>
  <c r="AV96" i="64"/>
  <c r="AV96" i="55"/>
  <c r="P51" i="43"/>
  <c r="Q51" i="43" s="1"/>
  <c r="AP104" i="43" s="1"/>
  <c r="AG103" i="43"/>
  <c r="AG110" i="64"/>
  <c r="AG110" i="55"/>
  <c r="AF109" i="64"/>
  <c r="AF109" i="55"/>
  <c r="AP103" i="43"/>
  <c r="L57" i="53"/>
  <c r="O57" i="53" s="1"/>
  <c r="K58" i="53"/>
  <c r="M53" i="39"/>
  <c r="N53" i="39"/>
  <c r="N54" i="44"/>
  <c r="M54" i="44"/>
  <c r="M55" i="52"/>
  <c r="N55" i="52"/>
  <c r="O53" i="43"/>
  <c r="M53" i="43"/>
  <c r="N53" i="43"/>
  <c r="N53" i="45"/>
  <c r="M53" i="45"/>
  <c r="T37" i="53"/>
  <c r="T88" i="65" s="1"/>
  <c r="Q53" i="52"/>
  <c r="AJ53" i="52" s="1"/>
  <c r="AJ54" i="52" s="1"/>
  <c r="T38" i="47"/>
  <c r="T91" i="47" s="1"/>
  <c r="L56" i="52"/>
  <c r="K57" i="52"/>
  <c r="N52" i="43"/>
  <c r="M52" i="43"/>
  <c r="Q51" i="45"/>
  <c r="AH51" i="45" s="1"/>
  <c r="AH52" i="45" s="1"/>
  <c r="Q54" i="53"/>
  <c r="AV105" i="65" s="1"/>
  <c r="P52" i="39"/>
  <c r="Q52" i="39" s="1"/>
  <c r="AI52" i="39" s="1"/>
  <c r="AI53" i="39" s="1"/>
  <c r="M56" i="49"/>
  <c r="N56" i="49"/>
  <c r="Q54" i="49"/>
  <c r="AK54" i="49" s="1"/>
  <c r="AK55" i="49" s="1"/>
  <c r="AG51" i="43"/>
  <c r="AG104" i="43" s="1"/>
  <c r="N56" i="53"/>
  <c r="M56" i="53"/>
  <c r="AF50" i="43"/>
  <c r="AF103" i="43" s="1"/>
  <c r="O55" i="44"/>
  <c r="K56" i="44"/>
  <c r="L55" i="44"/>
  <c r="O52" i="43"/>
  <c r="P53" i="44"/>
  <c r="P55" i="49"/>
  <c r="P55" i="53"/>
  <c r="Q55" i="53" s="1"/>
  <c r="L57" i="49"/>
  <c r="O57" i="49" s="1"/>
  <c r="K58" i="49"/>
  <c r="AN58" i="64"/>
  <c r="AO58" i="64"/>
  <c r="P59" i="64"/>
  <c r="P53" i="46"/>
  <c r="Q53" i="46" s="1"/>
  <c r="P56" i="55"/>
  <c r="Q56" i="55" s="1"/>
  <c r="AH51" i="48"/>
  <c r="AH123" i="50" s="1"/>
  <c r="L54" i="48"/>
  <c r="O54" i="48" s="1"/>
  <c r="K55" i="48"/>
  <c r="AF50" i="48"/>
  <c r="AF122" i="50" s="1"/>
  <c r="O53" i="48"/>
  <c r="M53" i="48"/>
  <c r="N53" i="48"/>
  <c r="AG51" i="48"/>
  <c r="AG123" i="50" s="1"/>
  <c r="P52" i="48"/>
  <c r="Q52" i="48" s="1"/>
  <c r="AU124" i="50" s="1"/>
  <c r="P56" i="50"/>
  <c r="Q56" i="50" s="1"/>
  <c r="M57" i="55"/>
  <c r="N57" i="55"/>
  <c r="AK54" i="55"/>
  <c r="O57" i="55"/>
  <c r="AL55" i="55"/>
  <c r="K59" i="55"/>
  <c r="L58" i="55"/>
  <c r="N53" i="54"/>
  <c r="M53" i="54"/>
  <c r="AG50" i="54"/>
  <c r="AG109" i="54" s="1"/>
  <c r="K55" i="54"/>
  <c r="L54" i="54"/>
  <c r="AH51" i="54"/>
  <c r="AH110" i="54" s="1"/>
  <c r="P52" i="54"/>
  <c r="O53" i="54"/>
  <c r="AF50" i="51"/>
  <c r="AF108" i="51" s="1"/>
  <c r="Q51" i="51"/>
  <c r="AU109" i="51" s="1"/>
  <c r="AG51" i="51"/>
  <c r="AG109" i="51" s="1"/>
  <c r="M53" i="51"/>
  <c r="N53" i="51"/>
  <c r="L54" i="51"/>
  <c r="O54" i="51" s="1"/>
  <c r="K55" i="51"/>
  <c r="P52" i="51"/>
  <c r="Q52" i="51" s="1"/>
  <c r="AU110" i="51" s="1"/>
  <c r="N57" i="50"/>
  <c r="M57" i="50"/>
  <c r="AK54" i="50"/>
  <c r="L58" i="50"/>
  <c r="O58" i="50" s="1"/>
  <c r="AL55" i="50"/>
  <c r="AG50" i="47"/>
  <c r="AG103" i="47" s="1"/>
  <c r="P52" i="47"/>
  <c r="M53" i="47"/>
  <c r="N53" i="47"/>
  <c r="Q51" i="47"/>
  <c r="AH52" i="46"/>
  <c r="AH137" i="46" s="1"/>
  <c r="M54" i="46"/>
  <c r="N54" i="46"/>
  <c r="L55" i="46"/>
  <c r="K56" i="46"/>
  <c r="Q52" i="46"/>
  <c r="BH137" i="46" s="1"/>
  <c r="AG51" i="46"/>
  <c r="AG136" i="46" s="1"/>
  <c r="AJ113" i="55" l="1"/>
  <c r="AH51" i="43"/>
  <c r="AH104" i="43" s="1"/>
  <c r="AH52" i="48"/>
  <c r="AH124" i="50" s="1"/>
  <c r="T38" i="51"/>
  <c r="T96" i="51" s="1"/>
  <c r="AV114" i="64"/>
  <c r="AV106" i="65"/>
  <c r="P56" i="53"/>
  <c r="Q56" i="53" s="1"/>
  <c r="AV107" i="65" s="1"/>
  <c r="P53" i="45"/>
  <c r="Q36" i="45" s="1"/>
  <c r="S36" i="45" s="1"/>
  <c r="S37" i="45" s="1"/>
  <c r="AK54" i="53"/>
  <c r="AK105" i="65" s="1"/>
  <c r="AV113" i="64"/>
  <c r="AV113" i="55"/>
  <c r="AP104" i="47"/>
  <c r="T96" i="64"/>
  <c r="T96" i="55"/>
  <c r="P53" i="43"/>
  <c r="Q36" i="43" s="1"/>
  <c r="P54" i="44"/>
  <c r="Q54" i="44" s="1"/>
  <c r="AK54" i="44" s="1"/>
  <c r="AK55" i="44" s="1"/>
  <c r="AV114" i="55"/>
  <c r="AL55" i="53"/>
  <c r="N57" i="49"/>
  <c r="M57" i="49"/>
  <c r="Q53" i="44"/>
  <c r="AJ53" i="44" s="1"/>
  <c r="AJ54" i="44" s="1"/>
  <c r="P56" i="49"/>
  <c r="Q56" i="49" s="1"/>
  <c r="AM56" i="49" s="1"/>
  <c r="AM57" i="49" s="1"/>
  <c r="N56" i="52"/>
  <c r="M56" i="52"/>
  <c r="K59" i="53"/>
  <c r="L58" i="53"/>
  <c r="O58" i="53" s="1"/>
  <c r="K57" i="44"/>
  <c r="O56" i="44"/>
  <c r="L56" i="44"/>
  <c r="P52" i="43"/>
  <c r="O56" i="52"/>
  <c r="P53" i="39"/>
  <c r="K58" i="52"/>
  <c r="L57" i="52"/>
  <c r="O57" i="52" s="1"/>
  <c r="T38" i="53"/>
  <c r="T89" i="65" s="1"/>
  <c r="O58" i="49"/>
  <c r="L58" i="49"/>
  <c r="N55" i="44"/>
  <c r="M55" i="44"/>
  <c r="Q55" i="49"/>
  <c r="AL55" i="49" s="1"/>
  <c r="AL56" i="49" s="1"/>
  <c r="P55" i="52"/>
  <c r="M57" i="53"/>
  <c r="N57" i="53"/>
  <c r="Q36" i="64"/>
  <c r="Q59" i="64"/>
  <c r="AO59" i="64"/>
  <c r="P53" i="51"/>
  <c r="Q53" i="51" s="1"/>
  <c r="AU111" i="51" s="1"/>
  <c r="AI52" i="48"/>
  <c r="AI124" i="50" s="1"/>
  <c r="P53" i="48"/>
  <c r="K56" i="48"/>
  <c r="L55" i="48"/>
  <c r="P57" i="50"/>
  <c r="Q57" i="50" s="1"/>
  <c r="N54" i="48"/>
  <c r="M54" i="48"/>
  <c r="AK55" i="55"/>
  <c r="AM56" i="55"/>
  <c r="N58" i="55"/>
  <c r="M58" i="55"/>
  <c r="AL56" i="55"/>
  <c r="L59" i="55"/>
  <c r="O58" i="55"/>
  <c r="P57" i="55"/>
  <c r="N54" i="54"/>
  <c r="M54" i="54"/>
  <c r="AG51" i="54"/>
  <c r="AG110" i="54" s="1"/>
  <c r="Q52" i="54"/>
  <c r="AV111" i="54" s="1"/>
  <c r="L55" i="54"/>
  <c r="O55" i="54" s="1"/>
  <c r="K56" i="54"/>
  <c r="O54" i="54"/>
  <c r="P53" i="54"/>
  <c r="Q53" i="54" s="1"/>
  <c r="AV112" i="54" s="1"/>
  <c r="AH52" i="54"/>
  <c r="AH111" i="54" s="1"/>
  <c r="AI52" i="51"/>
  <c r="AI110" i="51" s="1"/>
  <c r="AH51" i="51"/>
  <c r="AH109" i="51" s="1"/>
  <c r="K56" i="51"/>
  <c r="L55" i="51"/>
  <c r="M54" i="51"/>
  <c r="N54" i="51"/>
  <c r="AM56" i="50"/>
  <c r="M58" i="50"/>
  <c r="N58" i="50"/>
  <c r="AL56" i="50"/>
  <c r="AK55" i="50"/>
  <c r="AH51" i="47"/>
  <c r="AH104" i="47" s="1"/>
  <c r="AG51" i="47"/>
  <c r="AG104" i="47" s="1"/>
  <c r="P53" i="47"/>
  <c r="Q36" i="47" s="1"/>
  <c r="Q52" i="47"/>
  <c r="AP105" i="47" s="1"/>
  <c r="AI52" i="46"/>
  <c r="AI137" i="46" s="1"/>
  <c r="M55" i="46"/>
  <c r="N55" i="46"/>
  <c r="AJ53" i="46"/>
  <c r="O55" i="46"/>
  <c r="P54" i="46"/>
  <c r="L56" i="46"/>
  <c r="O56" i="46" s="1"/>
  <c r="K57" i="46"/>
  <c r="AJ138" i="46" l="1"/>
  <c r="AH52" i="43"/>
  <c r="AH105" i="43" s="1"/>
  <c r="AP89" i="47"/>
  <c r="Q53" i="45"/>
  <c r="AJ53" i="45" s="1"/>
  <c r="AJ36" i="45" s="1"/>
  <c r="AL114" i="55"/>
  <c r="AL106" i="65"/>
  <c r="AK113" i="55"/>
  <c r="BH138" i="46"/>
  <c r="AM56" i="53"/>
  <c r="AM107" i="65" s="1"/>
  <c r="AV115" i="64"/>
  <c r="AV115" i="55"/>
  <c r="AN57" i="50"/>
  <c r="AN58" i="50" s="1"/>
  <c r="AL56" i="53"/>
  <c r="AL114" i="64"/>
  <c r="T97" i="64"/>
  <c r="T97" i="55"/>
  <c r="S36" i="43"/>
  <c r="S37" i="43" s="1"/>
  <c r="AK55" i="53"/>
  <c r="AK113" i="64"/>
  <c r="L57" i="44"/>
  <c r="K58" i="44"/>
  <c r="P56" i="52"/>
  <c r="L59" i="53"/>
  <c r="O59" i="53" s="1"/>
  <c r="P57" i="53"/>
  <c r="N58" i="49"/>
  <c r="M58" i="49"/>
  <c r="M57" i="52"/>
  <c r="N57" i="52"/>
  <c r="Q53" i="39"/>
  <c r="AJ53" i="39" s="1"/>
  <c r="AJ36" i="39" s="1"/>
  <c r="Q36" i="39"/>
  <c r="AP89" i="43" s="1"/>
  <c r="N56" i="44"/>
  <c r="M56" i="44"/>
  <c r="P57" i="49"/>
  <c r="Q57" i="49" s="1"/>
  <c r="AN57" i="49" s="1"/>
  <c r="AN58" i="49" s="1"/>
  <c r="Q52" i="43"/>
  <c r="AP105" i="43" s="1"/>
  <c r="Q53" i="43"/>
  <c r="Q55" i="52"/>
  <c r="AL55" i="52" s="1"/>
  <c r="AL56" i="52" s="1"/>
  <c r="P55" i="44"/>
  <c r="L58" i="52"/>
  <c r="O58" i="52" s="1"/>
  <c r="K59" i="52"/>
  <c r="N58" i="53"/>
  <c r="M58" i="53"/>
  <c r="AP59" i="64"/>
  <c r="S36" i="64"/>
  <c r="P58" i="55"/>
  <c r="Q58" i="55" s="1"/>
  <c r="O55" i="48"/>
  <c r="M55" i="48"/>
  <c r="N55" i="48"/>
  <c r="AI53" i="48"/>
  <c r="AI125" i="50" s="1"/>
  <c r="P54" i="48"/>
  <c r="Q54" i="48" s="1"/>
  <c r="AU126" i="50" s="1"/>
  <c r="L56" i="48"/>
  <c r="K57" i="48"/>
  <c r="Q53" i="48"/>
  <c r="AU125" i="50" s="1"/>
  <c r="Q57" i="55"/>
  <c r="AM57" i="55"/>
  <c r="M59" i="55"/>
  <c r="N59" i="55"/>
  <c r="O59" i="55"/>
  <c r="P54" i="54"/>
  <c r="Q54" i="54" s="1"/>
  <c r="AV113" i="54" s="1"/>
  <c r="L56" i="54"/>
  <c r="O56" i="54" s="1"/>
  <c r="K57" i="54"/>
  <c r="N55" i="54"/>
  <c r="M55" i="54"/>
  <c r="AI52" i="54"/>
  <c r="AI111" i="54" s="1"/>
  <c r="AJ53" i="54"/>
  <c r="AJ112" i="54" s="1"/>
  <c r="N55" i="51"/>
  <c r="M55" i="51"/>
  <c r="AH52" i="51"/>
  <c r="AH110" i="51" s="1"/>
  <c r="K57" i="51"/>
  <c r="L56" i="51"/>
  <c r="O56" i="51" s="1"/>
  <c r="AJ53" i="51"/>
  <c r="AJ111" i="51" s="1"/>
  <c r="P54" i="51"/>
  <c r="O55" i="51"/>
  <c r="AI53" i="51"/>
  <c r="AI111" i="51" s="1"/>
  <c r="AM57" i="50"/>
  <c r="P58" i="50"/>
  <c r="AI52" i="47"/>
  <c r="AI105" i="47" s="1"/>
  <c r="S36" i="47"/>
  <c r="S89" i="47" s="1"/>
  <c r="AH52" i="47"/>
  <c r="AH105" i="47" s="1"/>
  <c r="Q53" i="47"/>
  <c r="N56" i="46"/>
  <c r="M56" i="46"/>
  <c r="AJ54" i="46"/>
  <c r="AJ139" i="46" s="1"/>
  <c r="AI53" i="46"/>
  <c r="AI138" i="46" s="1"/>
  <c r="Q54" i="46"/>
  <c r="BH139" i="46" s="1"/>
  <c r="P55" i="46"/>
  <c r="Q55" i="46" s="1"/>
  <c r="L57" i="46"/>
  <c r="K58" i="46"/>
  <c r="AP106" i="47" l="1"/>
  <c r="P58" i="53"/>
  <c r="AL115" i="64"/>
  <c r="AL107" i="65"/>
  <c r="AL115" i="55"/>
  <c r="AK114" i="64"/>
  <c r="AK106" i="65"/>
  <c r="AM115" i="55"/>
  <c r="AP106" i="43"/>
  <c r="AK114" i="55"/>
  <c r="AM57" i="53"/>
  <c r="AM116" i="55" s="1"/>
  <c r="AM115" i="64"/>
  <c r="Q55" i="44"/>
  <c r="AL55" i="44" s="1"/>
  <c r="AL56" i="44" s="1"/>
  <c r="AI52" i="43"/>
  <c r="AI105" i="43" s="1"/>
  <c r="S36" i="39"/>
  <c r="S89" i="43" s="1"/>
  <c r="P58" i="49"/>
  <c r="Q36" i="49" s="1"/>
  <c r="S36" i="49" s="1"/>
  <c r="S37" i="49" s="1"/>
  <c r="M59" i="53"/>
  <c r="N59" i="53"/>
  <c r="K59" i="44"/>
  <c r="L58" i="44"/>
  <c r="O58" i="44" s="1"/>
  <c r="AJ53" i="43"/>
  <c r="AJ106" i="43" s="1"/>
  <c r="N57" i="44"/>
  <c r="M57" i="44"/>
  <c r="M58" i="52"/>
  <c r="N58" i="52"/>
  <c r="L59" i="52"/>
  <c r="O59" i="52" s="1"/>
  <c r="Q56" i="52"/>
  <c r="AM56" i="52" s="1"/>
  <c r="AM57" i="52" s="1"/>
  <c r="P56" i="44"/>
  <c r="P57" i="52"/>
  <c r="Q57" i="52" s="1"/>
  <c r="AN57" i="52" s="1"/>
  <c r="AN58" i="52" s="1"/>
  <c r="Q58" i="53"/>
  <c r="AV109" i="65" s="1"/>
  <c r="Q57" i="53"/>
  <c r="AV108" i="65" s="1"/>
  <c r="O57" i="44"/>
  <c r="AP36" i="64"/>
  <c r="S37" i="64"/>
  <c r="P56" i="46"/>
  <c r="P55" i="51"/>
  <c r="Q55" i="51" s="1"/>
  <c r="AU113" i="51" s="1"/>
  <c r="K58" i="48"/>
  <c r="L57" i="48"/>
  <c r="O57" i="48" s="1"/>
  <c r="N56" i="48"/>
  <c r="O56" i="48"/>
  <c r="M56" i="48"/>
  <c r="AJ53" i="48"/>
  <c r="AJ125" i="50" s="1"/>
  <c r="AK54" i="48"/>
  <c r="AK126" i="50" s="1"/>
  <c r="P55" i="48"/>
  <c r="Q55" i="48" s="1"/>
  <c r="AU127" i="50" s="1"/>
  <c r="P59" i="55"/>
  <c r="AN57" i="55"/>
  <c r="AO58" i="55"/>
  <c r="AJ54" i="54"/>
  <c r="AJ113" i="54" s="1"/>
  <c r="AK54" i="54"/>
  <c r="AK113" i="54" s="1"/>
  <c r="AI53" i="54"/>
  <c r="AI112" i="54" s="1"/>
  <c r="L57" i="54"/>
  <c r="O57" i="54" s="1"/>
  <c r="K58" i="54"/>
  <c r="P55" i="54"/>
  <c r="M56" i="54"/>
  <c r="N56" i="54"/>
  <c r="AJ54" i="51"/>
  <c r="AJ112" i="51" s="1"/>
  <c r="M56" i="51"/>
  <c r="N56" i="51"/>
  <c r="Q54" i="51"/>
  <c r="AU112" i="51" s="1"/>
  <c r="K58" i="51"/>
  <c r="L57" i="51"/>
  <c r="O57" i="51" s="1"/>
  <c r="Q36" i="50"/>
  <c r="Q58" i="50"/>
  <c r="AJ53" i="47"/>
  <c r="AJ106" i="47" s="1"/>
  <c r="S37" i="47"/>
  <c r="S90" i="47" s="1"/>
  <c r="AI53" i="47"/>
  <c r="AI106" i="47" s="1"/>
  <c r="N57" i="46"/>
  <c r="M57" i="46"/>
  <c r="AL55" i="46"/>
  <c r="O57" i="46"/>
  <c r="Q56" i="46"/>
  <c r="K59" i="46"/>
  <c r="L58" i="46"/>
  <c r="AK54" i="46"/>
  <c r="AK139" i="46" s="1"/>
  <c r="Q58" i="49" l="1"/>
  <c r="AO58" i="49" s="1"/>
  <c r="AO36" i="49" s="1"/>
  <c r="AM116" i="64"/>
  <c r="AM108" i="65"/>
  <c r="AN57" i="53"/>
  <c r="AN108" i="65" s="1"/>
  <c r="AV116" i="64"/>
  <c r="AV116" i="55"/>
  <c r="AO58" i="53"/>
  <c r="AV117" i="64"/>
  <c r="AL140" i="46"/>
  <c r="BH140" i="46"/>
  <c r="AV117" i="55"/>
  <c r="P57" i="44"/>
  <c r="Q57" i="44" s="1"/>
  <c r="AN57" i="44" s="1"/>
  <c r="AN58" i="44" s="1"/>
  <c r="AI53" i="43"/>
  <c r="AI106" i="43" s="1"/>
  <c r="N58" i="44"/>
  <c r="M58" i="44"/>
  <c r="M59" i="52"/>
  <c r="N59" i="52"/>
  <c r="AJ36" i="43"/>
  <c r="AJ89" i="43" s="1"/>
  <c r="L59" i="44"/>
  <c r="K60" i="44"/>
  <c r="P58" i="52"/>
  <c r="Q58" i="52" s="1"/>
  <c r="AO58" i="52" s="1"/>
  <c r="AO59" i="52" s="1"/>
  <c r="P59" i="53"/>
  <c r="S37" i="39"/>
  <c r="S90" i="43" s="1"/>
  <c r="Q56" i="44"/>
  <c r="AM56" i="44" s="1"/>
  <c r="AM57" i="44" s="1"/>
  <c r="P57" i="46"/>
  <c r="Q57" i="46" s="1"/>
  <c r="AJ54" i="48"/>
  <c r="AJ126" i="50" s="1"/>
  <c r="AL55" i="48"/>
  <c r="AL127" i="50" s="1"/>
  <c r="L58" i="48"/>
  <c r="AK55" i="48"/>
  <c r="AK127" i="50" s="1"/>
  <c r="P56" i="48"/>
  <c r="Q56" i="48" s="1"/>
  <c r="N57" i="48"/>
  <c r="M57" i="48"/>
  <c r="AO59" i="55"/>
  <c r="AN58" i="55"/>
  <c r="Q36" i="55"/>
  <c r="Q59" i="55"/>
  <c r="AK55" i="54"/>
  <c r="AK114" i="54" s="1"/>
  <c r="K59" i="54"/>
  <c r="L58" i="54"/>
  <c r="O58" i="54"/>
  <c r="Q55" i="54"/>
  <c r="AV114" i="54" s="1"/>
  <c r="P56" i="54"/>
  <c r="Q56" i="54" s="1"/>
  <c r="AV115" i="54" s="1"/>
  <c r="N57" i="54"/>
  <c r="M57" i="54"/>
  <c r="L58" i="51"/>
  <c r="P56" i="51"/>
  <c r="Q56" i="51" s="1"/>
  <c r="AU114" i="51" s="1"/>
  <c r="AK54" i="51"/>
  <c r="AK112" i="51" s="1"/>
  <c r="N57" i="51"/>
  <c r="M57" i="51"/>
  <c r="AL55" i="51"/>
  <c r="AL113" i="51" s="1"/>
  <c r="AO58" i="50"/>
  <c r="S36" i="50"/>
  <c r="AJ36" i="47"/>
  <c r="AJ89" i="47" s="1"/>
  <c r="AK55" i="46"/>
  <c r="AK140" i="46" s="1"/>
  <c r="AM56" i="46"/>
  <c r="AL56" i="46"/>
  <c r="AL141" i="46" s="1"/>
  <c r="M58" i="46"/>
  <c r="N58" i="46"/>
  <c r="O58" i="46"/>
  <c r="K60" i="46"/>
  <c r="L59" i="46"/>
  <c r="AM141" i="46" l="1"/>
  <c r="AN116" i="55"/>
  <c r="AO117" i="55"/>
  <c r="AO109" i="65"/>
  <c r="BH141" i="46"/>
  <c r="BH142" i="46"/>
  <c r="AO59" i="53"/>
  <c r="AO117" i="64"/>
  <c r="AM56" i="48"/>
  <c r="AM128" i="50" s="1"/>
  <c r="AU128" i="50"/>
  <c r="AN58" i="53"/>
  <c r="AN116" i="64"/>
  <c r="M59" i="44"/>
  <c r="N59" i="44"/>
  <c r="AN90" i="43"/>
  <c r="AN89" i="43"/>
  <c r="AO89" i="43" s="1"/>
  <c r="O59" i="44"/>
  <c r="Q36" i="53"/>
  <c r="AV87" i="65" s="1"/>
  <c r="Q59" i="53"/>
  <c r="AV110" i="65" s="1"/>
  <c r="L60" i="44"/>
  <c r="O60" i="44" s="1"/>
  <c r="K61" i="44"/>
  <c r="P59" i="52"/>
  <c r="P58" i="44"/>
  <c r="Q58" i="44" s="1"/>
  <c r="AO58" i="44" s="1"/>
  <c r="AO59" i="44" s="1"/>
  <c r="AN57" i="46"/>
  <c r="AN142" i="46" s="1"/>
  <c r="AN90" i="47"/>
  <c r="AO90" i="47" s="1"/>
  <c r="P57" i="54"/>
  <c r="Q57" i="54" s="1"/>
  <c r="AV116" i="54" s="1"/>
  <c r="P57" i="48"/>
  <c r="Q57" i="48" s="1"/>
  <c r="AU129" i="50" s="1"/>
  <c r="AL56" i="48"/>
  <c r="AL128" i="50" s="1"/>
  <c r="M58" i="48"/>
  <c r="N58" i="48"/>
  <c r="O58" i="48"/>
  <c r="AP59" i="55"/>
  <c r="S36" i="55"/>
  <c r="AL55" i="54"/>
  <c r="AL114" i="54" s="1"/>
  <c r="M58" i="54"/>
  <c r="N58" i="54"/>
  <c r="AM56" i="54"/>
  <c r="AM115" i="54" s="1"/>
  <c r="L59" i="54"/>
  <c r="AL56" i="51"/>
  <c r="AL114" i="51" s="1"/>
  <c r="AK55" i="51"/>
  <c r="AK113" i="51" s="1"/>
  <c r="P57" i="51"/>
  <c r="Q57" i="51" s="1"/>
  <c r="AU115" i="51" s="1"/>
  <c r="AM56" i="51"/>
  <c r="AM114" i="51" s="1"/>
  <c r="M58" i="51"/>
  <c r="N58" i="51"/>
  <c r="O58" i="51"/>
  <c r="S37" i="50"/>
  <c r="AO36" i="50"/>
  <c r="AN89" i="47"/>
  <c r="M59" i="46"/>
  <c r="N59" i="46"/>
  <c r="AM57" i="46"/>
  <c r="AM142" i="46" s="1"/>
  <c r="O59" i="46"/>
  <c r="L60" i="46"/>
  <c r="K61" i="46"/>
  <c r="P58" i="46"/>
  <c r="AN58" i="46" l="1"/>
  <c r="AN143" i="46" s="1"/>
  <c r="AM57" i="48"/>
  <c r="AM129" i="50" s="1"/>
  <c r="C3" i="66"/>
  <c r="AO90" i="43"/>
  <c r="U7" i="60" s="1"/>
  <c r="F3" i="66"/>
  <c r="AO89" i="47"/>
  <c r="U11" i="60" s="1"/>
  <c r="AQ89" i="43"/>
  <c r="B3" i="66"/>
  <c r="AQ90" i="47"/>
  <c r="V12" i="60" s="1"/>
  <c r="G3" i="66"/>
  <c r="AN117" i="64"/>
  <c r="AN109" i="65"/>
  <c r="AO118" i="64"/>
  <c r="AO110" i="65"/>
  <c r="AO118" i="55"/>
  <c r="AP59" i="53"/>
  <c r="AP110" i="65" s="1"/>
  <c r="AV118" i="64"/>
  <c r="S36" i="53"/>
  <c r="S87" i="65" s="1"/>
  <c r="AV95" i="64"/>
  <c r="AV118" i="55"/>
  <c r="AN117" i="55"/>
  <c r="AV95" i="55"/>
  <c r="U12" i="60"/>
  <c r="CG9" i="60" s="1"/>
  <c r="Q36" i="52"/>
  <c r="S36" i="52" s="1"/>
  <c r="S37" i="52" s="1"/>
  <c r="Q59" i="52"/>
  <c r="AP59" i="52" s="1"/>
  <c r="AP36" i="52" s="1"/>
  <c r="L61" i="44"/>
  <c r="O61" i="44" s="1"/>
  <c r="K62" i="44"/>
  <c r="AQ90" i="43"/>
  <c r="T7" i="60"/>
  <c r="AR90" i="43"/>
  <c r="AA11" i="43" s="1"/>
  <c r="T6" i="60"/>
  <c r="U6" i="60"/>
  <c r="AR89" i="43"/>
  <c r="AA10" i="43" s="1"/>
  <c r="T12" i="60"/>
  <c r="CF9" i="60" s="1"/>
  <c r="P59" i="44"/>
  <c r="Q59" i="44" s="1"/>
  <c r="AP59" i="44" s="1"/>
  <c r="AP60" i="44" s="1"/>
  <c r="AR90" i="47"/>
  <c r="AA11" i="47" s="1"/>
  <c r="W12" i="60" s="1"/>
  <c r="X12" i="60" s="1"/>
  <c r="CI9" i="60" s="1"/>
  <c r="M60" i="44"/>
  <c r="N60" i="44"/>
  <c r="P59" i="46"/>
  <c r="Q59" i="46" s="1"/>
  <c r="AN57" i="48"/>
  <c r="AN129" i="50" s="1"/>
  <c r="P58" i="54"/>
  <c r="Q58" i="54" s="1"/>
  <c r="P58" i="48"/>
  <c r="S37" i="55"/>
  <c r="AP36" i="55"/>
  <c r="N59" i="54"/>
  <c r="M59" i="54"/>
  <c r="AM57" i="54"/>
  <c r="AM116" i="54" s="1"/>
  <c r="O59" i="54"/>
  <c r="AN57" i="54"/>
  <c r="AN116" i="54" s="1"/>
  <c r="AL56" i="54"/>
  <c r="AL115" i="54" s="1"/>
  <c r="AM57" i="51"/>
  <c r="AM115" i="51" s="1"/>
  <c r="P58" i="51"/>
  <c r="AN57" i="51"/>
  <c r="AN115" i="51" s="1"/>
  <c r="AR89" i="47"/>
  <c r="AA10" i="47" s="1"/>
  <c r="T11" i="60"/>
  <c r="AQ89" i="47"/>
  <c r="V11" i="60" s="1"/>
  <c r="Q58" i="46"/>
  <c r="BH143" i="46" s="1"/>
  <c r="K62" i="46"/>
  <c r="L61" i="46"/>
  <c r="O61" i="46"/>
  <c r="N60" i="46"/>
  <c r="M60" i="46"/>
  <c r="O60" i="46"/>
  <c r="BH144" i="46" l="1"/>
  <c r="Z11" i="47"/>
  <c r="Y12" i="60"/>
  <c r="Z12" i="60" s="1"/>
  <c r="CJ9" i="60" s="1"/>
  <c r="CK9" i="60" s="1"/>
  <c r="CL9" i="60" s="1"/>
  <c r="AN58" i="48"/>
  <c r="AN130" i="50" s="1"/>
  <c r="P60" i="44"/>
  <c r="Q60" i="44" s="1"/>
  <c r="AQ60" i="44" s="1"/>
  <c r="AQ61" i="44" s="1"/>
  <c r="AP118" i="55"/>
  <c r="S37" i="53"/>
  <c r="S96" i="55" s="1"/>
  <c r="S95" i="64"/>
  <c r="AO58" i="54"/>
  <c r="AO117" i="54" s="1"/>
  <c r="AV117" i="54"/>
  <c r="S95" i="55"/>
  <c r="AP36" i="53"/>
  <c r="AP118" i="64"/>
  <c r="G50" i="62"/>
  <c r="F50" i="62"/>
  <c r="G54" i="62" s="1"/>
  <c r="CG6" i="60"/>
  <c r="G5" i="62"/>
  <c r="F6" i="62"/>
  <c r="G10" i="62" s="1"/>
  <c r="CF7" i="60"/>
  <c r="F5" i="62"/>
  <c r="G9" i="62" s="1"/>
  <c r="CF6" i="60"/>
  <c r="Z11" i="43"/>
  <c r="V7" i="60"/>
  <c r="M61" i="44"/>
  <c r="N61" i="44"/>
  <c r="CG7" i="60"/>
  <c r="G6" i="62"/>
  <c r="Z10" i="43"/>
  <c r="V6" i="60"/>
  <c r="Y6" i="60"/>
  <c r="Z6" i="60" s="1"/>
  <c r="CJ6" i="60" s="1"/>
  <c r="W6" i="60"/>
  <c r="X6" i="60" s="1"/>
  <c r="CI6" i="60" s="1"/>
  <c r="Y7" i="60"/>
  <c r="Z7" i="60" s="1"/>
  <c r="CJ7" i="60" s="1"/>
  <c r="W7" i="60"/>
  <c r="X7" i="60" s="1"/>
  <c r="CI7" i="60" s="1"/>
  <c r="L62" i="44"/>
  <c r="K63" i="44"/>
  <c r="CH9" i="60"/>
  <c r="H50" i="62"/>
  <c r="I50" i="62" s="1"/>
  <c r="CF8" i="60"/>
  <c r="F49" i="62"/>
  <c r="G53" i="62" s="1"/>
  <c r="CG8" i="60"/>
  <c r="G49" i="62"/>
  <c r="Q36" i="48"/>
  <c r="AU108" i="50" s="1"/>
  <c r="Q58" i="48"/>
  <c r="AU130" i="50" s="1"/>
  <c r="AN58" i="54"/>
  <c r="AN117" i="54" s="1"/>
  <c r="P59" i="54"/>
  <c r="AN58" i="51"/>
  <c r="AN116" i="51" s="1"/>
  <c r="Q58" i="51"/>
  <c r="AU116" i="51" s="1"/>
  <c r="Q36" i="51"/>
  <c r="AU94" i="51" s="1"/>
  <c r="Z10" i="47"/>
  <c r="W11" i="60"/>
  <c r="X11" i="60" s="1"/>
  <c r="CI8" i="60" s="1"/>
  <c r="Y11" i="60"/>
  <c r="Z11" i="60" s="1"/>
  <c r="CJ8" i="60" s="1"/>
  <c r="L62" i="46"/>
  <c r="K63" i="46"/>
  <c r="P60" i="46"/>
  <c r="AO58" i="46"/>
  <c r="AO143" i="46" s="1"/>
  <c r="AP59" i="46"/>
  <c r="AP144" i="46" s="1"/>
  <c r="N61" i="46"/>
  <c r="M61" i="46"/>
  <c r="C59" i="62" l="1"/>
  <c r="AO59" i="54"/>
  <c r="AO118" i="54" s="1"/>
  <c r="AP95" i="64"/>
  <c r="AP87" i="65"/>
  <c r="S96" i="64"/>
  <c r="S88" i="65"/>
  <c r="AP95" i="55"/>
  <c r="C15" i="62"/>
  <c r="CK7" i="60"/>
  <c r="CL7" i="60" s="1"/>
  <c r="H5" i="62"/>
  <c r="I5" i="62" s="1"/>
  <c r="CH6" i="60"/>
  <c r="L63" i="44"/>
  <c r="K64" i="44"/>
  <c r="P61" i="44"/>
  <c r="C14" i="62"/>
  <c r="N62" i="44"/>
  <c r="M62" i="44"/>
  <c r="O62" i="44"/>
  <c r="CK6" i="60"/>
  <c r="CL6" i="60" s="1"/>
  <c r="CH7" i="60"/>
  <c r="H6" i="62"/>
  <c r="I6" i="62" s="1"/>
  <c r="C58" i="62"/>
  <c r="CK8" i="60"/>
  <c r="CL8" i="60" s="1"/>
  <c r="P61" i="46"/>
  <c r="Q61" i="46" s="1"/>
  <c r="CH8" i="60"/>
  <c r="H49" i="62"/>
  <c r="I49" i="62" s="1"/>
  <c r="AO58" i="48"/>
  <c r="AO130" i="50" s="1"/>
  <c r="S36" i="48"/>
  <c r="S108" i="50" s="1"/>
  <c r="Q36" i="54"/>
  <c r="AV95" i="54" s="1"/>
  <c r="Q59" i="54"/>
  <c r="AV118" i="54" s="1"/>
  <c r="S36" i="51"/>
  <c r="S94" i="51" s="1"/>
  <c r="AO58" i="51"/>
  <c r="AO116" i="51" s="1"/>
  <c r="AP60" i="46"/>
  <c r="AP145" i="46" s="1"/>
  <c r="K64" i="46"/>
  <c r="L63" i="46"/>
  <c r="N62" i="46"/>
  <c r="M62" i="46"/>
  <c r="AO59" i="46"/>
  <c r="AO144" i="46" s="1"/>
  <c r="O62" i="46"/>
  <c r="Q60" i="46"/>
  <c r="BH145" i="46" s="1"/>
  <c r="AT96" i="64" l="1"/>
  <c r="AT95" i="64"/>
  <c r="AT87" i="65"/>
  <c r="AU87" i="65" s="1"/>
  <c r="AT88" i="65"/>
  <c r="AU88" i="65" s="1"/>
  <c r="AT95" i="55"/>
  <c r="AU95" i="55" s="1"/>
  <c r="AT96" i="55"/>
  <c r="AU96" i="55" s="1"/>
  <c r="C56" i="62"/>
  <c r="C57" i="62" s="1"/>
  <c r="C12" i="62"/>
  <c r="C13" i="62" s="1"/>
  <c r="N63" i="44"/>
  <c r="M63" i="44"/>
  <c r="O63" i="44"/>
  <c r="P62" i="44"/>
  <c r="Q61" i="44"/>
  <c r="AR61" i="44" s="1"/>
  <c r="AR62" i="44" s="1"/>
  <c r="L64" i="44"/>
  <c r="O64" i="44" s="1"/>
  <c r="K65" i="44"/>
  <c r="AO36" i="48"/>
  <c r="AO108" i="50" s="1"/>
  <c r="S37" i="48"/>
  <c r="S109" i="50" s="1"/>
  <c r="AP59" i="54"/>
  <c r="AP118" i="54" s="1"/>
  <c r="S36" i="54"/>
  <c r="S95" i="54" s="1"/>
  <c r="AO36" i="51"/>
  <c r="AO94" i="51" s="1"/>
  <c r="S37" i="51"/>
  <c r="S95" i="51" s="1"/>
  <c r="K65" i="46"/>
  <c r="L64" i="46"/>
  <c r="AQ60" i="46"/>
  <c r="AQ145" i="46" s="1"/>
  <c r="M63" i="46"/>
  <c r="N63" i="46"/>
  <c r="AR61" i="46"/>
  <c r="P62" i="46"/>
  <c r="O63" i="46"/>
  <c r="N3" i="66" l="1"/>
  <c r="AU95" i="64"/>
  <c r="U21" i="60" s="1"/>
  <c r="G138" i="62" s="1"/>
  <c r="O3" i="66"/>
  <c r="AU96" i="64"/>
  <c r="U22" i="60" s="1"/>
  <c r="G139" i="62" s="1"/>
  <c r="AX96" i="64"/>
  <c r="AA11" i="64" s="1"/>
  <c r="Y22" i="60" s="1"/>
  <c r="Z22" i="60" s="1"/>
  <c r="T22" i="60"/>
  <c r="F139" i="62" s="1"/>
  <c r="G143" i="62" s="1"/>
  <c r="AW96" i="64"/>
  <c r="Z11" i="64" s="1"/>
  <c r="AW95" i="64"/>
  <c r="V21" i="60" s="1"/>
  <c r="H138" i="62" s="1"/>
  <c r="I138" i="62" s="1"/>
  <c r="T21" i="60"/>
  <c r="F138" i="62" s="1"/>
  <c r="G142" i="62" s="1"/>
  <c r="AX95" i="64"/>
  <c r="AA10" i="64" s="1"/>
  <c r="Y21" i="60" s="1"/>
  <c r="Z21" i="60" s="1"/>
  <c r="AW88" i="65"/>
  <c r="AX88" i="65"/>
  <c r="AW87" i="65"/>
  <c r="AX87" i="65"/>
  <c r="AR146" i="46"/>
  <c r="AW96" i="55"/>
  <c r="U27" i="60"/>
  <c r="T27" i="60"/>
  <c r="AX96" i="55"/>
  <c r="AA11" i="55" s="1"/>
  <c r="T26" i="60"/>
  <c r="U26" i="60"/>
  <c r="AW95" i="55"/>
  <c r="AX95" i="55"/>
  <c r="AA10" i="55" s="1"/>
  <c r="BH146" i="46"/>
  <c r="N64" i="44"/>
  <c r="M64" i="44"/>
  <c r="Q62" i="44"/>
  <c r="AS62" i="44" s="1"/>
  <c r="AS63" i="44" s="1"/>
  <c r="P63" i="44"/>
  <c r="Q63" i="44" s="1"/>
  <c r="AT63" i="44" s="1"/>
  <c r="AT64" i="44" s="1"/>
  <c r="L65" i="44"/>
  <c r="O65" i="44" s="1"/>
  <c r="K66" i="44"/>
  <c r="AS109" i="50"/>
  <c r="AS108" i="50"/>
  <c r="S37" i="54"/>
  <c r="S96" i="54" s="1"/>
  <c r="AP36" i="54"/>
  <c r="AP95" i="54" s="1"/>
  <c r="AS95" i="51"/>
  <c r="AS94" i="51"/>
  <c r="M64" i="46"/>
  <c r="N64" i="46"/>
  <c r="Q62" i="46"/>
  <c r="BH147" i="46" s="1"/>
  <c r="P63" i="46"/>
  <c r="Q63" i="46" s="1"/>
  <c r="BH148" i="46" s="1"/>
  <c r="O64" i="46"/>
  <c r="L65" i="46"/>
  <c r="K66" i="46"/>
  <c r="AR62" i="46"/>
  <c r="AR147" i="46" s="1"/>
  <c r="AQ61" i="46"/>
  <c r="AQ146" i="46" s="1"/>
  <c r="C147" i="62" l="1"/>
  <c r="C148" i="62"/>
  <c r="V22" i="60"/>
  <c r="H139" i="62" s="1"/>
  <c r="I139" i="62" s="1"/>
  <c r="V3" i="66"/>
  <c r="AT108" i="50"/>
  <c r="W3" i="66"/>
  <c r="AT109" i="50"/>
  <c r="U40" i="60" s="1"/>
  <c r="J3" i="66"/>
  <c r="AT94" i="51"/>
  <c r="U16" i="60" s="1"/>
  <c r="K3" i="66"/>
  <c r="AT95" i="51"/>
  <c r="U17" i="60" s="1"/>
  <c r="C145" i="62"/>
  <c r="Z10" i="64"/>
  <c r="Z11" i="55"/>
  <c r="V27" i="60"/>
  <c r="Y26" i="60"/>
  <c r="Z26" i="60" s="1"/>
  <c r="CJ12" i="60" s="1"/>
  <c r="W26" i="60"/>
  <c r="X26" i="60" s="1"/>
  <c r="CI12" i="60" s="1"/>
  <c r="W21" i="60"/>
  <c r="X21" i="60" s="1"/>
  <c r="W22" i="60"/>
  <c r="X22" i="60" s="1"/>
  <c r="W27" i="60"/>
  <c r="X27" i="60" s="1"/>
  <c r="CI13" i="60" s="1"/>
  <c r="Y27" i="60"/>
  <c r="Z27" i="60" s="1"/>
  <c r="CJ13" i="60" s="1"/>
  <c r="F181" i="62"/>
  <c r="G185" i="62" s="1"/>
  <c r="CF12" i="60"/>
  <c r="Z10" i="55"/>
  <c r="V26" i="60"/>
  <c r="F182" i="62"/>
  <c r="G186" i="62" s="1"/>
  <c r="CF13" i="60"/>
  <c r="CG12" i="60"/>
  <c r="G181" i="62"/>
  <c r="CG13" i="60"/>
  <c r="G182" i="62"/>
  <c r="C191" i="62" s="1"/>
  <c r="K67" i="44"/>
  <c r="L66" i="44"/>
  <c r="O66" i="44" s="1"/>
  <c r="M65" i="44"/>
  <c r="N65" i="44"/>
  <c r="P64" i="44"/>
  <c r="Q64" i="44" s="1"/>
  <c r="AU64" i="44" s="1"/>
  <c r="AU65" i="44" s="1"/>
  <c r="U39" i="60"/>
  <c r="AV108" i="50"/>
  <c r="T39" i="60"/>
  <c r="AW108" i="50"/>
  <c r="AA10" i="50" s="1"/>
  <c r="T40" i="60"/>
  <c r="AW109" i="50"/>
  <c r="AA11" i="50" s="1"/>
  <c r="AV109" i="50"/>
  <c r="AT95" i="54"/>
  <c r="AT96" i="54"/>
  <c r="AV94" i="51"/>
  <c r="AW94" i="51"/>
  <c r="AA10" i="51" s="1"/>
  <c r="T16" i="60"/>
  <c r="T17" i="60"/>
  <c r="AV95" i="51"/>
  <c r="AW95" i="51"/>
  <c r="AA11" i="51" s="1"/>
  <c r="N65" i="46"/>
  <c r="M65" i="46"/>
  <c r="AT63" i="46"/>
  <c r="AT148" i="46" s="1"/>
  <c r="P64" i="46"/>
  <c r="Q64" i="46" s="1"/>
  <c r="L66" i="46"/>
  <c r="K67" i="46"/>
  <c r="O65" i="46"/>
  <c r="AS62" i="46"/>
  <c r="AS147" i="46" s="1"/>
  <c r="C190" i="62" l="1"/>
  <c r="C146" i="62"/>
  <c r="Z3" i="66"/>
  <c r="AU95" i="54"/>
  <c r="AA3" i="66"/>
  <c r="AU96" i="54"/>
  <c r="U47" i="60" s="1"/>
  <c r="CK12" i="60"/>
  <c r="CL12" i="60" s="1"/>
  <c r="CH12" i="60"/>
  <c r="H181" i="62"/>
  <c r="I181" i="62" s="1"/>
  <c r="C188" i="62" s="1"/>
  <c r="C189" i="62" s="1"/>
  <c r="CK13" i="60"/>
  <c r="CL13" i="60" s="1"/>
  <c r="BH149" i="46"/>
  <c r="H182" i="62"/>
  <c r="I182" i="62" s="1"/>
  <c r="CH13" i="60"/>
  <c r="M66" i="44"/>
  <c r="N66" i="44"/>
  <c r="P65" i="44"/>
  <c r="Q65" i="44" s="1"/>
  <c r="AV65" i="44" s="1"/>
  <c r="AV66" i="44" s="1"/>
  <c r="K68" i="44"/>
  <c r="L67" i="44"/>
  <c r="CG11" i="60"/>
  <c r="G94" i="62"/>
  <c r="CG17" i="60"/>
  <c r="G271" i="62"/>
  <c r="CF11" i="60"/>
  <c r="F94" i="62"/>
  <c r="G98" i="62" s="1"/>
  <c r="CF16" i="60"/>
  <c r="F270" i="62"/>
  <c r="G274" i="62" s="1"/>
  <c r="CG10" i="60"/>
  <c r="G93" i="62"/>
  <c r="CF10" i="60"/>
  <c r="F93" i="62"/>
  <c r="G97" i="62" s="1"/>
  <c r="CF17" i="60"/>
  <c r="F271" i="62"/>
  <c r="G275" i="62" s="1"/>
  <c r="CG16" i="60"/>
  <c r="G270" i="62"/>
  <c r="W40" i="60"/>
  <c r="X40" i="60" s="1"/>
  <c r="CI17" i="60" s="1"/>
  <c r="Y40" i="60"/>
  <c r="Z40" i="60" s="1"/>
  <c r="CJ17" i="60" s="1"/>
  <c r="W39" i="60"/>
  <c r="X39" i="60" s="1"/>
  <c r="CI16" i="60" s="1"/>
  <c r="Y39" i="60"/>
  <c r="Z39" i="60" s="1"/>
  <c r="CJ16" i="60" s="1"/>
  <c r="V40" i="60"/>
  <c r="Z11" i="50"/>
  <c r="V39" i="60"/>
  <c r="Z10" i="50"/>
  <c r="AX96" i="54"/>
  <c r="AA11" i="54" s="1"/>
  <c r="AW96" i="54"/>
  <c r="T47" i="60"/>
  <c r="AX95" i="54"/>
  <c r="AA10" i="54" s="1"/>
  <c r="T46" i="60"/>
  <c r="U46" i="60"/>
  <c r="AW95" i="54"/>
  <c r="Z11" i="51"/>
  <c r="V17" i="60"/>
  <c r="W16" i="60"/>
  <c r="X16" i="60" s="1"/>
  <c r="CI10" i="60" s="1"/>
  <c r="Y16" i="60"/>
  <c r="Z16" i="60" s="1"/>
  <c r="CJ10" i="60" s="1"/>
  <c r="Y17" i="60"/>
  <c r="Z17" i="60" s="1"/>
  <c r="CJ11" i="60" s="1"/>
  <c r="W17" i="60"/>
  <c r="X17" i="60" s="1"/>
  <c r="CI11" i="60" s="1"/>
  <c r="V16" i="60"/>
  <c r="Z10" i="51"/>
  <c r="AS63" i="46"/>
  <c r="AS148" i="46" s="1"/>
  <c r="K68" i="46"/>
  <c r="L67" i="46"/>
  <c r="AT64" i="46"/>
  <c r="AT149" i="46" s="1"/>
  <c r="N66" i="46"/>
  <c r="M66" i="46"/>
  <c r="P65" i="46"/>
  <c r="AU64" i="46"/>
  <c r="AU149" i="46" s="1"/>
  <c r="O66" i="46"/>
  <c r="N67" i="44" l="1"/>
  <c r="M67" i="44"/>
  <c r="K69" i="44"/>
  <c r="O68" i="44"/>
  <c r="L68" i="44"/>
  <c r="P66" i="44"/>
  <c r="CK11" i="60"/>
  <c r="CL11" i="60" s="1"/>
  <c r="O67" i="44"/>
  <c r="C280" i="62"/>
  <c r="CK10" i="60"/>
  <c r="CL10" i="60" s="1"/>
  <c r="C103" i="62"/>
  <c r="C102" i="62"/>
  <c r="C279" i="62"/>
  <c r="CF19" i="60"/>
  <c r="F315" i="62"/>
  <c r="G319" i="62" s="1"/>
  <c r="CG18" i="60"/>
  <c r="G314" i="62"/>
  <c r="CH16" i="60"/>
  <c r="H270" i="62"/>
  <c r="I270" i="62" s="1"/>
  <c r="CK16" i="60"/>
  <c r="CL16" i="60" s="1"/>
  <c r="CG19" i="60"/>
  <c r="G315" i="62"/>
  <c r="CH10" i="60"/>
  <c r="H93" i="62"/>
  <c r="I93" i="62" s="1"/>
  <c r="C100" i="62" s="1"/>
  <c r="CH11" i="60"/>
  <c r="H94" i="62"/>
  <c r="I94" i="62" s="1"/>
  <c r="CF18" i="60"/>
  <c r="F314" i="62"/>
  <c r="G318" i="62" s="1"/>
  <c r="CH17" i="60"/>
  <c r="H271" i="62"/>
  <c r="I271" i="62" s="1"/>
  <c r="CK17" i="60"/>
  <c r="CL17" i="60" s="1"/>
  <c r="Z11" i="54"/>
  <c r="V47" i="60"/>
  <c r="W46" i="60"/>
  <c r="X46" i="60" s="1"/>
  <c r="CI18" i="60" s="1"/>
  <c r="Y46" i="60"/>
  <c r="Z46" i="60" s="1"/>
  <c r="CJ18" i="60" s="1"/>
  <c r="W47" i="60"/>
  <c r="X47" i="60" s="1"/>
  <c r="CI19" i="60" s="1"/>
  <c r="Y47" i="60"/>
  <c r="Z47" i="60" s="1"/>
  <c r="CJ19" i="60" s="1"/>
  <c r="Z10" i="54"/>
  <c r="V46" i="60"/>
  <c r="AU65" i="46"/>
  <c r="AU150" i="46" s="1"/>
  <c r="K69" i="46"/>
  <c r="L68" i="46"/>
  <c r="O68" i="46" s="1"/>
  <c r="Q65" i="46"/>
  <c r="BH150" i="46" s="1"/>
  <c r="P66" i="46"/>
  <c r="Q66" i="46" s="1"/>
  <c r="N67" i="46"/>
  <c r="M67" i="46"/>
  <c r="O67" i="46"/>
  <c r="L69" i="44" l="1"/>
  <c r="O69" i="44"/>
  <c r="K70" i="44"/>
  <c r="Q66" i="44"/>
  <c r="AW66" i="44" s="1"/>
  <c r="AW67" i="44" s="1"/>
  <c r="P67" i="44"/>
  <c r="Q67" i="44" s="1"/>
  <c r="AX67" i="44" s="1"/>
  <c r="AX68" i="44" s="1"/>
  <c r="M68" i="44"/>
  <c r="N68" i="44"/>
  <c r="C324" i="62"/>
  <c r="CK19" i="60"/>
  <c r="CL19" i="60" s="1"/>
  <c r="C323" i="62"/>
  <c r="C101" i="62"/>
  <c r="C277" i="62"/>
  <c r="C278" i="62" s="1"/>
  <c r="CH19" i="60"/>
  <c r="H315" i="62"/>
  <c r="I315" i="62" s="1"/>
  <c r="CH18" i="60"/>
  <c r="H314" i="62"/>
  <c r="I314" i="62" s="1"/>
  <c r="CK18" i="60"/>
  <c r="CL18" i="60" s="1"/>
  <c r="AV65" i="46"/>
  <c r="AV150" i="46" s="1"/>
  <c r="P67" i="46"/>
  <c r="AW66" i="46"/>
  <c r="AW151" i="46" s="1"/>
  <c r="N68" i="46"/>
  <c r="M68" i="46"/>
  <c r="K70" i="46"/>
  <c r="L69" i="46"/>
  <c r="BH151" i="46" l="1"/>
  <c r="P68" i="44"/>
  <c r="K71" i="44"/>
  <c r="L70" i="44"/>
  <c r="O70" i="44" s="1"/>
  <c r="M69" i="44"/>
  <c r="N69" i="44"/>
  <c r="C321" i="62"/>
  <c r="C322" i="62" s="1"/>
  <c r="P68" i="46"/>
  <c r="Q68" i="46" s="1"/>
  <c r="M69" i="46"/>
  <c r="N69" i="46"/>
  <c r="O69" i="46"/>
  <c r="L70" i="46"/>
  <c r="K71" i="46"/>
  <c r="AV66" i="46"/>
  <c r="AV151" i="46" s="1"/>
  <c r="Q67" i="46"/>
  <c r="BH152" i="46" s="1"/>
  <c r="AW67" i="46"/>
  <c r="AW152" i="46" s="1"/>
  <c r="M70" i="44" l="1"/>
  <c r="N70" i="44"/>
  <c r="P69" i="44"/>
  <c r="Q69" i="44" s="1"/>
  <c r="AZ69" i="44" s="1"/>
  <c r="AZ70" i="44" s="1"/>
  <c r="L71" i="44"/>
  <c r="Q68" i="44"/>
  <c r="AY68" i="44" s="1"/>
  <c r="AY69" i="44" s="1"/>
  <c r="AX67" i="46"/>
  <c r="AX152" i="46" s="1"/>
  <c r="L71" i="46"/>
  <c r="O71" i="46" s="1"/>
  <c r="M70" i="46"/>
  <c r="N70" i="46"/>
  <c r="P69" i="46"/>
  <c r="O70" i="46"/>
  <c r="AY68" i="46"/>
  <c r="AY153" i="46" l="1"/>
  <c r="BH153" i="46"/>
  <c r="M71" i="44"/>
  <c r="N71" i="44"/>
  <c r="O71" i="44"/>
  <c r="P70" i="44"/>
  <c r="Q70" i="44" s="1"/>
  <c r="BA70" i="44" s="1"/>
  <c r="BA71" i="44" s="1"/>
  <c r="Q69" i="46"/>
  <c r="BH154" i="46" s="1"/>
  <c r="AY69" i="46"/>
  <c r="AY154" i="46" s="1"/>
  <c r="P70" i="46"/>
  <c r="AX68" i="46"/>
  <c r="AX153" i="46" s="1"/>
  <c r="M71" i="46"/>
  <c r="N71" i="46"/>
  <c r="P71" i="44" l="1"/>
  <c r="Q36" i="44" s="1"/>
  <c r="S36" i="44" s="1"/>
  <c r="S37" i="44" s="1"/>
  <c r="AZ69" i="46"/>
  <c r="AZ154" i="46" s="1"/>
  <c r="Q70" i="46"/>
  <c r="BH155" i="46" s="1"/>
  <c r="P71" i="46"/>
  <c r="Q36" i="46" s="1"/>
  <c r="BH121" i="46" l="1"/>
  <c r="Q71" i="44"/>
  <c r="BB71" i="44" s="1"/>
  <c r="BB36" i="44" s="1"/>
  <c r="Q71" i="46"/>
  <c r="S36" i="46"/>
  <c r="S121" i="46" s="1"/>
  <c r="AZ70" i="46"/>
  <c r="AZ155" i="46" s="1"/>
  <c r="BA70" i="46"/>
  <c r="BA155" i="46" s="1"/>
  <c r="BB71" i="46" l="1"/>
  <c r="BB156" i="46" s="1"/>
  <c r="BH156" i="46"/>
  <c r="BA71" i="46"/>
  <c r="BA156" i="46" s="1"/>
  <c r="S37" i="46"/>
  <c r="S122" i="46" s="1"/>
  <c r="BB36" i="46" l="1"/>
  <c r="BB121" i="46" s="1"/>
  <c r="BF121" i="46" s="1"/>
  <c r="BF122" i="46" l="1"/>
  <c r="S3" i="66" s="1"/>
  <c r="R3" i="66"/>
  <c r="BG121" i="46"/>
  <c r="U32" i="60" s="1"/>
  <c r="T32" i="60"/>
  <c r="BJ121" i="46"/>
  <c r="AA10" i="46" s="1"/>
  <c r="BI121" i="46"/>
  <c r="BI122" i="46" l="1"/>
  <c r="V33" i="60" s="1"/>
  <c r="BJ122" i="46"/>
  <c r="AA11" i="46" s="1"/>
  <c r="W33" i="60" s="1"/>
  <c r="X33" i="60" s="1"/>
  <c r="CI15" i="60" s="1"/>
  <c r="BG122" i="46"/>
  <c r="U33" i="60" s="1"/>
  <c r="G227" i="62" s="1"/>
  <c r="T33" i="60"/>
  <c r="CF15" i="60" s="1"/>
  <c r="CG14" i="60"/>
  <c r="G226" i="62"/>
  <c r="CF14" i="60"/>
  <c r="F226" i="62"/>
  <c r="G230" i="62" s="1"/>
  <c r="Y33" i="60"/>
  <c r="Z33" i="60" s="1"/>
  <c r="CJ15" i="60" s="1"/>
  <c r="W32" i="60"/>
  <c r="X32" i="60" s="1"/>
  <c r="CI14" i="60" s="1"/>
  <c r="Y32" i="60"/>
  <c r="Z32" i="60" s="1"/>
  <c r="CJ14" i="60" s="1"/>
  <c r="V32" i="60"/>
  <c r="Z10" i="46"/>
  <c r="Z11" i="46"/>
  <c r="F227" i="62" l="1"/>
  <c r="G231" i="62" s="1"/>
  <c r="CG15" i="60"/>
  <c r="C236" i="62"/>
  <c r="C235" i="62"/>
  <c r="CK14" i="60"/>
  <c r="CL14" i="60" s="1"/>
  <c r="CH15" i="60"/>
  <c r="H227" i="62"/>
  <c r="I227" i="62" s="1"/>
  <c r="CH14" i="60"/>
  <c r="H226" i="62"/>
  <c r="I226" i="62" s="1"/>
  <c r="CK15" i="60"/>
  <c r="CL15" i="60" s="1"/>
  <c r="C233" i="62" l="1"/>
  <c r="C234"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9471906C-F55A-4C42-B763-B65726EB9F81}">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FFA7F8A7-2010-47D4-8AB1-2E8389CA4BE9}">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1772BC9E-1572-46CA-BF37-BDFEF476DDBB}">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DAA529C9-F1B3-4273-8A25-194C49343715}">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3F048785-9FC1-416B-B549-C12FEC8E44B1}">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1ED9C755-3426-4C9D-B4D3-1AB1F1E3F1F8}">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5081A4C2-FDD8-4DFC-83FD-3E1A4325F36F}">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F382488A-6AB3-4F86-8F62-F73E71920E3C}">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7A1E2B75-59D2-4EDE-9062-F4C55DCCCD1B}">
      <text>
        <r>
          <rPr>
            <b/>
            <sz val="9"/>
            <color indexed="81"/>
            <rFont val="MS P ゴシック"/>
            <family val="3"/>
            <charset val="128"/>
          </rPr>
          <t>Author:</t>
        </r>
        <r>
          <rPr>
            <sz val="9"/>
            <color indexed="81"/>
            <rFont val="MS P ゴシック"/>
            <family val="3"/>
            <charset val="128"/>
          </rPr>
          <t xml:space="preserve">
Min R updated baed on RCR Limit.</t>
        </r>
      </text>
    </comment>
    <comment ref="M11" authorId="0" shapeId="0" xr:uid="{6E178FFA-6603-4E15-BF46-794599A876E5}">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A4645FCA-BF68-48B7-AC93-DA0AF2DA1670}">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5FFCF1F4-0F83-415F-863E-E617628AE375}">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A1AAB978-6372-4A7D-A117-110D4916C322}">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2578140D-7658-4FBC-9395-50B22EB9D107}">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750B92E8-A897-4C6A-B2D0-82A41B3B9C49}">
      <text>
        <r>
          <rPr>
            <b/>
            <sz val="9"/>
            <color indexed="81"/>
            <rFont val="MS P ゴシック"/>
            <family val="3"/>
            <charset val="128"/>
          </rPr>
          <t>Author:</t>
        </r>
        <r>
          <rPr>
            <sz val="9"/>
            <color indexed="81"/>
            <rFont val="MS P ゴシック"/>
            <family val="3"/>
            <charset val="128"/>
          </rPr>
          <t xml:space="preserve">
Min R updated based on RCR Liimt.</t>
        </r>
      </text>
    </comment>
    <comment ref="M11" authorId="0" shapeId="0" xr:uid="{5F2BC212-C5D9-4B9C-9A3F-B5D655309B13}">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68670A3D-E0A4-41D6-A280-473748A156BC}">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C222C28A-268A-4E6D-84A8-B8378031F4FB}">
      <text>
        <r>
          <rPr>
            <b/>
            <sz val="9"/>
            <color indexed="81"/>
            <rFont val="MS P ゴシック"/>
            <family val="3"/>
            <charset val="128"/>
          </rPr>
          <t>Author:</t>
        </r>
        <r>
          <rPr>
            <sz val="9"/>
            <color indexed="81"/>
            <rFont val="MS P ゴシック"/>
            <family val="3"/>
            <charset val="128"/>
          </rPr>
          <t xml:space="preserve">
Max R updated based on RCR Liimt.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030612DD-52A5-4875-8B5C-DD8DB483022E}">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DE6E5AA1-8AD9-4468-837F-9F5151F46B1E}">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9A836645-20A5-4189-A6A0-950C3F19F55B}">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4221BF30-EAED-4417-B538-05CC40C87FA9}">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C6C71B25-4FB4-4364-9D42-FB122249E3CA}">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5E8CDAF4-6095-4A96-AA99-ED7A7AF2704D}">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35E6386F-4939-412C-8494-B8AC94564543}">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9C1EAFA5-12A8-4BB6-8939-CA47F83A5980}">
      <text>
        <r>
          <rPr>
            <b/>
            <sz val="9"/>
            <color indexed="81"/>
            <rFont val="MS P ゴシック"/>
            <family val="3"/>
            <charset val="128"/>
          </rPr>
          <t>Author:</t>
        </r>
        <r>
          <rPr>
            <sz val="9"/>
            <color indexed="81"/>
            <rFont val="MS P ゴシック"/>
            <family val="3"/>
            <charset val="128"/>
          </rPr>
          <t xml:space="preserve">
Max R updated based on RCR Limit.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1" authorId="0" shapeId="0" xr:uid="{9C552760-6769-47AF-A974-734D2EEE8BE6}">
      <text>
        <r>
          <rPr>
            <b/>
            <sz val="9"/>
            <color indexed="81"/>
            <rFont val="MS P ゴシック"/>
            <family val="3"/>
            <charset val="128"/>
          </rPr>
          <t>Author:</t>
        </r>
        <r>
          <rPr>
            <sz val="9"/>
            <color indexed="81"/>
            <rFont val="MS P ゴシック"/>
            <family val="3"/>
            <charset val="128"/>
          </rPr>
          <t xml:space="preserve">
Min R updated based on RCR Limit.</t>
        </r>
      </text>
    </comment>
    <comment ref="M11" authorId="0" shapeId="0" xr:uid="{FBB8BFF8-21D3-419B-AB7A-B07E2DD7FB5F}">
      <text>
        <r>
          <rPr>
            <b/>
            <sz val="9"/>
            <color indexed="81"/>
            <rFont val="MS P ゴシック"/>
            <family val="3"/>
            <charset val="128"/>
          </rPr>
          <t>Author:</t>
        </r>
        <r>
          <rPr>
            <sz val="9"/>
            <color indexed="81"/>
            <rFont val="MS P ゴシック"/>
            <family val="3"/>
            <charset val="128"/>
          </rPr>
          <t xml:space="preserve">
Max updated based on RCR Limit.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42" authorId="0" shapeId="0" xr:uid="{00000000-0006-0000-1500-000001000000}">
      <text>
        <r>
          <rPr>
            <b/>
            <sz val="9"/>
            <color indexed="81"/>
            <rFont val="MS P ゴシック"/>
            <family val="3"/>
            <charset val="128"/>
          </rPr>
          <t xml:space="preserve">Author:
50% of fwd and aft height dimension's tolerance is added to hook dia dwg. Tolerance.
</t>
        </r>
      </text>
    </comment>
  </commentList>
</comments>
</file>

<file path=xl/sharedStrings.xml><?xml version="1.0" encoding="utf-8"?>
<sst xmlns="http://schemas.openxmlformats.org/spreadsheetml/2006/main" count="3377" uniqueCount="1035">
  <si>
    <t>Stg.1 Shroud Fwd Hook Groove</t>
    <phoneticPr fontId="2"/>
  </si>
  <si>
    <t>Nom. Dia</t>
  </si>
  <si>
    <t>Max</t>
  </si>
  <si>
    <t>Min</t>
  </si>
  <si>
    <t>Angle</t>
    <phoneticPr fontId="2"/>
  </si>
  <si>
    <t>105
Position</t>
    <phoneticPr fontId="2"/>
  </si>
  <si>
    <t>CMM</t>
  </si>
  <si>
    <t>Dwg Min</t>
  </si>
  <si>
    <t>Dwg Max</t>
  </si>
  <si>
    <t>Diameter</t>
    <phoneticPr fontId="2"/>
  </si>
  <si>
    <t>Area#</t>
    <phoneticPr fontId="2"/>
  </si>
  <si>
    <t>[deg]</t>
    <phoneticPr fontId="2"/>
  </si>
  <si>
    <t>[mm]</t>
  </si>
  <si>
    <t>[mm]</t>
    <phoneticPr fontId="2"/>
  </si>
  <si>
    <t>Max R</t>
    <phoneticPr fontId="2"/>
  </si>
  <si>
    <t>Min R</t>
    <phoneticPr fontId="2"/>
  </si>
  <si>
    <t>Min R</t>
    <phoneticPr fontId="2"/>
  </si>
  <si>
    <t>Avg. Dia</t>
    <phoneticPr fontId="2"/>
  </si>
  <si>
    <t>Run Out</t>
    <phoneticPr fontId="2"/>
  </si>
  <si>
    <t>Run Out</t>
    <phoneticPr fontId="2"/>
  </si>
  <si>
    <t>Dwg. 0.13</t>
    <phoneticPr fontId="2"/>
  </si>
  <si>
    <t>Stg.1 Shroud Fwd</t>
    <phoneticPr fontId="2"/>
  </si>
  <si>
    <t>Stg.1 Shroud Fwd Hook</t>
    <phoneticPr fontId="2"/>
  </si>
  <si>
    <t>Segment</t>
    <phoneticPr fontId="2"/>
  </si>
  <si>
    <t>[deg.]</t>
    <phoneticPr fontId="2"/>
  </si>
  <si>
    <t>[deg.]</t>
    <phoneticPr fontId="2"/>
  </si>
  <si>
    <t>Start</t>
    <phoneticPr fontId="2"/>
  </si>
  <si>
    <t>Start</t>
    <phoneticPr fontId="2"/>
  </si>
  <si>
    <t>Position</t>
    <phoneticPr fontId="2"/>
  </si>
  <si>
    <t>Base R</t>
    <phoneticPr fontId="2"/>
  </si>
  <si>
    <t>Base R</t>
    <phoneticPr fontId="2"/>
  </si>
  <si>
    <t>Ratio</t>
    <phoneticPr fontId="2"/>
  </si>
  <si>
    <t>Ratio</t>
    <phoneticPr fontId="2"/>
  </si>
  <si>
    <t>Delta</t>
    <phoneticPr fontId="2"/>
  </si>
  <si>
    <t>Delta</t>
    <phoneticPr fontId="2"/>
  </si>
  <si>
    <t>Edge R</t>
    <phoneticPr fontId="2"/>
  </si>
  <si>
    <t>Avg R</t>
    <phoneticPr fontId="2"/>
  </si>
  <si>
    <t>Avg R</t>
    <phoneticPr fontId="2"/>
  </si>
  <si>
    <t>LPT Case Hook R Min</t>
    <phoneticPr fontId="2"/>
  </si>
  <si>
    <t>LPT Case Hook R Min</t>
    <phoneticPr fontId="2"/>
  </si>
  <si>
    <t>LPT Case Hook R Max</t>
    <phoneticPr fontId="2"/>
  </si>
  <si>
    <t>#</t>
    <phoneticPr fontId="2"/>
  </si>
  <si>
    <t>#</t>
    <phoneticPr fontId="2"/>
  </si>
  <si>
    <t>[deg]</t>
    <phoneticPr fontId="2"/>
  </si>
  <si>
    <t>Area #</t>
    <phoneticPr fontId="2"/>
  </si>
  <si>
    <t>[mm]</t>
    <phoneticPr fontId="2"/>
  </si>
  <si>
    <t>[mm/deg]</t>
    <phoneticPr fontId="2"/>
  </si>
  <si>
    <t>[mm/deg]</t>
    <phoneticPr fontId="2"/>
  </si>
  <si>
    <t>Stg.1 Nozzle Fwd Hook Inner</t>
    <phoneticPr fontId="2"/>
  </si>
  <si>
    <t>236
Position</t>
    <phoneticPr fontId="2"/>
  </si>
  <si>
    <t>Stg.1 Shroud Aft</t>
    <phoneticPr fontId="2"/>
  </si>
  <si>
    <t>Stg.1 Shroud Aft Hook</t>
    <phoneticPr fontId="2"/>
  </si>
  <si>
    <t>Segment</t>
    <phoneticPr fontId="2"/>
  </si>
  <si>
    <t>Position</t>
    <phoneticPr fontId="2"/>
  </si>
  <si>
    <t>Area #</t>
    <phoneticPr fontId="2"/>
  </si>
  <si>
    <t>Step Min</t>
    <phoneticPr fontId="2"/>
  </si>
  <si>
    <t>Step Min</t>
    <phoneticPr fontId="2"/>
  </si>
  <si>
    <t>Step Max</t>
    <phoneticPr fontId="2"/>
  </si>
  <si>
    <t>Step Max</t>
    <phoneticPr fontId="2"/>
  </si>
  <si>
    <t>[mm]</t>
    <phoneticPr fontId="2"/>
  </si>
  <si>
    <t>Max</t>
    <phoneticPr fontId="2"/>
  </si>
  <si>
    <t>Max</t>
    <phoneticPr fontId="2"/>
  </si>
  <si>
    <t>Min</t>
    <phoneticPr fontId="2"/>
  </si>
  <si>
    <t>Min</t>
    <phoneticPr fontId="2"/>
  </si>
  <si>
    <t>Stg.1 Nozzle Fwd Hook Outer</t>
    <phoneticPr fontId="2"/>
  </si>
  <si>
    <t>EM</t>
  </si>
  <si>
    <t>Angle</t>
    <phoneticPr fontId="2"/>
  </si>
  <si>
    <t>237
Position</t>
    <phoneticPr fontId="2"/>
  </si>
  <si>
    <t>Diameter</t>
    <phoneticPr fontId="2"/>
  </si>
  <si>
    <t>Area#</t>
    <phoneticPr fontId="2"/>
  </si>
  <si>
    <t>[deg]</t>
    <phoneticPr fontId="2"/>
  </si>
  <si>
    <t>[mm]</t>
    <phoneticPr fontId="2"/>
  </si>
  <si>
    <t>Max R</t>
    <phoneticPr fontId="2"/>
  </si>
  <si>
    <t>EM Check</t>
  </si>
  <si>
    <t>Stg.2 Nozzle Fwd</t>
    <phoneticPr fontId="2"/>
  </si>
  <si>
    <t>Stg.2 Nozzle Fwd Hook</t>
    <phoneticPr fontId="2"/>
  </si>
  <si>
    <t>Stg.1 Nozzle Aft Hook Inner</t>
    <phoneticPr fontId="2"/>
  </si>
  <si>
    <t>238
Position</t>
    <phoneticPr fontId="2"/>
  </si>
  <si>
    <t>Avg. Dia</t>
    <phoneticPr fontId="2"/>
  </si>
  <si>
    <t>Run Out</t>
    <phoneticPr fontId="2"/>
  </si>
  <si>
    <t>Dwg. 0.13</t>
    <phoneticPr fontId="2"/>
  </si>
  <si>
    <t>Stg.2 Shroud Fwd</t>
    <phoneticPr fontId="2"/>
  </si>
  <si>
    <t>Stg.2 Shroud Fwd Hook</t>
    <phoneticPr fontId="2"/>
  </si>
  <si>
    <t>Position</t>
    <phoneticPr fontId="2"/>
  </si>
  <si>
    <t>Base R</t>
    <phoneticPr fontId="2"/>
  </si>
  <si>
    <t>Ratio</t>
    <phoneticPr fontId="2"/>
  </si>
  <si>
    <t>Delta</t>
    <phoneticPr fontId="2"/>
  </si>
  <si>
    <t>Edge R</t>
    <phoneticPr fontId="2"/>
  </si>
  <si>
    <t>Avg R</t>
    <phoneticPr fontId="2"/>
  </si>
  <si>
    <t>LPT Case Hook R Min</t>
    <phoneticPr fontId="2"/>
  </si>
  <si>
    <t>LPT Case Hook R Max</t>
    <phoneticPr fontId="2"/>
  </si>
  <si>
    <t>#</t>
    <phoneticPr fontId="2"/>
  </si>
  <si>
    <t>[deg]</t>
    <phoneticPr fontId="2"/>
  </si>
  <si>
    <t>Area #</t>
    <phoneticPr fontId="2"/>
  </si>
  <si>
    <t>[mm]</t>
    <phoneticPr fontId="2"/>
  </si>
  <si>
    <t>[mm/deg]</t>
    <phoneticPr fontId="2"/>
  </si>
  <si>
    <t>Stg.1 Nozzle Aft Hook Groove</t>
    <phoneticPr fontId="2"/>
  </si>
  <si>
    <t>239
Position</t>
    <phoneticPr fontId="2"/>
  </si>
  <si>
    <t>Stg.2 Nozzle Aft</t>
    <phoneticPr fontId="2"/>
  </si>
  <si>
    <t>Stg.2 Nozzle Aft Hook</t>
    <phoneticPr fontId="2"/>
  </si>
  <si>
    <t>Step Min</t>
    <phoneticPr fontId="2"/>
  </si>
  <si>
    <t>Step Max</t>
    <phoneticPr fontId="2"/>
  </si>
  <si>
    <t>[mm]</t>
    <phoneticPr fontId="2"/>
  </si>
  <si>
    <t>Stg.3 Nozzle Fwd Hook Inner</t>
    <phoneticPr fontId="2"/>
  </si>
  <si>
    <t>240
Position</t>
    <phoneticPr fontId="2"/>
  </si>
  <si>
    <t>Stg.2 Shroud Aft</t>
    <phoneticPr fontId="2"/>
  </si>
  <si>
    <t>Stg.2 Shroud Aft Hook</t>
    <phoneticPr fontId="2"/>
  </si>
  <si>
    <t>[deg.]</t>
    <phoneticPr fontId="2"/>
  </si>
  <si>
    <t>Position</t>
    <phoneticPr fontId="2"/>
  </si>
  <si>
    <t>Base R</t>
    <phoneticPr fontId="2"/>
  </si>
  <si>
    <t>Ratio</t>
    <phoneticPr fontId="2"/>
  </si>
  <si>
    <t>Delta</t>
    <phoneticPr fontId="2"/>
  </si>
  <si>
    <t>Edge R</t>
    <phoneticPr fontId="2"/>
  </si>
  <si>
    <t>Avg R</t>
    <phoneticPr fontId="2"/>
  </si>
  <si>
    <t>LPT Case Hook R Min</t>
    <phoneticPr fontId="2"/>
  </si>
  <si>
    <t>LPT Case Hook R Max</t>
    <phoneticPr fontId="2"/>
  </si>
  <si>
    <t>#</t>
    <phoneticPr fontId="2"/>
  </si>
  <si>
    <t>[deg]</t>
    <phoneticPr fontId="2"/>
  </si>
  <si>
    <t>Area #</t>
    <phoneticPr fontId="2"/>
  </si>
  <si>
    <t>[mm]</t>
    <phoneticPr fontId="2"/>
  </si>
  <si>
    <t>[mm/deg]</t>
    <phoneticPr fontId="2"/>
  </si>
  <si>
    <t>Stg.3 Nozzle Fwd Hook Outer</t>
    <phoneticPr fontId="2"/>
  </si>
  <si>
    <t>Angle</t>
    <phoneticPr fontId="2"/>
  </si>
  <si>
    <t>241
Position</t>
    <phoneticPr fontId="2"/>
  </si>
  <si>
    <t>Diameter</t>
    <phoneticPr fontId="2"/>
  </si>
  <si>
    <t>Area#</t>
    <phoneticPr fontId="2"/>
  </si>
  <si>
    <t>Stg.3 Nozzle Fwd</t>
    <phoneticPr fontId="2"/>
  </si>
  <si>
    <t>Stg.3 Nozzle Fwd Hook</t>
    <phoneticPr fontId="2"/>
  </si>
  <si>
    <t>#</t>
    <phoneticPr fontId="2"/>
  </si>
  <si>
    <t>[deg]</t>
    <phoneticPr fontId="2"/>
  </si>
  <si>
    <t>Area #</t>
    <phoneticPr fontId="2"/>
  </si>
  <si>
    <t>[mm]</t>
    <phoneticPr fontId="2"/>
  </si>
  <si>
    <t>[mm/deg]</t>
    <phoneticPr fontId="2"/>
  </si>
  <si>
    <t>Stg.3 Nozzle Aft Hook Inner</t>
    <phoneticPr fontId="2"/>
  </si>
  <si>
    <t>242
Position</t>
    <phoneticPr fontId="2"/>
  </si>
  <si>
    <t>Stg.3 Shroud Fwd</t>
    <phoneticPr fontId="2"/>
  </si>
  <si>
    <t>Stg.3 Shroud Fwd Hook</t>
    <phoneticPr fontId="2"/>
  </si>
  <si>
    <t>Segment</t>
    <phoneticPr fontId="2"/>
  </si>
  <si>
    <t>[deg.]</t>
    <phoneticPr fontId="2"/>
  </si>
  <si>
    <t>Position</t>
    <phoneticPr fontId="2"/>
  </si>
  <si>
    <t>LPT Case Hook R Max</t>
    <phoneticPr fontId="2"/>
  </si>
  <si>
    <t>#</t>
    <phoneticPr fontId="2"/>
  </si>
  <si>
    <t>[deg]</t>
    <phoneticPr fontId="2"/>
  </si>
  <si>
    <t>Area #</t>
    <phoneticPr fontId="2"/>
  </si>
  <si>
    <t>[mm/deg]</t>
    <phoneticPr fontId="2"/>
  </si>
  <si>
    <t>Stg.3 Nozzle Aft Hook Groove</t>
    <phoneticPr fontId="2"/>
  </si>
  <si>
    <t>Angle</t>
    <phoneticPr fontId="2"/>
  </si>
  <si>
    <t>243
Position</t>
    <phoneticPr fontId="2"/>
  </si>
  <si>
    <t>Diameter</t>
    <phoneticPr fontId="2"/>
  </si>
  <si>
    <t>Area#</t>
    <phoneticPr fontId="2"/>
  </si>
  <si>
    <t>[deg]</t>
    <phoneticPr fontId="2"/>
  </si>
  <si>
    <t>[mm]</t>
    <phoneticPr fontId="2"/>
  </si>
  <si>
    <t>Min R</t>
    <phoneticPr fontId="2"/>
  </si>
  <si>
    <t>Avg. Dia</t>
    <phoneticPr fontId="2"/>
  </si>
  <si>
    <t>Run Out</t>
    <phoneticPr fontId="2"/>
  </si>
  <si>
    <t>Dwg. 0.13</t>
    <phoneticPr fontId="2"/>
  </si>
  <si>
    <t>Stg.3 Nozzle Aft</t>
    <phoneticPr fontId="2"/>
  </si>
  <si>
    <t>Stg.3 Nozzle Aft Hook</t>
    <phoneticPr fontId="2"/>
  </si>
  <si>
    <t>Segment</t>
    <phoneticPr fontId="2"/>
  </si>
  <si>
    <t>[deg.]</t>
    <phoneticPr fontId="2"/>
  </si>
  <si>
    <t>Stg.3 Shroud Aft Hook Inner</t>
    <phoneticPr fontId="2"/>
  </si>
  <si>
    <t>244
Position</t>
    <phoneticPr fontId="2"/>
  </si>
  <si>
    <t>Stg.3 Shroud Aft</t>
    <phoneticPr fontId="2"/>
  </si>
  <si>
    <t>Stg.3 Shroud Aft Hook</t>
    <phoneticPr fontId="2"/>
  </si>
  <si>
    <t>LPT Case Hook R Max</t>
    <phoneticPr fontId="2"/>
  </si>
  <si>
    <t>#</t>
    <phoneticPr fontId="2"/>
  </si>
  <si>
    <t>Area #</t>
    <phoneticPr fontId="2"/>
  </si>
  <si>
    <t>[mm]</t>
    <phoneticPr fontId="2"/>
  </si>
  <si>
    <t>[mm]</t>
    <phoneticPr fontId="2"/>
  </si>
  <si>
    <t>Max</t>
    <phoneticPr fontId="2"/>
  </si>
  <si>
    <t>Min</t>
    <phoneticPr fontId="2"/>
  </si>
  <si>
    <t>JIG</t>
    <phoneticPr fontId="2"/>
  </si>
  <si>
    <t>Avg. Dia</t>
    <phoneticPr fontId="2"/>
  </si>
  <si>
    <t>Run Out</t>
    <phoneticPr fontId="2"/>
  </si>
  <si>
    <t>Stg.4 Nozzle Fwd</t>
    <phoneticPr fontId="2"/>
  </si>
  <si>
    <t>Stg.4 Nozzle Fwd Hook</t>
    <phoneticPr fontId="2"/>
  </si>
  <si>
    <t>Segment</t>
    <phoneticPr fontId="2"/>
  </si>
  <si>
    <t>Ratio</t>
    <phoneticPr fontId="2"/>
  </si>
  <si>
    <t>Delta</t>
    <phoneticPr fontId="2"/>
  </si>
  <si>
    <t>Edge R</t>
    <phoneticPr fontId="2"/>
  </si>
  <si>
    <t>LPT Case Hook R Max</t>
    <phoneticPr fontId="2"/>
  </si>
  <si>
    <t>#</t>
    <phoneticPr fontId="2"/>
  </si>
  <si>
    <t>[mm]</t>
    <phoneticPr fontId="2"/>
  </si>
  <si>
    <t>[deg]</t>
    <phoneticPr fontId="2"/>
  </si>
  <si>
    <t>Stg.4 Nozzle Aft Hook Inner</t>
    <phoneticPr fontId="2"/>
  </si>
  <si>
    <t>246
Position</t>
    <phoneticPr fontId="2"/>
  </si>
  <si>
    <t>Stg.4 Shroud Fwd</t>
    <phoneticPr fontId="2"/>
  </si>
  <si>
    <t>Stg.4 Shroud Fwd Hook</t>
    <phoneticPr fontId="2"/>
  </si>
  <si>
    <t>[deg.]</t>
    <phoneticPr fontId="2"/>
  </si>
  <si>
    <t>Start</t>
    <phoneticPr fontId="2"/>
  </si>
  <si>
    <t>Ratio</t>
    <phoneticPr fontId="2"/>
  </si>
  <si>
    <t>Avg R</t>
    <phoneticPr fontId="2"/>
  </si>
  <si>
    <t>#</t>
    <phoneticPr fontId="2"/>
  </si>
  <si>
    <t>[deg]</t>
    <phoneticPr fontId="2"/>
  </si>
  <si>
    <t>Stg.4 Nozzle Aft Hook Groove</t>
    <phoneticPr fontId="2"/>
  </si>
  <si>
    <t>Angle</t>
    <phoneticPr fontId="2"/>
  </si>
  <si>
    <t>247
Position</t>
    <phoneticPr fontId="2"/>
  </si>
  <si>
    <t>Diameter</t>
    <phoneticPr fontId="2"/>
  </si>
  <si>
    <t>Area#</t>
    <phoneticPr fontId="2"/>
  </si>
  <si>
    <t>[deg]</t>
    <phoneticPr fontId="2"/>
  </si>
  <si>
    <t>[mm]</t>
    <phoneticPr fontId="2"/>
  </si>
  <si>
    <t>Stg.4 Nozzle Aft</t>
    <phoneticPr fontId="2"/>
  </si>
  <si>
    <t>Stg.4 Nozzle Aft Hook</t>
    <phoneticPr fontId="2"/>
  </si>
  <si>
    <t>[deg.]</t>
    <phoneticPr fontId="2"/>
  </si>
  <si>
    <t>Start</t>
    <phoneticPr fontId="2"/>
  </si>
  <si>
    <t>Position</t>
    <phoneticPr fontId="2"/>
  </si>
  <si>
    <t>Base R</t>
    <phoneticPr fontId="2"/>
  </si>
  <si>
    <t>Delta</t>
    <phoneticPr fontId="2"/>
  </si>
  <si>
    <t>Edge R</t>
    <phoneticPr fontId="2"/>
  </si>
  <si>
    <t>Avg R</t>
    <phoneticPr fontId="2"/>
  </si>
  <si>
    <t>LPT Case Hook R Min</t>
    <phoneticPr fontId="2"/>
  </si>
  <si>
    <t>LPT Case Hook R Max</t>
    <phoneticPr fontId="2"/>
  </si>
  <si>
    <t>#</t>
    <phoneticPr fontId="2"/>
  </si>
  <si>
    <t>[deg]</t>
    <phoneticPr fontId="2"/>
  </si>
  <si>
    <t>Area #</t>
    <phoneticPr fontId="2"/>
  </si>
  <si>
    <t>[mm]</t>
    <phoneticPr fontId="2"/>
  </si>
  <si>
    <t>[mm/deg]</t>
    <phoneticPr fontId="2"/>
  </si>
  <si>
    <t>Stg.4 Shroud Aft Hook Inner</t>
    <phoneticPr fontId="2"/>
  </si>
  <si>
    <t>Stg.4 Shroud Aft</t>
    <phoneticPr fontId="2"/>
  </si>
  <si>
    <t>Stg.4 Shroud Aft Hook</t>
    <phoneticPr fontId="2"/>
  </si>
  <si>
    <t>Segment</t>
    <phoneticPr fontId="2"/>
  </si>
  <si>
    <t>Position</t>
    <phoneticPr fontId="2"/>
  </si>
  <si>
    <t>Delta</t>
    <phoneticPr fontId="2"/>
  </si>
  <si>
    <t>LPT Case Hook R Min</t>
    <phoneticPr fontId="2"/>
  </si>
  <si>
    <t>LPT Case Hook R Max</t>
    <phoneticPr fontId="2"/>
  </si>
  <si>
    <t>Step Min</t>
    <phoneticPr fontId="2"/>
  </si>
  <si>
    <t>Step Max</t>
    <phoneticPr fontId="2"/>
  </si>
  <si>
    <r>
      <rPr>
        <sz val="14"/>
        <color rgb="FF000000"/>
        <rFont val="ＭＳ Ｐゴシック"/>
        <family val="3"/>
        <charset val="128"/>
      </rPr>
      <t>検査工程上</t>
    </r>
  </si>
  <si>
    <r>
      <rPr>
        <sz val="14"/>
        <color rgb="FF000000"/>
        <rFont val="ＭＳ Ｐゴシック"/>
        <family val="3"/>
        <charset val="128"/>
      </rPr>
      <t>平均径</t>
    </r>
  </si>
  <si>
    <r>
      <t>CMM</t>
    </r>
    <r>
      <rPr>
        <sz val="14"/>
        <color rgb="FF000000"/>
        <rFont val="ＭＳ Ｐゴシック"/>
        <family val="3"/>
        <charset val="128"/>
      </rPr>
      <t>実測値</t>
    </r>
  </si>
  <si>
    <t>最小直径</t>
  </si>
  <si>
    <t>最大直径</t>
  </si>
  <si>
    <t>Dwg</t>
    <phoneticPr fontId="2"/>
  </si>
  <si>
    <t>EM Limit</t>
    <phoneticPr fontId="2"/>
  </si>
  <si>
    <r>
      <t>Diameter Max/Min</t>
    </r>
    <r>
      <rPr>
        <sz val="11"/>
        <color theme="1"/>
        <rFont val="ＭＳ Ｐゴシック"/>
        <family val="3"/>
        <charset val="128"/>
      </rPr>
      <t>確認（平均径、最大・最小径）</t>
    </r>
    <rPh sb="16" eb="18">
      <t>カクニン</t>
    </rPh>
    <rPh sb="19" eb="21">
      <t>ヘイキン</t>
    </rPh>
    <rPh sb="21" eb="22">
      <t>ケイ</t>
    </rPh>
    <rPh sb="23" eb="25">
      <t>サイダイ</t>
    </rPh>
    <rPh sb="26" eb="28">
      <t>サイショウ</t>
    </rPh>
    <rPh sb="28" eb="29">
      <t>ケイ</t>
    </rPh>
    <phoneticPr fontId="2"/>
  </si>
  <si>
    <r>
      <rPr>
        <sz val="11"/>
        <color theme="1"/>
        <rFont val="ＭＳ Ｐゴシック"/>
        <family val="3"/>
        <charset val="128"/>
      </rPr>
      <t>組み付け段差</t>
    </r>
    <r>
      <rPr>
        <sz val="11"/>
        <color theme="1"/>
        <rFont val="Arial"/>
        <family val="2"/>
      </rPr>
      <t>Max/Min</t>
    </r>
    <r>
      <rPr>
        <sz val="11"/>
        <color theme="1"/>
        <rFont val="ＭＳ Ｐゴシック"/>
        <family val="3"/>
        <charset val="128"/>
      </rPr>
      <t>、発生位置確認</t>
    </r>
    <rPh sb="0" eb="1">
      <t>ク</t>
    </rPh>
    <rPh sb="2" eb="3">
      <t>ツ</t>
    </rPh>
    <rPh sb="4" eb="6">
      <t>ダンサ</t>
    </rPh>
    <rPh sb="14" eb="16">
      <t>ハッセイ</t>
    </rPh>
    <rPh sb="16" eb="18">
      <t>イチ</t>
    </rPh>
    <rPh sb="18" eb="20">
      <t>カクニン</t>
    </rPh>
    <phoneticPr fontId="2"/>
  </si>
  <si>
    <r>
      <t xml:space="preserve">Shroud Fwd Hook </t>
    </r>
    <r>
      <rPr>
        <sz val="11"/>
        <color theme="1"/>
        <rFont val="ＭＳ Ｐゴシック"/>
        <family val="3"/>
        <charset val="128"/>
      </rPr>
      <t>前後寸法差異確認</t>
    </r>
    <rPh sb="16" eb="18">
      <t>ゼンゴ</t>
    </rPh>
    <rPh sb="18" eb="20">
      <t>スンポウ</t>
    </rPh>
    <rPh sb="20" eb="22">
      <t>サイ</t>
    </rPh>
    <rPh sb="22" eb="24">
      <t>カクニン</t>
    </rPh>
    <phoneticPr fontId="2"/>
  </si>
  <si>
    <t>Diameter</t>
    <phoneticPr fontId="2"/>
  </si>
  <si>
    <t>Step</t>
    <phoneticPr fontId="2"/>
  </si>
  <si>
    <t>Step#</t>
    <phoneticPr fontId="2"/>
  </si>
  <si>
    <t>Area#</t>
    <phoneticPr fontId="2"/>
  </si>
  <si>
    <t>max</t>
    <phoneticPr fontId="2"/>
  </si>
  <si>
    <t>max</t>
    <phoneticPr fontId="2"/>
  </si>
  <si>
    <t>min</t>
    <phoneticPr fontId="2"/>
  </si>
  <si>
    <t>min</t>
    <phoneticPr fontId="2"/>
  </si>
  <si>
    <t>Area#</t>
    <phoneticPr fontId="2"/>
  </si>
  <si>
    <t>Dwg</t>
    <phoneticPr fontId="2"/>
  </si>
  <si>
    <t>EM Limit</t>
    <phoneticPr fontId="2"/>
  </si>
  <si>
    <t>EM Limit</t>
    <phoneticPr fontId="2"/>
  </si>
  <si>
    <t>Dwg</t>
    <phoneticPr fontId="2"/>
  </si>
  <si>
    <t>max</t>
  </si>
  <si>
    <t>min</t>
  </si>
  <si>
    <t>Max R</t>
    <phoneticPr fontId="2"/>
  </si>
  <si>
    <t>Min R</t>
    <phoneticPr fontId="2"/>
  </si>
  <si>
    <t>Stg.1</t>
    <phoneticPr fontId="2"/>
  </si>
  <si>
    <t>Stg.2</t>
  </si>
  <si>
    <t>Stg.3</t>
  </si>
  <si>
    <t>Stg.4</t>
  </si>
  <si>
    <t>Shroud</t>
  </si>
  <si>
    <t>Nozzle</t>
  </si>
  <si>
    <t>Area#</t>
  </si>
  <si>
    <t>Position</t>
    <phoneticPr fontId="2"/>
  </si>
  <si>
    <t>Dwg</t>
    <phoneticPr fontId="2"/>
  </si>
  <si>
    <t>max</t>
    <phoneticPr fontId="2"/>
  </si>
  <si>
    <t>min</t>
    <phoneticPr fontId="2"/>
  </si>
  <si>
    <t>max</t>
    <phoneticPr fontId="2"/>
  </si>
  <si>
    <t>min</t>
    <phoneticPr fontId="2"/>
  </si>
  <si>
    <t>avg</t>
    <phoneticPr fontId="2"/>
  </si>
  <si>
    <t>CMM(Radius)</t>
    <phoneticPr fontId="2"/>
  </si>
  <si>
    <t>nominal</t>
    <phoneticPr fontId="2"/>
  </si>
  <si>
    <t>CMM(point-nominal)</t>
    <phoneticPr fontId="2"/>
  </si>
  <si>
    <t>Avg</t>
    <phoneticPr fontId="2"/>
  </si>
  <si>
    <t>Avg</t>
    <phoneticPr fontId="2"/>
  </si>
  <si>
    <t>Max/Min</t>
    <phoneticPr fontId="2"/>
  </si>
  <si>
    <t>248
Position</t>
    <phoneticPr fontId="2"/>
  </si>
  <si>
    <t>Step#</t>
    <phoneticPr fontId="2"/>
  </si>
  <si>
    <t>Step# row</t>
    <phoneticPr fontId="2"/>
  </si>
  <si>
    <t>min</t>
    <phoneticPr fontId="2"/>
  </si>
  <si>
    <t>max</t>
    <phoneticPr fontId="2"/>
  </si>
  <si>
    <t>Step#</t>
    <phoneticPr fontId="2"/>
  </si>
  <si>
    <t>Step# row</t>
    <phoneticPr fontId="2"/>
  </si>
  <si>
    <t>min</t>
    <phoneticPr fontId="2"/>
  </si>
  <si>
    <t>max</t>
    <phoneticPr fontId="2"/>
  </si>
  <si>
    <t>Step# row</t>
    <phoneticPr fontId="2"/>
  </si>
  <si>
    <t>min</t>
    <phoneticPr fontId="2"/>
  </si>
  <si>
    <t>Fwd</t>
    <phoneticPr fontId="2"/>
  </si>
  <si>
    <t>Aft</t>
    <phoneticPr fontId="2"/>
  </si>
  <si>
    <t>Fwd</t>
  </si>
  <si>
    <t>Aft</t>
  </si>
  <si>
    <t>Rear</t>
    <phoneticPr fontId="2"/>
  </si>
  <si>
    <t>244-245</t>
    <phoneticPr fontId="2"/>
  </si>
  <si>
    <t>(244-245)-(DwgMin)</t>
    <phoneticPr fontId="2"/>
  </si>
  <si>
    <t>236-237</t>
    <phoneticPr fontId="2"/>
  </si>
  <si>
    <t>240-241</t>
    <phoneticPr fontId="2"/>
  </si>
  <si>
    <t>246-247</t>
    <phoneticPr fontId="2"/>
  </si>
  <si>
    <r>
      <t>Hook</t>
    </r>
    <r>
      <rPr>
        <sz val="11"/>
        <color theme="1"/>
        <rFont val="ＭＳ Ｐゴシック"/>
        <family val="3"/>
        <charset val="128"/>
      </rPr>
      <t>厚さ確認</t>
    </r>
    <rPh sb="4" eb="5">
      <t>アツ</t>
    </rPh>
    <rPh sb="6" eb="8">
      <t>カクニン</t>
    </rPh>
    <phoneticPr fontId="2"/>
  </si>
  <si>
    <t>Stg.1</t>
  </si>
  <si>
    <t>Radius difference between front and rear</t>
  </si>
  <si>
    <r>
      <rPr>
        <sz val="14"/>
        <color theme="1"/>
        <rFont val="ＭＳ Ｐゴシック"/>
        <family val="3"/>
        <charset val="128"/>
      </rPr>
      <t>↓</t>
    </r>
    <r>
      <rPr>
        <sz val="14"/>
        <color theme="1"/>
        <rFont val="Arial"/>
        <family val="2"/>
      </rPr>
      <t>Copy &amp; Paste each tables surrounded by square for each parts</t>
    </r>
    <phoneticPr fontId="2"/>
  </si>
  <si>
    <r>
      <rPr>
        <sz val="11"/>
        <color theme="1"/>
        <rFont val="ＭＳ Ｐゴシック"/>
        <family val="3"/>
        <charset val="128"/>
      </rPr>
      <t>組み付け位置寸法と図面寸法との差異</t>
    </r>
    <rPh sb="0" eb="1">
      <t>ク</t>
    </rPh>
    <rPh sb="2" eb="3">
      <t>ツ</t>
    </rPh>
    <rPh sb="4" eb="6">
      <t>イチ</t>
    </rPh>
    <rPh sb="6" eb="8">
      <t>スンポウ</t>
    </rPh>
    <rPh sb="9" eb="11">
      <t>ズメン</t>
    </rPh>
    <rPh sb="11" eb="13">
      <t>スンポウ</t>
    </rPh>
    <rPh sb="15" eb="17">
      <t>サイ</t>
    </rPh>
    <phoneticPr fontId="2"/>
  </si>
  <si>
    <r>
      <rPr>
        <sz val="14"/>
        <color theme="1"/>
        <rFont val="ＭＳ Ｐゴシック"/>
        <family val="3"/>
        <charset val="128"/>
      </rPr>
      <t>↓</t>
    </r>
    <r>
      <rPr>
        <sz val="14"/>
        <color theme="1"/>
        <rFont val="Arial"/>
        <family val="2"/>
      </rPr>
      <t>Copy &amp; Paste a table surrounded by square</t>
    </r>
    <phoneticPr fontId="2"/>
  </si>
  <si>
    <r>
      <rPr>
        <sz val="12"/>
        <color theme="1"/>
        <rFont val="ＭＳ Ｐゴシック"/>
        <family val="3"/>
        <charset val="128"/>
      </rPr>
      <t>＋：</t>
    </r>
    <r>
      <rPr>
        <sz val="12"/>
        <color theme="1"/>
        <rFont val="Arial"/>
        <family val="2"/>
      </rPr>
      <t>front&lt;rear</t>
    </r>
    <r>
      <rPr>
        <sz val="12"/>
        <color theme="1"/>
        <rFont val="ＭＳ Ｐゴシック"/>
        <family val="3"/>
        <charset val="128"/>
      </rPr>
      <t>、</t>
    </r>
    <r>
      <rPr>
        <sz val="12"/>
        <color theme="1"/>
        <rFont val="Arial"/>
        <family val="2"/>
      </rPr>
      <t>-</t>
    </r>
    <r>
      <rPr>
        <sz val="12"/>
        <color theme="1"/>
        <rFont val="ＭＳ Ｐゴシック"/>
        <family val="3"/>
        <charset val="128"/>
      </rPr>
      <t>：</t>
    </r>
    <r>
      <rPr>
        <sz val="12"/>
        <color theme="1"/>
        <rFont val="Arial"/>
        <family val="2"/>
      </rPr>
      <t>front&gt;rear</t>
    </r>
  </si>
  <si>
    <t>Front-Rear</t>
  </si>
  <si>
    <t>Front</t>
  </si>
  <si>
    <t>240-238Front</t>
  </si>
  <si>
    <t>244-242Front</t>
  </si>
  <si>
    <t>248-246Front</t>
  </si>
  <si>
    <t>Rear</t>
  </si>
  <si>
    <t>Rear-Front</t>
  </si>
  <si>
    <t>240-238Rear</t>
  </si>
  <si>
    <t>244-242Rear</t>
  </si>
  <si>
    <t>248-246Rear</t>
  </si>
  <si>
    <t>Rear-Front</t>
    <phoneticPr fontId="2"/>
  </si>
  <si>
    <t>Radius of Front and Rear</t>
  </si>
  <si>
    <t>AESJ-5504 Acceptance Limit for LPT Case</t>
    <phoneticPr fontId="2"/>
  </si>
  <si>
    <t>Judgment</t>
    <phoneticPr fontId="2"/>
  </si>
  <si>
    <t>Angle</t>
    <phoneticPr fontId="0"/>
  </si>
  <si>
    <t>Diameter</t>
    <phoneticPr fontId="0"/>
  </si>
  <si>
    <t>Area#</t>
    <phoneticPr fontId="0"/>
  </si>
  <si>
    <t>[deg]</t>
    <phoneticPr fontId="0"/>
  </si>
  <si>
    <t>[mm]</t>
    <phoneticPr fontId="0"/>
  </si>
  <si>
    <t>Max R</t>
    <phoneticPr fontId="0"/>
  </si>
  <si>
    <t>O/Max</t>
    <phoneticPr fontId="0"/>
  </si>
  <si>
    <t>Min R</t>
    <phoneticPr fontId="0"/>
  </si>
  <si>
    <t>U/Min</t>
    <phoneticPr fontId="0"/>
  </si>
  <si>
    <t>Avg. Dia</t>
    <phoneticPr fontId="0"/>
  </si>
  <si>
    <t>Run Out</t>
    <phoneticPr fontId="0"/>
  </si>
  <si>
    <t>Dwg. 0.13</t>
    <phoneticPr fontId="0"/>
  </si>
  <si>
    <t>Segment</t>
    <phoneticPr fontId="0"/>
  </si>
  <si>
    <t>[deg.]</t>
    <phoneticPr fontId="0"/>
  </si>
  <si>
    <t>Start</t>
    <phoneticPr fontId="0"/>
  </si>
  <si>
    <t>Position</t>
    <phoneticPr fontId="0"/>
  </si>
  <si>
    <t>Base R</t>
    <phoneticPr fontId="0"/>
  </si>
  <si>
    <t>Ratio</t>
    <phoneticPr fontId="0"/>
  </si>
  <si>
    <t>Delta</t>
    <phoneticPr fontId="0"/>
  </si>
  <si>
    <t>Edge R</t>
    <phoneticPr fontId="0"/>
  </si>
  <si>
    <t>Avg R</t>
    <phoneticPr fontId="0"/>
  </si>
  <si>
    <t>LPT Case Hook R Min</t>
    <phoneticPr fontId="0"/>
  </si>
  <si>
    <t>LPT Case Hook R Max</t>
    <phoneticPr fontId="0"/>
  </si>
  <si>
    <t>#</t>
    <phoneticPr fontId="0"/>
  </si>
  <si>
    <t>Area #</t>
    <phoneticPr fontId="0"/>
  </si>
  <si>
    <t>[mm/deg]</t>
    <phoneticPr fontId="0"/>
  </si>
  <si>
    <t>Stg.4 Shroud Aft Hook Inner</t>
    <phoneticPr fontId="0"/>
  </si>
  <si>
    <t>Step#</t>
    <phoneticPr fontId="0"/>
  </si>
  <si>
    <t>Step# row</t>
    <phoneticPr fontId="0"/>
  </si>
  <si>
    <t>min</t>
    <phoneticPr fontId="0"/>
  </si>
  <si>
    <t>max</t>
    <phoneticPr fontId="0"/>
  </si>
  <si>
    <t>Stg.4 Shroud Aft</t>
    <phoneticPr fontId="0"/>
  </si>
  <si>
    <t>Stg.4 Shroud Aft Hook</t>
    <phoneticPr fontId="0"/>
  </si>
  <si>
    <t>Step Min</t>
    <phoneticPr fontId="0"/>
  </si>
  <si>
    <t>Step Max</t>
    <phoneticPr fontId="0"/>
  </si>
  <si>
    <t>Max</t>
    <phoneticPr fontId="0"/>
  </si>
  <si>
    <t>Min</t>
    <phoneticPr fontId="0"/>
  </si>
  <si>
    <t>CMM計測不可のため，汎用計測にて評価。（測定具CF3J32042）</t>
  </si>
  <si>
    <t>汎用計測値</t>
  </si>
  <si>
    <t>Min Diff</t>
    <phoneticPr fontId="2"/>
  </si>
  <si>
    <t>Max Diff</t>
    <phoneticPr fontId="2"/>
  </si>
  <si>
    <t>Nominal</t>
    <phoneticPr fontId="2"/>
  </si>
  <si>
    <t>Shroud (Reference)</t>
    <phoneticPr fontId="2"/>
  </si>
  <si>
    <t>REFERENCE ONLY</t>
    <phoneticPr fontId="2"/>
  </si>
  <si>
    <t>101
Position</t>
    <phoneticPr fontId="0"/>
  </si>
  <si>
    <t>201
Position</t>
    <phoneticPr fontId="0"/>
  </si>
  <si>
    <t>±0.064</t>
  </si>
  <si>
    <t>245
Position</t>
    <phoneticPr fontId="2"/>
  </si>
  <si>
    <t>Dwg Max</t>
    <phoneticPr fontId="2"/>
  </si>
  <si>
    <t>Dwg Min</t>
    <phoneticPr fontId="2"/>
  </si>
  <si>
    <t>S/N</t>
    <phoneticPr fontId="2"/>
  </si>
  <si>
    <t>Stg.1 Shroud (#236-#105)</t>
    <phoneticPr fontId="2"/>
  </si>
  <si>
    <t>Stg.2 Shroud (#240-#238)</t>
    <phoneticPr fontId="2"/>
  </si>
  <si>
    <t>Stg.3 Shroud (#244-#242)</t>
    <phoneticPr fontId="2"/>
  </si>
  <si>
    <t>Stg.4 Shroud (#201-#246)</t>
    <phoneticPr fontId="2"/>
  </si>
  <si>
    <t>Stg.2 Nozzle (#239-#237)</t>
    <phoneticPr fontId="2"/>
  </si>
  <si>
    <t>Stg.3 Nozzle (#243-#241)</t>
    <phoneticPr fontId="2"/>
  </si>
  <si>
    <t>Stg.4 Nozzle (#247-#245)</t>
    <phoneticPr fontId="2"/>
  </si>
  <si>
    <t>CMM Data Location</t>
    <phoneticPr fontId="2"/>
  </si>
  <si>
    <t>Front</t>
    <phoneticPr fontId="2"/>
  </si>
  <si>
    <t>CMM Data Loc.</t>
    <phoneticPr fontId="2"/>
  </si>
  <si>
    <t>Stg.4 Nozzle Aft Hook Inner</t>
    <phoneticPr fontId="0"/>
  </si>
  <si>
    <t>246
Position</t>
    <phoneticPr fontId="0"/>
  </si>
  <si>
    <t>Stg.4 Shroud Fwd</t>
    <phoneticPr fontId="0"/>
  </si>
  <si>
    <t>Stg.4 Shroud Fwd Hook</t>
    <phoneticPr fontId="0"/>
  </si>
  <si>
    <t>248
Position</t>
    <phoneticPr fontId="0"/>
  </si>
  <si>
    <t>CF34-10 LPT Case MRB Deformation Check Tool</t>
    <phoneticPr fontId="2"/>
  </si>
  <si>
    <t>This EXCEL macro updates the previous LPT case deformation check sheet as follows.</t>
    <phoneticPr fontId="2"/>
  </si>
  <si>
    <t>1. CMM data is atuomatically read with macro. Note that measurement #245 needs to be refer another EXCEL sheet for CMM data converter.</t>
    <phoneticPr fontId="2"/>
  </si>
  <si>
    <t>2. Fwd/Aft hook difference check for shroud/nozzle is updated to meet drawing requirement.</t>
    <phoneticPr fontId="2"/>
  </si>
  <si>
    <t xml:space="preserve">    Previous version shows actual data in fwd/aft hook difference calculation results.</t>
    <phoneticPr fontId="2"/>
  </si>
  <si>
    <t xml:space="preserve">    Update version checks difference from the nominal dimensions to be compared with drawing tolerance shown in the deformation check report (power point).</t>
    <phoneticPr fontId="2"/>
  </si>
  <si>
    <t>When the macro in this EXCEL runs, the following windows are opend.</t>
    <phoneticPr fontId="2"/>
  </si>
  <si>
    <t>1. Select CMM text data saved folder.</t>
    <phoneticPr fontId="2"/>
  </si>
  <si>
    <t>Shroud (Reference Only)</t>
    <phoneticPr fontId="2"/>
  </si>
  <si>
    <t>4. Stg.4 shroud  fwd/aft hook check is updated to show additional two calcluations. Power point report format is also updated.</t>
    <phoneticPr fontId="2"/>
  </si>
  <si>
    <t>2. Select CMM converted EXCEL filse saved folder. Do not select position CMM data converted EXCEL file "HA24K*******_Position_check2.xlsm".</t>
    <phoneticPr fontId="2"/>
  </si>
  <si>
    <t>Please note that the following warning message is displaied when you save this file. Discard the message.</t>
    <phoneticPr fontId="2"/>
  </si>
  <si>
    <t>3. CMM data default is changed from "Front" to "Rear" for sheets "238", "242", and "246". They can be changed to "Front" as the previous study by selecting list box at cell J8 in case of error data included at "Rear".</t>
    <phoneticPr fontId="2"/>
  </si>
  <si>
    <t>Check 2: Max, Min diamter is changed to be calculated based on 2 x Max R or 2 x Min R. (2022/3/16)</t>
    <phoneticPr fontId="2"/>
  </si>
  <si>
    <t>$P$20</t>
    <phoneticPr fontId="2"/>
  </si>
  <si>
    <t>$L$28</t>
    <phoneticPr fontId="2"/>
  </si>
  <si>
    <t>$P21</t>
    <phoneticPr fontId="2"/>
  </si>
  <si>
    <t>$L$29</t>
    <phoneticPr fontId="2"/>
  </si>
  <si>
    <t>$Q$28</t>
    <phoneticPr fontId="2"/>
  </si>
  <si>
    <t>$Q$20</t>
    <phoneticPr fontId="2"/>
  </si>
  <si>
    <t>$Q$29</t>
    <phoneticPr fontId="2"/>
  </si>
  <si>
    <t>$Q$21</t>
    <phoneticPr fontId="2"/>
  </si>
  <si>
    <t>----------105 振れ P.11</t>
  </si>
  <si>
    <t xml:space="preserve">径方向振れ               </t>
  </si>
  <si>
    <t xml:space="preserve">   </t>
  </si>
  <si>
    <t xml:space="preserve">(6) 円105            </t>
  </si>
  <si>
    <t>DV=</t>
  </si>
  <si>
    <t>TO=</t>
  </si>
  <si>
    <t xml:space="preserve">(1) 線CL (面A.円B)     </t>
  </si>
  <si>
    <t>後上</t>
  </si>
  <si>
    <t>点</t>
  </si>
  <si>
    <t>X=</t>
  </si>
  <si>
    <t>点105(1/16)</t>
  </si>
  <si>
    <t>Y=</t>
  </si>
  <si>
    <t>(301)</t>
  </si>
  <si>
    <t>Z=</t>
  </si>
  <si>
    <t>点105(2/16)</t>
  </si>
  <si>
    <t>(309)</t>
  </si>
  <si>
    <t>点105(3/16)</t>
  </si>
  <si>
    <t>(302)</t>
  </si>
  <si>
    <t>点105(4/16)</t>
  </si>
  <si>
    <t>(310)</t>
  </si>
  <si>
    <t>点105(5/16)</t>
  </si>
  <si>
    <t>(303)</t>
  </si>
  <si>
    <t>点105(6/16)</t>
  </si>
  <si>
    <t>(311)</t>
  </si>
  <si>
    <t>点105(7/16)</t>
  </si>
  <si>
    <t>(304)</t>
  </si>
  <si>
    <t>点105(8/16)</t>
  </si>
  <si>
    <t>(312)</t>
  </si>
  <si>
    <t>点105(9/16)</t>
  </si>
  <si>
    <t>(305)</t>
  </si>
  <si>
    <t>点105(10/16)</t>
  </si>
  <si>
    <t>(313)</t>
  </si>
  <si>
    <t>点105(11/16)</t>
  </si>
  <si>
    <t>(306)</t>
  </si>
  <si>
    <t>点105(12/16)</t>
  </si>
  <si>
    <t>(314)</t>
  </si>
  <si>
    <t>点105(13/16)</t>
  </si>
  <si>
    <t>(307)</t>
  </si>
  <si>
    <t>点105(14/16)</t>
  </si>
  <si>
    <t>(315)</t>
  </si>
  <si>
    <t>点105(15/16)</t>
  </si>
  <si>
    <t>(308)</t>
  </si>
  <si>
    <t>点105(16/16)</t>
  </si>
  <si>
    <t>(316)</t>
  </si>
  <si>
    <t>----------236 内径 P.06</t>
  </si>
  <si>
    <t xml:space="preserve">直径                  </t>
  </si>
  <si>
    <t>AV=</t>
  </si>
  <si>
    <t>NV=</t>
  </si>
  <si>
    <t xml:space="preserve">円236.106            </t>
  </si>
  <si>
    <t>UT=</t>
  </si>
  <si>
    <t xml:space="preserve">(5)                 </t>
  </si>
  <si>
    <t>LT=</t>
  </si>
  <si>
    <t>点236.106(1/16)</t>
  </si>
  <si>
    <t>(901)</t>
  </si>
  <si>
    <t>点236.106(2/16)</t>
  </si>
  <si>
    <t>(909)</t>
  </si>
  <si>
    <t>点236.106(3/16)</t>
  </si>
  <si>
    <t>(902)</t>
  </si>
  <si>
    <t>点236.106(4/16)</t>
  </si>
  <si>
    <t>(910)</t>
  </si>
  <si>
    <t>点236.106(5/16)</t>
  </si>
  <si>
    <t>(903)</t>
  </si>
  <si>
    <t>点236.106(6/16)</t>
  </si>
  <si>
    <t>(911)</t>
  </si>
  <si>
    <t>点236.106(7/16)</t>
  </si>
  <si>
    <t>(904)</t>
  </si>
  <si>
    <t>点236.106(8/16)</t>
  </si>
  <si>
    <t>(912)</t>
  </si>
  <si>
    <t>点236.106(9/16)</t>
  </si>
  <si>
    <t>(905)</t>
  </si>
  <si>
    <t>点236.106(10/16)</t>
  </si>
  <si>
    <t>(913)</t>
  </si>
  <si>
    <t>点236.106(11/16)</t>
  </si>
  <si>
    <t>(906)</t>
  </si>
  <si>
    <t>点236.106(12/16)</t>
  </si>
  <si>
    <t>(914)</t>
  </si>
  <si>
    <t>点236.106(13/16)</t>
  </si>
  <si>
    <t>(907)</t>
  </si>
  <si>
    <t>点236.106(14/16)</t>
  </si>
  <si>
    <t>(915)</t>
  </si>
  <si>
    <t>点236.106(15/16)</t>
  </si>
  <si>
    <t>(908)</t>
  </si>
  <si>
    <t>点236.106(16/16)</t>
  </si>
  <si>
    <t>(916)</t>
  </si>
  <si>
    <t>----------237 内径 P.06</t>
  </si>
  <si>
    <t xml:space="preserve">円237.107            </t>
  </si>
  <si>
    <t xml:space="preserve">(20)                </t>
  </si>
  <si>
    <t>点237.107(1/16)</t>
  </si>
  <si>
    <t>(6001)</t>
  </si>
  <si>
    <t>点237.107(2/16)</t>
  </si>
  <si>
    <t>(6009)</t>
  </si>
  <si>
    <t>点237.107(3/16)</t>
  </si>
  <si>
    <t>(6002)</t>
  </si>
  <si>
    <t>点237.107(4/16)</t>
  </si>
  <si>
    <t>(6010)</t>
  </si>
  <si>
    <t>点237.107(5/16)</t>
  </si>
  <si>
    <t>(6003)</t>
  </si>
  <si>
    <t>点237.107(6/16)</t>
  </si>
  <si>
    <t>(6011)</t>
  </si>
  <si>
    <t>点237.107(7/16)</t>
  </si>
  <si>
    <t>(6004)</t>
  </si>
  <si>
    <t>点237.107(8/16)</t>
  </si>
  <si>
    <t>(6012)</t>
  </si>
  <si>
    <t>点237.107(9/16)</t>
  </si>
  <si>
    <t>(6005)</t>
  </si>
  <si>
    <t>点237.107(10/16)</t>
  </si>
  <si>
    <t>(6013)</t>
  </si>
  <si>
    <t>点237.107(11/16)</t>
  </si>
  <si>
    <t>(6006)</t>
  </si>
  <si>
    <t>点237.107(12/16)</t>
  </si>
  <si>
    <t>(6014)</t>
  </si>
  <si>
    <t>点237.107(13/16)</t>
  </si>
  <si>
    <t>(6007)</t>
  </si>
  <si>
    <t>点237.107(14/16)</t>
  </si>
  <si>
    <t>(6015)</t>
  </si>
  <si>
    <t>点237.107(15/16)</t>
  </si>
  <si>
    <t>(6008)</t>
  </si>
  <si>
    <t>点237.107(16/16)</t>
  </si>
  <si>
    <t>(6016)</t>
  </si>
  <si>
    <t>----------238_2001 内径(1/2箇所) P.06</t>
  </si>
  <si>
    <t xml:space="preserve">円238.109_F          </t>
  </si>
  <si>
    <t xml:space="preserve">(6)                 </t>
  </si>
  <si>
    <t>点238.109_F(1/16)</t>
  </si>
  <si>
    <t>(1501)</t>
  </si>
  <si>
    <t>点238.109_F(2/16)</t>
  </si>
  <si>
    <t>(1509)</t>
  </si>
  <si>
    <t>点238.109_F(3/16)</t>
  </si>
  <si>
    <t>(1502)</t>
  </si>
  <si>
    <t>点238.109_F(4/16)</t>
  </si>
  <si>
    <t>(1510)</t>
  </si>
  <si>
    <t>点238.109_F(5/16)</t>
  </si>
  <si>
    <t>(1503)</t>
  </si>
  <si>
    <t>点238.109_F(6/16)</t>
  </si>
  <si>
    <t>(1511)</t>
  </si>
  <si>
    <t>点238.109_F(7/16)</t>
  </si>
  <si>
    <t>(1504)</t>
  </si>
  <si>
    <t>点238.109_F(8/16)</t>
  </si>
  <si>
    <t>(1512)</t>
  </si>
  <si>
    <t>点238.109_F(9/16)</t>
  </si>
  <si>
    <t>(1505)</t>
  </si>
  <si>
    <t>点238.109_F(10/16)</t>
  </si>
  <si>
    <t>(1513)</t>
  </si>
  <si>
    <t>点238.109_F(11/16)</t>
  </si>
  <si>
    <t>(1506)</t>
  </si>
  <si>
    <t>点238.109_F(12/16)</t>
  </si>
  <si>
    <t>(1514)</t>
  </si>
  <si>
    <t>点238.109_F(13/16)</t>
  </si>
  <si>
    <t>(1507)</t>
  </si>
  <si>
    <t>点238.109_F(14/16)</t>
  </si>
  <si>
    <t>(1515)</t>
  </si>
  <si>
    <t>点238.109_F(15/16)</t>
  </si>
  <si>
    <t>(1508)</t>
  </si>
  <si>
    <t>点238.109_F(16/16)</t>
  </si>
  <si>
    <t>(1516)</t>
  </si>
  <si>
    <t>----------238_2002 内径(2/2箇所) P.06</t>
  </si>
  <si>
    <t xml:space="preserve">円238.109_A          </t>
  </si>
  <si>
    <t xml:space="preserve">(7)                 </t>
  </si>
  <si>
    <t>点238.109_A(1/16)</t>
  </si>
  <si>
    <t>(1801)</t>
  </si>
  <si>
    <t>点238.109_A(2/16)</t>
  </si>
  <si>
    <t>(1809)</t>
  </si>
  <si>
    <t>点238.109_A(3/16)</t>
  </si>
  <si>
    <t>(1802)</t>
  </si>
  <si>
    <t>点238.109_A(4/16)</t>
  </si>
  <si>
    <t>(1810)</t>
  </si>
  <si>
    <t>点238.109_A(5/16)</t>
  </si>
  <si>
    <t>(1803)</t>
  </si>
  <si>
    <t>点238.109_A(6/16)</t>
  </si>
  <si>
    <t>(1811)</t>
  </si>
  <si>
    <t>点238.109_A(7/16)</t>
  </si>
  <si>
    <t>(1804)</t>
  </si>
  <si>
    <t>点238.109_A(8/16)</t>
  </si>
  <si>
    <t>(1812)</t>
  </si>
  <si>
    <t>点238.109_A(9/16)</t>
  </si>
  <si>
    <t>(1805)</t>
  </si>
  <si>
    <t>点238.109_A(10/16)</t>
  </si>
  <si>
    <t>(1813)</t>
  </si>
  <si>
    <t>点238.109_A(11/16)</t>
  </si>
  <si>
    <t>(1806)</t>
  </si>
  <si>
    <t>点238.109_A(12/16)</t>
  </si>
  <si>
    <t>(1814)</t>
  </si>
  <si>
    <t>点238.109_A(13/16)</t>
  </si>
  <si>
    <t>(1807)</t>
  </si>
  <si>
    <t>点238.109_A(14/16)</t>
  </si>
  <si>
    <t>(1815)</t>
  </si>
  <si>
    <t>点238.109_A(15/16)</t>
  </si>
  <si>
    <t>(1808)</t>
  </si>
  <si>
    <t>点238.109_A(16/16)</t>
  </si>
  <si>
    <t>(1816)</t>
  </si>
  <si>
    <t>----------239 内径 P.06</t>
  </si>
  <si>
    <t xml:space="preserve">円239.108            </t>
  </si>
  <si>
    <t xml:space="preserve">(8)                 </t>
  </si>
  <si>
    <t>点239.108(1/16)</t>
  </si>
  <si>
    <t>(1301)</t>
  </si>
  <si>
    <t>点239.108(2/16)</t>
  </si>
  <si>
    <t>(1309)</t>
  </si>
  <si>
    <t>点239.108(3/16)</t>
  </si>
  <si>
    <t>(1302)</t>
  </si>
  <si>
    <t>点239.108(4/16)</t>
  </si>
  <si>
    <t>(1310)</t>
  </si>
  <si>
    <t>点239.108(5/16)</t>
  </si>
  <si>
    <t>(1303)</t>
  </si>
  <si>
    <t>点239.108(6/16)</t>
  </si>
  <si>
    <t>(1311)</t>
  </si>
  <si>
    <t>点239.108(7/16)</t>
  </si>
  <si>
    <t>(1304)</t>
  </si>
  <si>
    <t>点239.108(8/16)</t>
  </si>
  <si>
    <t>(1312)</t>
  </si>
  <si>
    <t>点239.108(9/16)</t>
  </si>
  <si>
    <t>(1305)</t>
  </si>
  <si>
    <t>点239.108(10/16)</t>
  </si>
  <si>
    <t>(1313)</t>
  </si>
  <si>
    <t>点239.108(11/16)</t>
  </si>
  <si>
    <t>(1306)</t>
  </si>
  <si>
    <t>点239.108(12/16)</t>
  </si>
  <si>
    <t>(1314)</t>
  </si>
  <si>
    <t>点239.108(13/16)</t>
  </si>
  <si>
    <t>(1307)</t>
  </si>
  <si>
    <t>点239.108(14/16)</t>
  </si>
  <si>
    <t>(1315)</t>
  </si>
  <si>
    <t>点239.108(15/16)</t>
  </si>
  <si>
    <t>(1308)</t>
  </si>
  <si>
    <t>点239.108(16/16)</t>
  </si>
  <si>
    <t>(1316)</t>
  </si>
  <si>
    <t>----------240 内径 P.06</t>
  </si>
  <si>
    <t xml:space="preserve">円240.111            </t>
  </si>
  <si>
    <t xml:space="preserve">(9)                 </t>
  </si>
  <si>
    <t>点240.111(1/16)</t>
  </si>
  <si>
    <t>(2301)</t>
  </si>
  <si>
    <t>点240.111(2/16)</t>
  </si>
  <si>
    <t>(2309)</t>
  </si>
  <si>
    <t>点240.111(3/16)</t>
  </si>
  <si>
    <t>(2302)</t>
  </si>
  <si>
    <t>点240.111(4/16)</t>
  </si>
  <si>
    <t>(2310)</t>
  </si>
  <si>
    <t>点240.111(5/16)</t>
  </si>
  <si>
    <t>(2303)</t>
  </si>
  <si>
    <t>点240.111(6/16)</t>
  </si>
  <si>
    <t>(2311)</t>
  </si>
  <si>
    <t>点240.111(7/16)</t>
  </si>
  <si>
    <t>(2304)</t>
  </si>
  <si>
    <t>点240.111(8/16)</t>
  </si>
  <si>
    <t>(2312)</t>
  </si>
  <si>
    <t>点240.111(9/16)</t>
  </si>
  <si>
    <t>(2305)</t>
  </si>
  <si>
    <t>点240.111(10/16)</t>
  </si>
  <si>
    <t>(2313)</t>
  </si>
  <si>
    <t>点240.111(11/16)</t>
  </si>
  <si>
    <t>(2306)</t>
  </si>
  <si>
    <t>点240.111(12/16)</t>
  </si>
  <si>
    <t>(2314)</t>
  </si>
  <si>
    <t>点240.111(13/16)</t>
  </si>
  <si>
    <t>(2307)</t>
  </si>
  <si>
    <t>点240.111(14/16)</t>
  </si>
  <si>
    <t>(2315)</t>
  </si>
  <si>
    <t>点240.111(15/16)</t>
  </si>
  <si>
    <t>(2308)</t>
  </si>
  <si>
    <t>点240.111(16/16)</t>
  </si>
  <si>
    <t>(2316)</t>
  </si>
  <si>
    <t>----------241 内径 P.06</t>
  </si>
  <si>
    <t xml:space="preserve">円241.113            </t>
  </si>
  <si>
    <t xml:space="preserve">(21)                </t>
  </si>
  <si>
    <t>点241.113(1/16)</t>
  </si>
  <si>
    <t>(6401)</t>
  </si>
  <si>
    <t>点241.113(2/16)</t>
  </si>
  <si>
    <t>(6409)</t>
  </si>
  <si>
    <t>点241.113(3/16)</t>
  </si>
  <si>
    <t>(6402)</t>
  </si>
  <si>
    <t>点241.113(4/16)</t>
  </si>
  <si>
    <t>(6410)</t>
  </si>
  <si>
    <t>点241.113(5/16)</t>
  </si>
  <si>
    <t>(6403)</t>
  </si>
  <si>
    <t>点241.113(6/16)</t>
  </si>
  <si>
    <t>(6411)</t>
  </si>
  <si>
    <t>点241.113(7/16)</t>
  </si>
  <si>
    <t>(6404)</t>
  </si>
  <si>
    <t>点241.113(8/16)</t>
  </si>
  <si>
    <t>(6412)</t>
  </si>
  <si>
    <t>点241.113(9/16)</t>
  </si>
  <si>
    <t>(6405)</t>
  </si>
  <si>
    <t>点241.113(10/16)</t>
  </si>
  <si>
    <t>(6413)</t>
  </si>
  <si>
    <t>点241.113(11/16)</t>
  </si>
  <si>
    <t>(6406)</t>
  </si>
  <si>
    <t>点241.113(12/16)</t>
  </si>
  <si>
    <t>(6414)</t>
  </si>
  <si>
    <t>点241.113(13/16)</t>
  </si>
  <si>
    <t>(6407)</t>
  </si>
  <si>
    <t>点241.113(14/16)</t>
  </si>
  <si>
    <t>(6415)</t>
  </si>
  <si>
    <t>点241.113(15/16)</t>
  </si>
  <si>
    <t>(6408)</t>
  </si>
  <si>
    <t>点241.113(16/16)</t>
  </si>
  <si>
    <t>(6416)</t>
  </si>
  <si>
    <t>----------242_2001 内径(1/2箇所) P.06</t>
  </si>
  <si>
    <t xml:space="preserve">円242.115_F          </t>
  </si>
  <si>
    <t xml:space="preserve">(10)                </t>
  </si>
  <si>
    <t>点242.115_F(1/16)</t>
  </si>
  <si>
    <t>(3001)</t>
  </si>
  <si>
    <t>点242.115_F(2/16)</t>
  </si>
  <si>
    <t>(3009)</t>
  </si>
  <si>
    <t>点242.115_F(3/16)</t>
  </si>
  <si>
    <t>(3002)</t>
  </si>
  <si>
    <t>点242.115_F(4/16)</t>
  </si>
  <si>
    <t>(3010)</t>
  </si>
  <si>
    <t>点242.115_F(5/16)</t>
  </si>
  <si>
    <t>(3003)</t>
  </si>
  <si>
    <t>点242.115_F(6/16)</t>
  </si>
  <si>
    <t>(3011)</t>
  </si>
  <si>
    <t>点242.115_F(7/16)</t>
  </si>
  <si>
    <t>(3004)</t>
  </si>
  <si>
    <t>点242.115_F(8/16)</t>
  </si>
  <si>
    <t>(3012)</t>
  </si>
  <si>
    <t>点242.115_F(9/16)</t>
  </si>
  <si>
    <t>(3005)</t>
  </si>
  <si>
    <t>点242.115_F(10/16)</t>
  </si>
  <si>
    <t>(3013)</t>
  </si>
  <si>
    <t>点242.115_F(11/16)</t>
  </si>
  <si>
    <t>(3006)</t>
  </si>
  <si>
    <t>点242.115_F(12/16)</t>
  </si>
  <si>
    <t>(3014)</t>
  </si>
  <si>
    <t>点242.115_F(13/16)</t>
  </si>
  <si>
    <t>(3007)</t>
  </si>
  <si>
    <t>点242.115_F(14/16)</t>
  </si>
  <si>
    <t>(3015)</t>
  </si>
  <si>
    <t>点242.115_F(15/16)</t>
  </si>
  <si>
    <t>(3008)</t>
  </si>
  <si>
    <t>点242.115_F(16/16)</t>
  </si>
  <si>
    <t>(3016)</t>
  </si>
  <si>
    <t>----------242_2002 内径(2/2箇所) P.06</t>
  </si>
  <si>
    <t xml:space="preserve">円242.115_A          </t>
  </si>
  <si>
    <t xml:space="preserve">(11)                </t>
  </si>
  <si>
    <t>点242.115_A(1/16)</t>
  </si>
  <si>
    <t>(3301)</t>
  </si>
  <si>
    <t>点242.115_A(2/16)</t>
  </si>
  <si>
    <t>(3309)</t>
  </si>
  <si>
    <t>点242.115_A(3/16)</t>
  </si>
  <si>
    <t>(3302)</t>
  </si>
  <si>
    <t>点242.115_A(4/16)</t>
  </si>
  <si>
    <t>(3310)</t>
  </si>
  <si>
    <t>点242.115_A(5/16)</t>
  </si>
  <si>
    <t>(3303)</t>
  </si>
  <si>
    <t>点242.115_A(6/16)</t>
  </si>
  <si>
    <t>(3311)</t>
  </si>
  <si>
    <t>点242.115_A(7/16)</t>
  </si>
  <si>
    <t>(3304)</t>
  </si>
  <si>
    <t>点242.115_A(8/16)</t>
  </si>
  <si>
    <t>(3312)</t>
  </si>
  <si>
    <t>点242.115_A(9/16)</t>
  </si>
  <si>
    <t>(3305)</t>
  </si>
  <si>
    <t>点242.115_A(10/16)</t>
  </si>
  <si>
    <t>(3313)</t>
  </si>
  <si>
    <t>点242.115_A(11/16)</t>
  </si>
  <si>
    <t>(3306)</t>
  </si>
  <si>
    <t>点242.115_A(12/16)</t>
  </si>
  <si>
    <t>(3314)</t>
  </si>
  <si>
    <t>点242.115_A(13/16)</t>
  </si>
  <si>
    <t>(3307)</t>
  </si>
  <si>
    <t>点242.115_A(14/16)</t>
  </si>
  <si>
    <t>(3315)</t>
  </si>
  <si>
    <t>点242.115_A(15/16)</t>
  </si>
  <si>
    <t>(3308)</t>
  </si>
  <si>
    <t>点242.115_A(16/16)</t>
  </si>
  <si>
    <t>(3316)</t>
  </si>
  <si>
    <t>----------243 内径 P.07</t>
  </si>
  <si>
    <t xml:space="preserve">円243.114            </t>
  </si>
  <si>
    <t xml:space="preserve">(12)                </t>
  </si>
  <si>
    <t>点243.114(1/16)</t>
  </si>
  <si>
    <t>(2801)</t>
  </si>
  <si>
    <t>点243.114(2/16)</t>
  </si>
  <si>
    <t>(2809)</t>
  </si>
  <si>
    <t>点243.114(3/16)</t>
  </si>
  <si>
    <t>(2802)</t>
  </si>
  <si>
    <t>点243.114(4/16)</t>
  </si>
  <si>
    <t>(2810)</t>
  </si>
  <si>
    <t>点243.114(5/16)</t>
  </si>
  <si>
    <t>(2803)</t>
  </si>
  <si>
    <t>点243.114(6/16)</t>
  </si>
  <si>
    <t>(2811)</t>
  </si>
  <si>
    <t>点243.114(7/16)</t>
  </si>
  <si>
    <t>(2804)</t>
  </si>
  <si>
    <t>点243.114(8/16)</t>
  </si>
  <si>
    <t>(2812)</t>
  </si>
  <si>
    <t>点243.114(9/16)</t>
  </si>
  <si>
    <t>(2805)</t>
  </si>
  <si>
    <t>点243.114(10/16)</t>
  </si>
  <si>
    <t>(2813)</t>
  </si>
  <si>
    <t>点243.114(11/16)</t>
  </si>
  <si>
    <t>(2806)</t>
  </si>
  <si>
    <t>点243.114(12/16)</t>
  </si>
  <si>
    <t>(2814)</t>
  </si>
  <si>
    <t>点243.114(13/16)</t>
  </si>
  <si>
    <t>(2807)</t>
  </si>
  <si>
    <t>点243.114(14/16)</t>
  </si>
  <si>
    <t>(2815)</t>
  </si>
  <si>
    <t>点243.114(15/16)</t>
  </si>
  <si>
    <t>(2808)</t>
  </si>
  <si>
    <t>点243.114(16/16)</t>
  </si>
  <si>
    <t>(2816)</t>
  </si>
  <si>
    <t>----------244 内径 P.07</t>
  </si>
  <si>
    <t xml:space="preserve">円244.117            </t>
  </si>
  <si>
    <t xml:space="preserve">(13)                </t>
  </si>
  <si>
    <t>点244.117(1/16)</t>
  </si>
  <si>
    <t>(3701)</t>
  </si>
  <si>
    <t>点244.117(2/16)</t>
  </si>
  <si>
    <t>(3709)</t>
  </si>
  <si>
    <t>点244.117(3/16)</t>
  </si>
  <si>
    <t>(3702)</t>
  </si>
  <si>
    <t>点244.117(4/16)</t>
  </si>
  <si>
    <t>(3710)</t>
  </si>
  <si>
    <t>点244.117(5/16)</t>
  </si>
  <si>
    <t>(3703)</t>
  </si>
  <si>
    <t>点244.117(6/16)</t>
  </si>
  <si>
    <t>(3711)</t>
  </si>
  <si>
    <t>点244.117(7/16)</t>
  </si>
  <si>
    <t>(3704)</t>
  </si>
  <si>
    <t>点244.117(8/16)</t>
  </si>
  <si>
    <t>(3712)</t>
  </si>
  <si>
    <t>点244.117(9/16)</t>
  </si>
  <si>
    <t>(3705)</t>
  </si>
  <si>
    <t>点244.117(10/16)</t>
  </si>
  <si>
    <t>(3713)</t>
  </si>
  <si>
    <t>点244.117(11/16)</t>
  </si>
  <si>
    <t>(3706)</t>
  </si>
  <si>
    <t>点244.117(12/16)</t>
  </si>
  <si>
    <t>(3714)</t>
  </si>
  <si>
    <t>点244.117(13/16)</t>
  </si>
  <si>
    <t>(3707)</t>
  </si>
  <si>
    <t>点244.117(14/16)</t>
  </si>
  <si>
    <t>(3715)</t>
  </si>
  <si>
    <t>点244.117(15/16)</t>
  </si>
  <si>
    <t>(3708)</t>
  </si>
  <si>
    <t>点244.117(16/16)</t>
  </si>
  <si>
    <t>(3716)</t>
  </si>
  <si>
    <t>----------246_2001 内径(1/2箇所) P.07</t>
  </si>
  <si>
    <t xml:space="preserve">円246.121_F          </t>
  </si>
  <si>
    <t xml:space="preserve">(14)                </t>
  </si>
  <si>
    <t>点246.121_F(1/16)</t>
  </si>
  <si>
    <t>(4401)</t>
  </si>
  <si>
    <t>点246.121_F(2/16)</t>
  </si>
  <si>
    <t>(4409)</t>
  </si>
  <si>
    <t>点246.121_F(3/16)</t>
  </si>
  <si>
    <t>(4402)</t>
  </si>
  <si>
    <t>点246.121_F(4/16)</t>
  </si>
  <si>
    <t>(4410)</t>
  </si>
  <si>
    <t>点246.121_F(5/16)</t>
  </si>
  <si>
    <t>(4403)</t>
  </si>
  <si>
    <t>点246.121_F(6/16)</t>
  </si>
  <si>
    <t>(4411)</t>
  </si>
  <si>
    <t>点246.121_F(7/16)</t>
  </si>
  <si>
    <t>(4404)</t>
  </si>
  <si>
    <t>点246.121_F(8/16)</t>
  </si>
  <si>
    <t>(4412)</t>
  </si>
  <si>
    <t>点246.121_F(9/16)</t>
  </si>
  <si>
    <t>(4405)</t>
  </si>
  <si>
    <t>点246.121_F(10/16)</t>
  </si>
  <si>
    <t>(4413)</t>
  </si>
  <si>
    <t>点246.121_F(11/16)</t>
  </si>
  <si>
    <t>(4406)</t>
  </si>
  <si>
    <t>点246.121_F(12/16)</t>
  </si>
  <si>
    <t>(4414)</t>
  </si>
  <si>
    <t>点246.121_F(13/16)</t>
  </si>
  <si>
    <t>(4407)</t>
  </si>
  <si>
    <t>点246.121_F(14/16)</t>
  </si>
  <si>
    <t>(4415)</t>
  </si>
  <si>
    <t>点246.121_F(15/16)</t>
  </si>
  <si>
    <t>(4408)</t>
  </si>
  <si>
    <t>点246.121_F(16/16)</t>
  </si>
  <si>
    <t>(4416)</t>
  </si>
  <si>
    <t>----------246_2002 内径(2/2箇所) P.07</t>
  </si>
  <si>
    <t xml:space="preserve">円246.121_A          </t>
  </si>
  <si>
    <t xml:space="preserve">(15)                </t>
  </si>
  <si>
    <t>点246.121_A(1/16)</t>
  </si>
  <si>
    <t>(4701)</t>
  </si>
  <si>
    <t>点246.121_A(2/16)</t>
  </si>
  <si>
    <t>(4709)</t>
  </si>
  <si>
    <t>点246.121_A(3/16)</t>
  </si>
  <si>
    <t>(4702)</t>
  </si>
  <si>
    <t>点246.121_A(4/16)</t>
  </si>
  <si>
    <t>(4710)</t>
  </si>
  <si>
    <t>点246.121_A(5/16)</t>
  </si>
  <si>
    <t>(4703)</t>
  </si>
  <si>
    <t>点246.121_A(6/16)</t>
  </si>
  <si>
    <t>(4711)</t>
  </si>
  <si>
    <t>点246.121_A(7/16)</t>
  </si>
  <si>
    <t>(4704)</t>
  </si>
  <si>
    <t>点246.121_A(8/16)</t>
  </si>
  <si>
    <t>(4712)</t>
  </si>
  <si>
    <t>点246.121_A(9/16)</t>
  </si>
  <si>
    <t>(4705)</t>
  </si>
  <si>
    <t>点246.121_A(10/16)</t>
  </si>
  <si>
    <t>(4713)</t>
  </si>
  <si>
    <t>点246.121_A(11/16)</t>
  </si>
  <si>
    <t>(4706)</t>
  </si>
  <si>
    <t>点246.121_A(12/16)</t>
  </si>
  <si>
    <t>(4714)</t>
  </si>
  <si>
    <t>点246.121_A(13/16)</t>
  </si>
  <si>
    <t>(4707)</t>
  </si>
  <si>
    <t>点246.121_A(14/16)</t>
  </si>
  <si>
    <t>(4715)</t>
  </si>
  <si>
    <t>点246.121_A(15/16)</t>
  </si>
  <si>
    <t>(4708)</t>
  </si>
  <si>
    <t>点246.121_A(16/16)</t>
  </si>
  <si>
    <t>(4716)</t>
  </si>
  <si>
    <t>----------247 内径 P.07</t>
  </si>
  <si>
    <t xml:space="preserve">円247.120            </t>
  </si>
  <si>
    <t xml:space="preserve">(16)                </t>
  </si>
  <si>
    <t>点247.120(1/16)</t>
  </si>
  <si>
    <t>(4201)</t>
  </si>
  <si>
    <t>点247.120(2/16)</t>
  </si>
  <si>
    <t>(4209)</t>
  </si>
  <si>
    <t>点247.120(3/16)</t>
  </si>
  <si>
    <t>(4202)</t>
  </si>
  <si>
    <t>点247.120(4/16)</t>
  </si>
  <si>
    <t>(4210)</t>
  </si>
  <si>
    <t>点247.120(5/16)</t>
  </si>
  <si>
    <t>(4203)</t>
  </si>
  <si>
    <t>点247.120(6/16)</t>
  </si>
  <si>
    <t>(4211)</t>
  </si>
  <si>
    <t>点247.120(7/16)</t>
  </si>
  <si>
    <t>(4204)</t>
  </si>
  <si>
    <t>点247.120(8/16)</t>
  </si>
  <si>
    <t>(4212)</t>
  </si>
  <si>
    <t>点247.120(9/16)</t>
  </si>
  <si>
    <t>(4205)</t>
  </si>
  <si>
    <t>点247.120(10/16)</t>
  </si>
  <si>
    <t>(4213)</t>
  </si>
  <si>
    <t>点247.120(11/16)</t>
  </si>
  <si>
    <t>(4206)</t>
  </si>
  <si>
    <t>点247.120(12/16)</t>
  </si>
  <si>
    <t>(4214)</t>
  </si>
  <si>
    <t>点247.120(13/16)</t>
  </si>
  <si>
    <t>(4207)</t>
  </si>
  <si>
    <t>点247.120(14/16)</t>
  </si>
  <si>
    <t>(4215)</t>
  </si>
  <si>
    <t>点247.120(15/16)</t>
  </si>
  <si>
    <t>(4208)</t>
  </si>
  <si>
    <t>点247.120(16/16)</t>
  </si>
  <si>
    <t>(4216)</t>
  </si>
  <si>
    <t>----------248 内径 P.07</t>
  </si>
  <si>
    <t xml:space="preserve">円248                </t>
  </si>
  <si>
    <t xml:space="preserve">(17)                </t>
  </si>
  <si>
    <t>点248(1/16)</t>
  </si>
  <si>
    <t>(4901)</t>
  </si>
  <si>
    <t>点248(2/16)</t>
  </si>
  <si>
    <t>(4909)</t>
  </si>
  <si>
    <t>点248(3/16)</t>
  </si>
  <si>
    <t>(4902)</t>
  </si>
  <si>
    <t>点248(4/16)</t>
  </si>
  <si>
    <t>(4910)</t>
  </si>
  <si>
    <t>点248(5/16)</t>
  </si>
  <si>
    <t>(4903)</t>
  </si>
  <si>
    <t>点248(6/16)</t>
  </si>
  <si>
    <t>(4911)</t>
  </si>
  <si>
    <t>点248(7/16)</t>
  </si>
  <si>
    <t>(4904)</t>
  </si>
  <si>
    <t>点248(8/16)</t>
  </si>
  <si>
    <t>(4912)</t>
  </si>
  <si>
    <t>点248(9/16)</t>
  </si>
  <si>
    <t>(4905)</t>
  </si>
  <si>
    <t>点248(10/16)</t>
  </si>
  <si>
    <t>(4913)</t>
  </si>
  <si>
    <t>点248(11/16)</t>
  </si>
  <si>
    <t>(4906)</t>
  </si>
  <si>
    <t>点248(12/16)</t>
  </si>
  <si>
    <t>(4914)</t>
  </si>
  <si>
    <t>点248(13/16)</t>
  </si>
  <si>
    <t>(4907)</t>
  </si>
  <si>
    <t>点248(14/16)</t>
  </si>
  <si>
    <t>(4915)</t>
  </si>
  <si>
    <t>点248(15/16)</t>
  </si>
  <si>
    <t>(4908)</t>
  </si>
  <si>
    <t>点248(16/16)</t>
  </si>
  <si>
    <t>(4916)</t>
  </si>
  <si>
    <t>----------101 内径 P.01</t>
  </si>
  <si>
    <t xml:space="preserve">円A_101              </t>
  </si>
  <si>
    <t xml:space="preserve">(1)                 </t>
  </si>
  <si>
    <t>点A(1/8)</t>
  </si>
  <si>
    <t>(201)</t>
  </si>
  <si>
    <t>点A(2/8)</t>
  </si>
  <si>
    <t>(202)</t>
  </si>
  <si>
    <t>点A(3/8)</t>
  </si>
  <si>
    <t>(203)</t>
  </si>
  <si>
    <t>点A(4/8)</t>
  </si>
  <si>
    <t>(204)</t>
  </si>
  <si>
    <t>点A(5/8)</t>
  </si>
  <si>
    <t>(205)</t>
  </si>
  <si>
    <t>点A(6/8)</t>
  </si>
  <si>
    <t>(206)</t>
  </si>
  <si>
    <t>点A(7/8)</t>
  </si>
  <si>
    <t>(207)</t>
  </si>
  <si>
    <t>点A(8/8)</t>
  </si>
  <si>
    <t>(208)</t>
  </si>
  <si>
    <t>----------201 真円度 P.01</t>
  </si>
  <si>
    <t xml:space="preserve">真円度                 </t>
  </si>
  <si>
    <t xml:space="preserve">円A_201              </t>
  </si>
  <si>
    <t xml:space="preserve">(31)                </t>
  </si>
  <si>
    <t>点A(1/16)_F</t>
  </si>
  <si>
    <t>(7201)</t>
  </si>
  <si>
    <t>点A(2/16)_F</t>
  </si>
  <si>
    <t>(7202)</t>
  </si>
  <si>
    <t>点A(3/16)_F</t>
  </si>
  <si>
    <t>(7203)</t>
  </si>
  <si>
    <t>点A(4/16)_F</t>
  </si>
  <si>
    <t>(7204)</t>
  </si>
  <si>
    <t>点A(5/16)_F</t>
  </si>
  <si>
    <t>(7205)</t>
  </si>
  <si>
    <t>点A(6/16)_F</t>
  </si>
  <si>
    <t>(7206)</t>
  </si>
  <si>
    <t>点A(7/16)_F</t>
  </si>
  <si>
    <t>(7207)</t>
  </si>
  <si>
    <t>点A(8/16)_F</t>
  </si>
  <si>
    <t>(7208)</t>
  </si>
  <si>
    <t>点A(9/16)_F</t>
  </si>
  <si>
    <t>(7209)</t>
  </si>
  <si>
    <t>点A(10/16)_F</t>
  </si>
  <si>
    <t>(7210)</t>
  </si>
  <si>
    <t>点A(11/16)_F</t>
  </si>
  <si>
    <t>(7211)</t>
  </si>
  <si>
    <t>点A(12/16)_F</t>
  </si>
  <si>
    <t>(7212)</t>
  </si>
  <si>
    <t>点A(13/16)_F</t>
  </si>
  <si>
    <t>(7213)</t>
  </si>
  <si>
    <t>点A(14/16)_F</t>
  </si>
  <si>
    <t>(7214)</t>
  </si>
  <si>
    <t>点A(15/16)_F</t>
  </si>
  <si>
    <t>(7215)</t>
  </si>
  <si>
    <t>点A(16/16)_F</t>
  </si>
  <si>
    <t>(7216)</t>
  </si>
  <si>
    <t>ER=</t>
  </si>
  <si>
    <t>JHV723EJ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</si>
</sst>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_);[Red]\(0.00\)"/>
    <numFmt numFmtId="165" formatCode="0_);[Red]\(0\)"/>
    <numFmt numFmtId="166" formatCode="0.0000_ ;[Red]\-0.0000\ "/>
    <numFmt numFmtId="167" formatCode="0.000"/>
    <numFmt numFmtId="168" formatCode="0.000_ "/>
    <numFmt numFmtId="169" formatCode="0.00000"/>
    <numFmt numFmtId="170" formatCode="0.0000"/>
    <numFmt numFmtId="171" formatCode="0.000_ ;[Red]\-0.000\ "/>
  </numFmts>
  <fonts count="30">
    <font>
      <sz val="11"/>
      <color theme="1"/>
      <name val="Calibri"/>
      <family val="2"/>
      <scheme val="minor"/>
    </font>
    <font>
      <sz val="11"/>
      <color theme="1"/>
      <name val="Calibri"/>
      <family val="2"/>
      <charset val="128"/>
      <scheme val="minor"/>
    </font>
    <font>
      <sz val="6"/>
      <name val="Calibri"/>
      <family val="3"/>
      <charset val="128"/>
      <scheme val="minor"/>
    </font>
    <font>
      <sz val="11"/>
      <color theme="1"/>
      <name val="Arial"/>
      <family val="2"/>
    </font>
    <font>
      <b/>
      <sz val="11"/>
      <color theme="1"/>
      <name val="Arial"/>
      <family val="2"/>
    </font>
    <font>
      <sz val="6"/>
      <color theme="1"/>
      <name val="Arial"/>
      <family val="2"/>
    </font>
    <font>
      <sz val="10"/>
      <color theme="1"/>
      <name val="Arial"/>
      <family val="2"/>
    </font>
    <font>
      <sz val="9"/>
      <color theme="1"/>
      <name val="Arial"/>
      <family val="2"/>
    </font>
    <font>
      <sz val="11"/>
      <name val="Calibri"/>
      <family val="2"/>
      <scheme val="minor"/>
    </font>
    <font>
      <sz val="11"/>
      <color rgb="FF000000"/>
      <name val="Arial"/>
      <family val="2"/>
    </font>
    <font>
      <sz val="14"/>
      <color rgb="FF000000"/>
      <name val="Arial"/>
      <family val="2"/>
    </font>
    <font>
      <sz val="14"/>
      <color rgb="FF000000"/>
      <name val="ＭＳ Ｐゴシック"/>
      <family val="3"/>
      <charset val="128"/>
    </font>
    <font>
      <sz val="14"/>
      <name val="Arial"/>
      <family val="2"/>
    </font>
    <font>
      <sz val="14"/>
      <color theme="1"/>
      <name val="Arial"/>
      <family val="2"/>
    </font>
    <font>
      <sz val="14"/>
      <color theme="1"/>
      <name val="ＭＳ Ｐゴシック"/>
      <family val="3"/>
      <charset val="128"/>
    </font>
    <font>
      <sz val="11"/>
      <color theme="1"/>
      <name val="ＭＳ Ｐゴシック"/>
      <family val="3"/>
      <charset val="128"/>
    </font>
    <font>
      <sz val="12"/>
      <color theme="1"/>
      <name val="ＭＳ Ｐゴシック"/>
      <family val="3"/>
      <charset val="128"/>
    </font>
    <font>
      <sz val="16"/>
      <color theme="1"/>
      <name val="Calibri"/>
      <family val="2"/>
      <scheme val="minor"/>
    </font>
    <font>
      <sz val="12"/>
      <color theme="1"/>
      <name val="Arial"/>
      <family val="2"/>
    </font>
    <font>
      <sz val="16"/>
      <color rgb="FF000000"/>
      <name val="Arial"/>
      <family val="2"/>
    </font>
    <font>
      <sz val="16"/>
      <color rgb="FF000000"/>
      <name val="Calibri"/>
      <family val="2"/>
    </font>
    <font>
      <sz val="14"/>
      <color rgb="FF000000"/>
      <name val="Calibri"/>
      <family val="2"/>
    </font>
    <font>
      <sz val="11"/>
      <color theme="1"/>
      <name val="Calibri"/>
      <family val="2"/>
    </font>
    <font>
      <sz val="11"/>
      <color theme="1"/>
      <name val="Calibri"/>
      <family val="2"/>
      <scheme val="minor"/>
    </font>
    <font>
      <b/>
      <sz val="11"/>
      <color rgb="FFFF0000"/>
      <name val="Calibri"/>
      <family val="3"/>
      <charset val="128"/>
      <scheme val="minor"/>
    </font>
    <font>
      <sz val="16"/>
      <color theme="1"/>
      <name val="Arial Unicode MS"/>
      <family val="3"/>
      <charset val="128"/>
    </font>
    <font>
      <sz val="11"/>
      <color rgb="FFFF0000"/>
      <name val="Arial"/>
      <family val="2"/>
    </font>
    <font>
      <b/>
      <sz val="9"/>
      <color indexed="81"/>
      <name val="MS P ゴシック"/>
      <family val="3"/>
      <charset val="128"/>
    </font>
    <font>
      <b/>
      <sz val="11"/>
      <color theme="1"/>
      <name val="Calibri"/>
      <family val="2"/>
      <scheme val="minor"/>
    </font>
    <font>
      <sz val="9"/>
      <color indexed="81"/>
      <name val="MS P ゴシック"/>
      <family val="3"/>
      <charset val="128"/>
    </font>
  </fonts>
  <fills count="6">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23" fillId="0" borderId="0"/>
    <xf numFmtId="0" fontId="1" fillId="0" borderId="0">
      <alignment vertical="center"/>
    </xf>
  </cellStyleXfs>
  <cellXfs count="168">
    <xf numFmtId="0" fontId="0" fillId="0" borderId="0" xfId="0"/>
    <xf numFmtId="49" fontId="0" fillId="0" borderId="0" xfId="0" applyNumberFormat="1"/>
    <xf numFmtId="0" fontId="0" fillId="0" borderId="0" xfId="0" applyAlignment="1">
      <alignment vertical="center"/>
    </xf>
    <xf numFmtId="0" fontId="0" fillId="0" borderId="0" xfId="0" applyFill="1"/>
    <xf numFmtId="0" fontId="0" fillId="0" borderId="0" xfId="0" applyAlignment="1">
      <alignment horizontal="right"/>
    </xf>
    <xf numFmtId="0" fontId="3" fillId="0" borderId="0" xfId="0" applyFont="1"/>
    <xf numFmtId="0" fontId="3" fillId="0" borderId="0" xfId="0" applyFont="1" applyBorder="1" applyAlignment="1">
      <alignment vertical="center"/>
    </xf>
    <xf numFmtId="2" fontId="3" fillId="0" borderId="0" xfId="0" applyNumberFormat="1" applyFont="1" applyBorder="1" applyAlignment="1">
      <alignment vertical="center"/>
    </xf>
    <xf numFmtId="2" fontId="3" fillId="0" borderId="0" xfId="0" applyNumberFormat="1" applyFont="1"/>
    <xf numFmtId="0" fontId="3" fillId="0" borderId="0" xfId="0" applyFont="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xf>
    <xf numFmtId="0" fontId="3" fillId="0" borderId="1" xfId="0" applyFont="1" applyBorder="1" applyAlignment="1">
      <alignment horizontal="center" vertical="center"/>
    </xf>
    <xf numFmtId="0" fontId="3" fillId="0" borderId="0" xfId="0" applyFont="1" applyAlignment="1">
      <alignment vertical="center"/>
    </xf>
    <xf numFmtId="0" fontId="3" fillId="0" borderId="1" xfId="0" quotePrefix="1" applyFont="1" applyBorder="1" applyAlignment="1">
      <alignment vertical="center"/>
    </xf>
    <xf numFmtId="0" fontId="3" fillId="0" borderId="1" xfId="0" applyFont="1" applyBorder="1"/>
    <xf numFmtId="0" fontId="3" fillId="0" borderId="1" xfId="0" applyFont="1" applyBorder="1" applyAlignment="1">
      <alignment vertical="center"/>
    </xf>
    <xf numFmtId="0" fontId="3" fillId="0" borderId="1" xfId="0" applyFont="1" applyBorder="1" applyAlignment="1">
      <alignment horizontal="center"/>
    </xf>
    <xf numFmtId="0" fontId="4" fillId="0" borderId="1" xfId="0" applyFont="1" applyBorder="1" applyAlignment="1">
      <alignment vertical="center"/>
    </xf>
    <xf numFmtId="0" fontId="4" fillId="0" borderId="0" xfId="0" applyFont="1"/>
    <xf numFmtId="0" fontId="5" fillId="0" borderId="1" xfId="0" applyFont="1" applyBorder="1" applyAlignment="1">
      <alignment horizontal="center" vertical="center"/>
    </xf>
    <xf numFmtId="0" fontId="3" fillId="0" borderId="2" xfId="0" applyFont="1" applyBorder="1"/>
    <xf numFmtId="0" fontId="3" fillId="0" borderId="2" xfId="0" applyFont="1" applyBorder="1" applyAlignment="1">
      <alignment horizontal="center"/>
    </xf>
    <xf numFmtId="164" fontId="3" fillId="0" borderId="0" xfId="0" applyNumberFormat="1" applyFont="1" applyAlignment="1">
      <alignment vertical="center"/>
    </xf>
    <xf numFmtId="165" fontId="3" fillId="0" borderId="0" xfId="0" applyNumberFormat="1" applyFont="1" applyAlignment="1">
      <alignment vertical="center"/>
    </xf>
    <xf numFmtId="166" fontId="3" fillId="0" borderId="0" xfId="0" applyNumberFormat="1" applyFont="1"/>
    <xf numFmtId="165" fontId="3" fillId="0" borderId="0" xfId="0" applyNumberFormat="1" applyFont="1"/>
    <xf numFmtId="167" fontId="3" fillId="0" borderId="0" xfId="0" applyNumberFormat="1" applyFont="1"/>
    <xf numFmtId="167" fontId="3" fillId="0" borderId="3" xfId="0" applyNumberFormat="1" applyFont="1" applyBorder="1"/>
    <xf numFmtId="0" fontId="3" fillId="0" borderId="3" xfId="0" applyFont="1" applyBorder="1"/>
    <xf numFmtId="167" fontId="3" fillId="0" borderId="2" xfId="0" applyNumberFormat="1" applyFont="1" applyBorder="1"/>
    <xf numFmtId="0" fontId="3" fillId="0" borderId="4" xfId="0" applyFont="1" applyBorder="1"/>
    <xf numFmtId="167" fontId="3" fillId="0" borderId="4" xfId="0" applyNumberFormat="1" applyFont="1" applyBorder="1"/>
    <xf numFmtId="0" fontId="3" fillId="2" borderId="0" xfId="0" applyFont="1" applyFill="1"/>
    <xf numFmtId="0" fontId="4" fillId="0" borderId="0" xfId="0" applyFont="1" applyAlignment="1">
      <alignment vertical="center"/>
    </xf>
    <xf numFmtId="168" fontId="3" fillId="0" borderId="2" xfId="0" applyNumberFormat="1" applyFont="1" applyBorder="1"/>
    <xf numFmtId="168" fontId="3" fillId="0" borderId="0" xfId="0" applyNumberFormat="1" applyFont="1" applyAlignment="1">
      <alignment vertical="center"/>
    </xf>
    <xf numFmtId="169" fontId="0" fillId="0" borderId="0" xfId="0" applyNumberFormat="1" applyAlignment="1">
      <alignment vertical="center"/>
    </xf>
    <xf numFmtId="167" fontId="0" fillId="0" borderId="0" xfId="0" applyNumberFormat="1" applyAlignment="1">
      <alignment vertical="center"/>
    </xf>
    <xf numFmtId="168" fontId="3" fillId="0" borderId="4" xfId="0" applyNumberFormat="1" applyFont="1" applyBorder="1"/>
    <xf numFmtId="0" fontId="0" fillId="0" borderId="0" xfId="0" applyNumberFormat="1" applyAlignment="1">
      <alignment vertical="center"/>
    </xf>
    <xf numFmtId="170" fontId="0" fillId="0" borderId="0" xfId="0" applyNumberFormat="1" applyAlignment="1">
      <alignment vertical="center"/>
    </xf>
    <xf numFmtId="165" fontId="0" fillId="0" borderId="0" xfId="0" applyNumberFormat="1" applyAlignment="1">
      <alignment vertical="center"/>
    </xf>
    <xf numFmtId="0" fontId="0" fillId="0" borderId="0" xfId="0" applyBorder="1" applyAlignment="1">
      <alignment vertical="center"/>
    </xf>
    <xf numFmtId="0" fontId="4" fillId="0" borderId="0" xfId="0" applyFont="1" applyBorder="1" applyAlignment="1">
      <alignment vertical="center"/>
    </xf>
    <xf numFmtId="0" fontId="3" fillId="0" borderId="0" xfId="0" applyFont="1" applyBorder="1" applyAlignment="1">
      <alignment horizontal="center" vertical="center"/>
    </xf>
    <xf numFmtId="0" fontId="3" fillId="0" borderId="0" xfId="0" quotePrefix="1" applyFont="1" applyBorder="1" applyAlignment="1">
      <alignment horizontal="center" vertical="center"/>
    </xf>
    <xf numFmtId="0" fontId="6" fillId="0" borderId="0" xfId="0" applyFont="1" applyAlignment="1">
      <alignment vertical="center"/>
    </xf>
    <xf numFmtId="0" fontId="3" fillId="0" borderId="5" xfId="0" applyFont="1" applyBorder="1"/>
    <xf numFmtId="0" fontId="3" fillId="0" borderId="0" xfId="0" applyFont="1" applyFill="1"/>
    <xf numFmtId="0" fontId="6" fillId="0" borderId="0" xfId="0" applyFont="1"/>
    <xf numFmtId="0" fontId="0" fillId="0" borderId="0" xfId="0" applyBorder="1"/>
    <xf numFmtId="0" fontId="3" fillId="0" borderId="0" xfId="0" applyFont="1" applyBorder="1"/>
    <xf numFmtId="0" fontId="4" fillId="0" borderId="0" xfId="0" applyFont="1" applyBorder="1"/>
    <xf numFmtId="0" fontId="3" fillId="0" borderId="0" xfId="0" applyFont="1" applyBorder="1" applyAlignment="1">
      <alignment horizontal="center"/>
    </xf>
    <xf numFmtId="0" fontId="3" fillId="0" borderId="0" xfId="0" quotePrefix="1" applyFont="1" applyBorder="1" applyAlignment="1">
      <alignment horizontal="center"/>
    </xf>
    <xf numFmtId="0" fontId="7" fillId="0" borderId="0" xfId="0" applyFont="1"/>
    <xf numFmtId="0" fontId="0" fillId="0" borderId="2" xfId="0" applyBorder="1" applyAlignment="1">
      <alignment vertical="center"/>
    </xf>
    <xf numFmtId="0" fontId="8" fillId="0" borderId="0" xfId="0" applyFont="1"/>
    <xf numFmtId="0" fontId="9" fillId="0" borderId="0" xfId="0" applyNumberFormat="1" applyFont="1" applyAlignment="1">
      <alignment horizontal="center" vertical="center" readingOrder="1"/>
    </xf>
    <xf numFmtId="0" fontId="10" fillId="0" borderId="0" xfId="0" applyFont="1" applyAlignment="1">
      <alignment horizontal="center" vertical="center" readingOrder="1"/>
    </xf>
    <xf numFmtId="167" fontId="3" fillId="0" borderId="0" xfId="0" applyNumberFormat="1" applyFont="1" applyAlignment="1">
      <alignment vertical="center"/>
    </xf>
    <xf numFmtId="0" fontId="13" fillId="0" borderId="0" xfId="0" applyFont="1" applyAlignment="1">
      <alignment horizontal="center" vertical="center"/>
    </xf>
    <xf numFmtId="0" fontId="10" fillId="0" borderId="0" xfId="0" applyNumberFormat="1" applyFont="1" applyAlignment="1">
      <alignment horizontal="center" vertical="center" readingOrder="1"/>
    </xf>
    <xf numFmtId="0" fontId="13" fillId="0" borderId="0" xfId="0" applyFont="1" applyAlignment="1">
      <alignment vertical="center"/>
    </xf>
    <xf numFmtId="0" fontId="13" fillId="2" borderId="0" xfId="0" applyFont="1" applyFill="1" applyAlignment="1">
      <alignment vertical="center"/>
    </xf>
    <xf numFmtId="0" fontId="3" fillId="2" borderId="0" xfId="0" applyFont="1" applyFill="1" applyAlignment="1">
      <alignment vertical="center"/>
    </xf>
    <xf numFmtId="0" fontId="3" fillId="0" borderId="0" xfId="0" quotePrefix="1" applyFont="1" applyAlignment="1">
      <alignment vertical="center"/>
    </xf>
    <xf numFmtId="0" fontId="3" fillId="0" borderId="7" xfId="0" applyFont="1" applyBorder="1" applyAlignment="1">
      <alignment vertical="center"/>
    </xf>
    <xf numFmtId="0" fontId="3" fillId="0" borderId="8" xfId="0" applyFont="1" applyBorder="1" applyAlignment="1">
      <alignment vertical="center"/>
    </xf>
    <xf numFmtId="0" fontId="13" fillId="0" borderId="0" xfId="0" applyFont="1" applyBorder="1" applyAlignment="1">
      <alignment horizontal="center" vertical="center"/>
    </xf>
    <xf numFmtId="0" fontId="13" fillId="0" borderId="10" xfId="0" applyFont="1" applyBorder="1" applyAlignment="1">
      <alignment horizontal="center" vertical="center"/>
    </xf>
    <xf numFmtId="167" fontId="13" fillId="0" borderId="0" xfId="0" applyNumberFormat="1" applyFont="1" applyBorder="1" applyAlignment="1">
      <alignment horizontal="center" vertical="center"/>
    </xf>
    <xf numFmtId="0" fontId="3" fillId="0" borderId="12" xfId="0" applyFont="1" applyBorder="1" applyAlignment="1">
      <alignment vertical="center"/>
    </xf>
    <xf numFmtId="0" fontId="3" fillId="0" borderId="13" xfId="0" applyFont="1" applyBorder="1" applyAlignment="1">
      <alignment vertical="center"/>
    </xf>
    <xf numFmtId="0" fontId="10" fillId="0" borderId="10" xfId="0" applyFont="1" applyBorder="1" applyAlignment="1">
      <alignment horizontal="center" vertical="center" readingOrder="1"/>
    </xf>
    <xf numFmtId="0" fontId="10" fillId="0" borderId="12" xfId="0" applyNumberFormat="1" applyFont="1" applyBorder="1" applyAlignment="1">
      <alignment horizontal="center" vertical="center" readingOrder="1"/>
    </xf>
    <xf numFmtId="0" fontId="10" fillId="0" borderId="12" xfId="0" applyFont="1" applyBorder="1" applyAlignment="1">
      <alignment horizontal="center" vertical="center" readingOrder="1"/>
    </xf>
    <xf numFmtId="0" fontId="10" fillId="0" borderId="13" xfId="0" applyFont="1" applyBorder="1" applyAlignment="1">
      <alignment horizontal="center" vertical="center" readingOrder="1"/>
    </xf>
    <xf numFmtId="0" fontId="3" fillId="0" borderId="1" xfId="0" applyFont="1" applyBorder="1" applyAlignment="1">
      <alignment horizontal="center" vertical="center"/>
    </xf>
    <xf numFmtId="0" fontId="3" fillId="0" borderId="1" xfId="0" applyFont="1" applyBorder="1" applyAlignment="1">
      <alignment horizontal="center" vertical="center" shrinkToFit="1"/>
    </xf>
    <xf numFmtId="0" fontId="3" fillId="3" borderId="0" xfId="0" applyFont="1" applyFill="1" applyAlignment="1">
      <alignment vertical="center"/>
    </xf>
    <xf numFmtId="0" fontId="3" fillId="4" borderId="0" xfId="0" applyFont="1" applyFill="1" applyAlignment="1">
      <alignment vertical="center"/>
    </xf>
    <xf numFmtId="171" fontId="3" fillId="3" borderId="0" xfId="0" applyNumberFormat="1" applyFont="1" applyFill="1" applyAlignment="1">
      <alignment vertical="center"/>
    </xf>
    <xf numFmtId="171" fontId="3" fillId="4" borderId="0" xfId="0" applyNumberFormat="1" applyFont="1" applyFill="1" applyAlignment="1">
      <alignment vertical="center"/>
    </xf>
    <xf numFmtId="49" fontId="3" fillId="0" borderId="0" xfId="0" applyNumberFormat="1" applyFont="1" applyBorder="1"/>
    <xf numFmtId="0" fontId="3" fillId="0" borderId="0" xfId="0" applyNumberFormat="1" applyFont="1" applyBorder="1"/>
    <xf numFmtId="0" fontId="3" fillId="0" borderId="0" xfId="0" applyNumberFormat="1" applyFont="1" applyAlignment="1">
      <alignment vertical="center"/>
    </xf>
    <xf numFmtId="49" fontId="3" fillId="0" borderId="0" xfId="0" applyNumberFormat="1" applyFont="1"/>
    <xf numFmtId="171" fontId="3" fillId="0" borderId="0" xfId="0" applyNumberFormat="1" applyFont="1" applyAlignment="1">
      <alignment vertical="center"/>
    </xf>
    <xf numFmtId="0" fontId="0" fillId="0" borderId="0" xfId="0" applyNumberFormat="1"/>
    <xf numFmtId="0" fontId="0" fillId="0" borderId="0" xfId="0" applyNumberFormat="1" applyFill="1"/>
    <xf numFmtId="0" fontId="0" fillId="0" borderId="12" xfId="0" applyBorder="1"/>
    <xf numFmtId="0" fontId="13" fillId="0" borderId="9" xfId="0" applyFont="1" applyBorder="1" applyAlignment="1">
      <alignment horizontal="center" vertical="center"/>
    </xf>
    <xf numFmtId="0" fontId="10" fillId="0" borderId="0" xfId="0" applyNumberFormat="1" applyFont="1" applyBorder="1" applyAlignment="1">
      <alignment horizontal="center" vertical="center" readingOrder="1"/>
    </xf>
    <xf numFmtId="0" fontId="10" fillId="0" borderId="0" xfId="0" applyFont="1" applyBorder="1" applyAlignment="1">
      <alignment horizontal="center" vertical="center" readingOrder="1"/>
    </xf>
    <xf numFmtId="0" fontId="10" fillId="0" borderId="7" xfId="0" applyFont="1" applyBorder="1" applyAlignment="1">
      <alignment horizontal="center" vertical="center" readingOrder="1"/>
    </xf>
    <xf numFmtId="0" fontId="10" fillId="0" borderId="7" xfId="0" applyNumberFormat="1" applyFont="1" applyBorder="1" applyAlignment="1">
      <alignment horizontal="center" vertical="center" readingOrder="1"/>
    </xf>
    <xf numFmtId="0" fontId="17" fillId="0" borderId="0" xfId="0" applyFont="1"/>
    <xf numFmtId="0" fontId="17" fillId="0" borderId="12" xfId="0" applyFont="1" applyBorder="1"/>
    <xf numFmtId="0" fontId="10" fillId="0" borderId="6" xfId="0" applyFont="1" applyBorder="1" applyAlignment="1">
      <alignment horizontal="left" vertical="center" readingOrder="1"/>
    </xf>
    <xf numFmtId="0" fontId="18" fillId="0" borderId="11" xfId="0" quotePrefix="1" applyFont="1" applyBorder="1" applyAlignment="1">
      <alignment vertical="center"/>
    </xf>
    <xf numFmtId="0" fontId="19" fillId="0" borderId="0" xfId="0" applyFont="1" applyFill="1" applyBorder="1" applyAlignment="1">
      <alignment vertical="center"/>
    </xf>
    <xf numFmtId="0" fontId="9" fillId="0" borderId="0" xfId="0" applyFont="1" applyFill="1" applyBorder="1" applyAlignment="1">
      <alignment vertical="center"/>
    </xf>
    <xf numFmtId="168" fontId="9" fillId="0" borderId="0" xfId="0" applyNumberFormat="1" applyFont="1" applyFill="1" applyBorder="1" applyAlignment="1">
      <alignment vertical="center"/>
    </xf>
    <xf numFmtId="0" fontId="10" fillId="0" borderId="17" xfId="0" applyFont="1" applyFill="1" applyBorder="1" applyAlignment="1">
      <alignment vertical="center"/>
    </xf>
    <xf numFmtId="0" fontId="20" fillId="0" borderId="0" xfId="0" applyFont="1" applyFill="1" applyBorder="1" applyAlignment="1">
      <alignment vertical="center"/>
    </xf>
    <xf numFmtId="0" fontId="21" fillId="0" borderId="0" xfId="0" applyFont="1" applyFill="1" applyBorder="1" applyAlignment="1">
      <alignment vertical="center"/>
    </xf>
    <xf numFmtId="0" fontId="22" fillId="0" borderId="0" xfId="0" applyFont="1" applyFill="1" applyBorder="1" applyAlignment="1">
      <alignment vertical="center"/>
    </xf>
    <xf numFmtId="0" fontId="3" fillId="0" borderId="1" xfId="0" applyFont="1" applyBorder="1" applyAlignment="1">
      <alignment horizontal="center" vertical="center"/>
    </xf>
    <xf numFmtId="0" fontId="0" fillId="0" borderId="0" xfId="0" applyAlignment="1"/>
    <xf numFmtId="0" fontId="3" fillId="5" borderId="1" xfId="0" quotePrefix="1" applyFont="1" applyFill="1" applyBorder="1" applyAlignment="1">
      <alignment vertical="center"/>
    </xf>
    <xf numFmtId="0" fontId="3" fillId="0" borderId="1" xfId="0" applyFont="1" applyFill="1" applyBorder="1"/>
    <xf numFmtId="0" fontId="10" fillId="0" borderId="7" xfId="0" applyNumberFormat="1" applyFont="1" applyBorder="1" applyAlignment="1">
      <alignment horizontal="center" vertical="center" readingOrder="1"/>
    </xf>
    <xf numFmtId="0" fontId="10" fillId="0" borderId="0" xfId="0" applyNumberFormat="1" applyFont="1" applyBorder="1" applyAlignment="1">
      <alignment horizontal="center" vertical="center" readingOrder="1"/>
    </xf>
    <xf numFmtId="0" fontId="10" fillId="0" borderId="7" xfId="0" applyFont="1" applyBorder="1" applyAlignment="1">
      <alignment horizontal="center" vertical="center" readingOrder="1"/>
    </xf>
    <xf numFmtId="0" fontId="10" fillId="0" borderId="0" xfId="0" applyFont="1" applyBorder="1" applyAlignment="1">
      <alignment horizontal="center" vertical="center" readingOrder="1"/>
    </xf>
    <xf numFmtId="0" fontId="17" fillId="0" borderId="0" xfId="0" applyFont="1" applyBorder="1"/>
    <xf numFmtId="167" fontId="17" fillId="0" borderId="0" xfId="0" applyNumberFormat="1" applyFont="1"/>
    <xf numFmtId="167" fontId="0" fillId="0" borderId="0" xfId="0" applyNumberFormat="1"/>
    <xf numFmtId="0" fontId="3" fillId="0" borderId="1" xfId="0" applyFont="1" applyBorder="1" applyAlignment="1">
      <alignment horizontal="center" vertical="center"/>
    </xf>
    <xf numFmtId="0" fontId="0" fillId="0" borderId="0" xfId="0" quotePrefix="1" applyNumberFormat="1"/>
    <xf numFmtId="49" fontId="0" fillId="0" borderId="0" xfId="0" quotePrefix="1" applyNumberFormat="1"/>
    <xf numFmtId="0" fontId="0" fillId="0" borderId="0" xfId="0" quotePrefix="1"/>
    <xf numFmtId="0" fontId="23" fillId="0" borderId="0" xfId="1"/>
    <xf numFmtId="0" fontId="23" fillId="0" borderId="0" xfId="1" applyAlignment="1">
      <alignment vertical="center"/>
    </xf>
    <xf numFmtId="0" fontId="24" fillId="0" borderId="0" xfId="0" applyFont="1"/>
    <xf numFmtId="0" fontId="23" fillId="0" borderId="0" xfId="1" quotePrefix="1"/>
    <xf numFmtId="0" fontId="1" fillId="0" borderId="0" xfId="2" applyAlignment="1"/>
    <xf numFmtId="0" fontId="6" fillId="0" borderId="0" xfId="0" applyFont="1" applyAlignment="1">
      <alignment horizontal="center"/>
    </xf>
    <xf numFmtId="0" fontId="25" fillId="0" borderId="0" xfId="0" applyFont="1"/>
    <xf numFmtId="0" fontId="3" fillId="0" borderId="1" xfId="0" applyFont="1" applyBorder="1" applyAlignment="1">
      <alignment horizontal="center" vertical="center"/>
    </xf>
    <xf numFmtId="0" fontId="26" fillId="0" borderId="0" xfId="0" applyFont="1"/>
    <xf numFmtId="0" fontId="3" fillId="0" borderId="1" xfId="0" applyFont="1" applyBorder="1" applyAlignment="1">
      <alignment horizontal="center" vertical="center"/>
    </xf>
    <xf numFmtId="0" fontId="3" fillId="0" borderId="0" xfId="0" applyFont="1" applyAlignment="1">
      <alignment horizontal="center"/>
    </xf>
    <xf numFmtId="14" fontId="3" fillId="0" borderId="0" xfId="0" applyNumberFormat="1" applyFont="1"/>
    <xf numFmtId="168" fontId="9" fillId="0" borderId="0" xfId="0" applyNumberFormat="1" applyFont="1" applyAlignment="1">
      <alignment vertical="center"/>
    </xf>
    <xf numFmtId="170" fontId="0" fillId="0" borderId="0" xfId="0" applyNumberFormat="1"/>
    <xf numFmtId="0" fontId="26" fillId="0" borderId="0" xfId="0" applyFont="1" applyAlignment="1">
      <alignment vertical="center"/>
    </xf>
    <xf numFmtId="0" fontId="26" fillId="0" borderId="0" xfId="0" applyNumberFormat="1" applyFont="1" applyAlignment="1">
      <alignment horizontal="center" vertical="center" readingOrder="1"/>
    </xf>
    <xf numFmtId="0" fontId="28" fillId="0" borderId="0" xfId="0" applyFont="1"/>
    <xf numFmtId="0" fontId="26" fillId="0" borderId="1" xfId="0" applyFont="1" applyBorder="1" applyAlignment="1">
      <alignment vertical="center"/>
    </xf>
    <xf numFmtId="0" fontId="26" fillId="0" borderId="1" xfId="0" applyFont="1" applyBorder="1"/>
    <xf numFmtId="0" fontId="26" fillId="0" borderId="1" xfId="0" applyFont="1" applyFill="1" applyBorder="1"/>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0" fillId="0" borderId="9" xfId="0" applyFont="1" applyBorder="1" applyAlignment="1">
      <alignment horizontal="center" vertical="center" readingOrder="1"/>
    </xf>
    <xf numFmtId="0" fontId="10" fillId="0" borderId="11" xfId="0" applyFont="1" applyBorder="1" applyAlignment="1">
      <alignment horizontal="center" vertical="center" readingOrder="1"/>
    </xf>
    <xf numFmtId="0" fontId="10" fillId="0" borderId="6" xfId="0" applyFont="1" applyBorder="1" applyAlignment="1">
      <alignment horizontal="center" vertical="center" readingOrder="1"/>
    </xf>
    <xf numFmtId="0" fontId="10" fillId="0" borderId="7" xfId="0" applyNumberFormat="1" applyFont="1" applyBorder="1" applyAlignment="1">
      <alignment horizontal="center" vertical="center" readingOrder="1"/>
    </xf>
    <xf numFmtId="0" fontId="10" fillId="0" borderId="0" xfId="0" applyNumberFormat="1" applyFont="1" applyBorder="1" applyAlignment="1">
      <alignment horizontal="center" vertical="center" readingOrder="1"/>
    </xf>
    <xf numFmtId="0" fontId="10" fillId="0" borderId="7" xfId="0" applyFont="1" applyBorder="1" applyAlignment="1">
      <alignment horizontal="center" vertical="center" readingOrder="1"/>
    </xf>
    <xf numFmtId="0" fontId="10" fillId="0" borderId="0" xfId="0" applyFont="1" applyBorder="1" applyAlignment="1">
      <alignment horizontal="center" vertical="center" readingOrder="1"/>
    </xf>
    <xf numFmtId="0" fontId="13" fillId="0" borderId="9" xfId="0" applyFont="1" applyBorder="1" applyAlignment="1">
      <alignment horizontal="center" vertical="center"/>
    </xf>
    <xf numFmtId="0" fontId="10" fillId="0" borderId="17" xfId="0" applyFont="1" applyFill="1" applyBorder="1" applyAlignment="1">
      <alignment horizontal="left" vertical="center"/>
    </xf>
    <xf numFmtId="0" fontId="10" fillId="0" borderId="0" xfId="0" applyFont="1" applyFill="1" applyBorder="1" applyAlignment="1">
      <alignment horizontal="left" vertical="center"/>
    </xf>
    <xf numFmtId="0" fontId="10" fillId="0" borderId="18" xfId="0" applyFont="1" applyFill="1" applyBorder="1" applyAlignment="1">
      <alignment horizontal="left" vertical="center"/>
    </xf>
    <xf numFmtId="0" fontId="10" fillId="0" borderId="19" xfId="0" applyFont="1" applyFill="1" applyBorder="1" applyAlignment="1">
      <alignment horizontal="left" vertical="center"/>
    </xf>
    <xf numFmtId="0" fontId="10" fillId="0" borderId="20" xfId="0" applyFont="1" applyFill="1" applyBorder="1" applyAlignment="1">
      <alignment horizontal="left" vertical="center"/>
    </xf>
    <xf numFmtId="0" fontId="10" fillId="0" borderId="21" xfId="0" applyFont="1" applyFill="1" applyBorder="1" applyAlignment="1">
      <alignment horizontal="left" vertical="center"/>
    </xf>
    <xf numFmtId="0" fontId="10" fillId="0" borderId="14" xfId="0" applyFont="1" applyFill="1" applyBorder="1" applyAlignment="1">
      <alignment horizontal="left" vertical="center"/>
    </xf>
    <xf numFmtId="0" fontId="10" fillId="0" borderId="15" xfId="0" applyFont="1" applyFill="1" applyBorder="1" applyAlignment="1">
      <alignment horizontal="left" vertical="center"/>
    </xf>
    <xf numFmtId="0" fontId="10" fillId="0" borderId="16" xfId="0" applyFont="1" applyFill="1" applyBorder="1" applyAlignment="1">
      <alignment horizontal="left" vertical="center"/>
    </xf>
    <xf numFmtId="0" fontId="3" fillId="0" borderId="0" xfId="0" applyFont="1" applyAlignment="1">
      <alignment horizontal="center"/>
    </xf>
  </cellXfs>
  <cellStyles count="3">
    <cellStyle name="Normal" xfId="0" builtinId="0"/>
    <cellStyle name="標準 2" xfId="1" xr:uid="{00000000-0005-0000-0000-000001000000}"/>
    <cellStyle name="標準 3" xfId="2" xr:uid="{00000000-0005-0000-0000-000002000000}"/>
  </cellStyles>
  <dxfs count="3">
    <dxf>
      <font>
        <b val="0"/>
        <i val="0"/>
        <strike val="0"/>
        <condense val="0"/>
        <extend val="0"/>
        <outline val="0"/>
        <shadow val="0"/>
        <u val="none"/>
        <vertAlign val="baseline"/>
        <sz val="16"/>
        <color theme="1"/>
        <name val="Arial Unicode MS"/>
        <scheme val="none"/>
      </font>
    </dxf>
    <dxf>
      <font>
        <b val="0"/>
        <i val="0"/>
        <strike val="0"/>
        <condense val="0"/>
        <extend val="0"/>
        <outline val="0"/>
        <shadow val="0"/>
        <u val="none"/>
        <vertAlign val="baseline"/>
        <sz val="16"/>
        <color theme="1"/>
        <name val="Arial Unicode MS"/>
        <scheme val="none"/>
      </font>
    </dxf>
    <dxf>
      <font>
        <b val="0"/>
        <i val="0"/>
        <strike val="0"/>
        <condense val="0"/>
        <extend val="0"/>
        <outline val="0"/>
        <shadow val="0"/>
        <u val="none"/>
        <vertAlign val="baseline"/>
        <sz val="16"/>
        <color theme="1"/>
        <name val="Arial Unicode MS"/>
        <scheme val="none"/>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'105'!$K$9</c:f>
              <c:strCache>
                <c:ptCount val="1"/>
                <c:pt idx="0">
                  <c:v>CMM</c:v>
                </c:pt>
              </c:strCache>
            </c:strRef>
          </c:tx>
          <c:marker>
            <c:symbol val="none"/>
          </c:marker>
          <c:cat>
            <c:numRef>
              <c:f>'105'!$J$11:$J$26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'105'!$K$11:$K$26</c:f>
              <c:numCache>
                <c:formatCode>General</c:formatCode>
                <c:ptCount val="16"/>
                <c:pt idx="0">
                  <c:v>356.15899999999999</c:v>
                </c:pt>
                <c:pt idx="1">
                  <c:v>356.17500001263426</c:v>
                </c:pt>
                <c:pt idx="2">
                  <c:v>356.26500000140345</c:v>
                </c:pt>
                <c:pt idx="3">
                  <c:v>356.35600000140306</c:v>
                </c:pt>
                <c:pt idx="4">
                  <c:v>356.375</c:v>
                </c:pt>
                <c:pt idx="5">
                  <c:v>356.34199999999998</c:v>
                </c:pt>
                <c:pt idx="6">
                  <c:v>356.27800000561359</c:v>
                </c:pt>
                <c:pt idx="7">
                  <c:v>356.24</c:v>
                </c:pt>
                <c:pt idx="8">
                  <c:v>356.24900000000002</c:v>
                </c:pt>
                <c:pt idx="9">
                  <c:v>356.298</c:v>
                </c:pt>
                <c:pt idx="10">
                  <c:v>356.32100000140326</c:v>
                </c:pt>
                <c:pt idx="11">
                  <c:v>356.30600000561316</c:v>
                </c:pt>
                <c:pt idx="12">
                  <c:v>356.30500000000001</c:v>
                </c:pt>
                <c:pt idx="13">
                  <c:v>356.32799999999997</c:v>
                </c:pt>
                <c:pt idx="14">
                  <c:v>356.31</c:v>
                </c:pt>
                <c:pt idx="15">
                  <c:v>356.23500000140359</c:v>
                </c:pt>
              </c:numCache>
            </c:numRef>
          </c:val>
          <c:extLst>
            <c:ext xmlns:c16="http://schemas.microsoft.com/office/drawing/2014/chart" uri="{C3380CC4-5D6E-409C-BE32-E72D297353CC}">
              <c16:uniqueId val="{00000000-D290-4293-BA08-22B4DD90CA15}"/>
            </c:ext>
          </c:extLst>
        </c:ser>
        <c:ser>
          <c:idx val="1"/>
          <c:order val="1"/>
          <c:tx>
            <c:strRef>
              <c:f>'105'!$L$9</c:f>
              <c:strCache>
                <c:ptCount val="1"/>
                <c:pt idx="0">
                  <c:v>Dwg Min</c:v>
                </c:pt>
              </c:strCache>
            </c:strRef>
          </c:tx>
          <c:spPr>
            <a:ln w="28575">
              <a:prstDash val="dash"/>
            </a:ln>
          </c:spPr>
          <c:marker>
            <c:symbol val="none"/>
          </c:marker>
          <c:cat>
            <c:numRef>
              <c:f>'105'!$J$11:$J$26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'105'!$L$11:$L$26</c:f>
              <c:numCache>
                <c:formatCode>General</c:formatCode>
                <c:ptCount val="16"/>
                <c:pt idx="0">
                  <c:v>356.25000000000006</c:v>
                </c:pt>
                <c:pt idx="1">
                  <c:v>356.25000000000006</c:v>
                </c:pt>
                <c:pt idx="2">
                  <c:v>356.25000000000006</c:v>
                </c:pt>
                <c:pt idx="3">
                  <c:v>356.25000000000006</c:v>
                </c:pt>
                <c:pt idx="4">
                  <c:v>356.25000000000006</c:v>
                </c:pt>
                <c:pt idx="5">
                  <c:v>356.25000000000006</c:v>
                </c:pt>
                <c:pt idx="6">
                  <c:v>356.25000000000006</c:v>
                </c:pt>
                <c:pt idx="7">
                  <c:v>356.25000000000006</c:v>
                </c:pt>
                <c:pt idx="8">
                  <c:v>356.25000000000006</c:v>
                </c:pt>
                <c:pt idx="9">
                  <c:v>356.25000000000006</c:v>
                </c:pt>
                <c:pt idx="10">
                  <c:v>356.25000000000006</c:v>
                </c:pt>
                <c:pt idx="11">
                  <c:v>356.25000000000006</c:v>
                </c:pt>
                <c:pt idx="12">
                  <c:v>356.25000000000006</c:v>
                </c:pt>
                <c:pt idx="13">
                  <c:v>356.25000000000006</c:v>
                </c:pt>
                <c:pt idx="14">
                  <c:v>356.25000000000006</c:v>
                </c:pt>
                <c:pt idx="15">
                  <c:v>356.25000000000006</c:v>
                </c:pt>
              </c:numCache>
            </c:numRef>
          </c:val>
          <c:extLst>
            <c:ext xmlns:c16="http://schemas.microsoft.com/office/drawing/2014/chart" uri="{C3380CC4-5D6E-409C-BE32-E72D297353CC}">
              <c16:uniqueId val="{00000001-D290-4293-BA08-22B4DD90CA15}"/>
            </c:ext>
          </c:extLst>
        </c:ser>
        <c:ser>
          <c:idx val="2"/>
          <c:order val="2"/>
          <c:tx>
            <c:strRef>
              <c:f>'105'!$M$9</c:f>
              <c:strCache>
                <c:ptCount val="1"/>
                <c:pt idx="0">
                  <c:v>Dwg Max</c:v>
                </c:pt>
              </c:strCache>
            </c:strRef>
          </c:tx>
          <c:spPr>
            <a:ln w="28575">
              <a:prstDash val="dash"/>
            </a:ln>
          </c:spPr>
          <c:marker>
            <c:symbol val="none"/>
          </c:marker>
          <c:cat>
            <c:numRef>
              <c:f>'105'!$J$11:$J$26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'105'!$M$11:$M$26</c:f>
              <c:numCache>
                <c:formatCode>General</c:formatCode>
                <c:ptCount val="16"/>
                <c:pt idx="0">
                  <c:v>356.34999999999997</c:v>
                </c:pt>
                <c:pt idx="1">
                  <c:v>356.34999999999997</c:v>
                </c:pt>
                <c:pt idx="2">
                  <c:v>356.34999999999997</c:v>
                </c:pt>
                <c:pt idx="3">
                  <c:v>356.34999999999997</c:v>
                </c:pt>
                <c:pt idx="4">
                  <c:v>356.34999999999997</c:v>
                </c:pt>
                <c:pt idx="5">
                  <c:v>356.34999999999997</c:v>
                </c:pt>
                <c:pt idx="6">
                  <c:v>356.34999999999997</c:v>
                </c:pt>
                <c:pt idx="7">
                  <c:v>356.34999999999997</c:v>
                </c:pt>
                <c:pt idx="8">
                  <c:v>356.34999999999997</c:v>
                </c:pt>
                <c:pt idx="9">
                  <c:v>356.34999999999997</c:v>
                </c:pt>
                <c:pt idx="10">
                  <c:v>356.34999999999997</c:v>
                </c:pt>
                <c:pt idx="11">
                  <c:v>356.34999999999997</c:v>
                </c:pt>
                <c:pt idx="12">
                  <c:v>356.34999999999997</c:v>
                </c:pt>
                <c:pt idx="13">
                  <c:v>356.34999999999997</c:v>
                </c:pt>
                <c:pt idx="14">
                  <c:v>356.34999999999997</c:v>
                </c:pt>
                <c:pt idx="15">
                  <c:v>356.34999999999997</c:v>
                </c:pt>
              </c:numCache>
            </c:numRef>
          </c:val>
          <c:extLst>
            <c:ext xmlns:c16="http://schemas.microsoft.com/office/drawing/2014/chart" uri="{C3380CC4-5D6E-409C-BE32-E72D297353CC}">
              <c16:uniqueId val="{00000002-D290-4293-BA08-22B4DD90CA15}"/>
            </c:ext>
          </c:extLst>
        </c:ser>
        <c:dLbls>
          <c:showLegendKey val="0"/>
          <c:showVal val="0"/>
          <c:showCatName val="0"/>
          <c:showSerName val="0"/>
          <c:showPercent val="0"/>
          <c:showBubbleSize val="0"/>
        </c:dLbls>
        <c:axId val="164545024"/>
        <c:axId val="162948800"/>
      </c:radarChart>
      <c:catAx>
        <c:axId val="16454502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62948800"/>
        <c:crosses val="autoZero"/>
        <c:auto val="1"/>
        <c:lblAlgn val="ctr"/>
        <c:lblOffset val="100"/>
        <c:noMultiLvlLbl val="0"/>
      </c:catAx>
      <c:valAx>
        <c:axId val="162948800"/>
        <c:scaling>
          <c:orientation val="minMax"/>
          <c:max val="356.4"/>
        </c:scaling>
        <c:delete val="0"/>
        <c:axPos val="l"/>
        <c:majorGridlines/>
        <c:numFmt formatCode="General" sourceLinked="1"/>
        <c:majorTickMark val="cross"/>
        <c:minorTickMark val="none"/>
        <c:tickLblPos val="nextTo"/>
        <c:txPr>
          <a:bodyPr/>
          <a:lstStyle/>
          <a:p>
            <a:pPr>
              <a:defRPr lang="ja-JP"/>
            </a:pPr>
            <a:endParaRPr lang="en-US"/>
          </a:p>
        </c:txPr>
        <c:crossAx val="164545024"/>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'105'!$AK$34</c:f>
              <c:strCache>
                <c:ptCount val="1"/>
                <c:pt idx="0">
                  <c:v>LPT Case Hook R Min</c:v>
                </c:pt>
              </c:strCache>
            </c:strRef>
          </c:tx>
          <c:spPr>
            <a:ln w="28575">
              <a:prstDash val="dash"/>
            </a:ln>
          </c:spPr>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'105'!$AK$36:$AK$53</c:f>
              <c:numCache>
                <c:formatCode>General</c:formatCode>
                <c:ptCount val="18"/>
                <c:pt idx="0">
                  <c:v>356.25000000000006</c:v>
                </c:pt>
                <c:pt idx="1">
                  <c:v>356.25000000000006</c:v>
                </c:pt>
                <c:pt idx="2">
                  <c:v>356.25000000000006</c:v>
                </c:pt>
                <c:pt idx="3">
                  <c:v>356.25000000000006</c:v>
                </c:pt>
                <c:pt idx="4">
                  <c:v>356.25000000000006</c:v>
                </c:pt>
                <c:pt idx="5">
                  <c:v>356.25000000000006</c:v>
                </c:pt>
                <c:pt idx="6">
                  <c:v>356.25000000000006</c:v>
                </c:pt>
                <c:pt idx="7">
                  <c:v>356.25000000000006</c:v>
                </c:pt>
                <c:pt idx="8">
                  <c:v>356.25000000000006</c:v>
                </c:pt>
                <c:pt idx="9">
                  <c:v>356.25000000000006</c:v>
                </c:pt>
                <c:pt idx="10">
                  <c:v>356.25000000000006</c:v>
                </c:pt>
                <c:pt idx="11">
                  <c:v>356.25000000000006</c:v>
                </c:pt>
                <c:pt idx="12">
                  <c:v>356.25000000000006</c:v>
                </c:pt>
                <c:pt idx="13">
                  <c:v>356.25000000000006</c:v>
                </c:pt>
                <c:pt idx="14">
                  <c:v>356.25000000000006</c:v>
                </c:pt>
                <c:pt idx="15">
                  <c:v>356.25000000000006</c:v>
                </c:pt>
                <c:pt idx="16">
                  <c:v>356.25000000000006</c:v>
                </c:pt>
                <c:pt idx="17">
                  <c:v>356.25000000000006</c:v>
                </c:pt>
              </c:numCache>
            </c:numRef>
          </c:val>
          <c:extLst>
            <c:ext xmlns:c16="http://schemas.microsoft.com/office/drawing/2014/chart" uri="{C3380CC4-5D6E-409C-BE32-E72D297353CC}">
              <c16:uniqueId val="{00000000-7139-4925-BF65-5E1DF0B2DE55}"/>
            </c:ext>
          </c:extLst>
        </c:ser>
        <c:ser>
          <c:idx val="1"/>
          <c:order val="1"/>
          <c:tx>
            <c:strRef>
              <c:f>'105'!$AL$34</c:f>
              <c:strCache>
                <c:ptCount val="1"/>
                <c:pt idx="0">
                  <c:v>LPT Case Hook R Max</c:v>
                </c:pt>
              </c:strCache>
            </c:strRef>
          </c:tx>
          <c:spPr>
            <a:ln w="28575">
              <a:prstDash val="dash"/>
            </a:ln>
          </c:spPr>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'105'!$AL$36:$AL$53</c:f>
              <c:numCache>
                <c:formatCode>General</c:formatCode>
                <c:ptCount val="18"/>
                <c:pt idx="0">
                  <c:v>356.34999999999997</c:v>
                </c:pt>
                <c:pt idx="1">
                  <c:v>356.34999999999997</c:v>
                </c:pt>
                <c:pt idx="2">
                  <c:v>356.34999999999997</c:v>
                </c:pt>
                <c:pt idx="3">
                  <c:v>356.34999999999997</c:v>
                </c:pt>
                <c:pt idx="4">
                  <c:v>356.34999999999997</c:v>
                </c:pt>
                <c:pt idx="5">
                  <c:v>356.34999999999997</c:v>
                </c:pt>
                <c:pt idx="6">
                  <c:v>356.34999999999997</c:v>
                </c:pt>
                <c:pt idx="7">
                  <c:v>356.34999999999997</c:v>
                </c:pt>
                <c:pt idx="8">
                  <c:v>356.34999999999997</c:v>
                </c:pt>
                <c:pt idx="9">
                  <c:v>356.34999999999997</c:v>
                </c:pt>
                <c:pt idx="10">
                  <c:v>356.34999999999997</c:v>
                </c:pt>
                <c:pt idx="11">
                  <c:v>356.34999999999997</c:v>
                </c:pt>
                <c:pt idx="12">
                  <c:v>356.34999999999997</c:v>
                </c:pt>
                <c:pt idx="13">
                  <c:v>356.34999999999997</c:v>
                </c:pt>
                <c:pt idx="14">
                  <c:v>356.34999999999997</c:v>
                </c:pt>
                <c:pt idx="15">
                  <c:v>356.34999999999997</c:v>
                </c:pt>
                <c:pt idx="16">
                  <c:v>356.34999999999997</c:v>
                </c:pt>
                <c:pt idx="17">
                  <c:v>356.34999999999997</c:v>
                </c:pt>
              </c:numCache>
            </c:numRef>
          </c:val>
          <c:extLst>
            <c:ext xmlns:c16="http://schemas.microsoft.com/office/drawing/2014/chart" uri="{C3380CC4-5D6E-409C-BE32-E72D297353CC}">
              <c16:uniqueId val="{00000001-7139-4925-BF65-5E1DF0B2DE55}"/>
            </c:ext>
          </c:extLst>
        </c:ser>
        <c:ser>
          <c:idx val="2"/>
          <c:order val="2"/>
          <c:tx>
            <c:strRef>
              <c:f>'105'!$S$34</c:f>
              <c:strCache>
                <c:ptCount val="1"/>
                <c:pt idx="0">
                  <c:v>Stg.1 Shroud Fwd#1</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'105'!$S$36:$S$53</c:f>
              <c:numCache>
                <c:formatCode>0.000</c:formatCode>
                <c:ptCount val="18"/>
                <c:pt idx="0">
                  <c:v>356.19615555624176</c:v>
                </c:pt>
                <c:pt idx="1">
                  <c:v>356.19615555624176</c:v>
                </c:pt>
              </c:numCache>
            </c:numRef>
          </c:val>
          <c:extLst>
            <c:ext xmlns:c16="http://schemas.microsoft.com/office/drawing/2014/chart" uri="{C3380CC4-5D6E-409C-BE32-E72D297353CC}">
              <c16:uniqueId val="{00000002-7139-4925-BF65-5E1DF0B2DE55}"/>
            </c:ext>
          </c:extLst>
        </c:ser>
        <c:ser>
          <c:idx val="3"/>
          <c:order val="3"/>
          <c:tx>
            <c:strRef>
              <c:f>'105'!$T$34</c:f>
              <c:strCache>
                <c:ptCount val="1"/>
                <c:pt idx="0">
                  <c:v>Stg.1 Shroud Fwd#18</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'105'!$T$36:$T$53</c:f>
              <c:numCache>
                <c:formatCode>0.000</c:formatCode>
                <c:ptCount val="18"/>
                <c:pt idx="1">
                  <c:v>356.16744444981009</c:v>
                </c:pt>
                <c:pt idx="2">
                  <c:v>356.16744444981009</c:v>
                </c:pt>
              </c:numCache>
            </c:numRef>
          </c:val>
          <c:extLst>
            <c:ext xmlns:c16="http://schemas.microsoft.com/office/drawing/2014/chart" uri="{C3380CC4-5D6E-409C-BE32-E72D297353CC}">
              <c16:uniqueId val="{00000003-7139-4925-BF65-5E1DF0B2DE55}"/>
            </c:ext>
          </c:extLst>
        </c:ser>
        <c:ser>
          <c:idx val="4"/>
          <c:order val="4"/>
          <c:tx>
            <c:strRef>
              <c:f>'105'!$U$34</c:f>
              <c:strCache>
                <c:ptCount val="1"/>
                <c:pt idx="0">
                  <c:v>Stg.1 Shroud Fwd#17</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'105'!$U$36:$U$53</c:f>
              <c:numCache>
                <c:formatCode>General</c:formatCode>
                <c:ptCount val="18"/>
                <c:pt idx="2" formatCode="0.000">
                  <c:v>356.20675556308919</c:v>
                </c:pt>
                <c:pt idx="3" formatCode="0.000">
                  <c:v>356.20675556308919</c:v>
                </c:pt>
              </c:numCache>
            </c:numRef>
          </c:val>
          <c:extLst>
            <c:ext xmlns:c16="http://schemas.microsoft.com/office/drawing/2014/chart" uri="{C3380CC4-5D6E-409C-BE32-E72D297353CC}">
              <c16:uniqueId val="{00000004-7139-4925-BF65-5E1DF0B2DE55}"/>
            </c:ext>
          </c:extLst>
        </c:ser>
        <c:ser>
          <c:idx val="5"/>
          <c:order val="5"/>
          <c:tx>
            <c:strRef>
              <c:f>'105'!$V$34</c:f>
              <c:strCache>
                <c:ptCount val="1"/>
                <c:pt idx="0">
                  <c:v>Stg.1 Shroud Fwd#16</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'105'!$V$36:$V$53</c:f>
              <c:numCache>
                <c:formatCode>General</c:formatCode>
                <c:ptCount val="18"/>
                <c:pt idx="3" formatCode="0.000">
                  <c:v>356.28131111401188</c:v>
                </c:pt>
                <c:pt idx="4" formatCode="0.000">
                  <c:v>356.28131111401188</c:v>
                </c:pt>
              </c:numCache>
            </c:numRef>
          </c:val>
          <c:extLst>
            <c:ext xmlns:c16="http://schemas.microsoft.com/office/drawing/2014/chart" uri="{C3380CC4-5D6E-409C-BE32-E72D297353CC}">
              <c16:uniqueId val="{00000005-7139-4925-BF65-5E1DF0B2DE55}"/>
            </c:ext>
          </c:extLst>
        </c:ser>
        <c:ser>
          <c:idx val="6"/>
          <c:order val="6"/>
          <c:tx>
            <c:strRef>
              <c:f>'105'!$W$34</c:f>
              <c:strCache>
                <c:ptCount val="1"/>
                <c:pt idx="0">
                  <c:v>Stg.1 Shroud Fwd#15</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'105'!$W$36:$W$53</c:f>
              <c:numCache>
                <c:formatCode>General</c:formatCode>
                <c:ptCount val="18"/>
                <c:pt idx="4" formatCode="0.000">
                  <c:v>356.3436666677112</c:v>
                </c:pt>
                <c:pt idx="5" formatCode="0.000">
                  <c:v>356.3436666677112</c:v>
                </c:pt>
              </c:numCache>
            </c:numRef>
          </c:val>
          <c:extLst>
            <c:ext xmlns:c16="http://schemas.microsoft.com/office/drawing/2014/chart" uri="{C3380CC4-5D6E-409C-BE32-E72D297353CC}">
              <c16:uniqueId val="{00000006-7139-4925-BF65-5E1DF0B2DE55}"/>
            </c:ext>
          </c:extLst>
        </c:ser>
        <c:ser>
          <c:idx val="7"/>
          <c:order val="7"/>
          <c:tx>
            <c:strRef>
              <c:f>'105'!$X$34</c:f>
              <c:strCache>
                <c:ptCount val="1"/>
                <c:pt idx="0">
                  <c:v>Stg.1 Shroud Fwd#14</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'105'!$X$36:$X$53</c:f>
              <c:numCache>
                <c:formatCode>General</c:formatCode>
                <c:ptCount val="18"/>
                <c:pt idx="5" formatCode="0.000">
                  <c:v>356.36375555589854</c:v>
                </c:pt>
                <c:pt idx="6" formatCode="0.000">
                  <c:v>356.36375555589854</c:v>
                </c:pt>
              </c:numCache>
            </c:numRef>
          </c:val>
          <c:extLst>
            <c:ext xmlns:c16="http://schemas.microsoft.com/office/drawing/2014/chart" uri="{C3380CC4-5D6E-409C-BE32-E72D297353CC}">
              <c16:uniqueId val="{00000007-7139-4925-BF65-5E1DF0B2DE55}"/>
            </c:ext>
          </c:extLst>
        </c:ser>
        <c:ser>
          <c:idx val="8"/>
          <c:order val="8"/>
          <c:tx>
            <c:strRef>
              <c:f>'105'!$Y$34</c:f>
              <c:strCache>
                <c:ptCount val="1"/>
                <c:pt idx="0">
                  <c:v>Stg.1 Shroud Fwd#13</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'105'!$Y$36:$Y$53</c:f>
              <c:numCache>
                <c:formatCode>General</c:formatCode>
                <c:ptCount val="18"/>
                <c:pt idx="6" formatCode="0.000">
                  <c:v>356.34265555636642</c:v>
                </c:pt>
                <c:pt idx="7" formatCode="0.000">
                  <c:v>356.34265555636642</c:v>
                </c:pt>
              </c:numCache>
            </c:numRef>
          </c:val>
          <c:extLst>
            <c:ext xmlns:c16="http://schemas.microsoft.com/office/drawing/2014/chart" uri="{C3380CC4-5D6E-409C-BE32-E72D297353CC}">
              <c16:uniqueId val="{00000008-7139-4925-BF65-5E1DF0B2DE55}"/>
            </c:ext>
          </c:extLst>
        </c:ser>
        <c:ser>
          <c:idx val="9"/>
          <c:order val="9"/>
          <c:tx>
            <c:strRef>
              <c:f>'105'!$Z$34</c:f>
              <c:strCache>
                <c:ptCount val="1"/>
                <c:pt idx="0">
                  <c:v>Stg.1 Shroud Fwd#12</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'105'!$Z$36:$Z$53</c:f>
              <c:numCache>
                <c:formatCode>General</c:formatCode>
                <c:ptCount val="18"/>
                <c:pt idx="7" formatCode="0.000">
                  <c:v>356.29737778089645</c:v>
                </c:pt>
                <c:pt idx="8" formatCode="0.000">
                  <c:v>356.29737778089645</c:v>
                </c:pt>
              </c:numCache>
            </c:numRef>
          </c:val>
          <c:extLst>
            <c:ext xmlns:c16="http://schemas.microsoft.com/office/drawing/2014/chart" uri="{C3380CC4-5D6E-409C-BE32-E72D297353CC}">
              <c16:uniqueId val="{00000009-7139-4925-BF65-5E1DF0B2DE55}"/>
            </c:ext>
          </c:extLst>
        </c:ser>
        <c:ser>
          <c:idx val="10"/>
          <c:order val="10"/>
          <c:tx>
            <c:strRef>
              <c:f>'105'!$AA$34</c:f>
              <c:strCache>
                <c:ptCount val="1"/>
                <c:pt idx="0">
                  <c:v>Stg.1 Shroud Fwd#11</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'105'!$AA$36:$AA$53</c:f>
              <c:numCache>
                <c:formatCode>General</c:formatCode>
                <c:ptCount val="18"/>
                <c:pt idx="8" formatCode="0.000">
                  <c:v>356.25592222453008</c:v>
                </c:pt>
                <c:pt idx="9" formatCode="0.000">
                  <c:v>356.25592222453008</c:v>
                </c:pt>
              </c:numCache>
            </c:numRef>
          </c:val>
          <c:extLst>
            <c:ext xmlns:c16="http://schemas.microsoft.com/office/drawing/2014/chart" uri="{C3380CC4-5D6E-409C-BE32-E72D297353CC}">
              <c16:uniqueId val="{0000000A-7139-4925-BF65-5E1DF0B2DE55}"/>
            </c:ext>
          </c:extLst>
        </c:ser>
        <c:ser>
          <c:idx val="11"/>
          <c:order val="11"/>
          <c:tx>
            <c:strRef>
              <c:f>'105'!$AB$34</c:f>
              <c:strCache>
                <c:ptCount val="1"/>
                <c:pt idx="0">
                  <c:v>Stg.1 Shroud Fwd#10</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'105'!$AB$36:$AB$53</c:f>
              <c:numCache>
                <c:formatCode>General</c:formatCode>
                <c:ptCount val="18"/>
                <c:pt idx="9" formatCode="0.000">
                  <c:v>356.24459999999999</c:v>
                </c:pt>
                <c:pt idx="10" formatCode="0.000">
                  <c:v>356.24459999999999</c:v>
                </c:pt>
              </c:numCache>
            </c:numRef>
          </c:val>
          <c:extLst>
            <c:ext xmlns:c16="http://schemas.microsoft.com/office/drawing/2014/chart" uri="{C3380CC4-5D6E-409C-BE32-E72D297353CC}">
              <c16:uniqueId val="{0000000B-7139-4925-BF65-5E1DF0B2DE55}"/>
            </c:ext>
          </c:extLst>
        </c:ser>
        <c:ser>
          <c:idx val="12"/>
          <c:order val="12"/>
          <c:tx>
            <c:strRef>
              <c:f>'105'!$AC$34</c:f>
              <c:strCache>
                <c:ptCount val="1"/>
                <c:pt idx="0">
                  <c:v>Stg.1 Shroud Fwd#9</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'105'!$AC$36:$AC$53</c:f>
              <c:numCache>
                <c:formatCode>General</c:formatCode>
                <c:ptCount val="18"/>
                <c:pt idx="10" formatCode="0.000">
                  <c:v>356.26948888888887</c:v>
                </c:pt>
                <c:pt idx="11" formatCode="0.000">
                  <c:v>356.26948888888887</c:v>
                </c:pt>
              </c:numCache>
            </c:numRef>
          </c:val>
          <c:extLst>
            <c:ext xmlns:c16="http://schemas.microsoft.com/office/drawing/2014/chart" uri="{C3380CC4-5D6E-409C-BE32-E72D297353CC}">
              <c16:uniqueId val="{0000000C-7139-4925-BF65-5E1DF0B2DE55}"/>
            </c:ext>
          </c:extLst>
        </c:ser>
        <c:ser>
          <c:idx val="13"/>
          <c:order val="13"/>
          <c:tx>
            <c:strRef>
              <c:f>'105'!$AD$34</c:f>
              <c:strCache>
                <c:ptCount val="1"/>
                <c:pt idx="0">
                  <c:v>Stg.1 Shroud Fwd#8</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'105'!$AD$36:$AD$53</c:f>
              <c:numCache>
                <c:formatCode>General</c:formatCode>
                <c:ptCount val="18"/>
                <c:pt idx="11" formatCode="0.000">
                  <c:v>356.30262222273677</c:v>
                </c:pt>
                <c:pt idx="12" formatCode="0.000">
                  <c:v>356.30262222273677</c:v>
                </c:pt>
              </c:numCache>
            </c:numRef>
          </c:val>
          <c:extLst>
            <c:ext xmlns:c16="http://schemas.microsoft.com/office/drawing/2014/chart" uri="{C3380CC4-5D6E-409C-BE32-E72D297353CC}">
              <c16:uniqueId val="{0000000D-7139-4925-BF65-5E1DF0B2DE55}"/>
            </c:ext>
          </c:extLst>
        </c:ser>
        <c:ser>
          <c:idx val="14"/>
          <c:order val="14"/>
          <c:tx>
            <c:strRef>
              <c:f>'105'!$AE$34</c:f>
              <c:strCache>
                <c:ptCount val="1"/>
                <c:pt idx="0">
                  <c:v>Stg.1 Shroud Fwd#7</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'105'!$AE$36:$AE$53</c:f>
              <c:numCache>
                <c:formatCode>General</c:formatCode>
                <c:ptCount val="18"/>
                <c:pt idx="12" formatCode="0.000">
                  <c:v>356.31326666919256</c:v>
                </c:pt>
                <c:pt idx="13" formatCode="0.000">
                  <c:v>356.31326666919256</c:v>
                </c:pt>
              </c:numCache>
            </c:numRef>
          </c:val>
          <c:extLst>
            <c:ext xmlns:c16="http://schemas.microsoft.com/office/drawing/2014/chart" uri="{C3380CC4-5D6E-409C-BE32-E72D297353CC}">
              <c16:uniqueId val="{0000000E-7139-4925-BF65-5E1DF0B2DE55}"/>
            </c:ext>
          </c:extLst>
        </c:ser>
        <c:ser>
          <c:idx val="15"/>
          <c:order val="15"/>
          <c:tx>
            <c:strRef>
              <c:f>'105'!$AF$34</c:f>
              <c:strCache>
                <c:ptCount val="1"/>
                <c:pt idx="0">
                  <c:v>Stg.1 Shroud Fwd#6</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'105'!$AF$36:$AF$53</c:f>
              <c:numCache>
                <c:formatCode>General</c:formatCode>
                <c:ptCount val="18"/>
                <c:pt idx="13" formatCode="0.000">
                  <c:v>356.30857778116126</c:v>
                </c:pt>
                <c:pt idx="14" formatCode="0.000">
                  <c:v>356.30857778116126</c:v>
                </c:pt>
              </c:numCache>
            </c:numRef>
          </c:val>
          <c:extLst>
            <c:ext xmlns:c16="http://schemas.microsoft.com/office/drawing/2014/chart" uri="{C3380CC4-5D6E-409C-BE32-E72D297353CC}">
              <c16:uniqueId val="{0000000F-7139-4925-BF65-5E1DF0B2DE55}"/>
            </c:ext>
          </c:extLst>
        </c:ser>
        <c:ser>
          <c:idx val="16"/>
          <c:order val="16"/>
          <c:tx>
            <c:strRef>
              <c:f>'105'!$AG$34</c:f>
              <c:strCache>
                <c:ptCount val="1"/>
                <c:pt idx="0">
                  <c:v>Stg.1 Shroud Fwd#5</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'105'!$AG$36:$AG$53</c:f>
              <c:numCache>
                <c:formatCode>General</c:formatCode>
                <c:ptCount val="18"/>
                <c:pt idx="14" formatCode="0.000">
                  <c:v>356.30984444581657</c:v>
                </c:pt>
                <c:pt idx="15" formatCode="0.000">
                  <c:v>356.30984444581657</c:v>
                </c:pt>
              </c:numCache>
            </c:numRef>
          </c:val>
          <c:extLst>
            <c:ext xmlns:c16="http://schemas.microsoft.com/office/drawing/2014/chart" uri="{C3380CC4-5D6E-409C-BE32-E72D297353CC}">
              <c16:uniqueId val="{00000010-7139-4925-BF65-5E1DF0B2DE55}"/>
            </c:ext>
          </c:extLst>
        </c:ser>
        <c:ser>
          <c:idx val="17"/>
          <c:order val="17"/>
          <c:tx>
            <c:strRef>
              <c:f>'105'!$AH$34</c:f>
              <c:strCache>
                <c:ptCount val="1"/>
                <c:pt idx="0">
                  <c:v>Stg.1 Shroud Fwd#4</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'105'!$AH$36:$AH$53</c:f>
              <c:numCache>
                <c:formatCode>General</c:formatCode>
                <c:ptCount val="18"/>
                <c:pt idx="15" formatCode="0.000">
                  <c:v>356.31849999999997</c:v>
                </c:pt>
                <c:pt idx="16" formatCode="0.000">
                  <c:v>356.31849999999997</c:v>
                </c:pt>
              </c:numCache>
            </c:numRef>
          </c:val>
          <c:extLst>
            <c:ext xmlns:c16="http://schemas.microsoft.com/office/drawing/2014/chart" uri="{C3380CC4-5D6E-409C-BE32-E72D297353CC}">
              <c16:uniqueId val="{00000011-7139-4925-BF65-5E1DF0B2DE55}"/>
            </c:ext>
          </c:extLst>
        </c:ser>
        <c:ser>
          <c:idx val="18"/>
          <c:order val="18"/>
          <c:tx>
            <c:strRef>
              <c:f>'105'!$AI$34</c:f>
              <c:strCache>
                <c:ptCount val="1"/>
                <c:pt idx="0">
                  <c:v>Stg.1 Shroud Fwd#3</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'105'!$AI$36:$AI$53</c:f>
              <c:numCache>
                <c:formatCode>General</c:formatCode>
                <c:ptCount val="18"/>
                <c:pt idx="16" formatCode="0.000">
                  <c:v>356.3097333334581</c:v>
                </c:pt>
                <c:pt idx="17" formatCode="0.000">
                  <c:v>356.3097333334581</c:v>
                </c:pt>
              </c:numCache>
            </c:numRef>
          </c:val>
          <c:extLst>
            <c:ext xmlns:c16="http://schemas.microsoft.com/office/drawing/2014/chart" uri="{C3380CC4-5D6E-409C-BE32-E72D297353CC}">
              <c16:uniqueId val="{00000012-7139-4925-BF65-5E1DF0B2DE55}"/>
            </c:ext>
          </c:extLst>
        </c:ser>
        <c:ser>
          <c:idx val="19"/>
          <c:order val="19"/>
          <c:tx>
            <c:strRef>
              <c:f>'105'!$AJ$34</c:f>
              <c:strCache>
                <c:ptCount val="1"/>
                <c:pt idx="0">
                  <c:v>Stg.1 Shroud Fwd#2</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'105'!$AJ$36:$AJ$53</c:f>
              <c:numCache>
                <c:formatCode>General</c:formatCode>
                <c:ptCount val="18"/>
                <c:pt idx="0" formatCode="0.000">
                  <c:v>356.26330000077979</c:v>
                </c:pt>
                <c:pt idx="17" formatCode="0.000">
                  <c:v>356.26330000077979</c:v>
                </c:pt>
              </c:numCache>
            </c:numRef>
          </c:val>
          <c:extLst>
            <c:ext xmlns:c16="http://schemas.microsoft.com/office/drawing/2014/chart" uri="{C3380CC4-5D6E-409C-BE32-E72D297353CC}">
              <c16:uniqueId val="{00000013-7139-4925-BF65-5E1DF0B2DE55}"/>
            </c:ext>
          </c:extLst>
        </c:ser>
        <c:dLbls>
          <c:showLegendKey val="0"/>
          <c:showVal val="0"/>
          <c:showCatName val="0"/>
          <c:showSerName val="0"/>
          <c:showPercent val="0"/>
          <c:showBubbleSize val="0"/>
        </c:dLbls>
        <c:axId val="164385792"/>
        <c:axId val="162951104"/>
      </c:radarChart>
      <c:catAx>
        <c:axId val="16438579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62951104"/>
        <c:crosses val="autoZero"/>
        <c:auto val="1"/>
        <c:lblAlgn val="ctr"/>
        <c:lblOffset val="100"/>
        <c:noMultiLvlLbl val="0"/>
      </c:catAx>
      <c:valAx>
        <c:axId val="162951104"/>
        <c:scaling>
          <c:orientation val="minMax"/>
          <c:max val="356.4"/>
        </c:scaling>
        <c:delete val="0"/>
        <c:axPos val="l"/>
        <c:majorGridlines/>
        <c:numFmt formatCode="General" sourceLinked="1"/>
        <c:majorTickMark val="cross"/>
        <c:minorTickMark val="none"/>
        <c:tickLblPos val="nextTo"/>
        <c:txPr>
          <a:bodyPr/>
          <a:lstStyle/>
          <a:p>
            <a:pPr>
              <a:defRPr lang="ja-JP"/>
            </a:pPr>
            <a:endParaRPr lang="en-US"/>
          </a:p>
        </c:txPr>
        <c:crossAx val="164385792"/>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'236'!$K$9</c:f>
              <c:strCache>
                <c:ptCount val="1"/>
                <c:pt idx="0">
                  <c:v>CMM</c:v>
                </c:pt>
              </c:strCache>
            </c:strRef>
          </c:tx>
          <c:marker>
            <c:symbol val="none"/>
          </c:marker>
          <c:cat>
            <c:numRef>
              <c:f>'236'!$J$11:$J$26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'236'!$K$11:$K$26</c:f>
              <c:numCache>
                <c:formatCode>General</c:formatCode>
                <c:ptCount val="16"/>
                <c:pt idx="0">
                  <c:v>359.36599999999999</c:v>
                </c:pt>
                <c:pt idx="1">
                  <c:v>359.37600005008676</c:v>
                </c:pt>
                <c:pt idx="2">
                  <c:v>359.37900000139132</c:v>
                </c:pt>
                <c:pt idx="3">
                  <c:v>359.41600000139113</c:v>
                </c:pt>
                <c:pt idx="4">
                  <c:v>359.41500000000002</c:v>
                </c:pt>
                <c:pt idx="5">
                  <c:v>359.41600000556457</c:v>
                </c:pt>
                <c:pt idx="6">
                  <c:v>359.35800000139136</c:v>
                </c:pt>
                <c:pt idx="7">
                  <c:v>359.35000000556562</c:v>
                </c:pt>
                <c:pt idx="8">
                  <c:v>359.34699999999998</c:v>
                </c:pt>
                <c:pt idx="9">
                  <c:v>359.37700001252165</c:v>
                </c:pt>
                <c:pt idx="10">
                  <c:v>359.39200000139124</c:v>
                </c:pt>
                <c:pt idx="11">
                  <c:v>359.42300000556446</c:v>
                </c:pt>
                <c:pt idx="12">
                  <c:v>359.40800000000002</c:v>
                </c:pt>
                <c:pt idx="13">
                  <c:v>359.40900002225879</c:v>
                </c:pt>
                <c:pt idx="14">
                  <c:v>359.36800000139129</c:v>
                </c:pt>
                <c:pt idx="15">
                  <c:v>359.35700000139138</c:v>
                </c:pt>
              </c:numCache>
            </c:numRef>
          </c:val>
          <c:extLst>
            <c:ext xmlns:c16="http://schemas.microsoft.com/office/drawing/2014/chart" uri="{C3380CC4-5D6E-409C-BE32-E72D297353CC}">
              <c16:uniqueId val="{00000000-9A9A-4E12-AC02-DA21CA9C6453}"/>
            </c:ext>
          </c:extLst>
        </c:ser>
        <c:ser>
          <c:idx val="1"/>
          <c:order val="1"/>
          <c:tx>
            <c:strRef>
              <c:f>'236'!$L$9</c:f>
              <c:strCache>
                <c:ptCount val="1"/>
                <c:pt idx="0">
                  <c:v>Dwg Min</c:v>
                </c:pt>
              </c:strCache>
            </c:strRef>
          </c:tx>
          <c:spPr>
            <a:ln w="28575">
              <a:prstDash val="dash"/>
            </a:ln>
          </c:spPr>
          <c:marker>
            <c:symbol val="none"/>
          </c:marker>
          <c:val>
            <c:numRef>
              <c:f>'236'!$L$11:$L$26</c:f>
              <c:numCache>
                <c:formatCode>General</c:formatCode>
                <c:ptCount val="16"/>
                <c:pt idx="0">
                  <c:v>359.31</c:v>
                </c:pt>
                <c:pt idx="1">
                  <c:v>359.31</c:v>
                </c:pt>
                <c:pt idx="2">
                  <c:v>359.31</c:v>
                </c:pt>
                <c:pt idx="3">
                  <c:v>359.31</c:v>
                </c:pt>
                <c:pt idx="4">
                  <c:v>359.31</c:v>
                </c:pt>
                <c:pt idx="5">
                  <c:v>359.31</c:v>
                </c:pt>
                <c:pt idx="6">
                  <c:v>359.31</c:v>
                </c:pt>
                <c:pt idx="7">
                  <c:v>359.31</c:v>
                </c:pt>
                <c:pt idx="8">
                  <c:v>359.31</c:v>
                </c:pt>
                <c:pt idx="9">
                  <c:v>359.31</c:v>
                </c:pt>
                <c:pt idx="10">
                  <c:v>359.31</c:v>
                </c:pt>
                <c:pt idx="11">
                  <c:v>359.31</c:v>
                </c:pt>
                <c:pt idx="12">
                  <c:v>359.31</c:v>
                </c:pt>
                <c:pt idx="13">
                  <c:v>359.31</c:v>
                </c:pt>
                <c:pt idx="14">
                  <c:v>359.31</c:v>
                </c:pt>
                <c:pt idx="15">
                  <c:v>359.31</c:v>
                </c:pt>
              </c:numCache>
            </c:numRef>
          </c:val>
          <c:extLst>
            <c:ext xmlns:c16="http://schemas.microsoft.com/office/drawing/2014/chart" uri="{C3380CC4-5D6E-409C-BE32-E72D297353CC}">
              <c16:uniqueId val="{00000001-9A9A-4E12-AC02-DA21CA9C6453}"/>
            </c:ext>
          </c:extLst>
        </c:ser>
        <c:ser>
          <c:idx val="2"/>
          <c:order val="2"/>
          <c:tx>
            <c:strRef>
              <c:f>'236'!$M$9</c:f>
              <c:strCache>
                <c:ptCount val="1"/>
                <c:pt idx="0">
                  <c:v>Dwg Max</c:v>
                </c:pt>
              </c:strCache>
            </c:strRef>
          </c:tx>
          <c:spPr>
            <a:ln w="28575">
              <a:prstDash val="dash"/>
            </a:ln>
          </c:spPr>
          <c:marker>
            <c:symbol val="none"/>
          </c:marker>
          <c:val>
            <c:numRef>
              <c:f>'236'!$M$11:$M$26</c:f>
              <c:numCache>
                <c:formatCode>General</c:formatCode>
                <c:ptCount val="16"/>
                <c:pt idx="0">
                  <c:v>359.48999999999995</c:v>
                </c:pt>
                <c:pt idx="1">
                  <c:v>359.48999999999995</c:v>
                </c:pt>
                <c:pt idx="2">
                  <c:v>359.48999999999995</c:v>
                </c:pt>
                <c:pt idx="3">
                  <c:v>359.48999999999995</c:v>
                </c:pt>
                <c:pt idx="4">
                  <c:v>359.48999999999995</c:v>
                </c:pt>
                <c:pt idx="5">
                  <c:v>359.48999999999995</c:v>
                </c:pt>
                <c:pt idx="6">
                  <c:v>359.48999999999995</c:v>
                </c:pt>
                <c:pt idx="7">
                  <c:v>359.48999999999995</c:v>
                </c:pt>
                <c:pt idx="8">
                  <c:v>359.48999999999995</c:v>
                </c:pt>
                <c:pt idx="9">
                  <c:v>359.48999999999995</c:v>
                </c:pt>
                <c:pt idx="10">
                  <c:v>359.48999999999995</c:v>
                </c:pt>
                <c:pt idx="11">
                  <c:v>359.48999999999995</c:v>
                </c:pt>
                <c:pt idx="12">
                  <c:v>359.48999999999995</c:v>
                </c:pt>
                <c:pt idx="13">
                  <c:v>359.48999999999995</c:v>
                </c:pt>
                <c:pt idx="14">
                  <c:v>359.48999999999995</c:v>
                </c:pt>
                <c:pt idx="15">
                  <c:v>359.48999999999995</c:v>
                </c:pt>
              </c:numCache>
            </c:numRef>
          </c:val>
          <c:extLst>
            <c:ext xmlns:c16="http://schemas.microsoft.com/office/drawing/2014/chart" uri="{C3380CC4-5D6E-409C-BE32-E72D297353CC}">
              <c16:uniqueId val="{00000002-9A9A-4E12-AC02-DA21CA9C6453}"/>
            </c:ext>
          </c:extLst>
        </c:ser>
        <c:dLbls>
          <c:showLegendKey val="0"/>
          <c:showVal val="0"/>
          <c:showCatName val="0"/>
          <c:showSerName val="0"/>
          <c:showPercent val="0"/>
          <c:showBubbleSize val="0"/>
        </c:dLbls>
        <c:axId val="164388352"/>
        <c:axId val="162954560"/>
      </c:radarChart>
      <c:catAx>
        <c:axId val="16438835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62954560"/>
        <c:crosses val="autoZero"/>
        <c:auto val="1"/>
        <c:lblAlgn val="ctr"/>
        <c:lblOffset val="100"/>
        <c:noMultiLvlLbl val="0"/>
      </c:catAx>
      <c:valAx>
        <c:axId val="16295456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64388352"/>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'236'!$AK$34</c:f>
              <c:strCache>
                <c:ptCount val="1"/>
                <c:pt idx="0">
                  <c:v>LPT Case Hook R Min</c:v>
                </c:pt>
              </c:strCache>
            </c:strRef>
          </c:tx>
          <c:spPr>
            <a:ln w="28575">
              <a:prstDash val="dash"/>
            </a:ln>
          </c:spPr>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'236'!$AK$36:$AK$53</c:f>
              <c:numCache>
                <c:formatCode>General</c:formatCode>
                <c:ptCount val="18"/>
                <c:pt idx="0">
                  <c:v>359.36799999999999</c:v>
                </c:pt>
                <c:pt idx="1">
                  <c:v>359.36799999999999</c:v>
                </c:pt>
                <c:pt idx="2">
                  <c:v>359.36799999999999</c:v>
                </c:pt>
                <c:pt idx="3">
                  <c:v>359.36799999999999</c:v>
                </c:pt>
                <c:pt idx="4">
                  <c:v>359.36799999999999</c:v>
                </c:pt>
                <c:pt idx="5">
                  <c:v>359.36799999999999</c:v>
                </c:pt>
                <c:pt idx="6">
                  <c:v>359.36799999999999</c:v>
                </c:pt>
                <c:pt idx="7">
                  <c:v>359.36799999999999</c:v>
                </c:pt>
                <c:pt idx="8">
                  <c:v>359.36799999999999</c:v>
                </c:pt>
                <c:pt idx="9">
                  <c:v>359.36799999999999</c:v>
                </c:pt>
                <c:pt idx="10">
                  <c:v>359.36799999999999</c:v>
                </c:pt>
                <c:pt idx="11">
                  <c:v>359.36799999999999</c:v>
                </c:pt>
                <c:pt idx="12">
                  <c:v>359.36799999999999</c:v>
                </c:pt>
                <c:pt idx="13">
                  <c:v>359.36799999999999</c:v>
                </c:pt>
                <c:pt idx="14">
                  <c:v>359.36799999999999</c:v>
                </c:pt>
                <c:pt idx="15">
                  <c:v>359.36799999999999</c:v>
                </c:pt>
                <c:pt idx="16">
                  <c:v>359.36799999999999</c:v>
                </c:pt>
                <c:pt idx="17">
                  <c:v>359.36799999999999</c:v>
                </c:pt>
              </c:numCache>
            </c:numRef>
          </c:val>
          <c:extLst>
            <c:ext xmlns:c16="http://schemas.microsoft.com/office/drawing/2014/chart" uri="{C3380CC4-5D6E-409C-BE32-E72D297353CC}">
              <c16:uniqueId val="{00000000-FF60-4563-878A-EDCF7376BB79}"/>
            </c:ext>
          </c:extLst>
        </c:ser>
        <c:ser>
          <c:idx val="1"/>
          <c:order val="1"/>
          <c:tx>
            <c:strRef>
              <c:f>'236'!$AL$34</c:f>
              <c:strCache>
                <c:ptCount val="1"/>
                <c:pt idx="0">
                  <c:v>LPT Case Hook R Max</c:v>
                </c:pt>
              </c:strCache>
            </c:strRef>
          </c:tx>
          <c:spPr>
            <a:ln w="28575">
              <a:prstDash val="dash"/>
            </a:ln>
          </c:spPr>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'236'!$AL$36:$AL$53</c:f>
              <c:numCache>
                <c:formatCode>General</c:formatCode>
                <c:ptCount val="18"/>
                <c:pt idx="0">
                  <c:v>359.43199999999996</c:v>
                </c:pt>
                <c:pt idx="1">
                  <c:v>359.43199999999996</c:v>
                </c:pt>
                <c:pt idx="2">
                  <c:v>359.43199999999996</c:v>
                </c:pt>
                <c:pt idx="3">
                  <c:v>359.43199999999996</c:v>
                </c:pt>
                <c:pt idx="4">
                  <c:v>359.43199999999996</c:v>
                </c:pt>
                <c:pt idx="5">
                  <c:v>359.43199999999996</c:v>
                </c:pt>
                <c:pt idx="6">
                  <c:v>359.43199999999996</c:v>
                </c:pt>
                <c:pt idx="7">
                  <c:v>359.43199999999996</c:v>
                </c:pt>
                <c:pt idx="8">
                  <c:v>359.43199999999996</c:v>
                </c:pt>
                <c:pt idx="9">
                  <c:v>359.43199999999996</c:v>
                </c:pt>
                <c:pt idx="10">
                  <c:v>359.43199999999996</c:v>
                </c:pt>
                <c:pt idx="11">
                  <c:v>359.43199999999996</c:v>
                </c:pt>
                <c:pt idx="12">
                  <c:v>359.43199999999996</c:v>
                </c:pt>
                <c:pt idx="13">
                  <c:v>359.43199999999996</c:v>
                </c:pt>
                <c:pt idx="14">
                  <c:v>359.43199999999996</c:v>
                </c:pt>
                <c:pt idx="15">
                  <c:v>359.43199999999996</c:v>
                </c:pt>
                <c:pt idx="16">
                  <c:v>359.43199999999996</c:v>
                </c:pt>
                <c:pt idx="17">
                  <c:v>359.43199999999996</c:v>
                </c:pt>
              </c:numCache>
            </c:numRef>
          </c:val>
          <c:extLst>
            <c:ext xmlns:c16="http://schemas.microsoft.com/office/drawing/2014/chart" uri="{C3380CC4-5D6E-409C-BE32-E72D297353CC}">
              <c16:uniqueId val="{00000001-FF60-4563-878A-EDCF7376BB79}"/>
            </c:ext>
          </c:extLst>
        </c:ser>
        <c:ser>
          <c:idx val="2"/>
          <c:order val="2"/>
          <c:tx>
            <c:strRef>
              <c:f>'236'!$S$34</c:f>
              <c:strCache>
                <c:ptCount val="1"/>
                <c:pt idx="0">
                  <c:v>Stg.1 Shroud Aft#1</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'236'!$S$36:$S$53</c:f>
              <c:numCache>
                <c:formatCode>0.000</c:formatCode>
                <c:ptCount val="18"/>
                <c:pt idx="0">
                  <c:v>359.36160000068026</c:v>
                </c:pt>
                <c:pt idx="1">
                  <c:v>359.36160000068026</c:v>
                </c:pt>
              </c:numCache>
            </c:numRef>
          </c:val>
          <c:extLst>
            <c:ext xmlns:c16="http://schemas.microsoft.com/office/drawing/2014/chart" uri="{C3380CC4-5D6E-409C-BE32-E72D297353CC}">
              <c16:uniqueId val="{00000002-FF60-4563-878A-EDCF7376BB79}"/>
            </c:ext>
          </c:extLst>
        </c:ser>
        <c:ser>
          <c:idx val="3"/>
          <c:order val="3"/>
          <c:tx>
            <c:strRef>
              <c:f>'236'!$T$34</c:f>
              <c:strCache>
                <c:ptCount val="1"/>
                <c:pt idx="0">
                  <c:v>Stg.1 Shroud Aft#18</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'236'!$T$36:$T$53</c:f>
              <c:numCache>
                <c:formatCode>0.000</c:formatCode>
                <c:ptCount val="18"/>
                <c:pt idx="1">
                  <c:v>359.37002224340085</c:v>
                </c:pt>
                <c:pt idx="2">
                  <c:v>359.37002224340085</c:v>
                </c:pt>
              </c:numCache>
            </c:numRef>
          </c:val>
          <c:extLst>
            <c:ext xmlns:c16="http://schemas.microsoft.com/office/drawing/2014/chart" uri="{C3380CC4-5D6E-409C-BE32-E72D297353CC}">
              <c16:uniqueId val="{00000003-FF60-4563-878A-EDCF7376BB79}"/>
            </c:ext>
          </c:extLst>
        </c:ser>
        <c:ser>
          <c:idx val="4"/>
          <c:order val="4"/>
          <c:tx>
            <c:strRef>
              <c:f>'236'!$U$34</c:f>
              <c:strCache>
                <c:ptCount val="1"/>
                <c:pt idx="0">
                  <c:v>Stg.1 Shroud Aft#17</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'236'!$U$36:$U$53</c:f>
              <c:numCache>
                <c:formatCode>General</c:formatCode>
                <c:ptCount val="18"/>
                <c:pt idx="2" formatCode="0.000">
                  <c:v>359.37632225055836</c:v>
                </c:pt>
                <c:pt idx="3" formatCode="0.000">
                  <c:v>359.37632225055836</c:v>
                </c:pt>
              </c:numCache>
            </c:numRef>
          </c:val>
          <c:extLst>
            <c:ext xmlns:c16="http://schemas.microsoft.com/office/drawing/2014/chart" uri="{C3380CC4-5D6E-409C-BE32-E72D297353CC}">
              <c16:uniqueId val="{00000004-FF60-4563-878A-EDCF7376BB79}"/>
            </c:ext>
          </c:extLst>
        </c:ser>
        <c:ser>
          <c:idx val="5"/>
          <c:order val="5"/>
          <c:tx>
            <c:strRef>
              <c:f>'236'!$V$34</c:f>
              <c:strCache>
                <c:ptCount val="1"/>
                <c:pt idx="0">
                  <c:v>Stg.1 Shroud Aft#16</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'236'!$V$36:$V$53</c:f>
              <c:numCache>
                <c:formatCode>General</c:formatCode>
                <c:ptCount val="18"/>
                <c:pt idx="3" formatCode="0.000">
                  <c:v>359.39011111899509</c:v>
                </c:pt>
                <c:pt idx="4" formatCode="0.000">
                  <c:v>359.39011111899509</c:v>
                </c:pt>
              </c:numCache>
            </c:numRef>
          </c:val>
          <c:extLst>
            <c:ext xmlns:c16="http://schemas.microsoft.com/office/drawing/2014/chart" uri="{C3380CC4-5D6E-409C-BE32-E72D297353CC}">
              <c16:uniqueId val="{00000005-FF60-4563-878A-EDCF7376BB79}"/>
            </c:ext>
          </c:extLst>
        </c:ser>
        <c:ser>
          <c:idx val="6"/>
          <c:order val="6"/>
          <c:tx>
            <c:strRef>
              <c:f>'236'!$W$34</c:f>
              <c:strCache>
                <c:ptCount val="1"/>
                <c:pt idx="0">
                  <c:v>Stg.1 Shroud Aft#15</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'236'!$W$36:$W$53</c:f>
              <c:numCache>
                <c:formatCode>General</c:formatCode>
                <c:ptCount val="18"/>
                <c:pt idx="4" formatCode="0.000">
                  <c:v>359.40875555659125</c:v>
                </c:pt>
                <c:pt idx="5" formatCode="0.000">
                  <c:v>359.40875555659125</c:v>
                </c:pt>
              </c:numCache>
            </c:numRef>
          </c:val>
          <c:extLst>
            <c:ext xmlns:c16="http://schemas.microsoft.com/office/drawing/2014/chart" uri="{C3380CC4-5D6E-409C-BE32-E72D297353CC}">
              <c16:uniqueId val="{00000006-FF60-4563-878A-EDCF7376BB79}"/>
            </c:ext>
          </c:extLst>
        </c:ser>
        <c:ser>
          <c:idx val="7"/>
          <c:order val="7"/>
          <c:tx>
            <c:strRef>
              <c:f>'236'!$X$34</c:f>
              <c:strCache>
                <c:ptCount val="1"/>
                <c:pt idx="0">
                  <c:v>Stg.1 Shroud Aft#14</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'236'!$X$36:$X$53</c:f>
              <c:numCache>
                <c:formatCode>General</c:formatCode>
                <c:ptCount val="18"/>
                <c:pt idx="5" formatCode="0.000">
                  <c:v>359.41544444589744</c:v>
                </c:pt>
                <c:pt idx="6" formatCode="0.000">
                  <c:v>359.41544444589744</c:v>
                </c:pt>
              </c:numCache>
            </c:numRef>
          </c:val>
          <c:extLst>
            <c:ext xmlns:c16="http://schemas.microsoft.com/office/drawing/2014/chart" uri="{C3380CC4-5D6E-409C-BE32-E72D297353CC}">
              <c16:uniqueId val="{00000007-FF60-4563-878A-EDCF7376BB79}"/>
            </c:ext>
          </c:extLst>
        </c:ser>
        <c:ser>
          <c:idx val="8"/>
          <c:order val="8"/>
          <c:tx>
            <c:strRef>
              <c:f>'236'!$Y$34</c:f>
              <c:strCache>
                <c:ptCount val="1"/>
                <c:pt idx="0">
                  <c:v>Stg.1 Shroud Aft#13</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'236'!$Y$36:$Y$53</c:f>
              <c:numCache>
                <c:formatCode>General</c:formatCode>
                <c:ptCount val="18"/>
                <c:pt idx="6" formatCode="0.000">
                  <c:v>359.40732222551463</c:v>
                </c:pt>
                <c:pt idx="7" formatCode="0.000">
                  <c:v>359.40732222551463</c:v>
                </c:pt>
              </c:numCache>
            </c:numRef>
          </c:val>
          <c:extLst>
            <c:ext xmlns:c16="http://schemas.microsoft.com/office/drawing/2014/chart" uri="{C3380CC4-5D6E-409C-BE32-E72D297353CC}">
              <c16:uniqueId val="{00000008-FF60-4563-878A-EDCF7376BB79}"/>
            </c:ext>
          </c:extLst>
        </c:ser>
        <c:ser>
          <c:idx val="9"/>
          <c:order val="9"/>
          <c:tx>
            <c:strRef>
              <c:f>'236'!$Z$34</c:f>
              <c:strCache>
                <c:ptCount val="1"/>
                <c:pt idx="0">
                  <c:v>Stg.1 Shroud Aft#12</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'236'!$Z$36:$Z$53</c:f>
              <c:numCache>
                <c:formatCode>General</c:formatCode>
                <c:ptCount val="18"/>
                <c:pt idx="7" formatCode="0.000">
                  <c:v>359.37791111435729</c:v>
                </c:pt>
                <c:pt idx="8" formatCode="0.000">
                  <c:v>359.37791111435729</c:v>
                </c:pt>
              </c:numCache>
            </c:numRef>
          </c:val>
          <c:extLst>
            <c:ext xmlns:c16="http://schemas.microsoft.com/office/drawing/2014/chart" uri="{C3380CC4-5D6E-409C-BE32-E72D297353CC}">
              <c16:uniqueId val="{00000009-FF60-4563-878A-EDCF7376BB79}"/>
            </c:ext>
          </c:extLst>
        </c:ser>
        <c:ser>
          <c:idx val="10"/>
          <c:order val="10"/>
          <c:tx>
            <c:strRef>
              <c:f>'236'!$AA$34</c:f>
              <c:strCache>
                <c:ptCount val="1"/>
                <c:pt idx="0">
                  <c:v>Stg.1 Shroud Aft#11</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'236'!$AA$36:$AA$53</c:f>
              <c:numCache>
                <c:formatCode>General</c:formatCode>
                <c:ptCount val="18"/>
                <c:pt idx="8" formatCode="0.000">
                  <c:v>359.35318889255291</c:v>
                </c:pt>
                <c:pt idx="9" formatCode="0.000">
                  <c:v>359.35318889255291</c:v>
                </c:pt>
              </c:numCache>
            </c:numRef>
          </c:val>
          <c:extLst>
            <c:ext xmlns:c16="http://schemas.microsoft.com/office/drawing/2014/chart" uri="{C3380CC4-5D6E-409C-BE32-E72D297353CC}">
              <c16:uniqueId val="{0000000A-FF60-4563-878A-EDCF7376BB79}"/>
            </c:ext>
          </c:extLst>
        </c:ser>
        <c:ser>
          <c:idx val="11"/>
          <c:order val="11"/>
          <c:tx>
            <c:strRef>
              <c:f>'236'!$AB$34</c:f>
              <c:strCache>
                <c:ptCount val="1"/>
                <c:pt idx="0">
                  <c:v>Stg.1 Shroud Aft#10</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'236'!$AB$36:$AB$53</c:f>
              <c:numCache>
                <c:formatCode>General</c:formatCode>
                <c:ptCount val="18"/>
                <c:pt idx="9" formatCode="0.000">
                  <c:v>359.34846666938768</c:v>
                </c:pt>
                <c:pt idx="10" formatCode="0.000">
                  <c:v>359.34846666938768</c:v>
                </c:pt>
              </c:numCache>
            </c:numRef>
          </c:val>
          <c:extLst>
            <c:ext xmlns:c16="http://schemas.microsoft.com/office/drawing/2014/chart" uri="{C3380CC4-5D6E-409C-BE32-E72D297353CC}">
              <c16:uniqueId val="{0000000B-FF60-4563-878A-EDCF7376BB79}"/>
            </c:ext>
          </c:extLst>
        </c:ser>
        <c:ser>
          <c:idx val="12"/>
          <c:order val="12"/>
          <c:tx>
            <c:strRef>
              <c:f>'236'!$AC$34</c:f>
              <c:strCache>
                <c:ptCount val="1"/>
                <c:pt idx="0">
                  <c:v>Stg.1 Shroud Aft#9</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'236'!$AC$36:$AC$53</c:f>
              <c:numCache>
                <c:formatCode>General</c:formatCode>
                <c:ptCount val="18"/>
                <c:pt idx="10" formatCode="0.000">
                  <c:v>359.35973333874392</c:v>
                </c:pt>
                <c:pt idx="11" formatCode="0.000">
                  <c:v>359.35973333874392</c:v>
                </c:pt>
              </c:numCache>
            </c:numRef>
          </c:val>
          <c:extLst>
            <c:ext xmlns:c16="http://schemas.microsoft.com/office/drawing/2014/chart" uri="{C3380CC4-5D6E-409C-BE32-E72D297353CC}">
              <c16:uniqueId val="{0000000C-FF60-4563-878A-EDCF7376BB79}"/>
            </c:ext>
          </c:extLst>
        </c:ser>
        <c:ser>
          <c:idx val="13"/>
          <c:order val="13"/>
          <c:tx>
            <c:strRef>
              <c:f>'236'!$AD$34</c:f>
              <c:strCache>
                <c:ptCount val="1"/>
                <c:pt idx="0">
                  <c:v>Stg.1 Shroud Aft#8</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'236'!$AD$36:$AD$53</c:f>
              <c:numCache>
                <c:formatCode>General</c:formatCode>
                <c:ptCount val="18"/>
                <c:pt idx="11" formatCode="0.000">
                  <c:v>359.38016667413325</c:v>
                </c:pt>
                <c:pt idx="12" formatCode="0.000">
                  <c:v>359.38016667413325</c:v>
                </c:pt>
              </c:numCache>
            </c:numRef>
          </c:val>
          <c:extLst>
            <c:ext xmlns:c16="http://schemas.microsoft.com/office/drawing/2014/chart" uri="{C3380CC4-5D6E-409C-BE32-E72D297353CC}">
              <c16:uniqueId val="{0000000D-FF60-4563-878A-EDCF7376BB79}"/>
            </c:ext>
          </c:extLst>
        </c:ser>
        <c:ser>
          <c:idx val="14"/>
          <c:order val="14"/>
          <c:tx>
            <c:strRef>
              <c:f>'236'!$AE$34</c:f>
              <c:strCache>
                <c:ptCount val="1"/>
                <c:pt idx="0">
                  <c:v>Stg.1 Shroud Aft#7</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'236'!$AE$36:$AE$53</c:f>
              <c:numCache>
                <c:formatCode>General</c:formatCode>
                <c:ptCount val="18"/>
                <c:pt idx="12" formatCode="0.000">
                  <c:v>359.39964444861812</c:v>
                </c:pt>
                <c:pt idx="13" formatCode="0.000">
                  <c:v>359.39964444861812</c:v>
                </c:pt>
              </c:numCache>
            </c:numRef>
          </c:val>
          <c:extLst>
            <c:ext xmlns:c16="http://schemas.microsoft.com/office/drawing/2014/chart" uri="{C3380CC4-5D6E-409C-BE32-E72D297353CC}">
              <c16:uniqueId val="{0000000E-FF60-4563-878A-EDCF7376BB79}"/>
            </c:ext>
          </c:extLst>
        </c:ser>
        <c:ser>
          <c:idx val="15"/>
          <c:order val="15"/>
          <c:tx>
            <c:strRef>
              <c:f>'236'!$AF$34</c:f>
              <c:strCache>
                <c:ptCount val="1"/>
                <c:pt idx="0">
                  <c:v>Stg.1 Shroud Aft#6</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'236'!$AF$36:$AF$53</c:f>
              <c:numCache>
                <c:formatCode>General</c:formatCode>
                <c:ptCount val="18"/>
                <c:pt idx="13" formatCode="0.000">
                  <c:v>359.41331111446527</c:v>
                </c:pt>
                <c:pt idx="14" formatCode="0.000">
                  <c:v>359.41331111446527</c:v>
                </c:pt>
              </c:numCache>
            </c:numRef>
          </c:val>
          <c:extLst>
            <c:ext xmlns:c16="http://schemas.microsoft.com/office/drawing/2014/chart" uri="{C3380CC4-5D6E-409C-BE32-E72D297353CC}">
              <c16:uniqueId val="{0000000F-FF60-4563-878A-EDCF7376BB79}"/>
            </c:ext>
          </c:extLst>
        </c:ser>
        <c:ser>
          <c:idx val="16"/>
          <c:order val="16"/>
          <c:tx>
            <c:strRef>
              <c:f>'236'!$AG$34</c:f>
              <c:strCache>
                <c:ptCount val="1"/>
                <c:pt idx="0">
                  <c:v>Stg.1 Shroud Aft#5</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'236'!$AG$36:$AG$53</c:f>
              <c:numCache>
                <c:formatCode>General</c:formatCode>
                <c:ptCount val="18"/>
                <c:pt idx="14" formatCode="0.000">
                  <c:v>359.4118666724786</c:v>
                </c:pt>
                <c:pt idx="15" formatCode="0.000">
                  <c:v>359.4118666724786</c:v>
                </c:pt>
              </c:numCache>
            </c:numRef>
          </c:val>
          <c:extLst>
            <c:ext xmlns:c16="http://schemas.microsoft.com/office/drawing/2014/chart" uri="{C3380CC4-5D6E-409C-BE32-E72D297353CC}">
              <c16:uniqueId val="{00000010-FF60-4563-878A-EDCF7376BB79}"/>
            </c:ext>
          </c:extLst>
        </c:ser>
        <c:ser>
          <c:idx val="17"/>
          <c:order val="17"/>
          <c:tx>
            <c:strRef>
              <c:f>'236'!$AH$34</c:f>
              <c:strCache>
                <c:ptCount val="1"/>
                <c:pt idx="0">
                  <c:v>Stg.1 Shroud Aft#4</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'236'!$AH$36:$AH$53</c:f>
              <c:numCache>
                <c:formatCode>General</c:formatCode>
                <c:ptCount val="18"/>
                <c:pt idx="15" formatCode="0.000">
                  <c:v>359.40277779034477</c:v>
                </c:pt>
                <c:pt idx="16" formatCode="0.000">
                  <c:v>359.40277779034477</c:v>
                </c:pt>
              </c:numCache>
            </c:numRef>
          </c:val>
          <c:extLst>
            <c:ext xmlns:c16="http://schemas.microsoft.com/office/drawing/2014/chart" uri="{C3380CC4-5D6E-409C-BE32-E72D297353CC}">
              <c16:uniqueId val="{00000011-FF60-4563-878A-EDCF7376BB79}"/>
            </c:ext>
          </c:extLst>
        </c:ser>
        <c:ser>
          <c:idx val="18"/>
          <c:order val="18"/>
          <c:tx>
            <c:strRef>
              <c:f>'236'!$AI$34</c:f>
              <c:strCache>
                <c:ptCount val="1"/>
                <c:pt idx="0">
                  <c:v>Stg.1 Shroud Aft#3</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'236'!$AI$36:$AI$53</c:f>
              <c:numCache>
                <c:formatCode>General</c:formatCode>
                <c:ptCount val="18"/>
                <c:pt idx="16" formatCode="0.000">
                  <c:v>359.38160000881089</c:v>
                </c:pt>
                <c:pt idx="17" formatCode="0.000">
                  <c:v>359.38160000881089</c:v>
                </c:pt>
              </c:numCache>
            </c:numRef>
          </c:val>
          <c:extLst>
            <c:ext xmlns:c16="http://schemas.microsoft.com/office/drawing/2014/chart" uri="{C3380CC4-5D6E-409C-BE32-E72D297353CC}">
              <c16:uniqueId val="{00000012-FF60-4563-878A-EDCF7376BB79}"/>
            </c:ext>
          </c:extLst>
        </c:ser>
        <c:ser>
          <c:idx val="19"/>
          <c:order val="19"/>
          <c:tx>
            <c:strRef>
              <c:f>'236'!$AJ$34</c:f>
              <c:strCache>
                <c:ptCount val="1"/>
                <c:pt idx="0">
                  <c:v>Stg.1 Shroud Aft#2</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'236'!$AJ$36:$AJ$53</c:f>
              <c:numCache>
                <c:formatCode>General</c:formatCode>
                <c:ptCount val="18"/>
                <c:pt idx="0" formatCode="0.000">
                  <c:v>359.36182222356717</c:v>
                </c:pt>
                <c:pt idx="17" formatCode="0.000">
                  <c:v>359.36182222356717</c:v>
                </c:pt>
              </c:numCache>
            </c:numRef>
          </c:val>
          <c:extLst>
            <c:ext xmlns:c16="http://schemas.microsoft.com/office/drawing/2014/chart" uri="{C3380CC4-5D6E-409C-BE32-E72D297353CC}">
              <c16:uniqueId val="{00000013-FF60-4563-878A-EDCF7376BB79}"/>
            </c:ext>
          </c:extLst>
        </c:ser>
        <c:dLbls>
          <c:showLegendKey val="0"/>
          <c:showVal val="0"/>
          <c:showCatName val="0"/>
          <c:showSerName val="0"/>
          <c:showPercent val="0"/>
          <c:showBubbleSize val="0"/>
        </c:dLbls>
        <c:axId val="133608960"/>
        <c:axId val="168363712"/>
      </c:radarChart>
      <c:catAx>
        <c:axId val="1336089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68363712"/>
        <c:crosses val="autoZero"/>
        <c:auto val="1"/>
        <c:lblAlgn val="ctr"/>
        <c:lblOffset val="100"/>
        <c:noMultiLvlLbl val="0"/>
      </c:catAx>
      <c:valAx>
        <c:axId val="16836371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33608960"/>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'236'!$AK$87</c:f>
              <c:strCache>
                <c:ptCount val="1"/>
                <c:pt idx="0">
                  <c:v>Step Min</c:v>
                </c:pt>
              </c:strCache>
            </c:strRef>
          </c:tx>
          <c:spPr>
            <a:ln w="28575">
              <a:prstDash val="dash"/>
            </a:ln>
          </c:spPr>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'236'!$AK$89:$AK$106</c:f>
              <c:numCache>
                <c:formatCode>General</c:formatCode>
                <c:ptCount val="18"/>
                <c:pt idx="0">
                  <c:v>-8.199999999993679E-2</c:v>
                </c:pt>
                <c:pt idx="1">
                  <c:v>-8.199999999993679E-2</c:v>
                </c:pt>
                <c:pt idx="2">
                  <c:v>-8.199999999993679E-2</c:v>
                </c:pt>
                <c:pt idx="3">
                  <c:v>-8.199999999993679E-2</c:v>
                </c:pt>
                <c:pt idx="4">
                  <c:v>-8.199999999993679E-2</c:v>
                </c:pt>
                <c:pt idx="5">
                  <c:v>-8.199999999993679E-2</c:v>
                </c:pt>
                <c:pt idx="6">
                  <c:v>-8.199999999993679E-2</c:v>
                </c:pt>
                <c:pt idx="7">
                  <c:v>-8.199999999993679E-2</c:v>
                </c:pt>
                <c:pt idx="8">
                  <c:v>-8.199999999993679E-2</c:v>
                </c:pt>
                <c:pt idx="9">
                  <c:v>-8.199999999993679E-2</c:v>
                </c:pt>
                <c:pt idx="10">
                  <c:v>-8.199999999993679E-2</c:v>
                </c:pt>
                <c:pt idx="11">
                  <c:v>-8.199999999993679E-2</c:v>
                </c:pt>
                <c:pt idx="12">
                  <c:v>-8.199999999993679E-2</c:v>
                </c:pt>
                <c:pt idx="13">
                  <c:v>-8.199999999993679E-2</c:v>
                </c:pt>
                <c:pt idx="14">
                  <c:v>-8.199999999993679E-2</c:v>
                </c:pt>
                <c:pt idx="15">
                  <c:v>-8.199999999993679E-2</c:v>
                </c:pt>
                <c:pt idx="16">
                  <c:v>-8.199999999993679E-2</c:v>
                </c:pt>
                <c:pt idx="17">
                  <c:v>-8.199999999993679E-2</c:v>
                </c:pt>
              </c:numCache>
            </c:numRef>
          </c:val>
          <c:extLst>
            <c:ext xmlns:c16="http://schemas.microsoft.com/office/drawing/2014/chart" uri="{C3380CC4-5D6E-409C-BE32-E72D297353CC}">
              <c16:uniqueId val="{00000000-38AC-44FE-8A38-DB3596FE21C1}"/>
            </c:ext>
          </c:extLst>
        </c:ser>
        <c:ser>
          <c:idx val="1"/>
          <c:order val="1"/>
          <c:tx>
            <c:strRef>
              <c:f>'236'!$AL$87</c:f>
              <c:strCache>
                <c:ptCount val="1"/>
                <c:pt idx="0">
                  <c:v>Step Max</c:v>
                </c:pt>
              </c:strCache>
            </c:strRef>
          </c:tx>
          <c:spPr>
            <a:ln w="28575">
              <a:prstDash val="dash"/>
            </a:ln>
          </c:spPr>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'236'!$AL$89:$AL$106</c:f>
              <c:numCache>
                <c:formatCode>General</c:formatCode>
                <c:ptCount val="18"/>
                <c:pt idx="0">
                  <c:v>8.199999999993679E-2</c:v>
                </c:pt>
                <c:pt idx="1">
                  <c:v>8.199999999993679E-2</c:v>
                </c:pt>
                <c:pt idx="2">
                  <c:v>8.199999999993679E-2</c:v>
                </c:pt>
                <c:pt idx="3">
                  <c:v>8.199999999993679E-2</c:v>
                </c:pt>
                <c:pt idx="4">
                  <c:v>8.199999999993679E-2</c:v>
                </c:pt>
                <c:pt idx="5">
                  <c:v>8.199999999993679E-2</c:v>
                </c:pt>
                <c:pt idx="6">
                  <c:v>8.199999999993679E-2</c:v>
                </c:pt>
                <c:pt idx="7">
                  <c:v>8.199999999993679E-2</c:v>
                </c:pt>
                <c:pt idx="8">
                  <c:v>8.199999999993679E-2</c:v>
                </c:pt>
                <c:pt idx="9">
                  <c:v>8.199999999993679E-2</c:v>
                </c:pt>
                <c:pt idx="10">
                  <c:v>8.199999999993679E-2</c:v>
                </c:pt>
                <c:pt idx="11">
                  <c:v>8.199999999993679E-2</c:v>
                </c:pt>
                <c:pt idx="12">
                  <c:v>8.199999999993679E-2</c:v>
                </c:pt>
                <c:pt idx="13">
                  <c:v>8.199999999993679E-2</c:v>
                </c:pt>
                <c:pt idx="14">
                  <c:v>8.199999999993679E-2</c:v>
                </c:pt>
                <c:pt idx="15">
                  <c:v>8.199999999993679E-2</c:v>
                </c:pt>
                <c:pt idx="16">
                  <c:v>8.199999999993679E-2</c:v>
                </c:pt>
                <c:pt idx="17">
                  <c:v>8.199999999993679E-2</c:v>
                </c:pt>
              </c:numCache>
            </c:numRef>
          </c:val>
          <c:extLst>
            <c:ext xmlns:c16="http://schemas.microsoft.com/office/drawing/2014/chart" uri="{C3380CC4-5D6E-409C-BE32-E72D297353CC}">
              <c16:uniqueId val="{00000001-38AC-44FE-8A38-DB3596FE21C1}"/>
            </c:ext>
          </c:extLst>
        </c:ser>
        <c:ser>
          <c:idx val="2"/>
          <c:order val="2"/>
          <c:tx>
            <c:strRef>
              <c:f>'236'!$S$87</c:f>
              <c:strCache>
                <c:ptCount val="1"/>
                <c:pt idx="0">
                  <c:v>Stg.1 Shroud Step#1</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'236'!$S$89:$S$106</c:f>
              <c:numCache>
                <c:formatCode>0.000_ </c:formatCode>
                <c:ptCount val="18"/>
                <c:pt idx="0">
                  <c:v>6.5444444438526261E-2</c:v>
                </c:pt>
                <c:pt idx="1">
                  <c:v>6.5444444438526261E-2</c:v>
                </c:pt>
              </c:numCache>
            </c:numRef>
          </c:val>
          <c:extLst>
            <c:ext xmlns:c16="http://schemas.microsoft.com/office/drawing/2014/chart" uri="{C3380CC4-5D6E-409C-BE32-E72D297353CC}">
              <c16:uniqueId val="{00000002-38AC-44FE-8A38-DB3596FE21C1}"/>
            </c:ext>
          </c:extLst>
        </c:ser>
        <c:ser>
          <c:idx val="3"/>
          <c:order val="3"/>
          <c:tx>
            <c:strRef>
              <c:f>'236'!$T$87</c:f>
              <c:strCache>
                <c:ptCount val="1"/>
                <c:pt idx="0">
                  <c:v>Stg.1 Shroud Step#18</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'236'!$T$89:$T$106</c:f>
              <c:numCache>
                <c:formatCode>0.000_ </c:formatCode>
                <c:ptCount val="18"/>
                <c:pt idx="1">
                  <c:v>0.10257779359079677</c:v>
                </c:pt>
                <c:pt idx="2">
                  <c:v>0.10257779359079677</c:v>
                </c:pt>
              </c:numCache>
            </c:numRef>
          </c:val>
          <c:extLst>
            <c:ext xmlns:c16="http://schemas.microsoft.com/office/drawing/2014/chart" uri="{C3380CC4-5D6E-409C-BE32-E72D297353CC}">
              <c16:uniqueId val="{00000003-38AC-44FE-8A38-DB3596FE21C1}"/>
            </c:ext>
          </c:extLst>
        </c:ser>
        <c:ser>
          <c:idx val="4"/>
          <c:order val="4"/>
          <c:tx>
            <c:strRef>
              <c:f>'236'!$U$87</c:f>
              <c:strCache>
                <c:ptCount val="1"/>
                <c:pt idx="0">
                  <c:v>Stg.1 Shroud Step#17</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'236'!$U$89:$U$106</c:f>
              <c:numCache>
                <c:formatCode>0.000_ </c:formatCode>
                <c:ptCount val="18"/>
                <c:pt idx="2">
                  <c:v>6.9566687469205135E-2</c:v>
                </c:pt>
                <c:pt idx="3">
                  <c:v>6.9566687469205135E-2</c:v>
                </c:pt>
              </c:numCache>
            </c:numRef>
          </c:val>
          <c:extLst>
            <c:ext xmlns:c16="http://schemas.microsoft.com/office/drawing/2014/chart" uri="{C3380CC4-5D6E-409C-BE32-E72D297353CC}">
              <c16:uniqueId val="{00000004-38AC-44FE-8A38-DB3596FE21C1}"/>
            </c:ext>
          </c:extLst>
        </c:ser>
        <c:ser>
          <c:idx val="5"/>
          <c:order val="5"/>
          <c:tx>
            <c:strRef>
              <c:f>'236'!$V$87</c:f>
              <c:strCache>
                <c:ptCount val="1"/>
                <c:pt idx="0">
                  <c:v>Stg.1 Shroud Step#16</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'236'!$V$89:$V$106</c:f>
              <c:numCache>
                <c:formatCode>0.000_ </c:formatCode>
                <c:ptCount val="18"/>
                <c:pt idx="3">
                  <c:v>8.8000049832430705E-3</c:v>
                </c:pt>
                <c:pt idx="4">
                  <c:v>8.8000049832430705E-3</c:v>
                </c:pt>
              </c:numCache>
            </c:numRef>
          </c:val>
          <c:extLst>
            <c:ext xmlns:c16="http://schemas.microsoft.com/office/drawing/2014/chart" uri="{C3380CC4-5D6E-409C-BE32-E72D297353CC}">
              <c16:uniqueId val="{00000005-38AC-44FE-8A38-DB3596FE21C1}"/>
            </c:ext>
          </c:extLst>
        </c:ser>
        <c:ser>
          <c:idx val="6"/>
          <c:order val="6"/>
          <c:tx>
            <c:strRef>
              <c:f>'236'!$W$87</c:f>
              <c:strCache>
                <c:ptCount val="1"/>
                <c:pt idx="0">
                  <c:v>Stg.1 Shroud Step#15</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'236'!$W$89:$W$106</c:f>
              <c:numCache>
                <c:formatCode>0.000_ </c:formatCode>
                <c:ptCount val="18"/>
                <c:pt idx="4">
                  <c:v>-3.4911111119924954E-2</c:v>
                </c:pt>
                <c:pt idx="5">
                  <c:v>-3.4911111119924954E-2</c:v>
                </c:pt>
              </c:numCache>
            </c:numRef>
          </c:val>
          <c:extLst>
            <c:ext xmlns:c16="http://schemas.microsoft.com/office/drawing/2014/chart" uri="{C3380CC4-5D6E-409C-BE32-E72D297353CC}">
              <c16:uniqueId val="{00000006-38AC-44FE-8A38-DB3596FE21C1}"/>
            </c:ext>
          </c:extLst>
        </c:ser>
        <c:ser>
          <c:idx val="7"/>
          <c:order val="7"/>
          <c:tx>
            <c:strRef>
              <c:f>'236'!$X$87</c:f>
              <c:strCache>
                <c:ptCount val="1"/>
                <c:pt idx="0">
                  <c:v>Stg.1 Shroud Step#14</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'236'!$X$89:$X$106</c:f>
              <c:numCache>
                <c:formatCode>0.000_ </c:formatCode>
                <c:ptCount val="18"/>
                <c:pt idx="5">
                  <c:v>-4.8311110001066027E-2</c:v>
                </c:pt>
                <c:pt idx="6">
                  <c:v>-4.8311110001066027E-2</c:v>
                </c:pt>
              </c:numCache>
            </c:numRef>
          </c:val>
          <c:extLst>
            <c:ext xmlns:c16="http://schemas.microsoft.com/office/drawing/2014/chart" uri="{C3380CC4-5D6E-409C-BE32-E72D297353CC}">
              <c16:uniqueId val="{00000007-38AC-44FE-8A38-DB3596FE21C1}"/>
            </c:ext>
          </c:extLst>
        </c:ser>
        <c:ser>
          <c:idx val="8"/>
          <c:order val="8"/>
          <c:tx>
            <c:strRef>
              <c:f>'236'!$Y$87</c:f>
              <c:strCache>
                <c:ptCount val="1"/>
                <c:pt idx="0">
                  <c:v>Stg.1 Shroud Step#13</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'236'!$Y$89:$Y$106</c:f>
              <c:numCache>
                <c:formatCode>0.000_ </c:formatCode>
                <c:ptCount val="18"/>
                <c:pt idx="6">
                  <c:v>-3.5333330851756273E-2</c:v>
                </c:pt>
                <c:pt idx="7">
                  <c:v>-3.5333330851756273E-2</c:v>
                </c:pt>
              </c:numCache>
            </c:numRef>
          </c:val>
          <c:extLst>
            <c:ext xmlns:c16="http://schemas.microsoft.com/office/drawing/2014/chart" uri="{C3380CC4-5D6E-409C-BE32-E72D297353CC}">
              <c16:uniqueId val="{00000008-38AC-44FE-8A38-DB3596FE21C1}"/>
            </c:ext>
          </c:extLst>
        </c:ser>
        <c:ser>
          <c:idx val="9"/>
          <c:order val="9"/>
          <c:tx>
            <c:strRef>
              <c:f>'236'!$Z$87</c:f>
              <c:strCache>
                <c:ptCount val="1"/>
                <c:pt idx="0">
                  <c:v>Stg.1 Shroud Step#12</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'236'!$Z$89:$Z$106</c:f>
              <c:numCache>
                <c:formatCode>0.000_ </c:formatCode>
                <c:ptCount val="18"/>
                <c:pt idx="7">
                  <c:v>-1.9466666539130983E-2</c:v>
                </c:pt>
                <c:pt idx="8">
                  <c:v>-1.9466666539130983E-2</c:v>
                </c:pt>
              </c:numCache>
            </c:numRef>
          </c:val>
          <c:extLst>
            <c:ext xmlns:c16="http://schemas.microsoft.com/office/drawing/2014/chart" uri="{C3380CC4-5D6E-409C-BE32-E72D297353CC}">
              <c16:uniqueId val="{00000009-38AC-44FE-8A38-DB3596FE21C1}"/>
            </c:ext>
          </c:extLst>
        </c:ser>
        <c:ser>
          <c:idx val="10"/>
          <c:order val="10"/>
          <c:tx>
            <c:strRef>
              <c:f>'236'!$AA$87</c:f>
              <c:strCache>
                <c:ptCount val="1"/>
                <c:pt idx="0">
                  <c:v>Stg.1 Shroud Step#11</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'236'!$AA$89:$AA$106</c:f>
              <c:numCache>
                <c:formatCode>0.000_ </c:formatCode>
                <c:ptCount val="18"/>
                <c:pt idx="8">
                  <c:v>-2.7333319771400966E-3</c:v>
                </c:pt>
                <c:pt idx="9">
                  <c:v>-2.7333319771400966E-3</c:v>
                </c:pt>
              </c:numCache>
            </c:numRef>
          </c:val>
          <c:extLst>
            <c:ext xmlns:c16="http://schemas.microsoft.com/office/drawing/2014/chart" uri="{C3380CC4-5D6E-409C-BE32-E72D297353CC}">
              <c16:uniqueId val="{0000000A-38AC-44FE-8A38-DB3596FE21C1}"/>
            </c:ext>
          </c:extLst>
        </c:ser>
        <c:ser>
          <c:idx val="11"/>
          <c:order val="11"/>
          <c:tx>
            <c:strRef>
              <c:f>'236'!$AB$87</c:f>
              <c:strCache>
                <c:ptCount val="1"/>
                <c:pt idx="0">
                  <c:v>Stg.1 Shroud Step#10</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'236'!$AB$89:$AB$106</c:f>
              <c:numCache>
                <c:formatCode>0.000_ </c:formatCode>
                <c:ptCount val="18"/>
                <c:pt idx="9">
                  <c:v>3.8666693877189573E-3</c:v>
                </c:pt>
                <c:pt idx="10">
                  <c:v>3.8666693877189573E-3</c:v>
                </c:pt>
              </c:numCache>
            </c:numRef>
          </c:val>
          <c:extLst>
            <c:ext xmlns:c16="http://schemas.microsoft.com/office/drawing/2014/chart" uri="{C3380CC4-5D6E-409C-BE32-E72D297353CC}">
              <c16:uniqueId val="{0000000B-38AC-44FE-8A38-DB3596FE21C1}"/>
            </c:ext>
          </c:extLst>
        </c:ser>
        <c:ser>
          <c:idx val="12"/>
          <c:order val="12"/>
          <c:tx>
            <c:strRef>
              <c:f>'236'!$AC$87</c:f>
              <c:strCache>
                <c:ptCount val="1"/>
                <c:pt idx="0">
                  <c:v>Stg.1 Shroud Step#9</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'236'!$AC$89:$AC$106</c:f>
              <c:numCache>
                <c:formatCode>0.000_ </c:formatCode>
                <c:ptCount val="18"/>
                <c:pt idx="10">
                  <c:v>-9.7555501449164694E-3</c:v>
                </c:pt>
                <c:pt idx="11">
                  <c:v>-9.7555501449164694E-3</c:v>
                </c:pt>
              </c:numCache>
            </c:numRef>
          </c:val>
          <c:extLst>
            <c:ext xmlns:c16="http://schemas.microsoft.com/office/drawing/2014/chart" uri="{C3380CC4-5D6E-409C-BE32-E72D297353CC}">
              <c16:uniqueId val="{0000000C-38AC-44FE-8A38-DB3596FE21C1}"/>
            </c:ext>
          </c:extLst>
        </c:ser>
        <c:ser>
          <c:idx val="13"/>
          <c:order val="13"/>
          <c:tx>
            <c:strRef>
              <c:f>'236'!$AD$87</c:f>
              <c:strCache>
                <c:ptCount val="1"/>
                <c:pt idx="0">
                  <c:v>Stg.1 Shroud Step#8</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'236'!$AD$89:$AD$106</c:f>
              <c:numCache>
                <c:formatCode>0.000_ </c:formatCode>
                <c:ptCount val="18"/>
                <c:pt idx="11">
                  <c:v>-2.2455548603488751E-2</c:v>
                </c:pt>
                <c:pt idx="12">
                  <c:v>-2.2455548603488751E-2</c:v>
                </c:pt>
              </c:numCache>
            </c:numRef>
          </c:val>
          <c:extLst>
            <c:ext xmlns:c16="http://schemas.microsoft.com/office/drawing/2014/chart" uri="{C3380CC4-5D6E-409C-BE32-E72D297353CC}">
              <c16:uniqueId val="{0000000D-38AC-44FE-8A38-DB3596FE21C1}"/>
            </c:ext>
          </c:extLst>
        </c:ser>
        <c:ser>
          <c:idx val="14"/>
          <c:order val="14"/>
          <c:tx>
            <c:strRef>
              <c:f>'236'!$AE$87</c:f>
              <c:strCache>
                <c:ptCount val="1"/>
                <c:pt idx="0">
                  <c:v>Stg.1 Shroud Step#7</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'236'!$AE$89:$AE$106</c:f>
              <c:numCache>
                <c:formatCode>0.000_ </c:formatCode>
                <c:ptCount val="18"/>
                <c:pt idx="12">
                  <c:v>-1.3622220574404764E-2</c:v>
                </c:pt>
                <c:pt idx="13">
                  <c:v>-1.3622220574404764E-2</c:v>
                </c:pt>
              </c:numCache>
            </c:numRef>
          </c:val>
          <c:extLst>
            <c:ext xmlns:c16="http://schemas.microsoft.com/office/drawing/2014/chart" uri="{C3380CC4-5D6E-409C-BE32-E72D297353CC}">
              <c16:uniqueId val="{0000000E-38AC-44FE-8A38-DB3596FE21C1}"/>
            </c:ext>
          </c:extLst>
        </c:ser>
        <c:ser>
          <c:idx val="15"/>
          <c:order val="15"/>
          <c:tx>
            <c:strRef>
              <c:f>'236'!$AF$87</c:f>
              <c:strCache>
                <c:ptCount val="1"/>
                <c:pt idx="0">
                  <c:v>Stg.1 Shroud Step#6</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'236'!$AF$89:$AF$106</c:f>
              <c:numCache>
                <c:formatCode>0.000_ </c:formatCode>
                <c:ptCount val="18"/>
                <c:pt idx="13">
                  <c:v>4.7333333040455727E-3</c:v>
                </c:pt>
                <c:pt idx="14">
                  <c:v>4.7333333040455727E-3</c:v>
                </c:pt>
              </c:numCache>
            </c:numRef>
          </c:val>
          <c:extLst>
            <c:ext xmlns:c16="http://schemas.microsoft.com/office/drawing/2014/chart" uri="{C3380CC4-5D6E-409C-BE32-E72D297353CC}">
              <c16:uniqueId val="{0000000F-38AC-44FE-8A38-DB3596FE21C1}"/>
            </c:ext>
          </c:extLst>
        </c:ser>
        <c:ser>
          <c:idx val="16"/>
          <c:order val="16"/>
          <c:tx>
            <c:strRef>
              <c:f>'236'!$AG$87</c:f>
              <c:strCache>
                <c:ptCount val="1"/>
                <c:pt idx="0">
                  <c:v>Stg.1 Shroud Step#5</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'236'!$AG$89:$AG$106</c:f>
              <c:numCache>
                <c:formatCode>0.000_ </c:formatCode>
                <c:ptCount val="18"/>
                <c:pt idx="14">
                  <c:v>2.022226662063531E-3</c:v>
                </c:pt>
                <c:pt idx="15">
                  <c:v>2.022226662063531E-3</c:v>
                </c:pt>
              </c:numCache>
            </c:numRef>
          </c:val>
          <c:extLst>
            <c:ext xmlns:c16="http://schemas.microsoft.com/office/drawing/2014/chart" uri="{C3380CC4-5D6E-409C-BE32-E72D297353CC}">
              <c16:uniqueId val="{00000010-38AC-44FE-8A38-DB3596FE21C1}"/>
            </c:ext>
          </c:extLst>
        </c:ser>
        <c:ser>
          <c:idx val="17"/>
          <c:order val="17"/>
          <c:tx>
            <c:strRef>
              <c:f>'236'!$AH$87</c:f>
              <c:strCache>
                <c:ptCount val="1"/>
                <c:pt idx="0">
                  <c:v>Stg.1 Shroud Step#4</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'236'!$AH$89:$AH$106</c:f>
              <c:numCache>
                <c:formatCode>0.000_ </c:formatCode>
                <c:ptCount val="18"/>
                <c:pt idx="15">
                  <c:v>-1.5722209655166353E-2</c:v>
                </c:pt>
                <c:pt idx="16">
                  <c:v>-1.5722209655166353E-2</c:v>
                </c:pt>
              </c:numCache>
            </c:numRef>
          </c:val>
          <c:extLst>
            <c:ext xmlns:c16="http://schemas.microsoft.com/office/drawing/2014/chart" uri="{C3380CC4-5D6E-409C-BE32-E72D297353CC}">
              <c16:uniqueId val="{00000011-38AC-44FE-8A38-DB3596FE21C1}"/>
            </c:ext>
          </c:extLst>
        </c:ser>
        <c:ser>
          <c:idx val="18"/>
          <c:order val="18"/>
          <c:tx>
            <c:strRef>
              <c:f>'236'!$AI$87</c:f>
              <c:strCache>
                <c:ptCount val="1"/>
                <c:pt idx="0">
                  <c:v>Stg.1 Shroud Step#3</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'236'!$AI$89:$AI$106</c:f>
              <c:numCache>
                <c:formatCode>0.000_ </c:formatCode>
                <c:ptCount val="18"/>
                <c:pt idx="16">
                  <c:v>-2.8133324647171776E-2</c:v>
                </c:pt>
                <c:pt idx="17">
                  <c:v>-2.8133324647171776E-2</c:v>
                </c:pt>
              </c:numCache>
            </c:numRef>
          </c:val>
          <c:extLst>
            <c:ext xmlns:c16="http://schemas.microsoft.com/office/drawing/2014/chart" uri="{C3380CC4-5D6E-409C-BE32-E72D297353CC}">
              <c16:uniqueId val="{00000012-38AC-44FE-8A38-DB3596FE21C1}"/>
            </c:ext>
          </c:extLst>
        </c:ser>
        <c:ser>
          <c:idx val="19"/>
          <c:order val="19"/>
          <c:tx>
            <c:strRef>
              <c:f>'236'!$AJ$87</c:f>
              <c:strCache>
                <c:ptCount val="1"/>
                <c:pt idx="0">
                  <c:v>Stg.1 Shroud Step#2</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'236'!$AJ$89:$AJ$106</c:f>
              <c:numCache>
                <c:formatCode>0.000_ </c:formatCode>
                <c:ptCount val="18"/>
                <c:pt idx="0">
                  <c:v>-1.4777772125853517E-3</c:v>
                </c:pt>
                <c:pt idx="17">
                  <c:v>-1.4777772125853517E-3</c:v>
                </c:pt>
              </c:numCache>
            </c:numRef>
          </c:val>
          <c:extLst>
            <c:ext xmlns:c16="http://schemas.microsoft.com/office/drawing/2014/chart" uri="{C3380CC4-5D6E-409C-BE32-E72D297353CC}">
              <c16:uniqueId val="{00000013-38AC-44FE-8A38-DB3596FE21C1}"/>
            </c:ext>
          </c:extLst>
        </c:ser>
        <c:dLbls>
          <c:showLegendKey val="0"/>
          <c:showVal val="0"/>
          <c:showCatName val="0"/>
          <c:showSerName val="0"/>
          <c:showPercent val="0"/>
          <c:showBubbleSize val="0"/>
        </c:dLbls>
        <c:axId val="169595392"/>
        <c:axId val="168367168"/>
      </c:radarChart>
      <c:catAx>
        <c:axId val="16959539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68367168"/>
        <c:crosses val="autoZero"/>
        <c:auto val="1"/>
        <c:lblAlgn val="ctr"/>
        <c:lblOffset val="100"/>
        <c:noMultiLvlLbl val="0"/>
      </c:catAx>
      <c:valAx>
        <c:axId val="16836716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69595392"/>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'237'!$K$9</c:f>
              <c:strCache>
                <c:ptCount val="1"/>
                <c:pt idx="0">
                  <c:v>CMM</c:v>
                </c:pt>
              </c:strCache>
            </c:strRef>
          </c:tx>
          <c:marker>
            <c:symbol val="none"/>
          </c:marker>
          <c:cat>
            <c:numRef>
              <c:f>'237'!$J$11:$J$26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'237'!$K$11:$K$26</c:f>
              <c:numCache>
                <c:formatCode>General</c:formatCode>
                <c:ptCount val="16"/>
                <c:pt idx="0">
                  <c:v>361.38300000138355</c:v>
                </c:pt>
                <c:pt idx="1">
                  <c:v>361.39000002213675</c:v>
                </c:pt>
                <c:pt idx="2">
                  <c:v>361.38900000000001</c:v>
                </c:pt>
                <c:pt idx="3">
                  <c:v>361.43000004980217</c:v>
                </c:pt>
                <c:pt idx="4">
                  <c:v>361.4230000013834</c:v>
                </c:pt>
                <c:pt idx="5">
                  <c:v>361.43300002213414</c:v>
                </c:pt>
                <c:pt idx="6">
                  <c:v>361.37300000138362</c:v>
                </c:pt>
                <c:pt idx="7">
                  <c:v>361.36100001245291</c:v>
                </c:pt>
                <c:pt idx="8">
                  <c:v>361.35900000138366</c:v>
                </c:pt>
                <c:pt idx="9">
                  <c:v>361.38600001245209</c:v>
                </c:pt>
                <c:pt idx="10">
                  <c:v>361.401000005534</c:v>
                </c:pt>
                <c:pt idx="11">
                  <c:v>361.43700016738745</c:v>
                </c:pt>
                <c:pt idx="12">
                  <c:v>361.4230000013834</c:v>
                </c:pt>
                <c:pt idx="13">
                  <c:v>361.42599999999999</c:v>
                </c:pt>
                <c:pt idx="14">
                  <c:v>361.38000001245223</c:v>
                </c:pt>
                <c:pt idx="15">
                  <c:v>361.37300000138362</c:v>
                </c:pt>
              </c:numCache>
            </c:numRef>
          </c:val>
          <c:extLst>
            <c:ext xmlns:c16="http://schemas.microsoft.com/office/drawing/2014/chart" uri="{C3380CC4-5D6E-409C-BE32-E72D297353CC}">
              <c16:uniqueId val="{00000000-E5DF-45FF-B6C0-75EDF5A45A78}"/>
            </c:ext>
          </c:extLst>
        </c:ser>
        <c:ser>
          <c:idx val="1"/>
          <c:order val="1"/>
          <c:tx>
            <c:strRef>
              <c:f>'237'!$L$9</c:f>
              <c:strCache>
                <c:ptCount val="1"/>
                <c:pt idx="0">
                  <c:v>Dwg Min</c:v>
                </c:pt>
              </c:strCache>
            </c:strRef>
          </c:tx>
          <c:spPr>
            <a:ln>
              <a:prstDash val="dash"/>
            </a:ln>
          </c:spPr>
          <c:marker>
            <c:symbol val="none"/>
          </c:marker>
          <c:val>
            <c:numRef>
              <c:f>'237'!$L$11:$L$26</c:f>
              <c:numCache>
                <c:formatCode>General</c:formatCode>
                <c:ptCount val="16"/>
                <c:pt idx="0">
                  <c:v>361.31</c:v>
                </c:pt>
                <c:pt idx="1">
                  <c:v>361.31</c:v>
                </c:pt>
                <c:pt idx="2">
                  <c:v>361.31</c:v>
                </c:pt>
                <c:pt idx="3">
                  <c:v>361.31</c:v>
                </c:pt>
                <c:pt idx="4">
                  <c:v>361.31</c:v>
                </c:pt>
                <c:pt idx="5">
                  <c:v>361.31</c:v>
                </c:pt>
                <c:pt idx="6">
                  <c:v>361.31</c:v>
                </c:pt>
                <c:pt idx="7">
                  <c:v>361.31</c:v>
                </c:pt>
                <c:pt idx="8">
                  <c:v>361.31</c:v>
                </c:pt>
                <c:pt idx="9">
                  <c:v>361.31</c:v>
                </c:pt>
                <c:pt idx="10">
                  <c:v>361.31</c:v>
                </c:pt>
                <c:pt idx="11">
                  <c:v>361.31</c:v>
                </c:pt>
                <c:pt idx="12">
                  <c:v>361.31</c:v>
                </c:pt>
                <c:pt idx="13">
                  <c:v>361.31</c:v>
                </c:pt>
                <c:pt idx="14">
                  <c:v>361.31</c:v>
                </c:pt>
                <c:pt idx="15">
                  <c:v>361.31</c:v>
                </c:pt>
              </c:numCache>
            </c:numRef>
          </c:val>
          <c:extLst>
            <c:ext xmlns:c16="http://schemas.microsoft.com/office/drawing/2014/chart" uri="{C3380CC4-5D6E-409C-BE32-E72D297353CC}">
              <c16:uniqueId val="{00000001-E5DF-45FF-B6C0-75EDF5A45A78}"/>
            </c:ext>
          </c:extLst>
        </c:ser>
        <c:ser>
          <c:idx val="2"/>
          <c:order val="2"/>
          <c:tx>
            <c:strRef>
              <c:f>'237'!$M$9</c:f>
              <c:strCache>
                <c:ptCount val="1"/>
                <c:pt idx="0">
                  <c:v>Dwg Max</c:v>
                </c:pt>
              </c:strCache>
            </c:strRef>
          </c:tx>
          <c:spPr>
            <a:ln>
              <a:prstDash val="dash"/>
            </a:ln>
          </c:spPr>
          <c:marker>
            <c:symbol val="none"/>
          </c:marker>
          <c:val>
            <c:numRef>
              <c:f>'237'!$M$11:$M$26</c:f>
              <c:numCache>
                <c:formatCode>General</c:formatCode>
                <c:ptCount val="16"/>
                <c:pt idx="0">
                  <c:v>361.48999999999995</c:v>
                </c:pt>
                <c:pt idx="1">
                  <c:v>361.48999999999995</c:v>
                </c:pt>
                <c:pt idx="2">
                  <c:v>361.48999999999995</c:v>
                </c:pt>
                <c:pt idx="3">
                  <c:v>361.48999999999995</c:v>
                </c:pt>
                <c:pt idx="4">
                  <c:v>361.48999999999995</c:v>
                </c:pt>
                <c:pt idx="5">
                  <c:v>361.48999999999995</c:v>
                </c:pt>
                <c:pt idx="6">
                  <c:v>361.48999999999995</c:v>
                </c:pt>
                <c:pt idx="7">
                  <c:v>361.48999999999995</c:v>
                </c:pt>
                <c:pt idx="8">
                  <c:v>361.48999999999995</c:v>
                </c:pt>
                <c:pt idx="9">
                  <c:v>361.48999999999995</c:v>
                </c:pt>
                <c:pt idx="10">
                  <c:v>361.48999999999995</c:v>
                </c:pt>
                <c:pt idx="11">
                  <c:v>361.48999999999995</c:v>
                </c:pt>
                <c:pt idx="12">
                  <c:v>361.48999999999995</c:v>
                </c:pt>
                <c:pt idx="13">
                  <c:v>361.48999999999995</c:v>
                </c:pt>
                <c:pt idx="14">
                  <c:v>361.48999999999995</c:v>
                </c:pt>
                <c:pt idx="15">
                  <c:v>361.48999999999995</c:v>
                </c:pt>
              </c:numCache>
            </c:numRef>
          </c:val>
          <c:extLst>
            <c:ext xmlns:c16="http://schemas.microsoft.com/office/drawing/2014/chart" uri="{C3380CC4-5D6E-409C-BE32-E72D297353CC}">
              <c16:uniqueId val="{00000002-E5DF-45FF-B6C0-75EDF5A45A78}"/>
            </c:ext>
          </c:extLst>
        </c:ser>
        <c:dLbls>
          <c:showLegendKey val="0"/>
          <c:showVal val="0"/>
          <c:showCatName val="0"/>
          <c:showSerName val="0"/>
          <c:showPercent val="0"/>
          <c:showBubbleSize val="0"/>
        </c:dLbls>
        <c:axId val="169596416"/>
        <c:axId val="170025536"/>
      </c:radarChart>
      <c:catAx>
        <c:axId val="16959641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025536"/>
        <c:crosses val="autoZero"/>
        <c:auto val="1"/>
        <c:lblAlgn val="ctr"/>
        <c:lblOffset val="100"/>
        <c:noMultiLvlLbl val="0"/>
      </c:catAx>
      <c:valAx>
        <c:axId val="170025536"/>
        <c:scaling>
          <c:orientation val="minMax"/>
          <c:min val="361.25"/>
        </c:scaling>
        <c:delete val="0"/>
        <c:axPos val="l"/>
        <c:majorGridlines/>
        <c:numFmt formatCode="General" sourceLinked="1"/>
        <c:majorTickMark val="cross"/>
        <c:minorTickMark val="none"/>
        <c:tickLblPos val="nextTo"/>
        <c:txPr>
          <a:bodyPr/>
          <a:lstStyle/>
          <a:p>
            <a:pPr>
              <a:defRPr lang="ja-JP"/>
            </a:pPr>
            <a:endParaRPr lang="en-US"/>
          </a:p>
        </c:txPr>
        <c:crossAx val="169596416"/>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'237'!$BC$34</c:f>
              <c:strCache>
                <c:ptCount val="1"/>
                <c:pt idx="0">
                  <c:v>LPT Case Hook R Min</c:v>
                </c:pt>
              </c:strCache>
            </c:strRef>
          </c:tx>
          <c:spPr>
            <a:ln w="28575">
              <a:prstDash val="dash"/>
            </a:ln>
          </c:spPr>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'237'!$BC$36:$BC$71</c:f>
              <c:numCache>
                <c:formatCode>General</c:formatCode>
                <c:ptCount val="36"/>
                <c:pt idx="0">
                  <c:v>361.36799999999999</c:v>
                </c:pt>
                <c:pt idx="1">
                  <c:v>361.36799999999999</c:v>
                </c:pt>
                <c:pt idx="2">
                  <c:v>361.36799999999999</c:v>
                </c:pt>
                <c:pt idx="3">
                  <c:v>361.36799999999999</c:v>
                </c:pt>
                <c:pt idx="4">
                  <c:v>361.36799999999999</c:v>
                </c:pt>
                <c:pt idx="5">
                  <c:v>361.36799999999999</c:v>
                </c:pt>
                <c:pt idx="6">
                  <c:v>361.36799999999999</c:v>
                </c:pt>
                <c:pt idx="7">
                  <c:v>361.36799999999999</c:v>
                </c:pt>
                <c:pt idx="8">
                  <c:v>361.36799999999999</c:v>
                </c:pt>
                <c:pt idx="9">
                  <c:v>361.36799999999999</c:v>
                </c:pt>
                <c:pt idx="10">
                  <c:v>361.36799999999999</c:v>
                </c:pt>
                <c:pt idx="11">
                  <c:v>361.36799999999999</c:v>
                </c:pt>
                <c:pt idx="12">
                  <c:v>361.36799999999999</c:v>
                </c:pt>
                <c:pt idx="13">
                  <c:v>361.36799999999999</c:v>
                </c:pt>
                <c:pt idx="14">
                  <c:v>361.36799999999999</c:v>
                </c:pt>
                <c:pt idx="15">
                  <c:v>361.36799999999999</c:v>
                </c:pt>
                <c:pt idx="16">
                  <c:v>361.36799999999999</c:v>
                </c:pt>
                <c:pt idx="17">
                  <c:v>361.36799999999999</c:v>
                </c:pt>
                <c:pt idx="18">
                  <c:v>361.36799999999999</c:v>
                </c:pt>
                <c:pt idx="19">
                  <c:v>361.36799999999999</c:v>
                </c:pt>
                <c:pt idx="20">
                  <c:v>361.36799999999999</c:v>
                </c:pt>
                <c:pt idx="21">
                  <c:v>361.36799999999999</c:v>
                </c:pt>
                <c:pt idx="22">
                  <c:v>361.36799999999999</c:v>
                </c:pt>
                <c:pt idx="23">
                  <c:v>361.36799999999999</c:v>
                </c:pt>
                <c:pt idx="24">
                  <c:v>361.36799999999999</c:v>
                </c:pt>
                <c:pt idx="25">
                  <c:v>361.36799999999999</c:v>
                </c:pt>
                <c:pt idx="26">
                  <c:v>361.36799999999999</c:v>
                </c:pt>
                <c:pt idx="27">
                  <c:v>361.36799999999999</c:v>
                </c:pt>
                <c:pt idx="28">
                  <c:v>361.36799999999999</c:v>
                </c:pt>
                <c:pt idx="29">
                  <c:v>361.36799999999999</c:v>
                </c:pt>
                <c:pt idx="30">
                  <c:v>361.36799999999999</c:v>
                </c:pt>
                <c:pt idx="31">
                  <c:v>361.36799999999999</c:v>
                </c:pt>
                <c:pt idx="32">
                  <c:v>361.36799999999999</c:v>
                </c:pt>
                <c:pt idx="33">
                  <c:v>361.36799999999999</c:v>
                </c:pt>
                <c:pt idx="34">
                  <c:v>361.36799999999999</c:v>
                </c:pt>
                <c:pt idx="35">
                  <c:v>361.36799999999999</c:v>
                </c:pt>
              </c:numCache>
            </c:numRef>
          </c:val>
          <c:extLst>
            <c:ext xmlns:c16="http://schemas.microsoft.com/office/drawing/2014/chart" uri="{C3380CC4-5D6E-409C-BE32-E72D297353CC}">
              <c16:uniqueId val="{00000000-E1D5-4F69-9191-2CC0A569037E}"/>
            </c:ext>
          </c:extLst>
        </c:ser>
        <c:ser>
          <c:idx val="1"/>
          <c:order val="1"/>
          <c:tx>
            <c:strRef>
              <c:f>'237'!$BD$34</c:f>
              <c:strCache>
                <c:ptCount val="1"/>
                <c:pt idx="0">
                  <c:v>LPT Case Hook R Max</c:v>
                </c:pt>
              </c:strCache>
            </c:strRef>
          </c:tx>
          <c:spPr>
            <a:ln w="28575">
              <a:prstDash val="dash"/>
            </a:ln>
          </c:spPr>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'237'!$BD$36:$BD$71</c:f>
              <c:numCache>
                <c:formatCode>General</c:formatCode>
                <c:ptCount val="36"/>
                <c:pt idx="0">
                  <c:v>361.43199999999996</c:v>
                </c:pt>
                <c:pt idx="1">
                  <c:v>361.43199999999996</c:v>
                </c:pt>
                <c:pt idx="2">
                  <c:v>361.43199999999996</c:v>
                </c:pt>
                <c:pt idx="3">
                  <c:v>361.43199999999996</c:v>
                </c:pt>
                <c:pt idx="4">
                  <c:v>361.43199999999996</c:v>
                </c:pt>
                <c:pt idx="5">
                  <c:v>361.43199999999996</c:v>
                </c:pt>
                <c:pt idx="6">
                  <c:v>361.43199999999996</c:v>
                </c:pt>
                <c:pt idx="7">
                  <c:v>361.43199999999996</c:v>
                </c:pt>
                <c:pt idx="8">
                  <c:v>361.43199999999996</c:v>
                </c:pt>
                <c:pt idx="9">
                  <c:v>361.43199999999996</c:v>
                </c:pt>
                <c:pt idx="10">
                  <c:v>361.43199999999996</c:v>
                </c:pt>
                <c:pt idx="11">
                  <c:v>361.43199999999996</c:v>
                </c:pt>
                <c:pt idx="12">
                  <c:v>361.43199999999996</c:v>
                </c:pt>
                <c:pt idx="13">
                  <c:v>361.43199999999996</c:v>
                </c:pt>
                <c:pt idx="14">
                  <c:v>361.43199999999996</c:v>
                </c:pt>
                <c:pt idx="15">
                  <c:v>361.43199999999996</c:v>
                </c:pt>
                <c:pt idx="16">
                  <c:v>361.43199999999996</c:v>
                </c:pt>
                <c:pt idx="17">
                  <c:v>361.43199999999996</c:v>
                </c:pt>
                <c:pt idx="18">
                  <c:v>361.43199999999996</c:v>
                </c:pt>
                <c:pt idx="19">
                  <c:v>361.43199999999996</c:v>
                </c:pt>
                <c:pt idx="20">
                  <c:v>361.43199999999996</c:v>
                </c:pt>
                <c:pt idx="21">
                  <c:v>361.43199999999996</c:v>
                </c:pt>
                <c:pt idx="22">
                  <c:v>361.43199999999996</c:v>
                </c:pt>
                <c:pt idx="23">
                  <c:v>361.43199999999996</c:v>
                </c:pt>
                <c:pt idx="24">
                  <c:v>361.43199999999996</c:v>
                </c:pt>
                <c:pt idx="25">
                  <c:v>361.43199999999996</c:v>
                </c:pt>
                <c:pt idx="26">
                  <c:v>361.43199999999996</c:v>
                </c:pt>
                <c:pt idx="27">
                  <c:v>361.43199999999996</c:v>
                </c:pt>
                <c:pt idx="28">
                  <c:v>361.43199999999996</c:v>
                </c:pt>
                <c:pt idx="29">
                  <c:v>361.43199999999996</c:v>
                </c:pt>
                <c:pt idx="30">
                  <c:v>361.43199999999996</c:v>
                </c:pt>
                <c:pt idx="31">
                  <c:v>361.43199999999996</c:v>
                </c:pt>
                <c:pt idx="32">
                  <c:v>361.43199999999996</c:v>
                </c:pt>
                <c:pt idx="33">
                  <c:v>361.43199999999996</c:v>
                </c:pt>
                <c:pt idx="34">
                  <c:v>361.43199999999996</c:v>
                </c:pt>
                <c:pt idx="35">
                  <c:v>361.43199999999996</c:v>
                </c:pt>
              </c:numCache>
            </c:numRef>
          </c:val>
          <c:extLst>
            <c:ext xmlns:c16="http://schemas.microsoft.com/office/drawing/2014/chart" uri="{C3380CC4-5D6E-409C-BE32-E72D297353CC}">
              <c16:uniqueId val="{00000001-E1D5-4F69-9191-2CC0A569037E}"/>
            </c:ext>
          </c:extLst>
        </c:ser>
        <c:ser>
          <c:idx val="2"/>
          <c:order val="2"/>
          <c:tx>
            <c:strRef>
              <c:f>'237'!$S$34</c:f>
              <c:strCache>
                <c:ptCount val="1"/>
                <c:pt idx="0">
                  <c:v>Stg.2 Nozzle Fwd#1</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'237'!$S$36:$S$71</c:f>
              <c:numCache>
                <c:formatCode>0.000</c:formatCode>
                <c:ptCount val="36"/>
                <c:pt idx="0">
                  <c:v>361.38033333471691</c:v>
                </c:pt>
                <c:pt idx="1">
                  <c:v>361.38033333471691</c:v>
                </c:pt>
              </c:numCache>
            </c:numRef>
          </c:val>
          <c:extLst>
            <c:ext xmlns:c16="http://schemas.microsoft.com/office/drawing/2014/chart" uri="{C3380CC4-5D6E-409C-BE32-E72D297353CC}">
              <c16:uniqueId val="{00000002-E1D5-4F69-9191-2CC0A569037E}"/>
            </c:ext>
          </c:extLst>
        </c:ser>
        <c:ser>
          <c:idx val="3"/>
          <c:order val="3"/>
          <c:tx>
            <c:strRef>
              <c:f>'237'!$T$34</c:f>
              <c:strCache>
                <c:ptCount val="1"/>
                <c:pt idx="0">
                  <c:v>Stg.2 Nozzle Fwd#36</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'237'!$T$36:$T$71</c:f>
              <c:numCache>
                <c:formatCode>0.000</c:formatCode>
                <c:ptCount val="36"/>
                <c:pt idx="1">
                  <c:v>361.384177783312</c:v>
                </c:pt>
                <c:pt idx="2">
                  <c:v>361.384177783312</c:v>
                </c:pt>
              </c:numCache>
            </c:numRef>
          </c:val>
          <c:extLst>
            <c:ext xmlns:c16="http://schemas.microsoft.com/office/drawing/2014/chart" uri="{C3380CC4-5D6E-409C-BE32-E72D297353CC}">
              <c16:uniqueId val="{00000003-E1D5-4F69-9191-2CC0A569037E}"/>
            </c:ext>
          </c:extLst>
        </c:ser>
        <c:ser>
          <c:idx val="4"/>
          <c:order val="4"/>
          <c:tx>
            <c:strRef>
              <c:f>'237'!$U$34</c:f>
              <c:strCache>
                <c:ptCount val="1"/>
                <c:pt idx="0">
                  <c:v>Stg.2 Nozzle Fwd#35</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'237'!$U$36:$U$71</c:f>
              <c:numCache>
                <c:formatCode>General</c:formatCode>
                <c:ptCount val="36"/>
                <c:pt idx="2" formatCode="0.000">
                  <c:v>361.38735556985222</c:v>
                </c:pt>
                <c:pt idx="3" formatCode="0.000">
                  <c:v>361.38735556985222</c:v>
                </c:pt>
              </c:numCache>
            </c:numRef>
          </c:val>
          <c:extLst>
            <c:ext xmlns:c16="http://schemas.microsoft.com/office/drawing/2014/chart" uri="{C3380CC4-5D6E-409C-BE32-E72D297353CC}">
              <c16:uniqueId val="{00000004-E1D5-4F69-9191-2CC0A569037E}"/>
            </c:ext>
          </c:extLst>
        </c:ser>
        <c:ser>
          <c:idx val="5"/>
          <c:order val="5"/>
          <c:tx>
            <c:strRef>
              <c:f>'237'!$V$34</c:f>
              <c:strCache>
                <c:ptCount val="1"/>
                <c:pt idx="0">
                  <c:v>Stg.2 Nozzle Fwd#34</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'237'!$V$36:$V$71</c:f>
              <c:numCache>
                <c:formatCode>General</c:formatCode>
                <c:ptCount val="36"/>
                <c:pt idx="3" formatCode="0.000">
                  <c:v>361.38931112843619</c:v>
                </c:pt>
                <c:pt idx="4" formatCode="0.000">
                  <c:v>361.38931112843619</c:v>
                </c:pt>
              </c:numCache>
            </c:numRef>
          </c:val>
          <c:extLst>
            <c:ext xmlns:c16="http://schemas.microsoft.com/office/drawing/2014/chart" uri="{C3380CC4-5D6E-409C-BE32-E72D297353CC}">
              <c16:uniqueId val="{00000005-E1D5-4F69-9191-2CC0A569037E}"/>
            </c:ext>
          </c:extLst>
        </c:ser>
        <c:ser>
          <c:idx val="6"/>
          <c:order val="6"/>
          <c:tx>
            <c:strRef>
              <c:f>'237'!$W$34</c:f>
              <c:strCache>
                <c:ptCount val="1"/>
                <c:pt idx="0">
                  <c:v>Stg.2 Nozzle Fwd#33</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'237'!$W$36:$W$71</c:f>
              <c:numCache>
                <c:formatCode>General</c:formatCode>
                <c:ptCount val="36"/>
                <c:pt idx="4" formatCode="0.000">
                  <c:v>361.3894888997113</c:v>
                </c:pt>
                <c:pt idx="5" formatCode="0.000">
                  <c:v>361.3894888997113</c:v>
                </c:pt>
              </c:numCache>
            </c:numRef>
          </c:val>
          <c:extLst>
            <c:ext xmlns:c16="http://schemas.microsoft.com/office/drawing/2014/chart" uri="{C3380CC4-5D6E-409C-BE32-E72D297353CC}">
              <c16:uniqueId val="{00000006-E1D5-4F69-9191-2CC0A569037E}"/>
            </c:ext>
          </c:extLst>
        </c:ser>
        <c:ser>
          <c:idx val="7"/>
          <c:order val="7"/>
          <c:tx>
            <c:strRef>
              <c:f>'237'!$X$34</c:f>
              <c:strCache>
                <c:ptCount val="1"/>
                <c:pt idx="0">
                  <c:v>Stg.2 Nozzle Fwd#32</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'237'!$X$36:$X$71</c:f>
              <c:numCache>
                <c:formatCode>General</c:formatCode>
                <c:ptCount val="36"/>
                <c:pt idx="5" formatCode="0.000">
                  <c:v>361.39277778515623</c:v>
                </c:pt>
                <c:pt idx="6" formatCode="0.000">
                  <c:v>361.39277778515623</c:v>
                </c:pt>
              </c:numCache>
            </c:numRef>
          </c:val>
          <c:extLst>
            <c:ext xmlns:c16="http://schemas.microsoft.com/office/drawing/2014/chart" uri="{C3380CC4-5D6E-409C-BE32-E72D297353CC}">
              <c16:uniqueId val="{00000007-E1D5-4F69-9191-2CC0A569037E}"/>
            </c:ext>
          </c:extLst>
        </c:ser>
        <c:ser>
          <c:idx val="8"/>
          <c:order val="8"/>
          <c:tx>
            <c:strRef>
              <c:f>'237'!$Y$34</c:f>
              <c:strCache>
                <c:ptCount val="1"/>
                <c:pt idx="0">
                  <c:v>Stg.2 Nozzle Fwd#31</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'237'!$Y$36:$Y$71</c:f>
              <c:numCache>
                <c:formatCode>General</c:formatCode>
                <c:ptCount val="36"/>
                <c:pt idx="6" formatCode="0.000">
                  <c:v>361.40540001992088</c:v>
                </c:pt>
                <c:pt idx="7" formatCode="0.000">
                  <c:v>361.40540001992088</c:v>
                </c:pt>
              </c:numCache>
            </c:numRef>
          </c:val>
          <c:extLst>
            <c:ext xmlns:c16="http://schemas.microsoft.com/office/drawing/2014/chart" uri="{C3380CC4-5D6E-409C-BE32-E72D297353CC}">
              <c16:uniqueId val="{00000008-E1D5-4F69-9191-2CC0A569037E}"/>
            </c:ext>
          </c:extLst>
        </c:ser>
        <c:ser>
          <c:idx val="9"/>
          <c:order val="9"/>
          <c:tx>
            <c:strRef>
              <c:f>'237'!$Z$34</c:f>
              <c:strCache>
                <c:ptCount val="1"/>
                <c:pt idx="0">
                  <c:v>Stg.2 Nozzle Fwd#30</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'237'!$Z$36:$Z$71</c:f>
              <c:numCache>
                <c:formatCode>General</c:formatCode>
                <c:ptCount val="36"/>
                <c:pt idx="7" formatCode="0.000">
                  <c:v>361.42202226100335</c:v>
                </c:pt>
                <c:pt idx="8" formatCode="0.000">
                  <c:v>361.42202226100335</c:v>
                </c:pt>
              </c:numCache>
            </c:numRef>
          </c:val>
          <c:extLst>
            <c:ext xmlns:c16="http://schemas.microsoft.com/office/drawing/2014/chart" uri="{C3380CC4-5D6E-409C-BE32-E72D297353CC}">
              <c16:uniqueId val="{00000009-E1D5-4F69-9191-2CC0A569037E}"/>
            </c:ext>
          </c:extLst>
        </c:ser>
        <c:ser>
          <c:idx val="10"/>
          <c:order val="10"/>
          <c:tx>
            <c:strRef>
              <c:f>'237'!$AA$34</c:f>
              <c:strCache>
                <c:ptCount val="1"/>
                <c:pt idx="0">
                  <c:v>Stg.2 Nozzle Fwd#29</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'237'!$AA$36:$AA$71</c:f>
              <c:numCache>
                <c:formatCode>General</c:formatCode>
                <c:ptCount val="36"/>
                <c:pt idx="8" formatCode="0.000">
                  <c:v>361.42797781359229</c:v>
                </c:pt>
                <c:pt idx="9" formatCode="0.000">
                  <c:v>361.42797781359229</c:v>
                </c:pt>
              </c:numCache>
            </c:numRef>
          </c:val>
          <c:extLst>
            <c:ext xmlns:c16="http://schemas.microsoft.com/office/drawing/2014/chart" uri="{C3380CC4-5D6E-409C-BE32-E72D297353CC}">
              <c16:uniqueId val="{0000000A-E1D5-4F69-9191-2CC0A569037E}"/>
            </c:ext>
          </c:extLst>
        </c:ser>
        <c:ser>
          <c:idx val="11"/>
          <c:order val="11"/>
          <c:tx>
            <c:strRef>
              <c:f>'237'!$AB$34</c:f>
              <c:strCache>
                <c:ptCount val="1"/>
                <c:pt idx="0">
                  <c:v>Stg.2 Nozzle Fwd#28</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'237'!$AB$36:$AB$71</c:f>
              <c:numCache>
                <c:formatCode>General</c:formatCode>
                <c:ptCount val="36"/>
                <c:pt idx="9" formatCode="0.000">
                  <c:v>361.42486668096171</c:v>
                </c:pt>
                <c:pt idx="10" formatCode="0.000">
                  <c:v>361.42486668096171</c:v>
                </c:pt>
              </c:numCache>
            </c:numRef>
          </c:val>
          <c:extLst>
            <c:ext xmlns:c16="http://schemas.microsoft.com/office/drawing/2014/chart" uri="{C3380CC4-5D6E-409C-BE32-E72D297353CC}">
              <c16:uniqueId val="{0000000B-E1D5-4F69-9191-2CC0A569037E}"/>
            </c:ext>
          </c:extLst>
        </c:ser>
        <c:ser>
          <c:idx val="12"/>
          <c:order val="12"/>
          <c:tx>
            <c:strRef>
              <c:f>'237'!$AC$34</c:f>
              <c:strCache>
                <c:ptCount val="1"/>
                <c:pt idx="0">
                  <c:v>Stg.2 Nozzle Fwd#27</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'237'!$AC$36:$AC$71</c:f>
              <c:numCache>
                <c:formatCode>General</c:formatCode>
                <c:ptCount val="36"/>
                <c:pt idx="10" formatCode="0.000">
                  <c:v>361.42515556216506</c:v>
                </c:pt>
                <c:pt idx="11" formatCode="0.000">
                  <c:v>361.42515556216506</c:v>
                </c:pt>
              </c:numCache>
            </c:numRef>
          </c:val>
          <c:extLst>
            <c:ext xmlns:c16="http://schemas.microsoft.com/office/drawing/2014/chart" uri="{C3380CC4-5D6E-409C-BE32-E72D297353CC}">
              <c16:uniqueId val="{0000000C-E1D5-4F69-9191-2CC0A569037E}"/>
            </c:ext>
          </c:extLst>
        </c:ser>
        <c:ser>
          <c:idx val="13"/>
          <c:order val="13"/>
          <c:tx>
            <c:strRef>
              <c:f>'237'!$AD$34</c:f>
              <c:strCache>
                <c:ptCount val="1"/>
                <c:pt idx="0">
                  <c:v>Stg.2 Nozzle Fwd#26</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'237'!$AD$36:$AD$71</c:f>
              <c:numCache>
                <c:formatCode>General</c:formatCode>
                <c:ptCount val="36"/>
                <c:pt idx="11" formatCode="0.000">
                  <c:v>361.42922223651721</c:v>
                </c:pt>
                <c:pt idx="12" formatCode="0.000">
                  <c:v>361.42922223651721</c:v>
                </c:pt>
              </c:numCache>
            </c:numRef>
          </c:val>
          <c:extLst>
            <c:ext xmlns:c16="http://schemas.microsoft.com/office/drawing/2014/chart" uri="{C3380CC4-5D6E-409C-BE32-E72D297353CC}">
              <c16:uniqueId val="{0000000D-E1D5-4F69-9191-2CC0A569037E}"/>
            </c:ext>
          </c:extLst>
        </c:ser>
        <c:ser>
          <c:idx val="14"/>
          <c:order val="14"/>
          <c:tx>
            <c:strRef>
              <c:f>'237'!$AE$34</c:f>
              <c:strCache>
                <c:ptCount val="1"/>
                <c:pt idx="0">
                  <c:v>Stg.2 Nozzle Fwd#25</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'237'!$AE$36:$AE$71</c:f>
              <c:numCache>
                <c:formatCode>General</c:formatCode>
                <c:ptCount val="36"/>
                <c:pt idx="12" formatCode="0.000">
                  <c:v>361.42355557307849</c:v>
                </c:pt>
                <c:pt idx="13" formatCode="0.000">
                  <c:v>361.42355557307849</c:v>
                </c:pt>
              </c:numCache>
            </c:numRef>
          </c:val>
          <c:extLst>
            <c:ext xmlns:c16="http://schemas.microsoft.com/office/drawing/2014/chart" uri="{C3380CC4-5D6E-409C-BE32-E72D297353CC}">
              <c16:uniqueId val="{0000000E-E1D5-4F69-9191-2CC0A569037E}"/>
            </c:ext>
          </c:extLst>
        </c:ser>
        <c:ser>
          <c:idx val="15"/>
          <c:order val="15"/>
          <c:tx>
            <c:strRef>
              <c:f>'237'!$AF$34</c:f>
              <c:strCache>
                <c:ptCount val="1"/>
                <c:pt idx="0">
                  <c:v>Stg.2 Nozzle Fwd#24</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'237'!$AF$36:$AF$71</c:f>
              <c:numCache>
                <c:formatCode>General</c:formatCode>
                <c:ptCount val="36"/>
                <c:pt idx="13" formatCode="0.000">
                  <c:v>361.40233334486163</c:v>
                </c:pt>
                <c:pt idx="14" formatCode="0.000">
                  <c:v>361.40233334486163</c:v>
                </c:pt>
              </c:numCache>
            </c:numRef>
          </c:val>
          <c:extLst>
            <c:ext xmlns:c16="http://schemas.microsoft.com/office/drawing/2014/chart" uri="{C3380CC4-5D6E-409C-BE32-E72D297353CC}">
              <c16:uniqueId val="{0000000F-E1D5-4F69-9191-2CC0A569037E}"/>
            </c:ext>
          </c:extLst>
        </c:ser>
        <c:ser>
          <c:idx val="16"/>
          <c:order val="16"/>
          <c:tx>
            <c:strRef>
              <c:f>'237'!$AG$34</c:f>
              <c:strCache>
                <c:ptCount val="1"/>
                <c:pt idx="0">
                  <c:v>Stg.2 Nozzle Fwd#23</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'237'!$AG$36:$AG$71</c:f>
              <c:numCache>
                <c:formatCode>General</c:formatCode>
                <c:ptCount val="36"/>
                <c:pt idx="14" formatCode="0.000">
                  <c:v>361.37993333846759</c:v>
                </c:pt>
                <c:pt idx="15" formatCode="0.000">
                  <c:v>361.37993333846759</c:v>
                </c:pt>
              </c:numCache>
            </c:numRef>
          </c:val>
          <c:extLst>
            <c:ext xmlns:c16="http://schemas.microsoft.com/office/drawing/2014/chart" uri="{C3380CC4-5D6E-409C-BE32-E72D297353CC}">
              <c16:uniqueId val="{00000010-E1D5-4F69-9191-2CC0A569037E}"/>
            </c:ext>
          </c:extLst>
        </c:ser>
        <c:ser>
          <c:idx val="17"/>
          <c:order val="17"/>
          <c:tx>
            <c:strRef>
              <c:f>'237'!$AH$34</c:f>
              <c:strCache>
                <c:ptCount val="1"/>
                <c:pt idx="0">
                  <c:v>Stg.2 Nozzle Fwd#22</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'237'!$AH$36:$AH$71</c:f>
              <c:numCache>
                <c:formatCode>General</c:formatCode>
                <c:ptCount val="36"/>
                <c:pt idx="15" formatCode="0.000">
                  <c:v>361.36820000581133</c:v>
                </c:pt>
                <c:pt idx="16" formatCode="0.000">
                  <c:v>361.36820000581133</c:v>
                </c:pt>
              </c:numCache>
            </c:numRef>
          </c:val>
          <c:extLst>
            <c:ext xmlns:c16="http://schemas.microsoft.com/office/drawing/2014/chart" uri="{C3380CC4-5D6E-409C-BE32-E72D297353CC}">
              <c16:uniqueId val="{00000011-E1D5-4F69-9191-2CC0A569037E}"/>
            </c:ext>
          </c:extLst>
        </c:ser>
        <c:ser>
          <c:idx val="18"/>
          <c:order val="18"/>
          <c:tx>
            <c:strRef>
              <c:f>'237'!$AI$34</c:f>
              <c:strCache>
                <c:ptCount val="1"/>
                <c:pt idx="0">
                  <c:v>Stg.2 Nozzle Fwd#21</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'237'!$AI$36:$AI$71</c:f>
              <c:numCache>
                <c:formatCode>General</c:formatCode>
                <c:ptCount val="36"/>
                <c:pt idx="16" formatCode="0.000">
                  <c:v>361.36320000999308</c:v>
                </c:pt>
                <c:pt idx="17" formatCode="0.000">
                  <c:v>361.36320000999308</c:v>
                </c:pt>
              </c:numCache>
            </c:numRef>
          </c:val>
          <c:extLst>
            <c:ext xmlns:c16="http://schemas.microsoft.com/office/drawing/2014/chart" uri="{C3380CC4-5D6E-409C-BE32-E72D297353CC}">
              <c16:uniqueId val="{00000012-E1D5-4F69-9191-2CC0A569037E}"/>
            </c:ext>
          </c:extLst>
        </c:ser>
        <c:ser>
          <c:idx val="19"/>
          <c:order val="19"/>
          <c:tx>
            <c:strRef>
              <c:f>'237'!$AJ$34</c:f>
              <c:strCache>
                <c:ptCount val="1"/>
                <c:pt idx="0">
                  <c:v>Stg.2 Nozzle Fwd#20</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'237'!$AJ$36:$AJ$71</c:f>
              <c:numCache>
                <c:formatCode>General</c:formatCode>
                <c:ptCount val="36"/>
                <c:pt idx="17" formatCode="0.000">
                  <c:v>361.36042223147734</c:v>
                </c:pt>
                <c:pt idx="18" formatCode="0.000">
                  <c:v>361.36042223147734</c:v>
                </c:pt>
              </c:numCache>
            </c:numRef>
          </c:val>
          <c:extLst>
            <c:ext xmlns:c16="http://schemas.microsoft.com/office/drawing/2014/chart" uri="{C3380CC4-5D6E-409C-BE32-E72D297353CC}">
              <c16:uniqueId val="{00000013-E1D5-4F69-9191-2CC0A569037E}"/>
            </c:ext>
          </c:extLst>
        </c:ser>
        <c:ser>
          <c:idx val="20"/>
          <c:order val="20"/>
          <c:tx>
            <c:strRef>
              <c:f>'237'!$AK$34</c:f>
              <c:strCache>
                <c:ptCount val="1"/>
                <c:pt idx="0">
                  <c:v>Stg.2 Nozzle Fwd#19</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'237'!$AK$36:$AK$71</c:f>
              <c:numCache>
                <c:formatCode>General</c:formatCode>
                <c:ptCount val="36"/>
                <c:pt idx="18" formatCode="0.000">
                  <c:v>361.35953333766878</c:v>
                </c:pt>
                <c:pt idx="19" formatCode="0.000">
                  <c:v>361.35953333766878</c:v>
                </c:pt>
              </c:numCache>
            </c:numRef>
          </c:val>
          <c:extLst>
            <c:ext xmlns:c16="http://schemas.microsoft.com/office/drawing/2014/chart" uri="{C3380CC4-5D6E-409C-BE32-E72D297353CC}">
              <c16:uniqueId val="{00000014-E1D5-4F69-9191-2CC0A569037E}"/>
            </c:ext>
          </c:extLst>
        </c:ser>
        <c:ser>
          <c:idx val="21"/>
          <c:order val="21"/>
          <c:tx>
            <c:strRef>
              <c:f>'237'!$AL$34</c:f>
              <c:strCache>
                <c:ptCount val="1"/>
                <c:pt idx="0">
                  <c:v>Stg.2 Nozzle Fwd#18</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'237'!$AL$36:$AL$71</c:f>
              <c:numCache>
                <c:formatCode>General</c:formatCode>
                <c:ptCount val="36"/>
                <c:pt idx="19" formatCode="0.000">
                  <c:v>361.36444444828777</c:v>
                </c:pt>
                <c:pt idx="20" formatCode="0.000">
                  <c:v>361.36444444828777</c:v>
                </c:pt>
              </c:numCache>
            </c:numRef>
          </c:val>
          <c:extLst>
            <c:ext xmlns:c16="http://schemas.microsoft.com/office/drawing/2014/chart" uri="{C3380CC4-5D6E-409C-BE32-E72D297353CC}">
              <c16:uniqueId val="{00000015-E1D5-4F69-9191-2CC0A569037E}"/>
            </c:ext>
          </c:extLst>
        </c:ser>
        <c:ser>
          <c:idx val="22"/>
          <c:order val="22"/>
          <c:tx>
            <c:strRef>
              <c:f>'237'!$AM$34</c:f>
              <c:strCache>
                <c:ptCount val="1"/>
                <c:pt idx="0">
                  <c:v>Stg.2 Nozzle Fwd#17</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'237'!$AM$36:$AM$71</c:f>
              <c:numCache>
                <c:formatCode>General</c:formatCode>
                <c:ptCount val="36"/>
                <c:pt idx="20" formatCode="0.000">
                  <c:v>361.37580000827069</c:v>
                </c:pt>
                <c:pt idx="21" formatCode="0.000">
                  <c:v>361.37580000827069</c:v>
                </c:pt>
              </c:numCache>
            </c:numRef>
          </c:val>
          <c:extLst>
            <c:ext xmlns:c16="http://schemas.microsoft.com/office/drawing/2014/chart" uri="{C3380CC4-5D6E-409C-BE32-E72D297353CC}">
              <c16:uniqueId val="{00000016-E1D5-4F69-9191-2CC0A569037E}"/>
            </c:ext>
          </c:extLst>
        </c:ser>
        <c:ser>
          <c:idx val="23"/>
          <c:order val="23"/>
          <c:tx>
            <c:strRef>
              <c:f>'237'!$AN$34</c:f>
              <c:strCache>
                <c:ptCount val="1"/>
                <c:pt idx="0">
                  <c:v>Stg.2 Nozzle Fwd#16</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'237'!$AN$36:$AN$71</c:f>
              <c:numCache>
                <c:formatCode>General</c:formatCode>
                <c:ptCount val="36"/>
                <c:pt idx="21" formatCode="0.000">
                  <c:v>361.38606667725855</c:v>
                </c:pt>
                <c:pt idx="22" formatCode="0.000">
                  <c:v>361.38606667725855</c:v>
                </c:pt>
              </c:numCache>
            </c:numRef>
          </c:val>
          <c:extLst>
            <c:ext xmlns:c16="http://schemas.microsoft.com/office/drawing/2014/chart" uri="{C3380CC4-5D6E-409C-BE32-E72D297353CC}">
              <c16:uniqueId val="{00000017-E1D5-4F69-9191-2CC0A569037E}"/>
            </c:ext>
          </c:extLst>
        </c:ser>
        <c:ser>
          <c:idx val="24"/>
          <c:order val="24"/>
          <c:tx>
            <c:strRef>
              <c:f>'237'!$AO$34</c:f>
              <c:strCache>
                <c:ptCount val="1"/>
                <c:pt idx="0">
                  <c:v>Stg.2 Nozzle Fwd#15</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'237'!$AO$36:$AO$71</c:f>
              <c:numCache>
                <c:formatCode>General</c:formatCode>
                <c:ptCount val="36"/>
                <c:pt idx="22" formatCode="0.000">
                  <c:v>361.39366667558284</c:v>
                </c:pt>
                <c:pt idx="23" formatCode="0.000">
                  <c:v>361.39366667558284</c:v>
                </c:pt>
              </c:numCache>
            </c:numRef>
          </c:val>
          <c:extLst>
            <c:ext xmlns:c16="http://schemas.microsoft.com/office/drawing/2014/chart" uri="{C3380CC4-5D6E-409C-BE32-E72D297353CC}">
              <c16:uniqueId val="{00000018-E1D5-4F69-9191-2CC0A569037E}"/>
            </c:ext>
          </c:extLst>
        </c:ser>
        <c:ser>
          <c:idx val="25"/>
          <c:order val="25"/>
          <c:tx>
            <c:strRef>
              <c:f>'237'!$AP$34</c:f>
              <c:strCache>
                <c:ptCount val="1"/>
                <c:pt idx="0">
                  <c:v>Stg.2 Nozzle Fwd#14</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'237'!$AP$36:$AP$71</c:f>
              <c:numCache>
                <c:formatCode>General</c:formatCode>
                <c:ptCount val="36"/>
                <c:pt idx="23" formatCode="0.000">
                  <c:v>361.4022000208434</c:v>
                </c:pt>
                <c:pt idx="24" formatCode="0.000">
                  <c:v>361.4022000208434</c:v>
                </c:pt>
              </c:numCache>
            </c:numRef>
          </c:val>
          <c:extLst>
            <c:ext xmlns:c16="http://schemas.microsoft.com/office/drawing/2014/chart" uri="{C3380CC4-5D6E-409C-BE32-E72D297353CC}">
              <c16:uniqueId val="{00000019-E1D5-4F69-9191-2CC0A569037E}"/>
            </c:ext>
          </c:extLst>
        </c:ser>
        <c:ser>
          <c:idx val="26"/>
          <c:order val="26"/>
          <c:tx>
            <c:strRef>
              <c:f>'237'!$AQ$34</c:f>
              <c:strCache>
                <c:ptCount val="1"/>
                <c:pt idx="0">
                  <c:v>Stg.2 Nozzle Fwd#13</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'237'!$AQ$36:$AQ$71</c:f>
              <c:numCache>
                <c:formatCode>General</c:formatCode>
                <c:ptCount val="36"/>
                <c:pt idx="24" formatCode="0.000">
                  <c:v>361.41540007027538</c:v>
                </c:pt>
                <c:pt idx="25" formatCode="0.000">
                  <c:v>361.41540007027538</c:v>
                </c:pt>
              </c:numCache>
            </c:numRef>
          </c:val>
          <c:extLst>
            <c:ext xmlns:c16="http://schemas.microsoft.com/office/drawing/2014/chart" uri="{C3380CC4-5D6E-409C-BE32-E72D297353CC}">
              <c16:uniqueId val="{0000001A-E1D5-4F69-9191-2CC0A569037E}"/>
            </c:ext>
          </c:extLst>
        </c:ser>
        <c:ser>
          <c:idx val="27"/>
          <c:order val="27"/>
          <c:tx>
            <c:strRef>
              <c:f>'237'!$AR$34</c:f>
              <c:strCache>
                <c:ptCount val="1"/>
                <c:pt idx="0">
                  <c:v>Stg.2 Nozzle Fwd#12</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'237'!$AR$36:$AR$71</c:f>
              <c:numCache>
                <c:formatCode>General</c:formatCode>
                <c:ptCount val="36"/>
                <c:pt idx="25" formatCode="0.000">
                  <c:v>361.42973346461497</c:v>
                </c:pt>
                <c:pt idx="26" formatCode="0.000">
                  <c:v>361.42973346461497</c:v>
                </c:pt>
              </c:numCache>
            </c:numRef>
          </c:val>
          <c:extLst>
            <c:ext xmlns:c16="http://schemas.microsoft.com/office/drawing/2014/chart" uri="{C3380CC4-5D6E-409C-BE32-E72D297353CC}">
              <c16:uniqueId val="{0000001B-E1D5-4F69-9191-2CC0A569037E}"/>
            </c:ext>
          </c:extLst>
        </c:ser>
        <c:ser>
          <c:idx val="28"/>
          <c:order val="28"/>
          <c:tx>
            <c:strRef>
              <c:f>'237'!$AS$34</c:f>
              <c:strCache>
                <c:ptCount val="1"/>
                <c:pt idx="0">
                  <c:v>Stg.2 Nozzle Fwd#11</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'237'!$AS$36:$AS$71</c:f>
              <c:numCache>
                <c:formatCode>General</c:formatCode>
                <c:ptCount val="36"/>
                <c:pt idx="26" formatCode="0.000">
                  <c:v>361.43295567498626</c:v>
                </c:pt>
                <c:pt idx="27" formatCode="0.000">
                  <c:v>361.43295567498626</c:v>
                </c:pt>
              </c:numCache>
            </c:numRef>
          </c:val>
          <c:extLst>
            <c:ext xmlns:c16="http://schemas.microsoft.com/office/drawing/2014/chart" uri="{C3380CC4-5D6E-409C-BE32-E72D297353CC}">
              <c16:uniqueId val="{0000001C-E1D5-4F69-9191-2CC0A569037E}"/>
            </c:ext>
          </c:extLst>
        </c:ser>
        <c:ser>
          <c:idx val="29"/>
          <c:order val="29"/>
          <c:tx>
            <c:strRef>
              <c:f>'237'!$AT$34</c:f>
              <c:strCache>
                <c:ptCount val="1"/>
                <c:pt idx="0">
                  <c:v>Stg.2 Nozzle Fwd#10</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'237'!$AT$36:$AT$71</c:f>
              <c:numCache>
                <c:formatCode>General</c:formatCode>
                <c:ptCount val="36"/>
                <c:pt idx="27" formatCode="0.000">
                  <c:v>361.42673337898452</c:v>
                </c:pt>
                <c:pt idx="28" formatCode="0.000">
                  <c:v>361.42673337898452</c:v>
                </c:pt>
              </c:numCache>
            </c:numRef>
          </c:val>
          <c:extLst>
            <c:ext xmlns:c16="http://schemas.microsoft.com/office/drawing/2014/chart" uri="{C3380CC4-5D6E-409C-BE32-E72D297353CC}">
              <c16:uniqueId val="{0000001D-E1D5-4F69-9191-2CC0A569037E}"/>
            </c:ext>
          </c:extLst>
        </c:ser>
        <c:ser>
          <c:idx val="30"/>
          <c:order val="30"/>
          <c:tx>
            <c:strRef>
              <c:f>'237'!$AU$34</c:f>
              <c:strCache>
                <c:ptCount val="1"/>
                <c:pt idx="0">
                  <c:v>Stg.2 Nozzle Fwd#9</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'237'!$AU$36:$AU$71</c:f>
              <c:numCache>
                <c:formatCode>General</c:formatCode>
                <c:ptCount val="36"/>
                <c:pt idx="28" formatCode="0.000">
                  <c:v>361.42391111590678</c:v>
                </c:pt>
                <c:pt idx="29" formatCode="0.000">
                  <c:v>361.42391111590678</c:v>
                </c:pt>
              </c:numCache>
            </c:numRef>
          </c:val>
          <c:extLst>
            <c:ext xmlns:c16="http://schemas.microsoft.com/office/drawing/2014/chart" uri="{C3380CC4-5D6E-409C-BE32-E72D297353CC}">
              <c16:uniqueId val="{0000001E-E1D5-4F69-9191-2CC0A569037E}"/>
            </c:ext>
          </c:extLst>
        </c:ser>
        <c:ser>
          <c:idx val="31"/>
          <c:order val="31"/>
          <c:tx>
            <c:strRef>
              <c:f>'237'!$AV$34</c:f>
              <c:strCache>
                <c:ptCount val="1"/>
                <c:pt idx="0">
                  <c:v>Stg.2 Nozzle Fwd#8</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'237'!$AV$36:$AV$71</c:f>
              <c:numCache>
                <c:formatCode>General</c:formatCode>
                <c:ptCount val="36"/>
                <c:pt idx="29" formatCode="0.000">
                  <c:v>361.42486666718924</c:v>
                </c:pt>
                <c:pt idx="30" formatCode="0.000">
                  <c:v>361.42486666718924</c:v>
                </c:pt>
              </c:numCache>
            </c:numRef>
          </c:val>
          <c:extLst>
            <c:ext xmlns:c16="http://schemas.microsoft.com/office/drawing/2014/chart" uri="{C3380CC4-5D6E-409C-BE32-E72D297353CC}">
              <c16:uniqueId val="{0000001F-E1D5-4F69-9191-2CC0A569037E}"/>
            </c:ext>
          </c:extLst>
        </c:ser>
        <c:ser>
          <c:idx val="32"/>
          <c:order val="32"/>
          <c:tx>
            <c:strRef>
              <c:f>'237'!$AW$34</c:f>
              <c:strCache>
                <c:ptCount val="1"/>
                <c:pt idx="0">
                  <c:v>Stg.2 Nozzle Fwd#7</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'237'!$AW$36:$AW$71</c:f>
              <c:numCache>
                <c:formatCode>General</c:formatCode>
                <c:ptCount val="36"/>
                <c:pt idx="30" formatCode="0.000">
                  <c:v>361.4191222241285</c:v>
                </c:pt>
                <c:pt idx="31" formatCode="0.000">
                  <c:v>361.4191222241285</c:v>
                </c:pt>
              </c:numCache>
            </c:numRef>
          </c:val>
          <c:extLst>
            <c:ext xmlns:c16="http://schemas.microsoft.com/office/drawing/2014/chart" uri="{C3380CC4-5D6E-409C-BE32-E72D297353CC}">
              <c16:uniqueId val="{00000020-E1D5-4F69-9191-2CC0A569037E}"/>
            </c:ext>
          </c:extLst>
        </c:ser>
        <c:ser>
          <c:idx val="33"/>
          <c:order val="33"/>
          <c:tx>
            <c:strRef>
              <c:f>'237'!$AX$34</c:f>
              <c:strCache>
                <c:ptCount val="1"/>
                <c:pt idx="0">
                  <c:v>Stg.2 Nozzle Fwd#6</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'237'!$AX$36:$AX$71</c:f>
              <c:numCache>
                <c:formatCode>General</c:formatCode>
                <c:ptCount val="36"/>
                <c:pt idx="31" formatCode="0.000">
                  <c:v>361.40248889525333</c:v>
                </c:pt>
                <c:pt idx="32" formatCode="0.000">
                  <c:v>361.40248889525333</c:v>
                </c:pt>
              </c:numCache>
            </c:numRef>
          </c:val>
          <c:extLst>
            <c:ext xmlns:c16="http://schemas.microsoft.com/office/drawing/2014/chart" uri="{C3380CC4-5D6E-409C-BE32-E72D297353CC}">
              <c16:uniqueId val="{00000021-E1D5-4F69-9191-2CC0A569037E}"/>
            </c:ext>
          </c:extLst>
        </c:ser>
        <c:ser>
          <c:idx val="34"/>
          <c:order val="34"/>
          <c:tx>
            <c:strRef>
              <c:f>'237'!$AY$34</c:f>
              <c:strCache>
                <c:ptCount val="1"/>
                <c:pt idx="0">
                  <c:v>Stg.2 Nozzle Fwd#5</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'237'!$AY$36:$AY$71</c:f>
              <c:numCache>
                <c:formatCode>General</c:formatCode>
                <c:ptCount val="36"/>
                <c:pt idx="32" formatCode="0.000">
                  <c:v>361.38551112091915</c:v>
                </c:pt>
                <c:pt idx="33" formatCode="0.000">
                  <c:v>361.38551112091915</c:v>
                </c:pt>
              </c:numCache>
            </c:numRef>
          </c:val>
          <c:extLst>
            <c:ext xmlns:c16="http://schemas.microsoft.com/office/drawing/2014/chart" uri="{C3380CC4-5D6E-409C-BE32-E72D297353CC}">
              <c16:uniqueId val="{00000022-E1D5-4F69-9191-2CC0A569037E}"/>
            </c:ext>
          </c:extLst>
        </c:ser>
        <c:ser>
          <c:idx val="35"/>
          <c:order val="35"/>
          <c:tx>
            <c:strRef>
              <c:f>'237'!$AZ$34</c:f>
              <c:strCache>
                <c:ptCount val="1"/>
                <c:pt idx="0">
                  <c:v>Stg.2 Nozzle Fwd#4</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'237'!$AZ$36:$AZ$71</c:f>
              <c:numCache>
                <c:formatCode>General</c:formatCode>
                <c:ptCount val="36"/>
                <c:pt idx="33" formatCode="0.000">
                  <c:v>361.37720000802477</c:v>
                </c:pt>
                <c:pt idx="34" formatCode="0.000">
                  <c:v>361.37720000802477</c:v>
                </c:pt>
              </c:numCache>
            </c:numRef>
          </c:val>
          <c:extLst>
            <c:ext xmlns:c16="http://schemas.microsoft.com/office/drawing/2014/chart" uri="{C3380CC4-5D6E-409C-BE32-E72D297353CC}">
              <c16:uniqueId val="{00000023-E1D5-4F69-9191-2CC0A569037E}"/>
            </c:ext>
          </c:extLst>
        </c:ser>
        <c:ser>
          <c:idx val="36"/>
          <c:order val="36"/>
          <c:tx>
            <c:strRef>
              <c:f>'237'!$BA$34</c:f>
              <c:strCache>
                <c:ptCount val="1"/>
                <c:pt idx="0">
                  <c:v>Stg.2 Nozzle Fwd#3</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'237'!$BA$36:$BA$71</c:f>
              <c:numCache>
                <c:formatCode>General</c:formatCode>
                <c:ptCount val="36"/>
                <c:pt idx="34" formatCode="0.000">
                  <c:v>361.37465555902992</c:v>
                </c:pt>
                <c:pt idx="35" formatCode="0.000">
                  <c:v>361.37465555902992</c:v>
                </c:pt>
              </c:numCache>
            </c:numRef>
          </c:val>
          <c:extLst>
            <c:ext xmlns:c16="http://schemas.microsoft.com/office/drawing/2014/chart" uri="{C3380CC4-5D6E-409C-BE32-E72D297353CC}">
              <c16:uniqueId val="{00000024-E1D5-4F69-9191-2CC0A569037E}"/>
            </c:ext>
          </c:extLst>
        </c:ser>
        <c:ser>
          <c:idx val="37"/>
          <c:order val="37"/>
          <c:tx>
            <c:strRef>
              <c:f>'237'!$BB$34</c:f>
              <c:strCache>
                <c:ptCount val="1"/>
                <c:pt idx="0">
                  <c:v>Stg.2 Nozzle Fwd#2</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'237'!$BB$36:$BB$71</c:f>
              <c:numCache>
                <c:formatCode>General</c:formatCode>
                <c:ptCount val="36"/>
                <c:pt idx="0" formatCode="0.000">
                  <c:v>361.37588889027251</c:v>
                </c:pt>
                <c:pt idx="35" formatCode="0.000">
                  <c:v>361.37588889027251</c:v>
                </c:pt>
              </c:numCache>
            </c:numRef>
          </c:val>
          <c:extLst>
            <c:ext xmlns:c16="http://schemas.microsoft.com/office/drawing/2014/chart" uri="{C3380CC4-5D6E-409C-BE32-E72D297353CC}">
              <c16:uniqueId val="{00000025-E1D5-4F69-9191-2CC0A569037E}"/>
            </c:ext>
          </c:extLst>
        </c:ser>
        <c:dLbls>
          <c:showLegendKey val="0"/>
          <c:showVal val="0"/>
          <c:showCatName val="0"/>
          <c:showSerName val="0"/>
          <c:showPercent val="0"/>
          <c:showBubbleSize val="0"/>
        </c:dLbls>
        <c:axId val="170213376"/>
        <c:axId val="170027840"/>
      </c:radarChart>
      <c:catAx>
        <c:axId val="1702133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027840"/>
        <c:crosses val="autoZero"/>
        <c:auto val="1"/>
        <c:lblAlgn val="ctr"/>
        <c:lblOffset val="100"/>
        <c:noMultiLvlLbl val="0"/>
      </c:catAx>
      <c:valAx>
        <c:axId val="17002784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0213376"/>
        <c:crosses val="autoZero"/>
        <c:crossBetween val="between"/>
        <c:majorUnit val="5.000000000000001E-2"/>
      </c:valAx>
    </c:plotArea>
    <c:legend>
      <c:legendPos val="r"/>
      <c:layout>
        <c:manualLayout>
          <c:xMode val="edge"/>
          <c:yMode val="edge"/>
          <c:x val="0.79854276533393198"/>
          <c:y val="0"/>
          <c:w val="0.19399056789488109"/>
          <c:h val="1"/>
        </c:manualLayout>
      </c:layout>
      <c:overlay val="0"/>
      <c:txPr>
        <a:bodyPr/>
        <a:lstStyle/>
        <a:p>
          <a:pPr>
            <a:defRPr lang="ja-JP" sz="1200"/>
          </a:pPr>
          <a:endParaRPr lang="en-US"/>
        </a:p>
      </c:tx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'238'!$K$9</c:f>
              <c:strCache>
                <c:ptCount val="1"/>
                <c:pt idx="0">
                  <c:v>CMM - Rear</c:v>
                </c:pt>
              </c:strCache>
            </c:strRef>
          </c:tx>
          <c:marker>
            <c:symbol val="none"/>
          </c:marker>
          <c:cat>
            <c:numRef>
              <c:f>'238'!$J$11:$J$26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'238'!$K$11:$K$26</c:f>
              <c:numCache>
                <c:formatCode>General</c:formatCode>
                <c:ptCount val="16"/>
                <c:pt idx="0">
                  <c:v>374.51500000133507</c:v>
                </c:pt>
                <c:pt idx="1">
                  <c:v>374.53800001201483</c:v>
                </c:pt>
                <c:pt idx="2">
                  <c:v>374.54</c:v>
                </c:pt>
                <c:pt idx="3">
                  <c:v>374.57500002135754</c:v>
                </c:pt>
                <c:pt idx="4">
                  <c:v>374.57000000133485</c:v>
                </c:pt>
                <c:pt idx="5">
                  <c:v>374.57900000533931</c:v>
                </c:pt>
                <c:pt idx="6">
                  <c:v>374.529</c:v>
                </c:pt>
                <c:pt idx="7">
                  <c:v>374.52700000534008</c:v>
                </c:pt>
                <c:pt idx="8">
                  <c:v>374.51400000133509</c:v>
                </c:pt>
                <c:pt idx="9">
                  <c:v>374.52600000534011</c:v>
                </c:pt>
                <c:pt idx="10">
                  <c:v>374.54900001201446</c:v>
                </c:pt>
                <c:pt idx="11">
                  <c:v>374.58100000133487</c:v>
                </c:pt>
                <c:pt idx="12">
                  <c:v>374.58000000133484</c:v>
                </c:pt>
                <c:pt idx="13">
                  <c:v>374.56800000133489</c:v>
                </c:pt>
                <c:pt idx="14">
                  <c:v>374.52000000133506</c:v>
                </c:pt>
                <c:pt idx="15">
                  <c:v>374.51500001201555</c:v>
                </c:pt>
              </c:numCache>
            </c:numRef>
          </c:val>
          <c:extLst>
            <c:ext xmlns:c16="http://schemas.microsoft.com/office/drawing/2014/chart" uri="{C3380CC4-5D6E-409C-BE32-E72D297353CC}">
              <c16:uniqueId val="{00000000-1A6B-46AE-93DD-E497025B4476}"/>
            </c:ext>
          </c:extLst>
        </c:ser>
        <c:ser>
          <c:idx val="1"/>
          <c:order val="1"/>
          <c:tx>
            <c:strRef>
              <c:f>'238'!$L$9</c:f>
              <c:strCache>
                <c:ptCount val="1"/>
                <c:pt idx="0">
                  <c:v>Dwg Min</c:v>
                </c:pt>
              </c:strCache>
            </c:strRef>
          </c:tx>
          <c:spPr>
            <a:ln>
              <a:prstDash val="dash"/>
            </a:ln>
          </c:spPr>
          <c:marker>
            <c:symbol val="none"/>
          </c:marker>
          <c:val>
            <c:numRef>
              <c:f>'238'!$L$11:$L$26</c:f>
              <c:numCache>
                <c:formatCode>General</c:formatCode>
                <c:ptCount val="16"/>
                <c:pt idx="0">
                  <c:v>374.46000000000004</c:v>
                </c:pt>
                <c:pt idx="1">
                  <c:v>374.46000000000004</c:v>
                </c:pt>
                <c:pt idx="2">
                  <c:v>374.46000000000004</c:v>
                </c:pt>
                <c:pt idx="3">
                  <c:v>374.46000000000004</c:v>
                </c:pt>
                <c:pt idx="4">
                  <c:v>374.46000000000004</c:v>
                </c:pt>
                <c:pt idx="5">
                  <c:v>374.46000000000004</c:v>
                </c:pt>
                <c:pt idx="6">
                  <c:v>374.46000000000004</c:v>
                </c:pt>
                <c:pt idx="7">
                  <c:v>374.46000000000004</c:v>
                </c:pt>
                <c:pt idx="8">
                  <c:v>374.46000000000004</c:v>
                </c:pt>
                <c:pt idx="9">
                  <c:v>374.46000000000004</c:v>
                </c:pt>
                <c:pt idx="10">
                  <c:v>374.46000000000004</c:v>
                </c:pt>
                <c:pt idx="11">
                  <c:v>374.46000000000004</c:v>
                </c:pt>
                <c:pt idx="12">
                  <c:v>374.46000000000004</c:v>
                </c:pt>
                <c:pt idx="13">
                  <c:v>374.46000000000004</c:v>
                </c:pt>
                <c:pt idx="14">
                  <c:v>374.46000000000004</c:v>
                </c:pt>
                <c:pt idx="15">
                  <c:v>374.46000000000004</c:v>
                </c:pt>
              </c:numCache>
            </c:numRef>
          </c:val>
          <c:extLst>
            <c:ext xmlns:c16="http://schemas.microsoft.com/office/drawing/2014/chart" uri="{C3380CC4-5D6E-409C-BE32-E72D297353CC}">
              <c16:uniqueId val="{00000001-1A6B-46AE-93DD-E497025B4476}"/>
            </c:ext>
          </c:extLst>
        </c:ser>
        <c:ser>
          <c:idx val="2"/>
          <c:order val="2"/>
          <c:tx>
            <c:strRef>
              <c:f>'238'!$M$9</c:f>
              <c:strCache>
                <c:ptCount val="1"/>
                <c:pt idx="0">
                  <c:v>Dwg Max</c:v>
                </c:pt>
              </c:strCache>
            </c:strRef>
          </c:tx>
          <c:spPr>
            <a:ln>
              <a:prstDash val="dash"/>
            </a:ln>
          </c:spPr>
          <c:marker>
            <c:symbol val="none"/>
          </c:marker>
          <c:val>
            <c:numRef>
              <c:f>'238'!$M$11:$M$26</c:f>
              <c:numCache>
                <c:formatCode>General</c:formatCode>
                <c:ptCount val="16"/>
                <c:pt idx="0">
                  <c:v>374.64</c:v>
                </c:pt>
                <c:pt idx="1">
                  <c:v>374.64</c:v>
                </c:pt>
                <c:pt idx="2">
                  <c:v>374.64</c:v>
                </c:pt>
                <c:pt idx="3">
                  <c:v>374.64</c:v>
                </c:pt>
                <c:pt idx="4">
                  <c:v>374.64</c:v>
                </c:pt>
                <c:pt idx="5">
                  <c:v>374.64</c:v>
                </c:pt>
                <c:pt idx="6">
                  <c:v>374.64</c:v>
                </c:pt>
                <c:pt idx="7">
                  <c:v>374.64</c:v>
                </c:pt>
                <c:pt idx="8">
                  <c:v>374.64</c:v>
                </c:pt>
                <c:pt idx="9">
                  <c:v>374.64</c:v>
                </c:pt>
                <c:pt idx="10">
                  <c:v>374.64</c:v>
                </c:pt>
                <c:pt idx="11">
                  <c:v>374.64</c:v>
                </c:pt>
                <c:pt idx="12">
                  <c:v>374.64</c:v>
                </c:pt>
                <c:pt idx="13">
                  <c:v>374.64</c:v>
                </c:pt>
                <c:pt idx="14">
                  <c:v>374.64</c:v>
                </c:pt>
                <c:pt idx="15">
                  <c:v>374.64</c:v>
                </c:pt>
              </c:numCache>
            </c:numRef>
          </c:val>
          <c:extLst>
            <c:ext xmlns:c16="http://schemas.microsoft.com/office/drawing/2014/chart" uri="{C3380CC4-5D6E-409C-BE32-E72D297353CC}">
              <c16:uniqueId val="{00000002-1A6B-46AE-93DD-E497025B4476}"/>
            </c:ext>
          </c:extLst>
        </c:ser>
        <c:dLbls>
          <c:showLegendKey val="0"/>
          <c:showVal val="0"/>
          <c:showCatName val="0"/>
          <c:showSerName val="0"/>
          <c:showPercent val="0"/>
          <c:showBubbleSize val="0"/>
        </c:dLbls>
        <c:axId val="170214912"/>
        <c:axId val="170030144"/>
      </c:radarChart>
      <c:catAx>
        <c:axId val="17021491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030144"/>
        <c:crosses val="autoZero"/>
        <c:auto val="1"/>
        <c:lblAlgn val="ctr"/>
        <c:lblOffset val="100"/>
        <c:noMultiLvlLbl val="0"/>
      </c:catAx>
      <c:valAx>
        <c:axId val="17003014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0214912"/>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'238'!$AK$34</c:f>
              <c:strCache>
                <c:ptCount val="1"/>
                <c:pt idx="0">
                  <c:v>LPT Case Hook R Min</c:v>
                </c:pt>
              </c:strCache>
            </c:strRef>
          </c:tx>
          <c:spPr>
            <a:ln w="28575">
              <a:prstDash val="dash"/>
            </a:ln>
          </c:spPr>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'238'!$AK$36:$AK$53</c:f>
              <c:numCache>
                <c:formatCode>General</c:formatCode>
                <c:ptCount val="18"/>
                <c:pt idx="0">
                  <c:v>374.51800000000003</c:v>
                </c:pt>
                <c:pt idx="1">
                  <c:v>374.51800000000003</c:v>
                </c:pt>
                <c:pt idx="2">
                  <c:v>374.51800000000003</c:v>
                </c:pt>
                <c:pt idx="3">
                  <c:v>374.51800000000003</c:v>
                </c:pt>
                <c:pt idx="4">
                  <c:v>374.51800000000003</c:v>
                </c:pt>
                <c:pt idx="5">
                  <c:v>374.51800000000003</c:v>
                </c:pt>
                <c:pt idx="6">
                  <c:v>374.51800000000003</c:v>
                </c:pt>
                <c:pt idx="7">
                  <c:v>374.51800000000003</c:v>
                </c:pt>
                <c:pt idx="8">
                  <c:v>374.51800000000003</c:v>
                </c:pt>
                <c:pt idx="9">
                  <c:v>374.51800000000003</c:v>
                </c:pt>
                <c:pt idx="10">
                  <c:v>374.51800000000003</c:v>
                </c:pt>
                <c:pt idx="11">
                  <c:v>374.51800000000003</c:v>
                </c:pt>
                <c:pt idx="12">
                  <c:v>374.51800000000003</c:v>
                </c:pt>
                <c:pt idx="13">
                  <c:v>374.51800000000003</c:v>
                </c:pt>
                <c:pt idx="14">
                  <c:v>374.51800000000003</c:v>
                </c:pt>
                <c:pt idx="15">
                  <c:v>374.51800000000003</c:v>
                </c:pt>
                <c:pt idx="16">
                  <c:v>374.51800000000003</c:v>
                </c:pt>
                <c:pt idx="17">
                  <c:v>374.51800000000003</c:v>
                </c:pt>
              </c:numCache>
            </c:numRef>
          </c:val>
          <c:extLst>
            <c:ext xmlns:c16="http://schemas.microsoft.com/office/drawing/2014/chart" uri="{C3380CC4-5D6E-409C-BE32-E72D297353CC}">
              <c16:uniqueId val="{00000000-675F-4267-A114-03412616F97D}"/>
            </c:ext>
          </c:extLst>
        </c:ser>
        <c:ser>
          <c:idx val="1"/>
          <c:order val="1"/>
          <c:tx>
            <c:strRef>
              <c:f>'238'!$AL$34</c:f>
              <c:strCache>
                <c:ptCount val="1"/>
                <c:pt idx="0">
                  <c:v>LPT Case Hook R Max</c:v>
                </c:pt>
              </c:strCache>
            </c:strRef>
          </c:tx>
          <c:spPr>
            <a:ln w="28575">
              <a:prstDash val="dash"/>
            </a:ln>
          </c:spPr>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'238'!$AL$36:$AL$53</c:f>
              <c:numCache>
                <c:formatCode>General</c:formatCode>
                <c:ptCount val="18"/>
                <c:pt idx="0">
                  <c:v>374.58199999999999</c:v>
                </c:pt>
                <c:pt idx="1">
                  <c:v>374.58199999999999</c:v>
                </c:pt>
                <c:pt idx="2">
                  <c:v>374.58199999999999</c:v>
                </c:pt>
                <c:pt idx="3">
                  <c:v>374.58199999999999</c:v>
                </c:pt>
                <c:pt idx="4">
                  <c:v>374.58199999999999</c:v>
                </c:pt>
                <c:pt idx="5">
                  <c:v>374.58199999999999</c:v>
                </c:pt>
                <c:pt idx="6">
                  <c:v>374.58199999999999</c:v>
                </c:pt>
                <c:pt idx="7">
                  <c:v>374.58199999999999</c:v>
                </c:pt>
                <c:pt idx="8">
                  <c:v>374.58199999999999</c:v>
                </c:pt>
                <c:pt idx="9">
                  <c:v>374.58199999999999</c:v>
                </c:pt>
                <c:pt idx="10">
                  <c:v>374.58199999999999</c:v>
                </c:pt>
                <c:pt idx="11">
                  <c:v>374.58199999999999</c:v>
                </c:pt>
                <c:pt idx="12">
                  <c:v>374.58199999999999</c:v>
                </c:pt>
                <c:pt idx="13">
                  <c:v>374.58199999999999</c:v>
                </c:pt>
                <c:pt idx="14">
                  <c:v>374.58199999999999</c:v>
                </c:pt>
                <c:pt idx="15">
                  <c:v>374.58199999999999</c:v>
                </c:pt>
                <c:pt idx="16">
                  <c:v>374.58199999999999</c:v>
                </c:pt>
                <c:pt idx="17">
                  <c:v>374.58199999999999</c:v>
                </c:pt>
              </c:numCache>
            </c:numRef>
          </c:val>
          <c:extLst>
            <c:ext xmlns:c16="http://schemas.microsoft.com/office/drawing/2014/chart" uri="{C3380CC4-5D6E-409C-BE32-E72D297353CC}">
              <c16:uniqueId val="{00000001-675F-4267-A114-03412616F97D}"/>
            </c:ext>
          </c:extLst>
        </c:ser>
        <c:ser>
          <c:idx val="2"/>
          <c:order val="2"/>
          <c:tx>
            <c:strRef>
              <c:f>'238'!$S$34</c:f>
              <c:strCache>
                <c:ptCount val="1"/>
                <c:pt idx="0">
                  <c:v>Stg.2 Shroud Fwd#1</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'238'!$S$36:$S$53</c:f>
              <c:numCache>
                <c:formatCode>0.000</c:formatCode>
                <c:ptCount val="18"/>
                <c:pt idx="0">
                  <c:v>374.51556111837976</c:v>
                </c:pt>
                <c:pt idx="1">
                  <c:v>374.51556111837976</c:v>
                </c:pt>
              </c:numCache>
            </c:numRef>
          </c:val>
          <c:extLst>
            <c:ext xmlns:c16="http://schemas.microsoft.com/office/drawing/2014/chart" uri="{C3380CC4-5D6E-409C-BE32-E72D297353CC}">
              <c16:uniqueId val="{00000002-675F-4267-A114-03412616F97D}"/>
            </c:ext>
          </c:extLst>
        </c:ser>
        <c:ser>
          <c:idx val="3"/>
          <c:order val="3"/>
          <c:tx>
            <c:strRef>
              <c:f>'238'!$T$34</c:f>
              <c:strCache>
                <c:ptCount val="1"/>
                <c:pt idx="0">
                  <c:v>Stg.2 Shroud Fwd#18</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'238'!$T$36:$T$53</c:f>
              <c:numCache>
                <c:formatCode>0.000</c:formatCode>
                <c:ptCount val="18"/>
                <c:pt idx="1">
                  <c:v>374.52136333941507</c:v>
                </c:pt>
                <c:pt idx="2">
                  <c:v>374.52136333941507</c:v>
                </c:pt>
              </c:numCache>
            </c:numRef>
          </c:val>
          <c:extLst>
            <c:ext xmlns:c16="http://schemas.microsoft.com/office/drawing/2014/chart" uri="{C3380CC4-5D6E-409C-BE32-E72D297353CC}">
              <c16:uniqueId val="{00000003-675F-4267-A114-03412616F97D}"/>
            </c:ext>
          </c:extLst>
        </c:ser>
        <c:ser>
          <c:idx val="4"/>
          <c:order val="4"/>
          <c:tx>
            <c:strRef>
              <c:f>'238'!$U$34</c:f>
              <c:strCache>
                <c:ptCount val="1"/>
                <c:pt idx="0">
                  <c:v>Stg.2 Shroud Fwd#17</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'238'!$U$36:$U$53</c:f>
              <c:numCache>
                <c:formatCode>General</c:formatCode>
                <c:ptCount val="18"/>
                <c:pt idx="2" formatCode="0.000">
                  <c:v>374.53330556252865</c:v>
                </c:pt>
                <c:pt idx="3" formatCode="0.000">
                  <c:v>374.53330556252865</c:v>
                </c:pt>
              </c:numCache>
            </c:numRef>
          </c:val>
          <c:extLst>
            <c:ext xmlns:c16="http://schemas.microsoft.com/office/drawing/2014/chart" uri="{C3380CC4-5D6E-409C-BE32-E72D297353CC}">
              <c16:uniqueId val="{00000004-675F-4267-A114-03412616F97D}"/>
            </c:ext>
          </c:extLst>
        </c:ser>
        <c:ser>
          <c:idx val="5"/>
          <c:order val="5"/>
          <c:tx>
            <c:strRef>
              <c:f>'238'!$V$34</c:f>
              <c:strCache>
                <c:ptCount val="1"/>
                <c:pt idx="0">
                  <c:v>Stg.2 Shroud Fwd#16</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'238'!$V$36:$V$53</c:f>
              <c:numCache>
                <c:formatCode>General</c:formatCode>
                <c:ptCount val="18"/>
                <c:pt idx="3" formatCode="0.000">
                  <c:v>374.54523667355335</c:v>
                </c:pt>
                <c:pt idx="4" formatCode="0.000">
                  <c:v>374.54523667355335</c:v>
                </c:pt>
              </c:numCache>
            </c:numRef>
          </c:val>
          <c:extLst>
            <c:ext xmlns:c16="http://schemas.microsoft.com/office/drawing/2014/chart" uri="{C3380CC4-5D6E-409C-BE32-E72D297353CC}">
              <c16:uniqueId val="{00000005-675F-4267-A114-03412616F97D}"/>
            </c:ext>
          </c:extLst>
        </c:ser>
        <c:ser>
          <c:idx val="6"/>
          <c:order val="6"/>
          <c:tx>
            <c:strRef>
              <c:f>'238'!$W$34</c:f>
              <c:strCache>
                <c:ptCount val="1"/>
                <c:pt idx="0">
                  <c:v>Stg.2 Shroud Fwd#15</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'238'!$W$36:$W$53</c:f>
              <c:numCache>
                <c:formatCode>General</c:formatCode>
                <c:ptCount val="18"/>
                <c:pt idx="4" formatCode="0.000">
                  <c:v>374.56274445645658</c:v>
                </c:pt>
                <c:pt idx="5" formatCode="0.000">
                  <c:v>374.56274445645658</c:v>
                </c:pt>
              </c:numCache>
            </c:numRef>
          </c:val>
          <c:extLst>
            <c:ext xmlns:c16="http://schemas.microsoft.com/office/drawing/2014/chart" uri="{C3380CC4-5D6E-409C-BE32-E72D297353CC}">
              <c16:uniqueId val="{00000006-675F-4267-A114-03412616F97D}"/>
            </c:ext>
          </c:extLst>
        </c:ser>
        <c:ser>
          <c:idx val="7"/>
          <c:order val="7"/>
          <c:tx>
            <c:strRef>
              <c:f>'238'!$X$34</c:f>
              <c:strCache>
                <c:ptCount val="1"/>
                <c:pt idx="0">
                  <c:v>Stg.2 Shroud Fwd#14</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'238'!$X$36:$X$53</c:f>
              <c:numCache>
                <c:formatCode>General</c:formatCode>
                <c:ptCount val="18"/>
                <c:pt idx="5" formatCode="0.000">
                  <c:v>374.57244000936169</c:v>
                </c:pt>
                <c:pt idx="6" formatCode="0.000">
                  <c:v>374.57244000936169</c:v>
                </c:pt>
              </c:numCache>
            </c:numRef>
          </c:val>
          <c:extLst>
            <c:ext xmlns:c16="http://schemas.microsoft.com/office/drawing/2014/chart" uri="{C3380CC4-5D6E-409C-BE32-E72D297353CC}">
              <c16:uniqueId val="{00000007-675F-4267-A114-03412616F97D}"/>
            </c:ext>
          </c:extLst>
        </c:ser>
        <c:ser>
          <c:idx val="8"/>
          <c:order val="8"/>
          <c:tx>
            <c:strRef>
              <c:f>'238'!$Y$34</c:f>
              <c:strCache>
                <c:ptCount val="1"/>
                <c:pt idx="0">
                  <c:v>Stg.2 Shroud Fwd#13</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'238'!$Y$36:$Y$53</c:f>
              <c:numCache>
                <c:formatCode>General</c:formatCode>
                <c:ptCount val="18"/>
                <c:pt idx="6" formatCode="0.000">
                  <c:v>374.57498000355065</c:v>
                </c:pt>
                <c:pt idx="7" formatCode="0.000">
                  <c:v>374.57498000355065</c:v>
                </c:pt>
              </c:numCache>
            </c:numRef>
          </c:val>
          <c:extLst>
            <c:ext xmlns:c16="http://schemas.microsoft.com/office/drawing/2014/chart" uri="{C3380CC4-5D6E-409C-BE32-E72D297353CC}">
              <c16:uniqueId val="{00000008-675F-4267-A114-03412616F97D}"/>
            </c:ext>
          </c:extLst>
        </c:ser>
        <c:ser>
          <c:idx val="9"/>
          <c:order val="9"/>
          <c:tx>
            <c:strRef>
              <c:f>'238'!$Z$34</c:f>
              <c:strCache>
                <c:ptCount val="1"/>
                <c:pt idx="0">
                  <c:v>Stg.2 Shroud Fwd#12</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'238'!$Z$36:$Z$53</c:f>
              <c:numCache>
                <c:formatCode>General</c:formatCode>
                <c:ptCount val="18"/>
                <c:pt idx="7" formatCode="0.000">
                  <c:v>374.55682333630114</c:v>
                </c:pt>
                <c:pt idx="8" formatCode="0.000">
                  <c:v>374.55682333630114</c:v>
                </c:pt>
              </c:numCache>
            </c:numRef>
          </c:val>
          <c:extLst>
            <c:ext xmlns:c16="http://schemas.microsoft.com/office/drawing/2014/chart" uri="{C3380CC4-5D6E-409C-BE32-E72D297353CC}">
              <c16:uniqueId val="{00000009-675F-4267-A114-03412616F97D}"/>
            </c:ext>
          </c:extLst>
        </c:ser>
        <c:ser>
          <c:idx val="10"/>
          <c:order val="10"/>
          <c:tx>
            <c:strRef>
              <c:f>'238'!$AA$34</c:f>
              <c:strCache>
                <c:ptCount val="1"/>
                <c:pt idx="0">
                  <c:v>Stg.2 Shroud Fwd#11</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'238'!$AA$36:$AA$53</c:f>
              <c:numCache>
                <c:formatCode>General</c:formatCode>
                <c:ptCount val="18"/>
                <c:pt idx="8" formatCode="0.000">
                  <c:v>374.53105778015106</c:v>
                </c:pt>
                <c:pt idx="9" formatCode="0.000">
                  <c:v>374.53105778015106</c:v>
                </c:pt>
              </c:numCache>
            </c:numRef>
          </c:val>
          <c:extLst>
            <c:ext xmlns:c16="http://schemas.microsoft.com/office/drawing/2014/chart" uri="{C3380CC4-5D6E-409C-BE32-E72D297353CC}">
              <c16:uniqueId val="{0000000A-675F-4267-A114-03412616F97D}"/>
            </c:ext>
          </c:extLst>
        </c:ser>
        <c:ser>
          <c:idx val="11"/>
          <c:order val="11"/>
          <c:tx>
            <c:strRef>
              <c:f>'238'!$AB$34</c:f>
              <c:strCache>
                <c:ptCount val="1"/>
                <c:pt idx="0">
                  <c:v>Stg.2 Shroud Fwd#10</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'238'!$AB$36:$AB$53</c:f>
              <c:numCache>
                <c:formatCode>General</c:formatCode>
                <c:ptCount val="18"/>
                <c:pt idx="9" formatCode="0.000">
                  <c:v>374.52290555896582</c:v>
                </c:pt>
                <c:pt idx="10" formatCode="0.000">
                  <c:v>374.52290555896582</c:v>
                </c:pt>
              </c:numCache>
            </c:numRef>
          </c:val>
          <c:extLst>
            <c:ext xmlns:c16="http://schemas.microsoft.com/office/drawing/2014/chart" uri="{C3380CC4-5D6E-409C-BE32-E72D297353CC}">
              <c16:uniqueId val="{0000000B-675F-4267-A114-03412616F97D}"/>
            </c:ext>
          </c:extLst>
        </c:ser>
        <c:ser>
          <c:idx val="12"/>
          <c:order val="12"/>
          <c:tx>
            <c:strRef>
              <c:f>'238'!$AC$34</c:f>
              <c:strCache>
                <c:ptCount val="1"/>
                <c:pt idx="0">
                  <c:v>Stg.2 Shroud Fwd#9</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'238'!$AC$36:$AC$53</c:f>
              <c:numCache>
                <c:formatCode>General</c:formatCode>
                <c:ptCount val="18"/>
                <c:pt idx="10" formatCode="0.000">
                  <c:v>374.51950111422622</c:v>
                </c:pt>
                <c:pt idx="11" formatCode="0.000">
                  <c:v>374.51950111422622</c:v>
                </c:pt>
              </c:numCache>
            </c:numRef>
          </c:val>
          <c:extLst>
            <c:ext xmlns:c16="http://schemas.microsoft.com/office/drawing/2014/chart" uri="{C3380CC4-5D6E-409C-BE32-E72D297353CC}">
              <c16:uniqueId val="{0000000C-675F-4267-A114-03412616F97D}"/>
            </c:ext>
          </c:extLst>
        </c:ser>
        <c:ser>
          <c:idx val="13"/>
          <c:order val="13"/>
          <c:tx>
            <c:strRef>
              <c:f>'238'!$AD$34</c:f>
              <c:strCache>
                <c:ptCount val="1"/>
                <c:pt idx="0">
                  <c:v>Stg.2 Shroud Fwd#8</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'238'!$AD$36:$AD$53</c:f>
              <c:numCache>
                <c:formatCode>General</c:formatCode>
                <c:ptCount val="18"/>
                <c:pt idx="11" formatCode="0.000">
                  <c:v>374.52840556147697</c:v>
                </c:pt>
                <c:pt idx="12" formatCode="0.000">
                  <c:v>374.52840556147697</c:v>
                </c:pt>
              </c:numCache>
            </c:numRef>
          </c:val>
          <c:extLst>
            <c:ext xmlns:c16="http://schemas.microsoft.com/office/drawing/2014/chart" uri="{C3380CC4-5D6E-409C-BE32-E72D297353CC}">
              <c16:uniqueId val="{0000000D-675F-4267-A114-03412616F97D}"/>
            </c:ext>
          </c:extLst>
        </c:ser>
        <c:ser>
          <c:idx val="14"/>
          <c:order val="14"/>
          <c:tx>
            <c:strRef>
              <c:f>'238'!$AE$34</c:f>
              <c:strCache>
                <c:ptCount val="1"/>
                <c:pt idx="0">
                  <c:v>Stg.2 Shroud Fwd#7</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'238'!$AE$36:$AE$53</c:f>
              <c:numCache>
                <c:formatCode>General</c:formatCode>
                <c:ptCount val="18"/>
                <c:pt idx="12" formatCode="0.000">
                  <c:v>374.54788334171832</c:v>
                </c:pt>
                <c:pt idx="13" formatCode="0.000">
                  <c:v>374.54788334171832</c:v>
                </c:pt>
              </c:numCache>
            </c:numRef>
          </c:val>
          <c:extLst>
            <c:ext xmlns:c16="http://schemas.microsoft.com/office/drawing/2014/chart" uri="{C3380CC4-5D6E-409C-BE32-E72D297353CC}">
              <c16:uniqueId val="{0000000E-675F-4267-A114-03412616F97D}"/>
            </c:ext>
          </c:extLst>
        </c:ser>
        <c:ser>
          <c:idx val="15"/>
          <c:order val="15"/>
          <c:tx>
            <c:strRef>
              <c:f>'238'!$AF$34</c:f>
              <c:strCache>
                <c:ptCount val="1"/>
                <c:pt idx="0">
                  <c:v>Stg.2 Shroud Fwd#6</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'238'!$AF$36:$AF$53</c:f>
              <c:numCache>
                <c:formatCode>General</c:formatCode>
                <c:ptCount val="18"/>
                <c:pt idx="13" formatCode="0.000">
                  <c:v>374.57018778268434</c:v>
                </c:pt>
                <c:pt idx="14" formatCode="0.000">
                  <c:v>374.57018778268434</c:v>
                </c:pt>
              </c:numCache>
            </c:numRef>
          </c:val>
          <c:extLst>
            <c:ext xmlns:c16="http://schemas.microsoft.com/office/drawing/2014/chart" uri="{C3380CC4-5D6E-409C-BE32-E72D297353CC}">
              <c16:uniqueId val="{0000000F-675F-4267-A114-03412616F97D}"/>
            </c:ext>
          </c:extLst>
        </c:ser>
        <c:ser>
          <c:idx val="16"/>
          <c:order val="16"/>
          <c:tx>
            <c:strRef>
              <c:f>'238'!$AG$34</c:f>
              <c:strCache>
                <c:ptCount val="1"/>
                <c:pt idx="0">
                  <c:v>Stg.2 Shroud Fwd#5</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'238'!$AG$36:$AG$53</c:f>
              <c:numCache>
                <c:formatCode>General</c:formatCode>
                <c:ptCount val="18"/>
                <c:pt idx="14" formatCode="0.000">
                  <c:v>374.57973666800149</c:v>
                </c:pt>
                <c:pt idx="15" formatCode="0.000">
                  <c:v>374.57973666800149</c:v>
                </c:pt>
              </c:numCache>
            </c:numRef>
          </c:val>
          <c:extLst>
            <c:ext xmlns:c16="http://schemas.microsoft.com/office/drawing/2014/chart" uri="{C3380CC4-5D6E-409C-BE32-E72D297353CC}">
              <c16:uniqueId val="{00000010-675F-4267-A114-03412616F97D}"/>
            </c:ext>
          </c:extLst>
        </c:ser>
        <c:ser>
          <c:idx val="17"/>
          <c:order val="17"/>
          <c:tx>
            <c:strRef>
              <c:f>'238'!$AH$34</c:f>
              <c:strCache>
                <c:ptCount val="1"/>
                <c:pt idx="0">
                  <c:v>Stg.2 Shroud Fwd#4</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'238'!$AH$36:$AH$52</c:f>
              <c:numCache>
                <c:formatCode>General</c:formatCode>
                <c:ptCount val="17"/>
                <c:pt idx="15" formatCode="0.000">
                  <c:v>374.57336000133489</c:v>
                </c:pt>
                <c:pt idx="16" formatCode="0.000">
                  <c:v>374.57336000133489</c:v>
                </c:pt>
              </c:numCache>
            </c:numRef>
          </c:val>
          <c:extLst>
            <c:ext xmlns:c16="http://schemas.microsoft.com/office/drawing/2014/chart" uri="{C3380CC4-5D6E-409C-BE32-E72D297353CC}">
              <c16:uniqueId val="{00000011-675F-4267-A114-03412616F97D}"/>
            </c:ext>
          </c:extLst>
        </c:ser>
        <c:ser>
          <c:idx val="18"/>
          <c:order val="18"/>
          <c:tx>
            <c:strRef>
              <c:f>'238'!$AI$34</c:f>
              <c:strCache>
                <c:ptCount val="1"/>
                <c:pt idx="0">
                  <c:v>Stg.2 Shroud Fwd#3</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'238'!$AI$36:$AI$53</c:f>
              <c:numCache>
                <c:formatCode>General</c:formatCode>
                <c:ptCount val="18"/>
                <c:pt idx="16" formatCode="0.000">
                  <c:v>374.54673333466826</c:v>
                </c:pt>
                <c:pt idx="17" formatCode="0.000">
                  <c:v>374.54673333466826</c:v>
                </c:pt>
              </c:numCache>
            </c:numRef>
          </c:val>
          <c:extLst>
            <c:ext xmlns:c16="http://schemas.microsoft.com/office/drawing/2014/chart" uri="{C3380CC4-5D6E-409C-BE32-E72D297353CC}">
              <c16:uniqueId val="{00000012-675F-4267-A114-03412616F97D}"/>
            </c:ext>
          </c:extLst>
        </c:ser>
        <c:ser>
          <c:idx val="19"/>
          <c:order val="19"/>
          <c:tx>
            <c:strRef>
              <c:f>'238'!$AJ$34</c:f>
              <c:strCache>
                <c:ptCount val="1"/>
                <c:pt idx="0">
                  <c:v>Stg.2 Shroud Fwd#2</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'238'!$AJ$36:$AJ$53</c:f>
              <c:numCache>
                <c:formatCode>General</c:formatCode>
                <c:ptCount val="18"/>
                <c:pt idx="0" formatCode="0.000">
                  <c:v>374.52078111658784</c:v>
                </c:pt>
                <c:pt idx="17" formatCode="0.000">
                  <c:v>374.52078111658784</c:v>
                </c:pt>
              </c:numCache>
            </c:numRef>
          </c:val>
          <c:extLst>
            <c:ext xmlns:c16="http://schemas.microsoft.com/office/drawing/2014/chart" uri="{C3380CC4-5D6E-409C-BE32-E72D297353CC}">
              <c16:uniqueId val="{00000013-675F-4267-A114-03412616F97D}"/>
            </c:ext>
          </c:extLst>
        </c:ser>
        <c:dLbls>
          <c:showLegendKey val="0"/>
          <c:showVal val="0"/>
          <c:showCatName val="0"/>
          <c:showSerName val="0"/>
          <c:showPercent val="0"/>
          <c:showBubbleSize val="0"/>
        </c:dLbls>
        <c:axId val="170213888"/>
        <c:axId val="170031872"/>
      </c:radarChart>
      <c:catAx>
        <c:axId val="17021388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031872"/>
        <c:crosses val="autoZero"/>
        <c:auto val="1"/>
        <c:lblAlgn val="ctr"/>
        <c:lblOffset val="100"/>
        <c:noMultiLvlLbl val="0"/>
      </c:catAx>
      <c:valAx>
        <c:axId val="17003187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0213888"/>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'238'!$V$9</c:f>
              <c:strCache>
                <c:ptCount val="1"/>
                <c:pt idx="0">
                  <c:v>Front</c:v>
                </c:pt>
              </c:strCache>
            </c:strRef>
          </c:tx>
          <c:marker>
            <c:symbol val="none"/>
          </c:marker>
          <c:cat>
            <c:numRef>
              <c:f>'238'!$U$11:$U$26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'238'!$V$11:$V$26</c:f>
              <c:numCache>
                <c:formatCode>General</c:formatCode>
                <c:ptCount val="16"/>
                <c:pt idx="0">
                  <c:v>374.50400000133516</c:v>
                </c:pt>
                <c:pt idx="1">
                  <c:v>374.52800001201513</c:v>
                </c:pt>
                <c:pt idx="2">
                  <c:v>374.53</c:v>
                </c:pt>
                <c:pt idx="3">
                  <c:v>374.5630000013349</c:v>
                </c:pt>
                <c:pt idx="4">
                  <c:v>374.56000000133491</c:v>
                </c:pt>
                <c:pt idx="5">
                  <c:v>374.56600000133483</c:v>
                </c:pt>
                <c:pt idx="6">
                  <c:v>374.51</c:v>
                </c:pt>
                <c:pt idx="7">
                  <c:v>374.51100010814105</c:v>
                </c:pt>
                <c:pt idx="8">
                  <c:v>374.49500000133514</c:v>
                </c:pt>
                <c:pt idx="9">
                  <c:v>374.51799999999997</c:v>
                </c:pt>
                <c:pt idx="10">
                  <c:v>374.53800000533994</c:v>
                </c:pt>
                <c:pt idx="11">
                  <c:v>374.56900000133487</c:v>
                </c:pt>
                <c:pt idx="12">
                  <c:v>374.56600000133483</c:v>
                </c:pt>
                <c:pt idx="13">
                  <c:v>374.56200000000001</c:v>
                </c:pt>
                <c:pt idx="14">
                  <c:v>374.51400000133509</c:v>
                </c:pt>
                <c:pt idx="15">
                  <c:v>374.5110000120157</c:v>
                </c:pt>
              </c:numCache>
            </c:numRef>
          </c:val>
          <c:extLst>
            <c:ext xmlns:c16="http://schemas.microsoft.com/office/drawing/2014/chart" uri="{C3380CC4-5D6E-409C-BE32-E72D297353CC}">
              <c16:uniqueId val="{00000000-609F-4840-B1F2-6899AEDC5651}"/>
            </c:ext>
          </c:extLst>
        </c:ser>
        <c:ser>
          <c:idx val="1"/>
          <c:order val="1"/>
          <c:tx>
            <c:strRef>
              <c:f>'238'!$W$9</c:f>
              <c:strCache>
                <c:ptCount val="1"/>
                <c:pt idx="0">
                  <c:v>Rear</c:v>
                </c:pt>
              </c:strCache>
            </c:strRef>
          </c:tx>
          <c:marker>
            <c:symbol val="none"/>
          </c:marker>
          <c:cat>
            <c:numRef>
              <c:f>'238'!$U$11:$U$26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'238'!$W$11:$W$26</c:f>
              <c:numCache>
                <c:formatCode>General</c:formatCode>
                <c:ptCount val="16"/>
                <c:pt idx="0">
                  <c:v>374.51500000133507</c:v>
                </c:pt>
                <c:pt idx="1">
                  <c:v>374.53800001201483</c:v>
                </c:pt>
                <c:pt idx="2">
                  <c:v>374.54</c:v>
                </c:pt>
                <c:pt idx="3">
                  <c:v>374.57500002135754</c:v>
                </c:pt>
                <c:pt idx="4">
                  <c:v>374.57000000133485</c:v>
                </c:pt>
                <c:pt idx="5">
                  <c:v>374.57900000533931</c:v>
                </c:pt>
                <c:pt idx="6">
                  <c:v>374.529</c:v>
                </c:pt>
                <c:pt idx="7">
                  <c:v>374.52700000534008</c:v>
                </c:pt>
                <c:pt idx="8">
                  <c:v>374.51400000133509</c:v>
                </c:pt>
                <c:pt idx="9">
                  <c:v>374.52600000534011</c:v>
                </c:pt>
                <c:pt idx="10">
                  <c:v>374.54900001201446</c:v>
                </c:pt>
                <c:pt idx="11">
                  <c:v>374.58100000133487</c:v>
                </c:pt>
                <c:pt idx="12">
                  <c:v>374.58000000133484</c:v>
                </c:pt>
                <c:pt idx="13">
                  <c:v>374.56800000133489</c:v>
                </c:pt>
                <c:pt idx="14">
                  <c:v>374.52000000133506</c:v>
                </c:pt>
                <c:pt idx="15">
                  <c:v>374.51500001201555</c:v>
                </c:pt>
              </c:numCache>
            </c:numRef>
          </c:val>
          <c:extLst>
            <c:ext xmlns:c16="http://schemas.microsoft.com/office/drawing/2014/chart" uri="{C3380CC4-5D6E-409C-BE32-E72D297353CC}">
              <c16:uniqueId val="{00000001-609F-4840-B1F2-6899AEDC5651}"/>
            </c:ext>
          </c:extLst>
        </c:ser>
        <c:dLbls>
          <c:showLegendKey val="0"/>
          <c:showVal val="0"/>
          <c:showCatName val="0"/>
          <c:showSerName val="0"/>
          <c:showPercent val="0"/>
          <c:showBubbleSize val="0"/>
        </c:dLbls>
        <c:axId val="170216960"/>
        <c:axId val="170060032"/>
      </c:radarChart>
      <c:valAx>
        <c:axId val="170060032"/>
        <c:scaling>
          <c:orientation val="minMax"/>
          <c:min val="374.4"/>
        </c:scaling>
        <c:delete val="0"/>
        <c:axPos val="l"/>
        <c:majorGridlines/>
        <c:numFmt formatCode="General" sourceLinked="1"/>
        <c:majorTickMark val="out"/>
        <c:minorTickMark val="none"/>
        <c:tickLblPos val="nextTo"/>
        <c:txPr>
          <a:bodyPr/>
          <a:lstStyle/>
          <a:p>
            <a:pPr>
              <a:defRPr lang="ja-JP"/>
            </a:pPr>
            <a:endParaRPr lang="en-US"/>
          </a:p>
        </c:txPr>
        <c:crossAx val="170216960"/>
        <c:crosses val="max"/>
        <c:crossBetween val="between"/>
      </c:valAx>
      <c:catAx>
        <c:axId val="1702169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060032"/>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'238'!$X$9</c:f>
              <c:strCache>
                <c:ptCount val="1"/>
                <c:pt idx="0">
                  <c:v>Rear-Front</c:v>
                </c:pt>
              </c:strCache>
            </c:strRef>
          </c:tx>
          <c:marker>
            <c:symbol val="none"/>
          </c:marker>
          <c:cat>
            <c:numRef>
              <c:f>'238'!$U$11:$U$26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'238'!$X$11:$X$26</c:f>
              <c:numCache>
                <c:formatCode>General</c:formatCode>
                <c:ptCount val="16"/>
                <c:pt idx="0">
                  <c:v>1.0999999999910415E-2</c:v>
                </c:pt>
                <c:pt idx="1">
                  <c:v>9.999999999706688E-3</c:v>
                </c:pt>
                <c:pt idx="2">
                  <c:v>1.0000000000047748E-2</c:v>
                </c:pt>
                <c:pt idx="3">
                  <c:v>1.2000020022640001E-2</c:v>
                </c:pt>
                <c:pt idx="4">
                  <c:v>9.9999999999340616E-3</c:v>
                </c:pt>
                <c:pt idx="5">
                  <c:v>1.300000400448198E-2</c:v>
                </c:pt>
                <c:pt idx="6">
                  <c:v>1.9000000000005457E-2</c:v>
                </c:pt>
                <c:pt idx="7">
                  <c:v>1.5999897199037605E-2</c:v>
                </c:pt>
                <c:pt idx="8">
                  <c:v>1.8999999999948614E-2</c:v>
                </c:pt>
                <c:pt idx="9">
                  <c:v>8.0000053401363402E-3</c:v>
                </c:pt>
                <c:pt idx="10">
                  <c:v>1.1000006674521501E-2</c:v>
                </c:pt>
                <c:pt idx="11">
                  <c:v>1.2000000000000455E-2</c:v>
                </c:pt>
                <c:pt idx="12">
                  <c:v>1.4000000000010004E-2</c:v>
                </c:pt>
                <c:pt idx="13">
                  <c:v>6.0000013348826542E-3</c:v>
                </c:pt>
                <c:pt idx="14">
                  <c:v>5.9999999999718057E-3</c:v>
                </c:pt>
                <c:pt idx="15">
                  <c:v>3.9999999998485691E-3</c:v>
                </c:pt>
              </c:numCache>
            </c:numRef>
          </c:val>
          <c:extLst>
            <c:ext xmlns:c16="http://schemas.microsoft.com/office/drawing/2014/chart" uri="{C3380CC4-5D6E-409C-BE32-E72D297353CC}">
              <c16:uniqueId val="{00000000-B51C-49C2-A67A-2F5360165A51}"/>
            </c:ext>
          </c:extLst>
        </c:ser>
        <c:dLbls>
          <c:showLegendKey val="0"/>
          <c:showVal val="0"/>
          <c:showCatName val="0"/>
          <c:showSerName val="0"/>
          <c:showPercent val="0"/>
          <c:showBubbleSize val="0"/>
        </c:dLbls>
        <c:axId val="171118592"/>
        <c:axId val="170062336"/>
      </c:radarChart>
      <c:valAx>
        <c:axId val="170062336"/>
        <c:scaling>
          <c:orientation val="minMax"/>
          <c:max val="2.0000000000000004E-2"/>
          <c:min val="-2.0000000000000004E-2"/>
        </c:scaling>
        <c:delete val="0"/>
        <c:axPos val="l"/>
        <c:majorGridlines/>
        <c:numFmt formatCode="General" sourceLinked="1"/>
        <c:majorTickMark val="out"/>
        <c:minorTickMark val="none"/>
        <c:tickLblPos val="nextTo"/>
        <c:txPr>
          <a:bodyPr/>
          <a:lstStyle/>
          <a:p>
            <a:pPr>
              <a:defRPr lang="ja-JP"/>
            </a:pPr>
            <a:endParaRPr lang="en-US"/>
          </a:p>
        </c:txPr>
        <c:crossAx val="171118592"/>
        <c:crosses val="max"/>
        <c:crossBetween val="between"/>
      </c:valAx>
      <c:catAx>
        <c:axId val="17111859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062336"/>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'239'!$K$9</c:f>
              <c:strCache>
                <c:ptCount val="1"/>
                <c:pt idx="0">
                  <c:v>CMM</c:v>
                </c:pt>
              </c:strCache>
            </c:strRef>
          </c:tx>
          <c:marker>
            <c:symbol val="none"/>
          </c:marker>
          <c:cat>
            <c:numRef>
              <c:f>'239'!$J$11:$J$26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'239'!$K$11:$K$26</c:f>
              <c:numCache>
                <c:formatCode>General</c:formatCode>
                <c:ptCount val="16"/>
                <c:pt idx="0">
                  <c:v>376.71199999999999</c:v>
                </c:pt>
                <c:pt idx="1">
                  <c:v>376.72900003318028</c:v>
                </c:pt>
                <c:pt idx="2">
                  <c:v>376.73399999999998</c:v>
                </c:pt>
                <c:pt idx="3">
                  <c:v>376.77200000132706</c:v>
                </c:pt>
                <c:pt idx="4">
                  <c:v>376.762</c:v>
                </c:pt>
                <c:pt idx="5">
                  <c:v>376.77300029858827</c:v>
                </c:pt>
                <c:pt idx="6">
                  <c:v>376.71800000132725</c:v>
                </c:pt>
                <c:pt idx="7">
                  <c:v>376.71600001194537</c:v>
                </c:pt>
                <c:pt idx="8">
                  <c:v>376.70499999999998</c:v>
                </c:pt>
                <c:pt idx="9">
                  <c:v>376.71800003318128</c:v>
                </c:pt>
                <c:pt idx="10">
                  <c:v>376.7420000013272</c:v>
                </c:pt>
                <c:pt idx="11">
                  <c:v>376.77600001194344</c:v>
                </c:pt>
                <c:pt idx="12">
                  <c:v>376.77</c:v>
                </c:pt>
                <c:pt idx="13">
                  <c:v>376.7680000013271</c:v>
                </c:pt>
                <c:pt idx="14">
                  <c:v>376.71800000000002</c:v>
                </c:pt>
                <c:pt idx="15">
                  <c:v>376.70800000000003</c:v>
                </c:pt>
              </c:numCache>
            </c:numRef>
          </c:val>
          <c:extLst>
            <c:ext xmlns:c16="http://schemas.microsoft.com/office/drawing/2014/chart" uri="{C3380CC4-5D6E-409C-BE32-E72D297353CC}">
              <c16:uniqueId val="{00000000-28F0-4B7B-AF1B-4F629E10BBC7}"/>
            </c:ext>
          </c:extLst>
        </c:ser>
        <c:ser>
          <c:idx val="1"/>
          <c:order val="1"/>
          <c:tx>
            <c:strRef>
              <c:f>'239'!$L$9</c:f>
              <c:strCache>
                <c:ptCount val="1"/>
                <c:pt idx="0">
                  <c:v>Dwg Min</c:v>
                </c:pt>
              </c:strCache>
            </c:strRef>
          </c:tx>
          <c:spPr>
            <a:ln>
              <a:prstDash val="dash"/>
            </a:ln>
          </c:spPr>
          <c:marker>
            <c:symbol val="none"/>
          </c:marker>
          <c:val>
            <c:numRef>
              <c:f>'239'!$L$11:$L$26</c:f>
              <c:numCache>
                <c:formatCode>General</c:formatCode>
                <c:ptCount val="16"/>
                <c:pt idx="0">
                  <c:v>376.66</c:v>
                </c:pt>
                <c:pt idx="1">
                  <c:v>376.66</c:v>
                </c:pt>
                <c:pt idx="2">
                  <c:v>376.66</c:v>
                </c:pt>
                <c:pt idx="3">
                  <c:v>376.66</c:v>
                </c:pt>
                <c:pt idx="4">
                  <c:v>376.66</c:v>
                </c:pt>
                <c:pt idx="5">
                  <c:v>376.66</c:v>
                </c:pt>
                <c:pt idx="6">
                  <c:v>376.66</c:v>
                </c:pt>
                <c:pt idx="7">
                  <c:v>376.66</c:v>
                </c:pt>
                <c:pt idx="8">
                  <c:v>376.66</c:v>
                </c:pt>
                <c:pt idx="9">
                  <c:v>376.66</c:v>
                </c:pt>
                <c:pt idx="10">
                  <c:v>376.66</c:v>
                </c:pt>
                <c:pt idx="11">
                  <c:v>376.66</c:v>
                </c:pt>
                <c:pt idx="12">
                  <c:v>376.66</c:v>
                </c:pt>
                <c:pt idx="13">
                  <c:v>376.66</c:v>
                </c:pt>
                <c:pt idx="14">
                  <c:v>376.66</c:v>
                </c:pt>
                <c:pt idx="15">
                  <c:v>376.66</c:v>
                </c:pt>
              </c:numCache>
            </c:numRef>
          </c:val>
          <c:extLst>
            <c:ext xmlns:c16="http://schemas.microsoft.com/office/drawing/2014/chart" uri="{C3380CC4-5D6E-409C-BE32-E72D297353CC}">
              <c16:uniqueId val="{00000001-28F0-4B7B-AF1B-4F629E10BBC7}"/>
            </c:ext>
          </c:extLst>
        </c:ser>
        <c:ser>
          <c:idx val="2"/>
          <c:order val="2"/>
          <c:tx>
            <c:strRef>
              <c:f>'239'!$M$9</c:f>
              <c:strCache>
                <c:ptCount val="1"/>
                <c:pt idx="0">
                  <c:v>Dwg Max</c:v>
                </c:pt>
              </c:strCache>
            </c:strRef>
          </c:tx>
          <c:spPr>
            <a:ln>
              <a:prstDash val="dash"/>
            </a:ln>
          </c:spPr>
          <c:marker>
            <c:symbol val="none"/>
          </c:marker>
          <c:val>
            <c:numRef>
              <c:f>'239'!$M$11:$M$26</c:f>
              <c:numCache>
                <c:formatCode>General</c:formatCode>
                <c:ptCount val="16"/>
                <c:pt idx="0">
                  <c:v>376.84</c:v>
                </c:pt>
                <c:pt idx="1">
                  <c:v>376.84</c:v>
                </c:pt>
                <c:pt idx="2">
                  <c:v>376.84</c:v>
                </c:pt>
                <c:pt idx="3">
                  <c:v>376.84</c:v>
                </c:pt>
                <c:pt idx="4">
                  <c:v>376.84</c:v>
                </c:pt>
                <c:pt idx="5">
                  <c:v>376.84</c:v>
                </c:pt>
                <c:pt idx="6">
                  <c:v>376.84</c:v>
                </c:pt>
                <c:pt idx="7">
                  <c:v>376.84</c:v>
                </c:pt>
                <c:pt idx="8">
                  <c:v>376.84</c:v>
                </c:pt>
                <c:pt idx="9">
                  <c:v>376.84</c:v>
                </c:pt>
                <c:pt idx="10">
                  <c:v>376.84</c:v>
                </c:pt>
                <c:pt idx="11">
                  <c:v>376.84</c:v>
                </c:pt>
                <c:pt idx="12">
                  <c:v>376.84</c:v>
                </c:pt>
                <c:pt idx="13">
                  <c:v>376.84</c:v>
                </c:pt>
                <c:pt idx="14">
                  <c:v>376.84</c:v>
                </c:pt>
                <c:pt idx="15">
                  <c:v>376.84</c:v>
                </c:pt>
              </c:numCache>
            </c:numRef>
          </c:val>
          <c:extLst>
            <c:ext xmlns:c16="http://schemas.microsoft.com/office/drawing/2014/chart" uri="{C3380CC4-5D6E-409C-BE32-E72D297353CC}">
              <c16:uniqueId val="{00000002-28F0-4B7B-AF1B-4F629E10BBC7}"/>
            </c:ext>
          </c:extLst>
        </c:ser>
        <c:dLbls>
          <c:showLegendKey val="0"/>
          <c:showVal val="0"/>
          <c:showCatName val="0"/>
          <c:showSerName val="0"/>
          <c:showPercent val="0"/>
          <c:showBubbleSize val="0"/>
        </c:dLbls>
        <c:axId val="171120128"/>
        <c:axId val="170064064"/>
      </c:radarChart>
      <c:catAx>
        <c:axId val="17112012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064064"/>
        <c:crosses val="autoZero"/>
        <c:auto val="1"/>
        <c:lblAlgn val="ctr"/>
        <c:lblOffset val="100"/>
        <c:noMultiLvlLbl val="0"/>
      </c:catAx>
      <c:valAx>
        <c:axId val="1700640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120128"/>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'239'!$BC$34</c:f>
              <c:strCache>
                <c:ptCount val="1"/>
                <c:pt idx="0">
                  <c:v>LPT Case Hook R Min</c:v>
                </c:pt>
              </c:strCache>
            </c:strRef>
          </c:tx>
          <c:spPr>
            <a:ln w="28575">
              <a:prstDash val="dash"/>
            </a:ln>
          </c:spPr>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'239'!$BC$36:$BC$71</c:f>
              <c:numCache>
                <c:formatCode>General</c:formatCode>
                <c:ptCount val="36"/>
                <c:pt idx="0">
                  <c:v>376.71800000000002</c:v>
                </c:pt>
                <c:pt idx="1">
                  <c:v>376.71800000000002</c:v>
                </c:pt>
                <c:pt idx="2">
                  <c:v>376.71800000000002</c:v>
                </c:pt>
                <c:pt idx="3">
                  <c:v>376.71800000000002</c:v>
                </c:pt>
                <c:pt idx="4">
                  <c:v>376.71800000000002</c:v>
                </c:pt>
                <c:pt idx="5">
                  <c:v>376.71800000000002</c:v>
                </c:pt>
                <c:pt idx="6">
                  <c:v>376.71800000000002</c:v>
                </c:pt>
                <c:pt idx="7">
                  <c:v>376.71800000000002</c:v>
                </c:pt>
                <c:pt idx="8">
                  <c:v>376.71800000000002</c:v>
                </c:pt>
                <c:pt idx="9">
                  <c:v>376.71800000000002</c:v>
                </c:pt>
                <c:pt idx="10">
                  <c:v>376.71800000000002</c:v>
                </c:pt>
                <c:pt idx="11">
                  <c:v>376.71800000000002</c:v>
                </c:pt>
                <c:pt idx="12">
                  <c:v>376.71800000000002</c:v>
                </c:pt>
                <c:pt idx="13">
                  <c:v>376.71800000000002</c:v>
                </c:pt>
                <c:pt idx="14">
                  <c:v>376.71800000000002</c:v>
                </c:pt>
                <c:pt idx="15">
                  <c:v>376.71800000000002</c:v>
                </c:pt>
                <c:pt idx="16">
                  <c:v>376.71800000000002</c:v>
                </c:pt>
                <c:pt idx="17">
                  <c:v>376.71800000000002</c:v>
                </c:pt>
                <c:pt idx="18">
                  <c:v>376.71800000000002</c:v>
                </c:pt>
                <c:pt idx="19">
                  <c:v>376.71800000000002</c:v>
                </c:pt>
                <c:pt idx="20">
                  <c:v>376.71800000000002</c:v>
                </c:pt>
                <c:pt idx="21">
                  <c:v>376.71800000000002</c:v>
                </c:pt>
                <c:pt idx="22">
                  <c:v>376.71800000000002</c:v>
                </c:pt>
                <c:pt idx="23">
                  <c:v>376.71800000000002</c:v>
                </c:pt>
                <c:pt idx="24">
                  <c:v>376.71800000000002</c:v>
                </c:pt>
                <c:pt idx="25">
                  <c:v>376.71800000000002</c:v>
                </c:pt>
                <c:pt idx="26">
                  <c:v>376.71800000000002</c:v>
                </c:pt>
                <c:pt idx="27">
                  <c:v>376.71800000000002</c:v>
                </c:pt>
                <c:pt idx="28">
                  <c:v>376.71800000000002</c:v>
                </c:pt>
                <c:pt idx="29">
                  <c:v>376.71800000000002</c:v>
                </c:pt>
                <c:pt idx="30">
                  <c:v>376.71800000000002</c:v>
                </c:pt>
                <c:pt idx="31">
                  <c:v>376.71800000000002</c:v>
                </c:pt>
                <c:pt idx="32">
                  <c:v>376.71800000000002</c:v>
                </c:pt>
                <c:pt idx="33">
                  <c:v>376.71800000000002</c:v>
                </c:pt>
                <c:pt idx="34">
                  <c:v>376.71800000000002</c:v>
                </c:pt>
                <c:pt idx="35">
                  <c:v>376.71800000000002</c:v>
                </c:pt>
              </c:numCache>
            </c:numRef>
          </c:val>
          <c:extLst>
            <c:ext xmlns:c16="http://schemas.microsoft.com/office/drawing/2014/chart" uri="{C3380CC4-5D6E-409C-BE32-E72D297353CC}">
              <c16:uniqueId val="{00000000-4F13-474A-A30F-E91A3D853AE6}"/>
            </c:ext>
          </c:extLst>
        </c:ser>
        <c:ser>
          <c:idx val="1"/>
          <c:order val="1"/>
          <c:tx>
            <c:strRef>
              <c:f>'239'!$BD$34</c:f>
              <c:strCache>
                <c:ptCount val="1"/>
                <c:pt idx="0">
                  <c:v>LPT Case Hook R Max</c:v>
                </c:pt>
              </c:strCache>
            </c:strRef>
          </c:tx>
          <c:spPr>
            <a:ln w="28575">
              <a:prstDash val="dash"/>
            </a:ln>
          </c:spPr>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'239'!$BD$36:$BD$71</c:f>
              <c:numCache>
                <c:formatCode>General</c:formatCode>
                <c:ptCount val="36"/>
                <c:pt idx="0">
                  <c:v>376.78199999999998</c:v>
                </c:pt>
                <c:pt idx="1">
                  <c:v>376.78199999999998</c:v>
                </c:pt>
                <c:pt idx="2">
                  <c:v>376.78199999999998</c:v>
                </c:pt>
                <c:pt idx="3">
                  <c:v>376.78199999999998</c:v>
                </c:pt>
                <c:pt idx="4">
                  <c:v>376.78199999999998</c:v>
                </c:pt>
                <c:pt idx="5">
                  <c:v>376.78199999999998</c:v>
                </c:pt>
                <c:pt idx="6">
                  <c:v>376.78199999999998</c:v>
                </c:pt>
                <c:pt idx="7">
                  <c:v>376.78199999999998</c:v>
                </c:pt>
                <c:pt idx="8">
                  <c:v>376.78199999999998</c:v>
                </c:pt>
                <c:pt idx="9">
                  <c:v>376.78199999999998</c:v>
                </c:pt>
                <c:pt idx="10">
                  <c:v>376.78199999999998</c:v>
                </c:pt>
                <c:pt idx="11">
                  <c:v>376.78199999999998</c:v>
                </c:pt>
                <c:pt idx="12">
                  <c:v>376.78199999999998</c:v>
                </c:pt>
                <c:pt idx="13">
                  <c:v>376.78199999999998</c:v>
                </c:pt>
                <c:pt idx="14">
                  <c:v>376.78199999999998</c:v>
                </c:pt>
                <c:pt idx="15">
                  <c:v>376.78199999999998</c:v>
                </c:pt>
                <c:pt idx="16">
                  <c:v>376.78199999999998</c:v>
                </c:pt>
                <c:pt idx="17">
                  <c:v>376.78199999999998</c:v>
                </c:pt>
                <c:pt idx="18">
                  <c:v>376.78199999999998</c:v>
                </c:pt>
                <c:pt idx="19">
                  <c:v>376.78199999999998</c:v>
                </c:pt>
                <c:pt idx="20">
                  <c:v>376.78199999999998</c:v>
                </c:pt>
                <c:pt idx="21">
                  <c:v>376.78199999999998</c:v>
                </c:pt>
                <c:pt idx="22">
                  <c:v>376.78199999999998</c:v>
                </c:pt>
                <c:pt idx="23">
                  <c:v>376.78199999999998</c:v>
                </c:pt>
                <c:pt idx="24">
                  <c:v>376.78199999999998</c:v>
                </c:pt>
                <c:pt idx="25">
                  <c:v>376.78199999999998</c:v>
                </c:pt>
                <c:pt idx="26">
                  <c:v>376.78199999999998</c:v>
                </c:pt>
                <c:pt idx="27">
                  <c:v>376.78199999999998</c:v>
                </c:pt>
                <c:pt idx="28">
                  <c:v>376.78199999999998</c:v>
                </c:pt>
                <c:pt idx="29">
                  <c:v>376.78199999999998</c:v>
                </c:pt>
                <c:pt idx="30">
                  <c:v>376.78199999999998</c:v>
                </c:pt>
                <c:pt idx="31">
                  <c:v>376.78199999999998</c:v>
                </c:pt>
                <c:pt idx="32">
                  <c:v>376.78199999999998</c:v>
                </c:pt>
                <c:pt idx="33">
                  <c:v>376.78199999999998</c:v>
                </c:pt>
                <c:pt idx="34">
                  <c:v>376.78199999999998</c:v>
                </c:pt>
                <c:pt idx="35">
                  <c:v>376.78199999999998</c:v>
                </c:pt>
              </c:numCache>
            </c:numRef>
          </c:val>
          <c:extLst>
            <c:ext xmlns:c16="http://schemas.microsoft.com/office/drawing/2014/chart" uri="{C3380CC4-5D6E-409C-BE32-E72D297353CC}">
              <c16:uniqueId val="{00000001-4F13-474A-A30F-E91A3D853AE6}"/>
            </c:ext>
          </c:extLst>
        </c:ser>
        <c:ser>
          <c:idx val="2"/>
          <c:order val="2"/>
          <c:tx>
            <c:strRef>
              <c:f>'239'!$S$34</c:f>
              <c:strCache>
                <c:ptCount val="1"/>
                <c:pt idx="0">
                  <c:v>Stg.2 Nozzle Aft#1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'239'!$S$36:$S$71</c:f>
              <c:numCache>
                <c:formatCode>0.000</c:formatCode>
                <c:ptCount val="36"/>
                <c:pt idx="0">
                  <c:v>376.71093333333334</c:v>
                </c:pt>
                <c:pt idx="1">
                  <c:v>376.71093333333334</c:v>
                </c:pt>
              </c:numCache>
            </c:numRef>
          </c:val>
          <c:extLst>
            <c:ext xmlns:c16="http://schemas.microsoft.com/office/drawing/2014/chart" uri="{C3380CC4-5D6E-409C-BE32-E72D297353CC}">
              <c16:uniqueId val="{00000002-4F13-474A-A30F-E91A3D853AE6}"/>
            </c:ext>
          </c:extLst>
        </c:ser>
        <c:ser>
          <c:idx val="3"/>
          <c:order val="3"/>
          <c:tx>
            <c:strRef>
              <c:f>'239'!$T$34</c:f>
              <c:strCache>
                <c:ptCount val="1"/>
                <c:pt idx="0">
                  <c:v>Stg.2 Nozzle Aft#36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'239'!$T$36:$T$71</c:f>
              <c:numCache>
                <c:formatCode>0.000</c:formatCode>
                <c:ptCount val="36"/>
                <c:pt idx="1">
                  <c:v>376.71531111774721</c:v>
                </c:pt>
                <c:pt idx="2">
                  <c:v>376.71531111774721</c:v>
                </c:pt>
              </c:numCache>
            </c:numRef>
          </c:val>
          <c:extLst>
            <c:ext xmlns:c16="http://schemas.microsoft.com/office/drawing/2014/chart" uri="{C3380CC4-5D6E-409C-BE32-E72D297353CC}">
              <c16:uniqueId val="{00000003-4F13-474A-A30F-E91A3D853AE6}"/>
            </c:ext>
          </c:extLst>
        </c:ser>
        <c:ser>
          <c:idx val="4"/>
          <c:order val="4"/>
          <c:tx>
            <c:strRef>
              <c:f>'239'!$U$34</c:f>
              <c:strCache>
                <c:ptCount val="1"/>
                <c:pt idx="0">
                  <c:v>Stg.2 Nozzle Aft#35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'239'!$U$36:$U$71</c:f>
              <c:numCache>
                <c:formatCode>General</c:formatCode>
                <c:ptCount val="36"/>
                <c:pt idx="2" formatCode="0.000">
                  <c:v>376.72257779842329</c:v>
                </c:pt>
                <c:pt idx="3" formatCode="0.000">
                  <c:v>376.72257779842329</c:v>
                </c:pt>
              </c:numCache>
            </c:numRef>
          </c:val>
          <c:extLst>
            <c:ext xmlns:c16="http://schemas.microsoft.com/office/drawing/2014/chart" uri="{C3380CC4-5D6E-409C-BE32-E72D297353CC}">
              <c16:uniqueId val="{00000004-4F13-474A-A30F-E91A3D853AE6}"/>
            </c:ext>
          </c:extLst>
        </c:ser>
        <c:ser>
          <c:idx val="5"/>
          <c:order val="5"/>
          <c:tx>
            <c:strRef>
              <c:f>'239'!$V$34</c:f>
              <c:strCache>
                <c:ptCount val="1"/>
                <c:pt idx="0">
                  <c:v>Stg.2 Nozzle Aft#34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'239'!$V$36:$V$71</c:f>
              <c:numCache>
                <c:formatCode>General</c:formatCode>
                <c:ptCount val="36"/>
                <c:pt idx="3" formatCode="0.000">
                  <c:v>376.72840002580688</c:v>
                </c:pt>
                <c:pt idx="4" formatCode="0.000">
                  <c:v>376.72840002580688</c:v>
                </c:pt>
              </c:numCache>
            </c:numRef>
          </c:val>
          <c:extLst>
            <c:ext xmlns:c16="http://schemas.microsoft.com/office/drawing/2014/chart" uri="{C3380CC4-5D6E-409C-BE32-E72D297353CC}">
              <c16:uniqueId val="{00000005-4F13-474A-A30F-E91A3D853AE6}"/>
            </c:ext>
          </c:extLst>
        </c:ser>
        <c:ser>
          <c:idx val="6"/>
          <c:order val="6"/>
          <c:tx>
            <c:strRef>
              <c:f>'239'!$W$34</c:f>
              <c:strCache>
                <c:ptCount val="1"/>
                <c:pt idx="0">
                  <c:v>Stg.2 Nozzle Aft#33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'239'!$W$36:$W$71</c:f>
              <c:numCache>
                <c:formatCode>General</c:formatCode>
                <c:ptCount val="36"/>
                <c:pt idx="4" formatCode="0.000">
                  <c:v>376.73155557177699</c:v>
                </c:pt>
                <c:pt idx="5" formatCode="0.000">
                  <c:v>376.73155557177699</c:v>
                </c:pt>
              </c:numCache>
            </c:numRef>
          </c:val>
          <c:extLst>
            <c:ext xmlns:c16="http://schemas.microsoft.com/office/drawing/2014/chart" uri="{C3380CC4-5D6E-409C-BE32-E72D297353CC}">
              <c16:uniqueId val="{00000006-4F13-474A-A30F-E91A3D853AE6}"/>
            </c:ext>
          </c:extLst>
        </c:ser>
        <c:ser>
          <c:idx val="7"/>
          <c:order val="7"/>
          <c:tx>
            <c:strRef>
              <c:f>'239'!$X$34</c:f>
              <c:strCache>
                <c:ptCount val="1"/>
                <c:pt idx="0">
                  <c:v>Stg.2 Nozzle Aft#32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'239'!$X$36:$X$71</c:f>
              <c:numCache>
                <c:formatCode>General</c:formatCode>
                <c:ptCount val="36"/>
                <c:pt idx="5" formatCode="0.000">
                  <c:v>376.73671111565307</c:v>
                </c:pt>
                <c:pt idx="6" formatCode="0.000">
                  <c:v>376.73671111565307</c:v>
                </c:pt>
              </c:numCache>
            </c:numRef>
          </c:val>
          <c:extLst>
            <c:ext xmlns:c16="http://schemas.microsoft.com/office/drawing/2014/chart" uri="{C3380CC4-5D6E-409C-BE32-E72D297353CC}">
              <c16:uniqueId val="{00000007-4F13-474A-A30F-E91A3D853AE6}"/>
            </c:ext>
          </c:extLst>
        </c:ser>
        <c:ser>
          <c:idx val="8"/>
          <c:order val="8"/>
          <c:tx>
            <c:strRef>
              <c:f>'239'!$Y$34</c:f>
              <c:strCache>
                <c:ptCount val="1"/>
                <c:pt idx="0">
                  <c:v>Stg.2 Nozzle Aft#31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'239'!$Y$36:$Y$71</c:f>
              <c:numCache>
                <c:formatCode>General</c:formatCode>
                <c:ptCount val="36"/>
                <c:pt idx="6" formatCode="0.000">
                  <c:v>376.74920000053078</c:v>
                </c:pt>
                <c:pt idx="7" formatCode="0.000">
                  <c:v>376.74920000053078</c:v>
                </c:pt>
              </c:numCache>
            </c:numRef>
          </c:val>
          <c:extLst>
            <c:ext xmlns:c16="http://schemas.microsoft.com/office/drawing/2014/chart" uri="{C3380CC4-5D6E-409C-BE32-E72D297353CC}">
              <c16:uniqueId val="{00000008-4F13-474A-A30F-E91A3D853AE6}"/>
            </c:ext>
          </c:extLst>
        </c:ser>
        <c:ser>
          <c:idx val="9"/>
          <c:order val="9"/>
          <c:tx>
            <c:strRef>
              <c:f>'239'!$Z$34</c:f>
              <c:strCache>
                <c:ptCount val="1"/>
                <c:pt idx="0">
                  <c:v>Stg.2 Nozzle Aft#30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'239'!$Z$36:$Z$71</c:f>
              <c:numCache>
                <c:formatCode>General</c:formatCode>
                <c:ptCount val="36"/>
                <c:pt idx="7" formatCode="0.000">
                  <c:v>376.76448888992104</c:v>
                </c:pt>
                <c:pt idx="8" formatCode="0.000">
                  <c:v>376.76448888992104</c:v>
                </c:pt>
              </c:numCache>
            </c:numRef>
          </c:val>
          <c:extLst>
            <c:ext xmlns:c16="http://schemas.microsoft.com/office/drawing/2014/chart" uri="{C3380CC4-5D6E-409C-BE32-E72D297353CC}">
              <c16:uniqueId val="{00000009-4F13-474A-A30F-E91A3D853AE6}"/>
            </c:ext>
          </c:extLst>
        </c:ser>
        <c:ser>
          <c:idx val="10"/>
          <c:order val="10"/>
          <c:tx>
            <c:strRef>
              <c:f>'239'!$AA$34</c:f>
              <c:strCache>
                <c:ptCount val="1"/>
                <c:pt idx="0">
                  <c:v>Stg.2 Nozzle Aft#29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'239'!$AA$36:$AA$71</c:f>
              <c:numCache>
                <c:formatCode>General</c:formatCode>
                <c:ptCount val="36"/>
                <c:pt idx="8" formatCode="0.000">
                  <c:v>376.76911111205482</c:v>
                </c:pt>
                <c:pt idx="9" formatCode="0.000">
                  <c:v>376.76911111205482</c:v>
                </c:pt>
              </c:numCache>
            </c:numRef>
          </c:val>
          <c:extLst>
            <c:ext xmlns:c16="http://schemas.microsoft.com/office/drawing/2014/chart" uri="{C3380CC4-5D6E-409C-BE32-E72D297353CC}">
              <c16:uniqueId val="{0000000A-4F13-474A-A30F-E91A3D853AE6}"/>
            </c:ext>
          </c:extLst>
        </c:ser>
        <c:ser>
          <c:idx val="11"/>
          <c:order val="11"/>
          <c:tx>
            <c:strRef>
              <c:f>'239'!$AB$34</c:f>
              <c:strCache>
                <c:ptCount val="1"/>
                <c:pt idx="0">
                  <c:v>Stg.2 Nozzle Aft#28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'239'!$AB$36:$AB$71</c:f>
              <c:numCache>
                <c:formatCode>General</c:formatCode>
                <c:ptCount val="36"/>
                <c:pt idx="9" formatCode="0.000">
                  <c:v>376.76466666702055</c:v>
                </c:pt>
                <c:pt idx="10" formatCode="0.000">
                  <c:v>376.76466666702055</c:v>
                </c:pt>
              </c:numCache>
            </c:numRef>
          </c:val>
          <c:extLst>
            <c:ext xmlns:c16="http://schemas.microsoft.com/office/drawing/2014/chart" uri="{C3380CC4-5D6E-409C-BE32-E72D297353CC}">
              <c16:uniqueId val="{0000000B-4F13-474A-A30F-E91A3D853AE6}"/>
            </c:ext>
          </c:extLst>
        </c:ser>
        <c:ser>
          <c:idx val="12"/>
          <c:order val="12"/>
          <c:tx>
            <c:strRef>
              <c:f>'239'!$AC$34</c:f>
              <c:strCache>
                <c:ptCount val="1"/>
                <c:pt idx="0">
                  <c:v>Stg.2 Nozzle Aft#27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'239'!$AC$36:$AC$71</c:f>
              <c:numCache>
                <c:formatCode>General</c:formatCode>
                <c:ptCount val="36"/>
                <c:pt idx="10" formatCode="0.000">
                  <c:v>376.76442228196936</c:v>
                </c:pt>
                <c:pt idx="11" formatCode="0.000">
                  <c:v>376.76442228196936</c:v>
                </c:pt>
              </c:numCache>
            </c:numRef>
          </c:val>
          <c:extLst>
            <c:ext xmlns:c16="http://schemas.microsoft.com/office/drawing/2014/chart" uri="{C3380CC4-5D6E-409C-BE32-E72D297353CC}">
              <c16:uniqueId val="{0000000C-4F13-474A-A30F-E91A3D853AE6}"/>
            </c:ext>
          </c:extLst>
        </c:ser>
        <c:ser>
          <c:idx val="13"/>
          <c:order val="13"/>
          <c:tx>
            <c:strRef>
              <c:f>'239'!$AD$34</c:f>
              <c:strCache>
                <c:ptCount val="1"/>
                <c:pt idx="0">
                  <c:v>Stg.2 Nozzle Aft#26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'239'!$AD$36:$AD$71</c:f>
              <c:numCache>
                <c:formatCode>General</c:formatCode>
                <c:ptCount val="36"/>
                <c:pt idx="11" formatCode="0.000">
                  <c:v>376.76884463023271</c:v>
                </c:pt>
                <c:pt idx="12" formatCode="0.000">
                  <c:v>376.76884463023271</c:v>
                </c:pt>
              </c:numCache>
            </c:numRef>
          </c:val>
          <c:extLst>
            <c:ext xmlns:c16="http://schemas.microsoft.com/office/drawing/2014/chart" uri="{C3380CC4-5D6E-409C-BE32-E72D297353CC}">
              <c16:uniqueId val="{0000000D-4F13-474A-A30F-E91A3D853AE6}"/>
            </c:ext>
          </c:extLst>
        </c:ser>
        <c:ser>
          <c:idx val="14"/>
          <c:order val="14"/>
          <c:tx>
            <c:strRef>
              <c:f>'239'!$AE$34</c:f>
              <c:strCache>
                <c:ptCount val="1"/>
                <c:pt idx="0">
                  <c:v>Stg.2 Nozzle Aft#25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'239'!$AE$36:$AE$71</c:f>
              <c:numCache>
                <c:formatCode>General</c:formatCode>
                <c:ptCount val="36"/>
                <c:pt idx="12" formatCode="0.000">
                  <c:v>376.76420023242702</c:v>
                </c:pt>
                <c:pt idx="13" formatCode="0.000">
                  <c:v>376.76420023242702</c:v>
                </c:pt>
              </c:numCache>
            </c:numRef>
          </c:val>
          <c:extLst>
            <c:ext xmlns:c16="http://schemas.microsoft.com/office/drawing/2014/chart" uri="{C3380CC4-5D6E-409C-BE32-E72D297353CC}">
              <c16:uniqueId val="{0000000E-4F13-474A-A30F-E91A3D853AE6}"/>
            </c:ext>
          </c:extLst>
        </c:ser>
        <c:ser>
          <c:idx val="15"/>
          <c:order val="15"/>
          <c:tx>
            <c:strRef>
              <c:f>'239'!$AF$34</c:f>
              <c:strCache>
                <c:ptCount val="1"/>
                <c:pt idx="0">
                  <c:v>Stg.2 Nozzle Aft#24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'239'!$AF$36:$AF$71</c:f>
              <c:numCache>
                <c:formatCode>General</c:formatCode>
                <c:ptCount val="36"/>
                <c:pt idx="13" formatCode="0.000">
                  <c:v>376.74488903554379</c:v>
                </c:pt>
                <c:pt idx="14" formatCode="0.000">
                  <c:v>376.74488903554379</c:v>
                </c:pt>
              </c:numCache>
            </c:numRef>
          </c:val>
          <c:extLst>
            <c:ext xmlns:c16="http://schemas.microsoft.com/office/drawing/2014/chart" uri="{C3380CC4-5D6E-409C-BE32-E72D297353CC}">
              <c16:uniqueId val="{0000000F-4F13-474A-A30F-E91A3D853AE6}"/>
            </c:ext>
          </c:extLst>
        </c:ser>
        <c:ser>
          <c:idx val="16"/>
          <c:order val="16"/>
          <c:tx>
            <c:strRef>
              <c:f>'239'!$AG$34</c:f>
              <c:strCache>
                <c:ptCount val="1"/>
                <c:pt idx="0">
                  <c:v>Stg.2 Nozzle Aft#23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'239'!$AG$36:$AG$71</c:f>
              <c:numCache>
                <c:formatCode>General</c:formatCode>
                <c:ptCount val="36"/>
                <c:pt idx="14" formatCode="0.000">
                  <c:v>376.72515559746148</c:v>
                </c:pt>
                <c:pt idx="15" formatCode="0.000">
                  <c:v>376.72515559746148</c:v>
                </c:pt>
              </c:numCache>
            </c:numRef>
          </c:val>
          <c:extLst>
            <c:ext xmlns:c16="http://schemas.microsoft.com/office/drawing/2014/chart" uri="{C3380CC4-5D6E-409C-BE32-E72D297353CC}">
              <c16:uniqueId val="{00000010-4F13-474A-A30F-E91A3D853AE6}"/>
            </c:ext>
          </c:extLst>
        </c:ser>
        <c:ser>
          <c:idx val="17"/>
          <c:order val="17"/>
          <c:tx>
            <c:strRef>
              <c:f>'239'!$AH$34</c:f>
              <c:strCache>
                <c:ptCount val="1"/>
                <c:pt idx="0">
                  <c:v>Stg.2 Nozzle Aft#22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'239'!$AH$36:$AH$71</c:f>
              <c:numCache>
                <c:formatCode>General</c:formatCode>
                <c:ptCount val="36"/>
                <c:pt idx="15" formatCode="0.000">
                  <c:v>376.71720000557451</c:v>
                </c:pt>
                <c:pt idx="16" formatCode="0.000">
                  <c:v>376.71720000557451</c:v>
                </c:pt>
              </c:numCache>
            </c:numRef>
          </c:val>
          <c:extLst>
            <c:ext xmlns:c16="http://schemas.microsoft.com/office/drawing/2014/chart" uri="{C3380CC4-5D6E-409C-BE32-E72D297353CC}">
              <c16:uniqueId val="{00000011-4F13-474A-A30F-E91A3D853AE6}"/>
            </c:ext>
          </c:extLst>
        </c:ser>
        <c:ser>
          <c:idx val="18"/>
          <c:order val="18"/>
          <c:tx>
            <c:strRef>
              <c:f>'239'!$AI$34</c:f>
              <c:strCache>
                <c:ptCount val="1"/>
                <c:pt idx="0">
                  <c:v>Stg.2 Nozzle Aft#21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'239'!$AI$36:$AI$71</c:f>
              <c:numCache>
                <c:formatCode>General</c:formatCode>
                <c:ptCount val="36"/>
                <c:pt idx="16" formatCode="0.000">
                  <c:v>376.71601112065264</c:v>
                </c:pt>
                <c:pt idx="17" formatCode="0.000">
                  <c:v>376.71601112065264</c:v>
                </c:pt>
              </c:numCache>
            </c:numRef>
          </c:val>
          <c:extLst>
            <c:ext xmlns:c16="http://schemas.microsoft.com/office/drawing/2014/chart" uri="{C3380CC4-5D6E-409C-BE32-E72D297353CC}">
              <c16:uniqueId val="{00000012-4F13-474A-A30F-E91A3D853AE6}"/>
            </c:ext>
          </c:extLst>
        </c:ser>
        <c:ser>
          <c:idx val="19"/>
          <c:order val="19"/>
          <c:tx>
            <c:strRef>
              <c:f>'239'!$AJ$34</c:f>
              <c:strCache>
                <c:ptCount val="1"/>
                <c:pt idx="0">
                  <c:v>Stg.2 Nozzle Aft#20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'239'!$AJ$36:$AJ$71</c:f>
              <c:numCache>
                <c:formatCode>General</c:formatCode>
                <c:ptCount val="36"/>
                <c:pt idx="17" formatCode="0.000">
                  <c:v>376.71282223071671</c:v>
                </c:pt>
                <c:pt idx="18" formatCode="0.000">
                  <c:v>376.71282223071671</c:v>
                </c:pt>
              </c:numCache>
            </c:numRef>
          </c:val>
          <c:extLst>
            <c:ext xmlns:c16="http://schemas.microsoft.com/office/drawing/2014/chart" uri="{C3380CC4-5D6E-409C-BE32-E72D297353CC}">
              <c16:uniqueId val="{00000013-4F13-474A-A30F-E91A3D853AE6}"/>
            </c:ext>
          </c:extLst>
        </c:ser>
        <c:ser>
          <c:idx val="20"/>
          <c:order val="20"/>
          <c:tx>
            <c:strRef>
              <c:f>'239'!$AK$34</c:f>
              <c:strCache>
                <c:ptCount val="1"/>
                <c:pt idx="0">
                  <c:v>Stg.2 Nozzle Aft#19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'239'!$AK$36:$AK$71</c:f>
              <c:numCache>
                <c:formatCode>General</c:formatCode>
                <c:ptCount val="36"/>
                <c:pt idx="18" formatCode="0.000">
                  <c:v>376.70793333651875</c:v>
                </c:pt>
                <c:pt idx="19" formatCode="0.000">
                  <c:v>376.70793333651875</c:v>
                </c:pt>
              </c:numCache>
            </c:numRef>
          </c:val>
          <c:extLst>
            <c:ext xmlns:c16="http://schemas.microsoft.com/office/drawing/2014/chart" uri="{C3380CC4-5D6E-409C-BE32-E72D297353CC}">
              <c16:uniqueId val="{00000014-4F13-474A-A30F-E91A3D853AE6}"/>
            </c:ext>
          </c:extLst>
        </c:ser>
        <c:ser>
          <c:idx val="21"/>
          <c:order val="21"/>
          <c:tx>
            <c:strRef>
              <c:f>'239'!$AL$34</c:f>
              <c:strCache>
                <c:ptCount val="1"/>
                <c:pt idx="0">
                  <c:v>Stg.2 Nozzle Aft#18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'239'!$AL$36:$AL$71</c:f>
              <c:numCache>
                <c:formatCode>General</c:formatCode>
                <c:ptCount val="36"/>
                <c:pt idx="19" formatCode="0.000">
                  <c:v>376.70784445134615</c:v>
                </c:pt>
                <c:pt idx="20" formatCode="0.000">
                  <c:v>376.70784445134615</c:v>
                </c:pt>
              </c:numCache>
            </c:numRef>
          </c:val>
          <c:extLst>
            <c:ext xmlns:c16="http://schemas.microsoft.com/office/drawing/2014/chart" uri="{C3380CC4-5D6E-409C-BE32-E72D297353CC}">
              <c16:uniqueId val="{00000015-4F13-474A-A30F-E91A3D853AE6}"/>
            </c:ext>
          </c:extLst>
        </c:ser>
        <c:ser>
          <c:idx val="22"/>
          <c:order val="22"/>
          <c:tx>
            <c:strRef>
              <c:f>'239'!$AM$34</c:f>
              <c:strCache>
                <c:ptCount val="1"/>
                <c:pt idx="0">
                  <c:v>Stg.2 Nozzle Aft#17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'239'!$AM$36:$AM$71</c:f>
              <c:numCache>
                <c:formatCode>General</c:formatCode>
                <c:ptCount val="36"/>
                <c:pt idx="20" formatCode="0.000">
                  <c:v>376.71308890953503</c:v>
                </c:pt>
                <c:pt idx="21" formatCode="0.000">
                  <c:v>376.71308890953503</c:v>
                </c:pt>
              </c:numCache>
            </c:numRef>
          </c:val>
          <c:extLst>
            <c:ext xmlns:c16="http://schemas.microsoft.com/office/drawing/2014/chart" uri="{C3380CC4-5D6E-409C-BE32-E72D297353CC}">
              <c16:uniqueId val="{00000016-4F13-474A-A30F-E91A3D853AE6}"/>
            </c:ext>
          </c:extLst>
        </c:ser>
        <c:ser>
          <c:idx val="23"/>
          <c:order val="23"/>
          <c:tx>
            <c:strRef>
              <c:f>'239'!$AN$34</c:f>
              <c:strCache>
                <c:ptCount val="1"/>
                <c:pt idx="0">
                  <c:v>Stg.2 Nozzle Aft#16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'239'!$AN$36:$AN$71</c:f>
              <c:numCache>
                <c:formatCode>General</c:formatCode>
                <c:ptCount val="36"/>
                <c:pt idx="21" formatCode="0.000">
                  <c:v>376.72045558155492</c:v>
                </c:pt>
                <c:pt idx="22" formatCode="0.000">
                  <c:v>376.72045558155492</c:v>
                </c:pt>
              </c:numCache>
            </c:numRef>
          </c:val>
          <c:extLst>
            <c:ext xmlns:c16="http://schemas.microsoft.com/office/drawing/2014/chart" uri="{C3380CC4-5D6E-409C-BE32-E72D297353CC}">
              <c16:uniqueId val="{00000017-4F13-474A-A30F-E91A3D853AE6}"/>
            </c:ext>
          </c:extLst>
        </c:ser>
        <c:ser>
          <c:idx val="24"/>
          <c:order val="24"/>
          <c:tx>
            <c:strRef>
              <c:f>'239'!$AO$34</c:f>
              <c:strCache>
                <c:ptCount val="1"/>
                <c:pt idx="0">
                  <c:v>Stg.2 Nozzle Aft#15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'239'!$AO$36:$AO$71</c:f>
              <c:numCache>
                <c:formatCode>General</c:formatCode>
                <c:ptCount val="36"/>
                <c:pt idx="22" formatCode="0.000">
                  <c:v>376.73026668356698</c:v>
                </c:pt>
                <c:pt idx="23" formatCode="0.000">
                  <c:v>376.73026668356698</c:v>
                </c:pt>
              </c:numCache>
            </c:numRef>
          </c:val>
          <c:extLst>
            <c:ext xmlns:c16="http://schemas.microsoft.com/office/drawing/2014/chart" uri="{C3380CC4-5D6E-409C-BE32-E72D297353CC}">
              <c16:uniqueId val="{00000018-4F13-474A-A30F-E91A3D853AE6}"/>
            </c:ext>
          </c:extLst>
        </c:ser>
        <c:ser>
          <c:idx val="25"/>
          <c:order val="25"/>
          <c:tx>
            <c:strRef>
              <c:f>'239'!$AP$34</c:f>
              <c:strCache>
                <c:ptCount val="1"/>
                <c:pt idx="0">
                  <c:v>Stg.2 Nozzle Aft#14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'239'!$AP$36:$AP$71</c:f>
              <c:numCache>
                <c:formatCode>General</c:formatCode>
                <c:ptCount val="36"/>
                <c:pt idx="23" formatCode="0.000">
                  <c:v>376.74182222874026</c:v>
                </c:pt>
                <c:pt idx="24" formatCode="0.000">
                  <c:v>376.74182222874026</c:v>
                </c:pt>
              </c:numCache>
            </c:numRef>
          </c:val>
          <c:extLst>
            <c:ext xmlns:c16="http://schemas.microsoft.com/office/drawing/2014/chart" uri="{C3380CC4-5D6E-409C-BE32-E72D297353CC}">
              <c16:uniqueId val="{00000019-4F13-474A-A30F-E91A3D853AE6}"/>
            </c:ext>
          </c:extLst>
        </c:ser>
        <c:ser>
          <c:idx val="26"/>
          <c:order val="26"/>
          <c:tx>
            <c:strRef>
              <c:f>'239'!$AQ$34</c:f>
              <c:strCache>
                <c:ptCount val="1"/>
                <c:pt idx="0">
                  <c:v>Stg.2 Nozzle Aft#13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'239'!$AQ$36:$AQ$71</c:f>
              <c:numCache>
                <c:formatCode>General</c:formatCode>
                <c:ptCount val="36"/>
                <c:pt idx="24" formatCode="0.000">
                  <c:v>376.75560000557368</c:v>
                </c:pt>
                <c:pt idx="25" formatCode="0.000">
                  <c:v>376.75560000557368</c:v>
                </c:pt>
              </c:numCache>
            </c:numRef>
          </c:val>
          <c:extLst>
            <c:ext xmlns:c16="http://schemas.microsoft.com/office/drawing/2014/chart" uri="{C3380CC4-5D6E-409C-BE32-E72D297353CC}">
              <c16:uniqueId val="{0000001A-4F13-474A-A30F-E91A3D853AE6}"/>
            </c:ext>
          </c:extLst>
        </c:ser>
        <c:ser>
          <c:idx val="27"/>
          <c:order val="27"/>
          <c:tx>
            <c:strRef>
              <c:f>'239'!$AR$34</c:f>
              <c:strCache>
                <c:ptCount val="1"/>
                <c:pt idx="0">
                  <c:v>Stg.2 Nozzle Aft#12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'239'!$AR$36:$AR$71</c:f>
              <c:numCache>
                <c:formatCode>General</c:formatCode>
                <c:ptCount val="36"/>
                <c:pt idx="25" formatCode="0.000">
                  <c:v>376.76937778731781</c:v>
                </c:pt>
                <c:pt idx="26" formatCode="0.000">
                  <c:v>376.76937778731781</c:v>
                </c:pt>
              </c:numCache>
            </c:numRef>
          </c:val>
          <c:extLst>
            <c:ext xmlns:c16="http://schemas.microsoft.com/office/drawing/2014/chart" uri="{C3380CC4-5D6E-409C-BE32-E72D297353CC}">
              <c16:uniqueId val="{0000001B-4F13-474A-A30F-E91A3D853AE6}"/>
            </c:ext>
          </c:extLst>
        </c:ser>
        <c:ser>
          <c:idx val="28"/>
          <c:order val="28"/>
          <c:tx>
            <c:strRef>
              <c:f>'239'!$AS$34</c:f>
              <c:strCache>
                <c:ptCount val="1"/>
                <c:pt idx="0">
                  <c:v>Stg.2 Nozzle Aft#11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'239'!$AS$36:$AS$71</c:f>
              <c:numCache>
                <c:formatCode>General</c:formatCode>
                <c:ptCount val="36"/>
                <c:pt idx="26" formatCode="0.000">
                  <c:v>376.77426667515977</c:v>
                </c:pt>
                <c:pt idx="27" formatCode="0.000">
                  <c:v>376.77426667515977</c:v>
                </c:pt>
              </c:numCache>
            </c:numRef>
          </c:val>
          <c:extLst>
            <c:ext xmlns:c16="http://schemas.microsoft.com/office/drawing/2014/chart" uri="{C3380CC4-5D6E-409C-BE32-E72D297353CC}">
              <c16:uniqueId val="{0000001C-4F13-474A-A30F-E91A3D853AE6}"/>
            </c:ext>
          </c:extLst>
        </c:ser>
        <c:ser>
          <c:idx val="29"/>
          <c:order val="29"/>
          <c:tx>
            <c:strRef>
              <c:f>'239'!$AT$34</c:f>
              <c:strCache>
                <c:ptCount val="1"/>
                <c:pt idx="0">
                  <c:v>Stg.2 Nozzle Aft#10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'239'!$AT$36:$AT$71</c:f>
              <c:numCache>
                <c:formatCode>General</c:formatCode>
                <c:ptCount val="36"/>
                <c:pt idx="27" formatCode="0.000">
                  <c:v>376.77160000318486</c:v>
                </c:pt>
                <c:pt idx="28" formatCode="0.000">
                  <c:v>376.77160000318486</c:v>
                </c:pt>
              </c:numCache>
            </c:numRef>
          </c:val>
          <c:extLst>
            <c:ext xmlns:c16="http://schemas.microsoft.com/office/drawing/2014/chart" uri="{C3380CC4-5D6E-409C-BE32-E72D297353CC}">
              <c16:uniqueId val="{0000001D-4F13-474A-A30F-E91A3D853AE6}"/>
            </c:ext>
          </c:extLst>
        </c:ser>
        <c:ser>
          <c:idx val="30"/>
          <c:order val="30"/>
          <c:tx>
            <c:strRef>
              <c:f>'239'!$AU$34</c:f>
              <c:strCache>
                <c:ptCount val="1"/>
                <c:pt idx="0">
                  <c:v>Stg.2 Nozzle Aft#9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'239'!$AU$36:$AU$71</c:f>
              <c:numCache>
                <c:formatCode>General</c:formatCode>
                <c:ptCount val="36"/>
                <c:pt idx="28" formatCode="0.000">
                  <c:v>376.76973333386411</c:v>
                </c:pt>
                <c:pt idx="29" formatCode="0.000">
                  <c:v>376.76973333386411</c:v>
                </c:pt>
              </c:numCache>
            </c:numRef>
          </c:val>
          <c:extLst>
            <c:ext xmlns:c16="http://schemas.microsoft.com/office/drawing/2014/chart" uri="{C3380CC4-5D6E-409C-BE32-E72D297353CC}">
              <c16:uniqueId val="{0000001E-4F13-474A-A30F-E91A3D853AE6}"/>
            </c:ext>
          </c:extLst>
        </c:ser>
        <c:ser>
          <c:idx val="31"/>
          <c:order val="31"/>
          <c:tx>
            <c:strRef>
              <c:f>'239'!$AV$34</c:f>
              <c:strCache>
                <c:ptCount val="1"/>
                <c:pt idx="0">
                  <c:v>Stg.2 Nozzle Aft#8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'239'!$AV$36:$AV$71</c:f>
              <c:numCache>
                <c:formatCode>General</c:formatCode>
                <c:ptCount val="36"/>
                <c:pt idx="29" formatCode="0.000">
                  <c:v>376.76875555638128</c:v>
                </c:pt>
                <c:pt idx="30" formatCode="0.000">
                  <c:v>376.76875555638128</c:v>
                </c:pt>
              </c:numCache>
            </c:numRef>
          </c:val>
          <c:extLst>
            <c:ext xmlns:c16="http://schemas.microsoft.com/office/drawing/2014/chart" uri="{C3380CC4-5D6E-409C-BE32-E72D297353CC}">
              <c16:uniqueId val="{0000001F-4F13-474A-A30F-E91A3D853AE6}"/>
            </c:ext>
          </c:extLst>
        </c:ser>
        <c:ser>
          <c:idx val="32"/>
          <c:order val="32"/>
          <c:tx>
            <c:strRef>
              <c:f>'239'!$AW$34</c:f>
              <c:strCache>
                <c:ptCount val="1"/>
                <c:pt idx="0">
                  <c:v>Stg.2 Nozzle Aft#7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'239'!$AW$36:$AW$71</c:f>
              <c:numCache>
                <c:formatCode>General</c:formatCode>
                <c:ptCount val="36"/>
                <c:pt idx="30" formatCode="0.000">
                  <c:v>376.76093333436552</c:v>
                </c:pt>
                <c:pt idx="31" formatCode="0.000">
                  <c:v>376.76093333436552</c:v>
                </c:pt>
              </c:numCache>
            </c:numRef>
          </c:val>
          <c:extLst>
            <c:ext xmlns:c16="http://schemas.microsoft.com/office/drawing/2014/chart" uri="{C3380CC4-5D6E-409C-BE32-E72D297353CC}">
              <c16:uniqueId val="{00000020-4F13-474A-A30F-E91A3D853AE6}"/>
            </c:ext>
          </c:extLst>
        </c:ser>
        <c:ser>
          <c:idx val="33"/>
          <c:order val="33"/>
          <c:tx>
            <c:strRef>
              <c:f>'239'!$AX$34</c:f>
              <c:strCache>
                <c:ptCount val="1"/>
                <c:pt idx="0">
                  <c:v>Stg.2 Nozzle Aft#6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'239'!$AX$36:$AX$71</c:f>
              <c:numCache>
                <c:formatCode>General</c:formatCode>
                <c:ptCount val="36"/>
                <c:pt idx="31" formatCode="0.000">
                  <c:v>376.74244444509327</c:v>
                </c:pt>
                <c:pt idx="32" formatCode="0.000">
                  <c:v>376.74244444509327</c:v>
                </c:pt>
              </c:numCache>
            </c:numRef>
          </c:val>
          <c:extLst>
            <c:ext xmlns:c16="http://schemas.microsoft.com/office/drawing/2014/chart" uri="{C3380CC4-5D6E-409C-BE32-E72D297353CC}">
              <c16:uniqueId val="{00000021-4F13-474A-A30F-E91A3D853AE6}"/>
            </c:ext>
          </c:extLst>
        </c:ser>
        <c:ser>
          <c:idx val="34"/>
          <c:order val="34"/>
          <c:tx>
            <c:strRef>
              <c:f>'239'!$AY$34</c:f>
              <c:strCache>
                <c:ptCount val="1"/>
                <c:pt idx="0">
                  <c:v>Stg.2 Nozzle Aft#5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'239'!$AY$36:$AY$71</c:f>
              <c:numCache>
                <c:formatCode>General</c:formatCode>
                <c:ptCount val="36"/>
                <c:pt idx="32" formatCode="0.000">
                  <c:v>376.72377777795475</c:v>
                </c:pt>
                <c:pt idx="33" formatCode="0.000">
                  <c:v>376.72377777795475</c:v>
                </c:pt>
              </c:numCache>
            </c:numRef>
          </c:val>
          <c:extLst>
            <c:ext xmlns:c16="http://schemas.microsoft.com/office/drawing/2014/chart" uri="{C3380CC4-5D6E-409C-BE32-E72D297353CC}">
              <c16:uniqueId val="{00000022-4F13-474A-A30F-E91A3D853AE6}"/>
            </c:ext>
          </c:extLst>
        </c:ser>
        <c:ser>
          <c:idx val="35"/>
          <c:order val="35"/>
          <c:tx>
            <c:strRef>
              <c:f>'239'!$AZ$34</c:f>
              <c:strCache>
                <c:ptCount val="1"/>
                <c:pt idx="0">
                  <c:v>Stg.2 Nozzle Aft#4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'239'!$AZ$36:$AZ$71</c:f>
              <c:numCache>
                <c:formatCode>General</c:formatCode>
                <c:ptCount val="36"/>
                <c:pt idx="33" formatCode="0.000">
                  <c:v>376.71400000000006</c:v>
                </c:pt>
                <c:pt idx="34" formatCode="0.000">
                  <c:v>376.71400000000006</c:v>
                </c:pt>
              </c:numCache>
            </c:numRef>
          </c:val>
          <c:extLst>
            <c:ext xmlns:c16="http://schemas.microsoft.com/office/drawing/2014/chart" uri="{C3380CC4-5D6E-409C-BE32-E72D297353CC}">
              <c16:uniqueId val="{00000023-4F13-474A-A30F-E91A3D853AE6}"/>
            </c:ext>
          </c:extLst>
        </c:ser>
        <c:ser>
          <c:idx val="36"/>
          <c:order val="36"/>
          <c:tx>
            <c:strRef>
              <c:f>'239'!$BA$34</c:f>
              <c:strCache>
                <c:ptCount val="1"/>
                <c:pt idx="0">
                  <c:v>Stg.2 Nozzle Aft#3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'239'!$BA$36:$BA$71</c:f>
              <c:numCache>
                <c:formatCode>General</c:formatCode>
                <c:ptCount val="36"/>
                <c:pt idx="34" formatCode="0.000">
                  <c:v>376.71002222222228</c:v>
                </c:pt>
                <c:pt idx="35" formatCode="0.000">
                  <c:v>376.71002222222228</c:v>
                </c:pt>
              </c:numCache>
            </c:numRef>
          </c:val>
          <c:extLst>
            <c:ext xmlns:c16="http://schemas.microsoft.com/office/drawing/2014/chart" uri="{C3380CC4-5D6E-409C-BE32-E72D297353CC}">
              <c16:uniqueId val="{00000024-4F13-474A-A30F-E91A3D853AE6}"/>
            </c:ext>
          </c:extLst>
        </c:ser>
        <c:ser>
          <c:idx val="37"/>
          <c:order val="37"/>
          <c:tx>
            <c:strRef>
              <c:f>'239'!$BB$34</c:f>
              <c:strCache>
                <c:ptCount val="1"/>
                <c:pt idx="0">
                  <c:v>Stg.2 Nozzle Aft#2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'239'!$BB$36:$BB$71</c:f>
              <c:numCache>
                <c:formatCode>General</c:formatCode>
                <c:ptCount val="36"/>
                <c:pt idx="0" formatCode="0.000">
                  <c:v>376.70915555555558</c:v>
                </c:pt>
                <c:pt idx="35" formatCode="0.000">
                  <c:v>376.70915555555558</c:v>
                </c:pt>
              </c:numCache>
            </c:numRef>
          </c:val>
          <c:extLst>
            <c:ext xmlns:c16="http://schemas.microsoft.com/office/drawing/2014/chart" uri="{C3380CC4-5D6E-409C-BE32-E72D297353CC}">
              <c16:uniqueId val="{00000025-4F13-474A-A30F-E91A3D853AE6}"/>
            </c:ext>
          </c:extLst>
        </c:ser>
        <c:dLbls>
          <c:showLegendKey val="0"/>
          <c:showVal val="0"/>
          <c:showCatName val="0"/>
          <c:showSerName val="0"/>
          <c:showPercent val="0"/>
          <c:showBubbleSize val="0"/>
        </c:dLbls>
        <c:axId val="171122176"/>
        <c:axId val="170902080"/>
      </c:radarChart>
      <c:catAx>
        <c:axId val="1711221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902080"/>
        <c:crosses val="autoZero"/>
        <c:auto val="1"/>
        <c:lblAlgn val="ctr"/>
        <c:lblOffset val="100"/>
        <c:noMultiLvlLbl val="0"/>
      </c:catAx>
      <c:valAx>
        <c:axId val="17090208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122176"/>
        <c:crosses val="autoZero"/>
        <c:crossBetween val="between"/>
        <c:majorUnit val="5.000000000000001E-2"/>
      </c:valAx>
    </c:plotArea>
    <c:legend>
      <c:legendPos val="r"/>
      <c:layout>
        <c:manualLayout>
          <c:xMode val="edge"/>
          <c:yMode val="edge"/>
          <c:x val="0.79900378236176117"/>
          <c:y val="0"/>
          <c:w val="0.19352951055563911"/>
          <c:h val="1"/>
        </c:manualLayout>
      </c:layout>
      <c:overlay val="0"/>
      <c:txPr>
        <a:bodyPr/>
        <a:lstStyle/>
        <a:p>
          <a:pPr>
            <a:defRPr lang="ja-JP" sz="1200"/>
          </a:pPr>
          <a:endParaRPr lang="en-US"/>
        </a:p>
      </c:tx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'239'!$BC$119</c:f>
              <c:strCache>
                <c:ptCount val="1"/>
                <c:pt idx="0">
                  <c:v>Step Min</c:v>
                </c:pt>
              </c:strCache>
            </c:strRef>
          </c:tx>
          <c:spPr>
            <a:ln w="28575">
              <a:prstDash val="dash"/>
            </a:ln>
          </c:spPr>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'239'!$BC$121:$BC$156</c:f>
              <c:numCache>
                <c:formatCode>General</c:formatCode>
                <c:ptCount val="36"/>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pt idx="24">
                  <c:v>-6.399999999996453E-2</c:v>
                </c:pt>
                <c:pt idx="25">
                  <c:v>-6.399999999996453E-2</c:v>
                </c:pt>
                <c:pt idx="26">
                  <c:v>-6.399999999996453E-2</c:v>
                </c:pt>
                <c:pt idx="27">
                  <c:v>-6.399999999996453E-2</c:v>
                </c:pt>
                <c:pt idx="28">
                  <c:v>-6.399999999996453E-2</c:v>
                </c:pt>
                <c:pt idx="29">
                  <c:v>-6.399999999996453E-2</c:v>
                </c:pt>
                <c:pt idx="30">
                  <c:v>-6.399999999996453E-2</c:v>
                </c:pt>
                <c:pt idx="31">
                  <c:v>-6.399999999996453E-2</c:v>
                </c:pt>
                <c:pt idx="32">
                  <c:v>-6.399999999996453E-2</c:v>
                </c:pt>
                <c:pt idx="33">
                  <c:v>-6.399999999996453E-2</c:v>
                </c:pt>
                <c:pt idx="34">
                  <c:v>-6.399999999996453E-2</c:v>
                </c:pt>
                <c:pt idx="35">
                  <c:v>-6.399999999996453E-2</c:v>
                </c:pt>
              </c:numCache>
            </c:numRef>
          </c:val>
          <c:extLst>
            <c:ext xmlns:c16="http://schemas.microsoft.com/office/drawing/2014/chart" uri="{C3380CC4-5D6E-409C-BE32-E72D297353CC}">
              <c16:uniqueId val="{00000000-2FBB-4D6F-9716-E1A8A62620E7}"/>
            </c:ext>
          </c:extLst>
        </c:ser>
        <c:ser>
          <c:idx val="1"/>
          <c:order val="1"/>
          <c:tx>
            <c:strRef>
              <c:f>'239'!$BD$119</c:f>
              <c:strCache>
                <c:ptCount val="1"/>
                <c:pt idx="0">
                  <c:v>Step Max</c:v>
                </c:pt>
              </c:strCache>
            </c:strRef>
          </c:tx>
          <c:spPr>
            <a:ln w="28575">
              <a:prstDash val="dash"/>
            </a:ln>
          </c:spPr>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'239'!$BD$121:$BD$156</c:f>
              <c:numCache>
                <c:formatCode>General</c:formatCode>
                <c:ptCount val="36"/>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pt idx="24">
                  <c:v>6.399999999996453E-2</c:v>
                </c:pt>
                <c:pt idx="25">
                  <c:v>6.399999999996453E-2</c:v>
                </c:pt>
                <c:pt idx="26">
                  <c:v>6.399999999996453E-2</c:v>
                </c:pt>
                <c:pt idx="27">
                  <c:v>6.399999999996453E-2</c:v>
                </c:pt>
                <c:pt idx="28">
                  <c:v>6.399999999996453E-2</c:v>
                </c:pt>
                <c:pt idx="29">
                  <c:v>6.399999999996453E-2</c:v>
                </c:pt>
                <c:pt idx="30">
                  <c:v>6.399999999996453E-2</c:v>
                </c:pt>
                <c:pt idx="31">
                  <c:v>6.399999999996453E-2</c:v>
                </c:pt>
                <c:pt idx="32">
                  <c:v>6.399999999996453E-2</c:v>
                </c:pt>
                <c:pt idx="33">
                  <c:v>6.399999999996453E-2</c:v>
                </c:pt>
                <c:pt idx="34">
                  <c:v>6.399999999996453E-2</c:v>
                </c:pt>
                <c:pt idx="35">
                  <c:v>6.399999999996453E-2</c:v>
                </c:pt>
              </c:numCache>
            </c:numRef>
          </c:val>
          <c:extLst>
            <c:ext xmlns:c16="http://schemas.microsoft.com/office/drawing/2014/chart" uri="{C3380CC4-5D6E-409C-BE32-E72D297353CC}">
              <c16:uniqueId val="{00000001-2FBB-4D6F-9716-E1A8A62620E7}"/>
            </c:ext>
          </c:extLst>
        </c:ser>
        <c:ser>
          <c:idx val="2"/>
          <c:order val="2"/>
          <c:tx>
            <c:strRef>
              <c:f>'239'!$S$119</c:f>
              <c:strCache>
                <c:ptCount val="1"/>
                <c:pt idx="0">
                  <c:v>Stg.2 Nozzle Step#1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'239'!$S$121:$S$156</c:f>
              <c:numCache>
                <c:formatCode>0.000</c:formatCode>
                <c:ptCount val="36"/>
                <c:pt idx="0">
                  <c:v>-1.9400001383587551E-2</c:v>
                </c:pt>
                <c:pt idx="1">
                  <c:v>-1.9400001383587551E-2</c:v>
                </c:pt>
              </c:numCache>
            </c:numRef>
          </c:val>
          <c:extLst>
            <c:ext xmlns:c16="http://schemas.microsoft.com/office/drawing/2014/chart" uri="{C3380CC4-5D6E-409C-BE32-E72D297353CC}">
              <c16:uniqueId val="{00000002-2FBB-4D6F-9716-E1A8A62620E7}"/>
            </c:ext>
          </c:extLst>
        </c:ser>
        <c:ser>
          <c:idx val="3"/>
          <c:order val="3"/>
          <c:tx>
            <c:strRef>
              <c:f>'239'!$T$119</c:f>
              <c:strCache>
                <c:ptCount val="1"/>
                <c:pt idx="0">
                  <c:v>Stg.2 Nozzle Step#36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'239'!$T$121:$T$156</c:f>
              <c:numCache>
                <c:formatCode>0.000</c:formatCode>
                <c:ptCount val="36"/>
                <c:pt idx="1">
                  <c:v>-1.8866665564814866E-2</c:v>
                </c:pt>
                <c:pt idx="2">
                  <c:v>-1.8866665564814866E-2</c:v>
                </c:pt>
              </c:numCache>
            </c:numRef>
          </c:val>
          <c:extLst>
            <c:ext xmlns:c16="http://schemas.microsoft.com/office/drawing/2014/chart" uri="{C3380CC4-5D6E-409C-BE32-E72D297353CC}">
              <c16:uniqueId val="{00000003-2FBB-4D6F-9716-E1A8A62620E7}"/>
            </c:ext>
          </c:extLst>
        </c:ser>
        <c:ser>
          <c:idx val="4"/>
          <c:order val="4"/>
          <c:tx>
            <c:strRef>
              <c:f>'239'!$U$119</c:f>
              <c:strCache>
                <c:ptCount val="1"/>
                <c:pt idx="0">
                  <c:v>Stg.2 Nozzle Step#35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'239'!$U$121:$U$156</c:f>
              <c:numCache>
                <c:formatCode>0.000</c:formatCode>
                <c:ptCount val="36"/>
                <c:pt idx="2">
                  <c:v>-1.4777771428953201E-2</c:v>
                </c:pt>
                <c:pt idx="3">
                  <c:v>-1.4777771428953201E-2</c:v>
                </c:pt>
              </c:numCache>
            </c:numRef>
          </c:val>
          <c:extLst>
            <c:ext xmlns:c16="http://schemas.microsoft.com/office/drawing/2014/chart" uri="{C3380CC4-5D6E-409C-BE32-E72D297353CC}">
              <c16:uniqueId val="{00000004-2FBB-4D6F-9716-E1A8A62620E7}"/>
            </c:ext>
          </c:extLst>
        </c:ser>
        <c:ser>
          <c:idx val="5"/>
          <c:order val="5"/>
          <c:tx>
            <c:strRef>
              <c:f>'239'!$V$119</c:f>
              <c:strCache>
                <c:ptCount val="1"/>
                <c:pt idx="0">
                  <c:v>Stg.2 Nozzle Step#34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'239'!$V$121:$V$156</c:f>
              <c:numCache>
                <c:formatCode>0.000</c:formatCode>
                <c:ptCount val="36"/>
                <c:pt idx="3">
                  <c:v>-1.0911102629336256E-2</c:v>
                </c:pt>
                <c:pt idx="4">
                  <c:v>-1.0911102629336256E-2</c:v>
                </c:pt>
              </c:numCache>
            </c:numRef>
          </c:val>
          <c:extLst>
            <c:ext xmlns:c16="http://schemas.microsoft.com/office/drawing/2014/chart" uri="{C3380CC4-5D6E-409C-BE32-E72D297353CC}">
              <c16:uniqueId val="{00000005-2FBB-4D6F-9716-E1A8A62620E7}"/>
            </c:ext>
          </c:extLst>
        </c:ser>
        <c:ser>
          <c:idx val="6"/>
          <c:order val="6"/>
          <c:tx>
            <c:strRef>
              <c:f>'239'!$W$119</c:f>
              <c:strCache>
                <c:ptCount val="1"/>
                <c:pt idx="0">
                  <c:v>Stg.2 Nozzle Step#33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'239'!$W$121:$W$156</c:f>
              <c:numCache>
                <c:formatCode>0.000</c:formatCode>
                <c:ptCount val="36"/>
                <c:pt idx="4">
                  <c:v>-7.9333279343245522E-3</c:v>
                </c:pt>
                <c:pt idx="5">
                  <c:v>-7.9333279343245522E-3</c:v>
                </c:pt>
              </c:numCache>
            </c:numRef>
          </c:val>
          <c:extLst>
            <c:ext xmlns:c16="http://schemas.microsoft.com/office/drawing/2014/chart" uri="{C3380CC4-5D6E-409C-BE32-E72D297353CC}">
              <c16:uniqueId val="{00000006-2FBB-4D6F-9716-E1A8A62620E7}"/>
            </c:ext>
          </c:extLst>
        </c:ser>
        <c:ser>
          <c:idx val="7"/>
          <c:order val="7"/>
          <c:tx>
            <c:strRef>
              <c:f>'239'!$X$119</c:f>
              <c:strCache>
                <c:ptCount val="1"/>
                <c:pt idx="0">
                  <c:v>Stg.2 Nozzle Step#32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'239'!$X$121:$X$156</c:f>
              <c:numCache>
                <c:formatCode>0.000</c:formatCode>
                <c:ptCount val="36"/>
                <c:pt idx="5">
                  <c:v>-6.06666950318413E-3</c:v>
                </c:pt>
                <c:pt idx="6">
                  <c:v>-6.06666950318413E-3</c:v>
                </c:pt>
              </c:numCache>
            </c:numRef>
          </c:val>
          <c:extLst>
            <c:ext xmlns:c16="http://schemas.microsoft.com/office/drawing/2014/chart" uri="{C3380CC4-5D6E-409C-BE32-E72D297353CC}">
              <c16:uniqueId val="{00000007-2FBB-4D6F-9716-E1A8A62620E7}"/>
            </c:ext>
          </c:extLst>
        </c:ser>
        <c:ser>
          <c:idx val="8"/>
          <c:order val="8"/>
          <c:tx>
            <c:strRef>
              <c:f>'239'!$Y$119</c:f>
              <c:strCache>
                <c:ptCount val="1"/>
                <c:pt idx="0">
                  <c:v>Stg.2 Nozzle Step#31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'239'!$Y$121:$Y$156</c:f>
              <c:numCache>
                <c:formatCode>0.000</c:formatCode>
                <c:ptCount val="36"/>
                <c:pt idx="6">
                  <c:v>-6.2000193901212697E-3</c:v>
                </c:pt>
                <c:pt idx="7">
                  <c:v>-6.2000193901212697E-3</c:v>
                </c:pt>
              </c:numCache>
            </c:numRef>
          </c:val>
          <c:extLst>
            <c:ext xmlns:c16="http://schemas.microsoft.com/office/drawing/2014/chart" uri="{C3380CC4-5D6E-409C-BE32-E72D297353CC}">
              <c16:uniqueId val="{00000008-2FBB-4D6F-9716-E1A8A62620E7}"/>
            </c:ext>
          </c:extLst>
        </c:ser>
        <c:ser>
          <c:idx val="9"/>
          <c:order val="9"/>
          <c:tx>
            <c:strRef>
              <c:f>'239'!$Z$119</c:f>
              <c:strCache>
                <c:ptCount val="1"/>
                <c:pt idx="0">
                  <c:v>Stg.2 Nozzle Step#30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'239'!$Z$121:$Z$156</c:f>
              <c:numCache>
                <c:formatCode>0.000</c:formatCode>
                <c:ptCount val="36"/>
                <c:pt idx="7">
                  <c:v>-7.5333710823315414E-3</c:v>
                </c:pt>
                <c:pt idx="8">
                  <c:v>-7.5333710823315414E-3</c:v>
                </c:pt>
              </c:numCache>
            </c:numRef>
          </c:val>
          <c:extLst>
            <c:ext xmlns:c16="http://schemas.microsoft.com/office/drawing/2014/chart" uri="{C3380CC4-5D6E-409C-BE32-E72D297353CC}">
              <c16:uniqueId val="{00000009-2FBB-4D6F-9716-E1A8A62620E7}"/>
            </c:ext>
          </c:extLst>
        </c:ser>
        <c:ser>
          <c:idx val="10"/>
          <c:order val="10"/>
          <c:tx>
            <c:strRef>
              <c:f>'239'!$AA$119</c:f>
              <c:strCache>
                <c:ptCount val="1"/>
                <c:pt idx="0">
                  <c:v>Stg.2 Nozzle Step#29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'239'!$AA$121:$AA$156</c:f>
              <c:numCache>
                <c:formatCode>0.000</c:formatCode>
                <c:ptCount val="36"/>
                <c:pt idx="8">
                  <c:v>-8.8667015374994662E-3</c:v>
                </c:pt>
                <c:pt idx="9">
                  <c:v>-8.8667015374994662E-3</c:v>
                </c:pt>
              </c:numCache>
            </c:numRef>
          </c:val>
          <c:extLst>
            <c:ext xmlns:c16="http://schemas.microsoft.com/office/drawing/2014/chart" uri="{C3380CC4-5D6E-409C-BE32-E72D297353CC}">
              <c16:uniqueId val="{0000000A-2FBB-4D6F-9716-E1A8A62620E7}"/>
            </c:ext>
          </c:extLst>
        </c:ser>
        <c:ser>
          <c:idx val="11"/>
          <c:order val="11"/>
          <c:tx>
            <c:strRef>
              <c:f>'239'!$AB$119</c:f>
              <c:strCache>
                <c:ptCount val="1"/>
                <c:pt idx="0">
                  <c:v>Stg.2 Nozzle Step#28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'239'!$AB$121:$AB$156</c:f>
              <c:numCache>
                <c:formatCode>0.000</c:formatCode>
                <c:ptCount val="36"/>
                <c:pt idx="9">
                  <c:v>-1.020001394118708E-2</c:v>
                </c:pt>
                <c:pt idx="10">
                  <c:v>-1.020001394118708E-2</c:v>
                </c:pt>
              </c:numCache>
            </c:numRef>
          </c:val>
          <c:extLst>
            <c:ext xmlns:c16="http://schemas.microsoft.com/office/drawing/2014/chart" uri="{C3380CC4-5D6E-409C-BE32-E72D297353CC}">
              <c16:uniqueId val="{0000000B-2FBB-4D6F-9716-E1A8A62620E7}"/>
            </c:ext>
          </c:extLst>
        </c:ser>
        <c:ser>
          <c:idx val="12"/>
          <c:order val="12"/>
          <c:tx>
            <c:strRef>
              <c:f>'239'!$AC$119</c:f>
              <c:strCache>
                <c:ptCount val="1"/>
                <c:pt idx="0">
                  <c:v>Stg.2 Nozzle Step#27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'239'!$AC$121:$AC$156</c:f>
              <c:numCache>
                <c:formatCode>0.000</c:formatCode>
                <c:ptCount val="36"/>
                <c:pt idx="10">
                  <c:v>-1.0733280195722728E-2</c:v>
                </c:pt>
                <c:pt idx="11">
                  <c:v>-1.0733280195722728E-2</c:v>
                </c:pt>
              </c:numCache>
            </c:numRef>
          </c:val>
          <c:extLst>
            <c:ext xmlns:c16="http://schemas.microsoft.com/office/drawing/2014/chart" uri="{C3380CC4-5D6E-409C-BE32-E72D297353CC}">
              <c16:uniqueId val="{0000000C-2FBB-4D6F-9716-E1A8A62620E7}"/>
            </c:ext>
          </c:extLst>
        </c:ser>
        <c:ser>
          <c:idx val="13"/>
          <c:order val="13"/>
          <c:tx>
            <c:strRef>
              <c:f>'239'!$AD$119</c:f>
              <c:strCache>
                <c:ptCount val="1"/>
                <c:pt idx="0">
                  <c:v>Stg.2 Nozzle Step#26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'239'!$AD$121:$AD$156</c:f>
              <c:numCache>
                <c:formatCode>0.000</c:formatCode>
                <c:ptCount val="36"/>
                <c:pt idx="11">
                  <c:v>-1.0377606284521335E-2</c:v>
                </c:pt>
                <c:pt idx="12">
                  <c:v>-1.0377606284521335E-2</c:v>
                </c:pt>
              </c:numCache>
            </c:numRef>
          </c:val>
          <c:extLst>
            <c:ext xmlns:c16="http://schemas.microsoft.com/office/drawing/2014/chart" uri="{C3380CC4-5D6E-409C-BE32-E72D297353CC}">
              <c16:uniqueId val="{0000000D-2FBB-4D6F-9716-E1A8A62620E7}"/>
            </c:ext>
          </c:extLst>
        </c:ser>
        <c:ser>
          <c:idx val="14"/>
          <c:order val="14"/>
          <c:tx>
            <c:strRef>
              <c:f>'239'!$AE$119</c:f>
              <c:strCache>
                <c:ptCount val="1"/>
                <c:pt idx="0">
                  <c:v>Stg.2 Nozzle Step#25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'239'!$AE$121:$AE$156</c:f>
              <c:numCache>
                <c:formatCode>0.000</c:formatCode>
                <c:ptCount val="36"/>
                <c:pt idx="12">
                  <c:v>-9.3553406514956805E-3</c:v>
                </c:pt>
                <c:pt idx="13">
                  <c:v>-9.3553406514956805E-3</c:v>
                </c:pt>
              </c:numCache>
            </c:numRef>
          </c:val>
          <c:extLst>
            <c:ext xmlns:c16="http://schemas.microsoft.com/office/drawing/2014/chart" uri="{C3380CC4-5D6E-409C-BE32-E72D297353CC}">
              <c16:uniqueId val="{0000000E-2FBB-4D6F-9716-E1A8A62620E7}"/>
            </c:ext>
          </c:extLst>
        </c:ser>
        <c:ser>
          <c:idx val="15"/>
          <c:order val="15"/>
          <c:tx>
            <c:strRef>
              <c:f>'239'!$AF$119</c:f>
              <c:strCache>
                <c:ptCount val="1"/>
                <c:pt idx="0">
                  <c:v>Stg.2 Nozzle Step#24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'239'!$AF$121:$AF$156</c:f>
              <c:numCache>
                <c:formatCode>0.000</c:formatCode>
                <c:ptCount val="36"/>
                <c:pt idx="13">
                  <c:v>-7.4443093178615527E-3</c:v>
                </c:pt>
                <c:pt idx="14">
                  <c:v>-7.4443093178615527E-3</c:v>
                </c:pt>
              </c:numCache>
            </c:numRef>
          </c:val>
          <c:extLst>
            <c:ext xmlns:c16="http://schemas.microsoft.com/office/drawing/2014/chart" uri="{C3380CC4-5D6E-409C-BE32-E72D297353CC}">
              <c16:uniqueId val="{0000000F-2FBB-4D6F-9716-E1A8A62620E7}"/>
            </c:ext>
          </c:extLst>
        </c:ser>
        <c:ser>
          <c:idx val="16"/>
          <c:order val="16"/>
          <c:tx>
            <c:strRef>
              <c:f>'239'!$AG$119</c:f>
              <c:strCache>
                <c:ptCount val="1"/>
                <c:pt idx="0">
                  <c:v>Stg.2 Nozzle Step#23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'239'!$AG$121:$AG$156</c:f>
              <c:numCache>
                <c:formatCode>0.000</c:formatCode>
                <c:ptCount val="36"/>
                <c:pt idx="14">
                  <c:v>-4.7777410061371484E-3</c:v>
                </c:pt>
                <c:pt idx="15">
                  <c:v>-4.7777410061371484E-3</c:v>
                </c:pt>
              </c:numCache>
            </c:numRef>
          </c:val>
          <c:extLst>
            <c:ext xmlns:c16="http://schemas.microsoft.com/office/drawing/2014/chart" uri="{C3380CC4-5D6E-409C-BE32-E72D297353CC}">
              <c16:uniqueId val="{00000010-2FBB-4D6F-9716-E1A8A62620E7}"/>
            </c:ext>
          </c:extLst>
        </c:ser>
        <c:ser>
          <c:idx val="17"/>
          <c:order val="17"/>
          <c:tx>
            <c:strRef>
              <c:f>'239'!$AH$119</c:f>
              <c:strCache>
                <c:ptCount val="1"/>
                <c:pt idx="0">
                  <c:v>Stg.2 Nozzle Step#22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'239'!$AH$121:$AH$156</c:f>
              <c:numCache>
                <c:formatCode>0.000</c:formatCode>
                <c:ptCount val="36"/>
                <c:pt idx="15">
                  <c:v>-1.0000002368428795E-3</c:v>
                </c:pt>
                <c:pt idx="16">
                  <c:v>-1.0000002368428795E-3</c:v>
                </c:pt>
              </c:numCache>
            </c:numRef>
          </c:val>
          <c:extLst>
            <c:ext xmlns:c16="http://schemas.microsoft.com/office/drawing/2014/chart" uri="{C3380CC4-5D6E-409C-BE32-E72D297353CC}">
              <c16:uniqueId val="{00000011-2FBB-4D6F-9716-E1A8A62620E7}"/>
            </c:ext>
          </c:extLst>
        </c:ser>
        <c:ser>
          <c:idx val="18"/>
          <c:order val="18"/>
          <c:tx>
            <c:strRef>
              <c:f>'239'!$AI$119</c:f>
              <c:strCache>
                <c:ptCount val="1"/>
                <c:pt idx="0">
                  <c:v>Stg.2 Nozzle Step#21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'239'!$AI$121:$AI$156</c:f>
              <c:numCache>
                <c:formatCode>0.000</c:formatCode>
                <c:ptCount val="36"/>
                <c:pt idx="16">
                  <c:v>2.811110659536098E-3</c:v>
                </c:pt>
                <c:pt idx="17">
                  <c:v>2.811110659536098E-3</c:v>
                </c:pt>
              </c:numCache>
            </c:numRef>
          </c:val>
          <c:extLst>
            <c:ext xmlns:c16="http://schemas.microsoft.com/office/drawing/2014/chart" uri="{C3380CC4-5D6E-409C-BE32-E72D297353CC}">
              <c16:uniqueId val="{00000012-2FBB-4D6F-9716-E1A8A62620E7}"/>
            </c:ext>
          </c:extLst>
        </c:ser>
        <c:ser>
          <c:idx val="19"/>
          <c:order val="19"/>
          <c:tx>
            <c:strRef>
              <c:f>'239'!$AJ$119</c:f>
              <c:strCache>
                <c:ptCount val="1"/>
                <c:pt idx="0">
                  <c:v>Stg.2 Nozzle Step#20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'239'!$AJ$121:$AJ$156</c:f>
              <c:numCache>
                <c:formatCode>0.000</c:formatCode>
                <c:ptCount val="36"/>
                <c:pt idx="17">
                  <c:v>2.3999992393441971E-3</c:v>
                </c:pt>
                <c:pt idx="18">
                  <c:v>2.3999992393441971E-3</c:v>
                </c:pt>
              </c:numCache>
            </c:numRef>
          </c:val>
          <c:extLst>
            <c:ext xmlns:c16="http://schemas.microsoft.com/office/drawing/2014/chart" uri="{C3380CC4-5D6E-409C-BE32-E72D297353CC}">
              <c16:uniqueId val="{00000013-2FBB-4D6F-9716-E1A8A62620E7}"/>
            </c:ext>
          </c:extLst>
        </c:ser>
        <c:ser>
          <c:idx val="20"/>
          <c:order val="20"/>
          <c:tx>
            <c:strRef>
              <c:f>'239'!$AK$119</c:f>
              <c:strCache>
                <c:ptCount val="1"/>
                <c:pt idx="0">
                  <c:v>Stg.2 Nozzle Step#19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'239'!$AK$121:$AK$156</c:f>
              <c:numCache>
                <c:formatCode>0.000</c:formatCode>
                <c:ptCount val="36"/>
                <c:pt idx="18">
                  <c:v>-1.6000011500523215E-3</c:v>
                </c:pt>
                <c:pt idx="19">
                  <c:v>-1.6000011500523215E-3</c:v>
                </c:pt>
              </c:numCache>
            </c:numRef>
          </c:val>
          <c:extLst>
            <c:ext xmlns:c16="http://schemas.microsoft.com/office/drawing/2014/chart" uri="{C3380CC4-5D6E-409C-BE32-E72D297353CC}">
              <c16:uniqueId val="{00000014-2FBB-4D6F-9716-E1A8A62620E7}"/>
            </c:ext>
          </c:extLst>
        </c:ser>
        <c:ser>
          <c:idx val="21"/>
          <c:order val="21"/>
          <c:tx>
            <c:strRef>
              <c:f>'239'!$AL$119</c:f>
              <c:strCache>
                <c:ptCount val="1"/>
                <c:pt idx="0">
                  <c:v>Stg.2 Nozzle Step#18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'239'!$AL$121:$AL$156</c:f>
              <c:numCache>
                <c:formatCode>0.000</c:formatCode>
                <c:ptCount val="36"/>
                <c:pt idx="19">
                  <c:v>-6.5999969416452586E-3</c:v>
                </c:pt>
                <c:pt idx="20">
                  <c:v>-6.5999969416452586E-3</c:v>
                </c:pt>
              </c:numCache>
            </c:numRef>
          </c:val>
          <c:extLst>
            <c:ext xmlns:c16="http://schemas.microsoft.com/office/drawing/2014/chart" uri="{C3380CC4-5D6E-409C-BE32-E72D297353CC}">
              <c16:uniqueId val="{00000015-2FBB-4D6F-9716-E1A8A62620E7}"/>
            </c:ext>
          </c:extLst>
        </c:ser>
        <c:ser>
          <c:idx val="22"/>
          <c:order val="22"/>
          <c:tx>
            <c:strRef>
              <c:f>'239'!$AM$119</c:f>
              <c:strCache>
                <c:ptCount val="1"/>
                <c:pt idx="0">
                  <c:v>Stg.2 Nozzle Step#17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'239'!$AM$121:$AM$156</c:f>
              <c:numCache>
                <c:formatCode>0.000</c:formatCode>
                <c:ptCount val="36"/>
                <c:pt idx="20">
                  <c:v>-1.2711098735678661E-2</c:v>
                </c:pt>
                <c:pt idx="21">
                  <c:v>-1.2711098735678661E-2</c:v>
                </c:pt>
              </c:numCache>
            </c:numRef>
          </c:val>
          <c:extLst>
            <c:ext xmlns:c16="http://schemas.microsoft.com/office/drawing/2014/chart" uri="{C3380CC4-5D6E-409C-BE32-E72D297353CC}">
              <c16:uniqueId val="{00000016-2FBB-4D6F-9716-E1A8A62620E7}"/>
            </c:ext>
          </c:extLst>
        </c:ser>
        <c:ser>
          <c:idx val="23"/>
          <c:order val="23"/>
          <c:tx>
            <c:strRef>
              <c:f>'239'!$AN$119</c:f>
              <c:strCache>
                <c:ptCount val="1"/>
                <c:pt idx="0">
                  <c:v>Stg.2 Nozzle Step#16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'239'!$AN$121:$AN$156</c:f>
              <c:numCache>
                <c:formatCode>0.000</c:formatCode>
                <c:ptCount val="36"/>
                <c:pt idx="21">
                  <c:v>-1.5611095703661704E-2</c:v>
                </c:pt>
                <c:pt idx="22">
                  <c:v>-1.5611095703661704E-2</c:v>
                </c:pt>
              </c:numCache>
            </c:numRef>
          </c:val>
          <c:extLst>
            <c:ext xmlns:c16="http://schemas.microsoft.com/office/drawing/2014/chart" uri="{C3380CC4-5D6E-409C-BE32-E72D297353CC}">
              <c16:uniqueId val="{00000017-2FBB-4D6F-9716-E1A8A62620E7}"/>
            </c:ext>
          </c:extLst>
        </c:ser>
        <c:ser>
          <c:idx val="24"/>
          <c:order val="24"/>
          <c:tx>
            <c:strRef>
              <c:f>'239'!$AO$119</c:f>
              <c:strCache>
                <c:ptCount val="1"/>
                <c:pt idx="0">
                  <c:v>Stg.2 Nozzle Step#15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'239'!$AO$121:$AO$156</c:f>
              <c:numCache>
                <c:formatCode>0.000</c:formatCode>
                <c:ptCount val="36"/>
                <c:pt idx="22">
                  <c:v>-1.339999201587716E-2</c:v>
                </c:pt>
                <c:pt idx="23">
                  <c:v>-1.339999201587716E-2</c:v>
                </c:pt>
              </c:numCache>
            </c:numRef>
          </c:val>
          <c:extLst>
            <c:ext xmlns:c16="http://schemas.microsoft.com/office/drawing/2014/chart" uri="{C3380CC4-5D6E-409C-BE32-E72D297353CC}">
              <c16:uniqueId val="{00000018-2FBB-4D6F-9716-E1A8A62620E7}"/>
            </c:ext>
          </c:extLst>
        </c:ser>
        <c:ser>
          <c:idx val="25"/>
          <c:order val="25"/>
          <c:tx>
            <c:strRef>
              <c:f>'239'!$AP$119</c:f>
              <c:strCache>
                <c:ptCount val="1"/>
                <c:pt idx="0">
                  <c:v>Stg.2 Nozzle Step#14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'239'!$AP$121:$AP$156</c:f>
              <c:numCache>
                <c:formatCode>0.000</c:formatCode>
                <c:ptCount val="36"/>
                <c:pt idx="23">
                  <c:v>-1.037779210315648E-2</c:v>
                </c:pt>
                <c:pt idx="24">
                  <c:v>-1.037779210315648E-2</c:v>
                </c:pt>
              </c:numCache>
            </c:numRef>
          </c:val>
          <c:extLst>
            <c:ext xmlns:c16="http://schemas.microsoft.com/office/drawing/2014/chart" uri="{C3380CC4-5D6E-409C-BE32-E72D297353CC}">
              <c16:uniqueId val="{00000019-2FBB-4D6F-9716-E1A8A62620E7}"/>
            </c:ext>
          </c:extLst>
        </c:ser>
        <c:ser>
          <c:idx val="26"/>
          <c:order val="26"/>
          <c:tx>
            <c:strRef>
              <c:f>'239'!$AQ$119</c:f>
              <c:strCache>
                <c:ptCount val="1"/>
                <c:pt idx="0">
                  <c:v>Stg.2 Nozzle Step#13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'239'!$AQ$121:$AQ$156</c:f>
              <c:numCache>
                <c:formatCode>0.000</c:formatCode>
                <c:ptCount val="36"/>
                <c:pt idx="24">
                  <c:v>-9.800064701721567E-3</c:v>
                </c:pt>
                <c:pt idx="25">
                  <c:v>-9.800064701721567E-3</c:v>
                </c:pt>
              </c:numCache>
            </c:numRef>
          </c:val>
          <c:extLst>
            <c:ext xmlns:c16="http://schemas.microsoft.com/office/drawing/2014/chart" uri="{C3380CC4-5D6E-409C-BE32-E72D297353CC}">
              <c16:uniqueId val="{0000001A-2FBB-4D6F-9716-E1A8A62620E7}"/>
            </c:ext>
          </c:extLst>
        </c:ser>
        <c:ser>
          <c:idx val="27"/>
          <c:order val="27"/>
          <c:tx>
            <c:strRef>
              <c:f>'239'!$AR$119</c:f>
              <c:strCache>
                <c:ptCount val="1"/>
                <c:pt idx="0">
                  <c:v>Stg.2 Nozzle Step#12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'239'!$AR$121:$AR$156</c:f>
              <c:numCache>
                <c:formatCode>0.000</c:formatCode>
                <c:ptCount val="36"/>
                <c:pt idx="25">
                  <c:v>-1.0355677297184229E-2</c:v>
                </c:pt>
                <c:pt idx="26">
                  <c:v>-1.0355677297184229E-2</c:v>
                </c:pt>
              </c:numCache>
            </c:numRef>
          </c:val>
          <c:extLst>
            <c:ext xmlns:c16="http://schemas.microsoft.com/office/drawing/2014/chart" uri="{C3380CC4-5D6E-409C-BE32-E72D297353CC}">
              <c16:uniqueId val="{0000001B-2FBB-4D6F-9716-E1A8A62620E7}"/>
            </c:ext>
          </c:extLst>
        </c:ser>
        <c:ser>
          <c:idx val="28"/>
          <c:order val="28"/>
          <c:tx>
            <c:strRef>
              <c:f>'239'!$AS$119</c:f>
              <c:strCache>
                <c:ptCount val="1"/>
                <c:pt idx="0">
                  <c:v>Stg.2 Nozzle Step#11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'239'!$AS$121:$AS$156</c:f>
              <c:numCache>
                <c:formatCode>0.000</c:formatCode>
                <c:ptCount val="36"/>
                <c:pt idx="26">
                  <c:v>-8.6889998265178292E-3</c:v>
                </c:pt>
                <c:pt idx="27">
                  <c:v>-8.6889998265178292E-3</c:v>
                </c:pt>
              </c:numCache>
            </c:numRef>
          </c:val>
          <c:extLst>
            <c:ext xmlns:c16="http://schemas.microsoft.com/office/drawing/2014/chart" uri="{C3380CC4-5D6E-409C-BE32-E72D297353CC}">
              <c16:uniqueId val="{0000001C-2FBB-4D6F-9716-E1A8A62620E7}"/>
            </c:ext>
          </c:extLst>
        </c:ser>
        <c:ser>
          <c:idx val="29"/>
          <c:order val="29"/>
          <c:tx>
            <c:strRef>
              <c:f>'239'!$AT$119</c:f>
              <c:strCache>
                <c:ptCount val="1"/>
                <c:pt idx="0">
                  <c:v>Stg.2 Nozzle Step#10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'239'!$AT$121:$AT$156</c:f>
              <c:numCache>
                <c:formatCode>0.000</c:formatCode>
                <c:ptCount val="36"/>
                <c:pt idx="27">
                  <c:v>-5.1333757996872009E-3</c:v>
                </c:pt>
                <c:pt idx="28">
                  <c:v>-5.1333757996872009E-3</c:v>
                </c:pt>
              </c:numCache>
            </c:numRef>
          </c:val>
          <c:extLst>
            <c:ext xmlns:c16="http://schemas.microsoft.com/office/drawing/2014/chart" uri="{C3380CC4-5D6E-409C-BE32-E72D297353CC}">
              <c16:uniqueId val="{0000001D-2FBB-4D6F-9716-E1A8A62620E7}"/>
            </c:ext>
          </c:extLst>
        </c:ser>
        <c:ser>
          <c:idx val="30"/>
          <c:order val="30"/>
          <c:tx>
            <c:strRef>
              <c:f>'239'!$AU$119</c:f>
              <c:strCache>
                <c:ptCount val="1"/>
                <c:pt idx="0">
                  <c:v>Stg.2 Nozzle Step#9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'239'!$AU$121:$AU$156</c:f>
              <c:numCache>
                <c:formatCode>0.000</c:formatCode>
                <c:ptCount val="36"/>
                <c:pt idx="28">
                  <c:v>-4.1777820426887047E-3</c:v>
                </c:pt>
                <c:pt idx="29">
                  <c:v>-4.1777820426887047E-3</c:v>
                </c:pt>
              </c:numCache>
            </c:numRef>
          </c:val>
          <c:extLst>
            <c:ext xmlns:c16="http://schemas.microsoft.com/office/drawing/2014/chart" uri="{C3380CC4-5D6E-409C-BE32-E72D297353CC}">
              <c16:uniqueId val="{0000001E-2FBB-4D6F-9716-E1A8A62620E7}"/>
            </c:ext>
          </c:extLst>
        </c:ser>
        <c:ser>
          <c:idx val="31"/>
          <c:order val="31"/>
          <c:tx>
            <c:strRef>
              <c:f>'239'!$AV$119</c:f>
              <c:strCache>
                <c:ptCount val="1"/>
                <c:pt idx="0">
                  <c:v>Stg.2 Nozzle Step#8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'239'!$AV$121:$AV$156</c:f>
              <c:numCache>
                <c:formatCode>0.000</c:formatCode>
                <c:ptCount val="36"/>
                <c:pt idx="29">
                  <c:v>-6.1111108079785481E-3</c:v>
                </c:pt>
                <c:pt idx="30">
                  <c:v>-6.1111108079785481E-3</c:v>
                </c:pt>
              </c:numCache>
            </c:numRef>
          </c:val>
          <c:extLst>
            <c:ext xmlns:c16="http://schemas.microsoft.com/office/drawing/2014/chart" uri="{C3380CC4-5D6E-409C-BE32-E72D297353CC}">
              <c16:uniqueId val="{0000001F-2FBB-4D6F-9716-E1A8A62620E7}"/>
            </c:ext>
          </c:extLst>
        </c:ser>
        <c:ser>
          <c:idx val="32"/>
          <c:order val="32"/>
          <c:tx>
            <c:strRef>
              <c:f>'239'!$AW$119</c:f>
              <c:strCache>
                <c:ptCount val="1"/>
                <c:pt idx="0">
                  <c:v>Stg.2 Nozzle Step#7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'239'!$AW$121:$AW$156</c:f>
              <c:numCache>
                <c:formatCode>0.000</c:formatCode>
                <c:ptCount val="36"/>
                <c:pt idx="30">
                  <c:v>-8.188889763005136E-3</c:v>
                </c:pt>
                <c:pt idx="31">
                  <c:v>-8.188889763005136E-3</c:v>
                </c:pt>
              </c:numCache>
            </c:numRef>
          </c:val>
          <c:extLst>
            <c:ext xmlns:c16="http://schemas.microsoft.com/office/drawing/2014/chart" uri="{C3380CC4-5D6E-409C-BE32-E72D297353CC}">
              <c16:uniqueId val="{00000020-2FBB-4D6F-9716-E1A8A62620E7}"/>
            </c:ext>
          </c:extLst>
        </c:ser>
        <c:ser>
          <c:idx val="33"/>
          <c:order val="33"/>
          <c:tx>
            <c:strRef>
              <c:f>'239'!$AX$119</c:f>
              <c:strCache>
                <c:ptCount val="1"/>
                <c:pt idx="0">
                  <c:v>Stg.2 Nozzle Step#6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'239'!$AX$121:$AX$156</c:f>
              <c:numCache>
                <c:formatCode>0.000</c:formatCode>
                <c:ptCount val="36"/>
                <c:pt idx="31">
                  <c:v>-1.0044450160080487E-2</c:v>
                </c:pt>
                <c:pt idx="32">
                  <c:v>-1.0044450160080487E-2</c:v>
                </c:pt>
              </c:numCache>
            </c:numRef>
          </c:val>
          <c:extLst>
            <c:ext xmlns:c16="http://schemas.microsoft.com/office/drawing/2014/chart" uri="{C3380CC4-5D6E-409C-BE32-E72D297353CC}">
              <c16:uniqueId val="{00000021-2FBB-4D6F-9716-E1A8A62620E7}"/>
            </c:ext>
          </c:extLst>
        </c:ser>
        <c:ser>
          <c:idx val="34"/>
          <c:order val="34"/>
          <c:tx>
            <c:strRef>
              <c:f>'239'!$AY$119</c:f>
              <c:strCache>
                <c:ptCount val="1"/>
                <c:pt idx="0">
                  <c:v>Stg.2 Nozzle Step#5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'239'!$AY$121:$AY$156</c:f>
              <c:numCache>
                <c:formatCode>0.000</c:formatCode>
                <c:ptCount val="36"/>
                <c:pt idx="32">
                  <c:v>-1.173334296441908E-2</c:v>
                </c:pt>
                <c:pt idx="33">
                  <c:v>-1.173334296441908E-2</c:v>
                </c:pt>
              </c:numCache>
            </c:numRef>
          </c:val>
          <c:extLst>
            <c:ext xmlns:c16="http://schemas.microsoft.com/office/drawing/2014/chart" uri="{C3380CC4-5D6E-409C-BE32-E72D297353CC}">
              <c16:uniqueId val="{00000022-2FBB-4D6F-9716-E1A8A62620E7}"/>
            </c:ext>
          </c:extLst>
        </c:ser>
        <c:ser>
          <c:idx val="35"/>
          <c:order val="35"/>
          <c:tx>
            <c:strRef>
              <c:f>'239'!$AZ$119</c:f>
              <c:strCache>
                <c:ptCount val="1"/>
                <c:pt idx="0">
                  <c:v>Stg.2 Nozzle Step#4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'239'!$AZ$121:$AZ$156</c:f>
              <c:numCache>
                <c:formatCode>0.000</c:formatCode>
                <c:ptCount val="36"/>
                <c:pt idx="33">
                  <c:v>-1.3200008024739418E-2</c:v>
                </c:pt>
                <c:pt idx="34">
                  <c:v>-1.3200008024739418E-2</c:v>
                </c:pt>
              </c:numCache>
            </c:numRef>
          </c:val>
          <c:extLst>
            <c:ext xmlns:c16="http://schemas.microsoft.com/office/drawing/2014/chart" uri="{C3380CC4-5D6E-409C-BE32-E72D297353CC}">
              <c16:uniqueId val="{00000023-2FBB-4D6F-9716-E1A8A62620E7}"/>
            </c:ext>
          </c:extLst>
        </c:ser>
        <c:ser>
          <c:idx val="36"/>
          <c:order val="36"/>
          <c:tx>
            <c:strRef>
              <c:f>'239'!$BA$119</c:f>
              <c:strCache>
                <c:ptCount val="1"/>
                <c:pt idx="0">
                  <c:v>Stg.2 Nozzle Step#3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'239'!$BA$121:$BA$156</c:f>
              <c:numCache>
                <c:formatCode>0.000</c:formatCode>
                <c:ptCount val="36"/>
                <c:pt idx="34">
                  <c:v>-1.4633336807662545E-2</c:v>
                </c:pt>
                <c:pt idx="35">
                  <c:v>-1.4633336807662545E-2</c:v>
                </c:pt>
              </c:numCache>
            </c:numRef>
          </c:val>
          <c:extLst>
            <c:ext xmlns:c16="http://schemas.microsoft.com/office/drawing/2014/chart" uri="{C3380CC4-5D6E-409C-BE32-E72D297353CC}">
              <c16:uniqueId val="{00000024-2FBB-4D6F-9716-E1A8A62620E7}"/>
            </c:ext>
          </c:extLst>
        </c:ser>
        <c:ser>
          <c:idx val="37"/>
          <c:order val="37"/>
          <c:tx>
            <c:strRef>
              <c:f>'239'!$BB$119</c:f>
              <c:strCache>
                <c:ptCount val="1"/>
                <c:pt idx="0">
                  <c:v>Stg.2 Nozzle Step#2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'239'!$BB$121:$BB$156</c:f>
              <c:numCache>
                <c:formatCode>0.000</c:formatCode>
                <c:ptCount val="36"/>
                <c:pt idx="0">
                  <c:v>-1.6733334716946047E-2</c:v>
                </c:pt>
                <c:pt idx="35">
                  <c:v>-1.6733334716946047E-2</c:v>
                </c:pt>
              </c:numCache>
            </c:numRef>
          </c:val>
          <c:extLst>
            <c:ext xmlns:c16="http://schemas.microsoft.com/office/drawing/2014/chart" uri="{C3380CC4-5D6E-409C-BE32-E72D297353CC}">
              <c16:uniqueId val="{00000025-2FBB-4D6F-9716-E1A8A62620E7}"/>
            </c:ext>
          </c:extLst>
        </c:ser>
        <c:dLbls>
          <c:showLegendKey val="0"/>
          <c:showVal val="0"/>
          <c:showCatName val="0"/>
          <c:showSerName val="0"/>
          <c:showPercent val="0"/>
          <c:showBubbleSize val="0"/>
        </c:dLbls>
        <c:axId val="171120640"/>
        <c:axId val="170904384"/>
      </c:radarChart>
      <c:catAx>
        <c:axId val="17112064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904384"/>
        <c:crosses val="autoZero"/>
        <c:auto val="1"/>
        <c:lblAlgn val="ctr"/>
        <c:lblOffset val="100"/>
        <c:noMultiLvlLbl val="0"/>
      </c:catAx>
      <c:valAx>
        <c:axId val="17090438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120640"/>
        <c:crosses val="autoZero"/>
        <c:crossBetween val="between"/>
        <c:majorUnit val="5.000000000000001E-2"/>
      </c:valAx>
    </c:plotArea>
    <c:legend>
      <c:legendPos val="r"/>
      <c:layout>
        <c:manualLayout>
          <c:xMode val="edge"/>
          <c:yMode val="edge"/>
          <c:x val="0.79919115054648016"/>
          <c:y val="0"/>
          <c:w val="0.19334616288635562"/>
          <c:h val="1"/>
        </c:manualLayout>
      </c:layout>
      <c:overlay val="0"/>
      <c:txPr>
        <a:bodyPr/>
        <a:lstStyle/>
        <a:p>
          <a:pPr>
            <a:defRPr lang="ja-JP"/>
          </a:pPr>
          <a:endParaRPr lang="en-US"/>
        </a:p>
      </c:tx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'240'!$K$9</c:f>
              <c:strCache>
                <c:ptCount val="1"/>
                <c:pt idx="0">
                  <c:v>CMM</c:v>
                </c:pt>
              </c:strCache>
            </c:strRef>
          </c:tx>
          <c:marker>
            <c:symbol val="none"/>
          </c:marker>
          <c:cat>
            <c:numRef>
              <c:f>'240'!$J$11:$J$26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'240'!$K$11:$K$26</c:f>
              <c:numCache>
                <c:formatCode>General</c:formatCode>
                <c:ptCount val="16"/>
                <c:pt idx="0">
                  <c:v>394.86599999999999</c:v>
                </c:pt>
                <c:pt idx="1">
                  <c:v>394.89100000126621</c:v>
                </c:pt>
                <c:pt idx="2">
                  <c:v>394.9</c:v>
                </c:pt>
                <c:pt idx="3">
                  <c:v>394.91700000506432</c:v>
                </c:pt>
                <c:pt idx="4">
                  <c:v>394.91</c:v>
                </c:pt>
                <c:pt idx="5">
                  <c:v>394.91400000506439</c:v>
                </c:pt>
                <c:pt idx="6">
                  <c:v>394.88500000126618</c:v>
                </c:pt>
                <c:pt idx="7">
                  <c:v>394.88000000126624</c:v>
                </c:pt>
                <c:pt idx="8">
                  <c:v>394.86399999999998</c:v>
                </c:pt>
                <c:pt idx="9">
                  <c:v>394.87400002025964</c:v>
                </c:pt>
                <c:pt idx="10">
                  <c:v>394.89000000506468</c:v>
                </c:pt>
                <c:pt idx="11">
                  <c:v>394.93500001139432</c:v>
                </c:pt>
                <c:pt idx="12">
                  <c:v>394.93</c:v>
                </c:pt>
                <c:pt idx="13">
                  <c:v>394.911</c:v>
                </c:pt>
                <c:pt idx="14">
                  <c:v>394.86799999999999</c:v>
                </c:pt>
                <c:pt idx="15">
                  <c:v>394.85700000126633</c:v>
                </c:pt>
              </c:numCache>
            </c:numRef>
          </c:val>
          <c:extLst>
            <c:ext xmlns:c16="http://schemas.microsoft.com/office/drawing/2014/chart" uri="{C3380CC4-5D6E-409C-BE32-E72D297353CC}">
              <c16:uniqueId val="{00000000-8009-467D-8A54-B085EAEACD17}"/>
            </c:ext>
          </c:extLst>
        </c:ser>
        <c:ser>
          <c:idx val="1"/>
          <c:order val="1"/>
          <c:tx>
            <c:strRef>
              <c:f>'240'!$L$9</c:f>
              <c:strCache>
                <c:ptCount val="1"/>
                <c:pt idx="0">
                  <c:v>Dwg Min</c:v>
                </c:pt>
              </c:strCache>
            </c:strRef>
          </c:tx>
          <c:spPr>
            <a:ln>
              <a:prstDash val="dash"/>
            </a:ln>
          </c:spPr>
          <c:marker>
            <c:symbol val="none"/>
          </c:marker>
          <c:val>
            <c:numRef>
              <c:f>'240'!$L$11:$L$26</c:f>
              <c:numCache>
                <c:formatCode>General</c:formatCode>
                <c:ptCount val="16"/>
                <c:pt idx="0">
                  <c:v>394.81</c:v>
                </c:pt>
                <c:pt idx="1">
                  <c:v>394.81</c:v>
                </c:pt>
                <c:pt idx="2">
                  <c:v>394.81</c:v>
                </c:pt>
                <c:pt idx="3">
                  <c:v>394.81</c:v>
                </c:pt>
                <c:pt idx="4">
                  <c:v>394.81</c:v>
                </c:pt>
                <c:pt idx="5">
                  <c:v>394.81</c:v>
                </c:pt>
                <c:pt idx="6">
                  <c:v>394.81</c:v>
                </c:pt>
                <c:pt idx="7">
                  <c:v>394.81</c:v>
                </c:pt>
                <c:pt idx="8">
                  <c:v>394.81</c:v>
                </c:pt>
                <c:pt idx="9">
                  <c:v>394.81</c:v>
                </c:pt>
                <c:pt idx="10">
                  <c:v>394.81</c:v>
                </c:pt>
                <c:pt idx="11">
                  <c:v>394.81</c:v>
                </c:pt>
                <c:pt idx="12">
                  <c:v>394.81</c:v>
                </c:pt>
                <c:pt idx="13">
                  <c:v>394.81</c:v>
                </c:pt>
                <c:pt idx="14">
                  <c:v>394.81</c:v>
                </c:pt>
                <c:pt idx="15">
                  <c:v>394.81</c:v>
                </c:pt>
              </c:numCache>
            </c:numRef>
          </c:val>
          <c:extLst>
            <c:ext xmlns:c16="http://schemas.microsoft.com/office/drawing/2014/chart" uri="{C3380CC4-5D6E-409C-BE32-E72D297353CC}">
              <c16:uniqueId val="{00000001-8009-467D-8A54-B085EAEACD17}"/>
            </c:ext>
          </c:extLst>
        </c:ser>
        <c:ser>
          <c:idx val="2"/>
          <c:order val="2"/>
          <c:tx>
            <c:strRef>
              <c:f>'240'!$M$9</c:f>
              <c:strCache>
                <c:ptCount val="1"/>
                <c:pt idx="0">
                  <c:v>Dwg Max</c:v>
                </c:pt>
              </c:strCache>
            </c:strRef>
          </c:tx>
          <c:spPr>
            <a:ln>
              <a:prstDash val="dash"/>
            </a:ln>
          </c:spPr>
          <c:marker>
            <c:symbol val="none"/>
          </c:marker>
          <c:val>
            <c:numRef>
              <c:f>'240'!$M$11:$M$26</c:f>
              <c:numCache>
                <c:formatCode>General</c:formatCode>
                <c:ptCount val="16"/>
                <c:pt idx="0">
                  <c:v>394.98999999999995</c:v>
                </c:pt>
                <c:pt idx="1">
                  <c:v>394.98999999999995</c:v>
                </c:pt>
                <c:pt idx="2">
                  <c:v>394.98999999999995</c:v>
                </c:pt>
                <c:pt idx="3">
                  <c:v>394.98999999999995</c:v>
                </c:pt>
                <c:pt idx="4">
                  <c:v>394.98999999999995</c:v>
                </c:pt>
                <c:pt idx="5">
                  <c:v>394.98999999999995</c:v>
                </c:pt>
                <c:pt idx="6">
                  <c:v>394.98999999999995</c:v>
                </c:pt>
                <c:pt idx="7">
                  <c:v>394.98999999999995</c:v>
                </c:pt>
                <c:pt idx="8">
                  <c:v>394.98999999999995</c:v>
                </c:pt>
                <c:pt idx="9">
                  <c:v>394.98999999999995</c:v>
                </c:pt>
                <c:pt idx="10">
                  <c:v>394.98999999999995</c:v>
                </c:pt>
                <c:pt idx="11">
                  <c:v>394.98999999999995</c:v>
                </c:pt>
                <c:pt idx="12">
                  <c:v>394.98999999999995</c:v>
                </c:pt>
                <c:pt idx="13">
                  <c:v>394.98999999999995</c:v>
                </c:pt>
                <c:pt idx="14">
                  <c:v>394.98999999999995</c:v>
                </c:pt>
                <c:pt idx="15">
                  <c:v>394.98999999999995</c:v>
                </c:pt>
              </c:numCache>
            </c:numRef>
          </c:val>
          <c:extLst>
            <c:ext xmlns:c16="http://schemas.microsoft.com/office/drawing/2014/chart" uri="{C3380CC4-5D6E-409C-BE32-E72D297353CC}">
              <c16:uniqueId val="{00000002-8009-467D-8A54-B085EAEACD17}"/>
            </c:ext>
          </c:extLst>
        </c:ser>
        <c:dLbls>
          <c:showLegendKey val="0"/>
          <c:showVal val="0"/>
          <c:showCatName val="0"/>
          <c:showSerName val="0"/>
          <c:showPercent val="0"/>
          <c:showBubbleSize val="0"/>
        </c:dLbls>
        <c:axId val="171356160"/>
        <c:axId val="170907264"/>
      </c:radarChart>
      <c:catAx>
        <c:axId val="1713561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907264"/>
        <c:crosses val="autoZero"/>
        <c:auto val="1"/>
        <c:lblAlgn val="ctr"/>
        <c:lblOffset val="100"/>
        <c:noMultiLvlLbl val="0"/>
      </c:catAx>
      <c:valAx>
        <c:axId val="1709072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356160"/>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'240'!$AK$34</c:f>
              <c:strCache>
                <c:ptCount val="1"/>
                <c:pt idx="0">
                  <c:v>LPT Case Hook R Min</c:v>
                </c:pt>
              </c:strCache>
            </c:strRef>
          </c:tx>
          <c:spPr>
            <a:ln w="28575">
              <a:prstDash val="dash"/>
            </a:ln>
          </c:spPr>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'240'!$AK$36:$AK$53</c:f>
              <c:numCache>
                <c:formatCode>General</c:formatCode>
                <c:ptCount val="18"/>
                <c:pt idx="0">
                  <c:v>394.86799999999999</c:v>
                </c:pt>
                <c:pt idx="1">
                  <c:v>394.86799999999999</c:v>
                </c:pt>
                <c:pt idx="2">
                  <c:v>394.86799999999999</c:v>
                </c:pt>
                <c:pt idx="3">
                  <c:v>394.86799999999999</c:v>
                </c:pt>
                <c:pt idx="4">
                  <c:v>394.86799999999999</c:v>
                </c:pt>
                <c:pt idx="5">
                  <c:v>394.86799999999999</c:v>
                </c:pt>
                <c:pt idx="6">
                  <c:v>394.86799999999999</c:v>
                </c:pt>
                <c:pt idx="7">
                  <c:v>394.86799999999999</c:v>
                </c:pt>
                <c:pt idx="8">
                  <c:v>394.86799999999999</c:v>
                </c:pt>
                <c:pt idx="9">
                  <c:v>394.86799999999999</c:v>
                </c:pt>
                <c:pt idx="10">
                  <c:v>394.86799999999999</c:v>
                </c:pt>
                <c:pt idx="11">
                  <c:v>394.86799999999999</c:v>
                </c:pt>
                <c:pt idx="12">
                  <c:v>394.86799999999999</c:v>
                </c:pt>
                <c:pt idx="13">
                  <c:v>394.86799999999999</c:v>
                </c:pt>
                <c:pt idx="14">
                  <c:v>394.86799999999999</c:v>
                </c:pt>
                <c:pt idx="15">
                  <c:v>394.86799999999999</c:v>
                </c:pt>
                <c:pt idx="16">
                  <c:v>394.86799999999999</c:v>
                </c:pt>
                <c:pt idx="17">
                  <c:v>394.86799999999999</c:v>
                </c:pt>
              </c:numCache>
            </c:numRef>
          </c:val>
          <c:extLst>
            <c:ext xmlns:c16="http://schemas.microsoft.com/office/drawing/2014/chart" uri="{C3380CC4-5D6E-409C-BE32-E72D297353CC}">
              <c16:uniqueId val="{00000000-3D25-49F6-B39F-226B3B136D47}"/>
            </c:ext>
          </c:extLst>
        </c:ser>
        <c:ser>
          <c:idx val="1"/>
          <c:order val="1"/>
          <c:tx>
            <c:strRef>
              <c:f>'240'!$AL$34</c:f>
              <c:strCache>
                <c:ptCount val="1"/>
                <c:pt idx="0">
                  <c:v>LPT Case Hook R Max</c:v>
                </c:pt>
              </c:strCache>
            </c:strRef>
          </c:tx>
          <c:spPr>
            <a:ln w="28575">
              <a:prstDash val="dash"/>
            </a:ln>
          </c:spPr>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'240'!$AL$36:$AL$53</c:f>
              <c:numCache>
                <c:formatCode>General</c:formatCode>
                <c:ptCount val="18"/>
                <c:pt idx="0">
                  <c:v>394.93199999999996</c:v>
                </c:pt>
                <c:pt idx="1">
                  <c:v>394.93199999999996</c:v>
                </c:pt>
                <c:pt idx="2">
                  <c:v>394.93199999999996</c:v>
                </c:pt>
                <c:pt idx="3">
                  <c:v>394.93199999999996</c:v>
                </c:pt>
                <c:pt idx="4">
                  <c:v>394.93199999999996</c:v>
                </c:pt>
                <c:pt idx="5">
                  <c:v>394.93199999999996</c:v>
                </c:pt>
                <c:pt idx="6">
                  <c:v>394.93199999999996</c:v>
                </c:pt>
                <c:pt idx="7">
                  <c:v>394.93199999999996</c:v>
                </c:pt>
                <c:pt idx="8">
                  <c:v>394.93199999999996</c:v>
                </c:pt>
                <c:pt idx="9">
                  <c:v>394.93199999999996</c:v>
                </c:pt>
                <c:pt idx="10">
                  <c:v>394.93199999999996</c:v>
                </c:pt>
                <c:pt idx="11">
                  <c:v>394.93199999999996</c:v>
                </c:pt>
                <c:pt idx="12">
                  <c:v>394.93199999999996</c:v>
                </c:pt>
                <c:pt idx="13">
                  <c:v>394.93199999999996</c:v>
                </c:pt>
                <c:pt idx="14">
                  <c:v>394.93199999999996</c:v>
                </c:pt>
                <c:pt idx="15">
                  <c:v>394.93199999999996</c:v>
                </c:pt>
                <c:pt idx="16">
                  <c:v>394.93199999999996</c:v>
                </c:pt>
                <c:pt idx="17">
                  <c:v>394.93199999999996</c:v>
                </c:pt>
              </c:numCache>
            </c:numRef>
          </c:val>
          <c:extLst>
            <c:ext xmlns:c16="http://schemas.microsoft.com/office/drawing/2014/chart" uri="{C3380CC4-5D6E-409C-BE32-E72D297353CC}">
              <c16:uniqueId val="{00000001-3D25-49F6-B39F-226B3B136D47}"/>
            </c:ext>
          </c:extLst>
        </c:ser>
        <c:ser>
          <c:idx val="2"/>
          <c:order val="2"/>
          <c:tx>
            <c:strRef>
              <c:f>'240'!$S$34</c:f>
              <c:strCache>
                <c:ptCount val="1"/>
                <c:pt idx="0">
                  <c:v>Stg.2 Shroud Aft#1</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'240'!$S$36:$S$53</c:f>
              <c:numCache>
                <c:formatCode>0.000</c:formatCode>
                <c:ptCount val="18"/>
                <c:pt idx="0">
                  <c:v>394.86122444514797</c:v>
                </c:pt>
                <c:pt idx="1">
                  <c:v>394.86122444514797</c:v>
                </c:pt>
              </c:numCache>
            </c:numRef>
          </c:val>
          <c:extLst>
            <c:ext xmlns:c16="http://schemas.microsoft.com/office/drawing/2014/chart" uri="{C3380CC4-5D6E-409C-BE32-E72D297353CC}">
              <c16:uniqueId val="{00000002-3D25-49F6-B39F-226B3B136D47}"/>
            </c:ext>
          </c:extLst>
        </c:ser>
        <c:ser>
          <c:idx val="3"/>
          <c:order val="3"/>
          <c:tx>
            <c:strRef>
              <c:f>'240'!$T$34</c:f>
              <c:strCache>
                <c:ptCount val="1"/>
                <c:pt idx="0">
                  <c:v>Stg.2 Shroud Aft#18</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'240'!$T$36:$T$53</c:f>
              <c:numCache>
                <c:formatCode>0.000</c:formatCode>
                <c:ptCount val="18"/>
                <c:pt idx="1">
                  <c:v>394.87140666722939</c:v>
                </c:pt>
                <c:pt idx="2">
                  <c:v>394.87140666722939</c:v>
                </c:pt>
              </c:numCache>
            </c:numRef>
          </c:val>
          <c:extLst>
            <c:ext xmlns:c16="http://schemas.microsoft.com/office/drawing/2014/chart" uri="{C3380CC4-5D6E-409C-BE32-E72D297353CC}">
              <c16:uniqueId val="{00000003-3D25-49F6-B39F-226B3B136D47}"/>
            </c:ext>
          </c:extLst>
        </c:ser>
        <c:ser>
          <c:idx val="4"/>
          <c:order val="4"/>
          <c:tx>
            <c:strRef>
              <c:f>'240'!$U$34</c:f>
              <c:strCache>
                <c:ptCount val="1"/>
                <c:pt idx="0">
                  <c:v>Stg.2 Shroud Aft#17</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'240'!$U$36:$U$53</c:f>
              <c:numCache>
                <c:formatCode>General</c:formatCode>
                <c:ptCount val="18"/>
                <c:pt idx="2" formatCode="0.000">
                  <c:v>394.8874066673701</c:v>
                </c:pt>
                <c:pt idx="3" formatCode="0.000">
                  <c:v>394.8874066673701</c:v>
                </c:pt>
              </c:numCache>
            </c:numRef>
          </c:val>
          <c:extLst>
            <c:ext xmlns:c16="http://schemas.microsoft.com/office/drawing/2014/chart" uri="{C3380CC4-5D6E-409C-BE32-E72D297353CC}">
              <c16:uniqueId val="{00000004-3D25-49F6-B39F-226B3B136D47}"/>
            </c:ext>
          </c:extLst>
        </c:ser>
        <c:ser>
          <c:idx val="5"/>
          <c:order val="5"/>
          <c:tx>
            <c:strRef>
              <c:f>'240'!$V$34</c:f>
              <c:strCache>
                <c:ptCount val="1"/>
                <c:pt idx="0">
                  <c:v>Stg.2 Shroud Aft#16</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'240'!$V$36:$V$53</c:f>
              <c:numCache>
                <c:formatCode>General</c:formatCode>
                <c:ptCount val="18"/>
                <c:pt idx="3" formatCode="0.000">
                  <c:v>394.90030444563598</c:v>
                </c:pt>
                <c:pt idx="4" formatCode="0.000">
                  <c:v>394.90030444563598</c:v>
                </c:pt>
              </c:numCache>
            </c:numRef>
          </c:val>
          <c:extLst>
            <c:ext xmlns:c16="http://schemas.microsoft.com/office/drawing/2014/chart" uri="{C3380CC4-5D6E-409C-BE32-E72D297353CC}">
              <c16:uniqueId val="{00000005-3D25-49F6-B39F-226B3B136D47}"/>
            </c:ext>
          </c:extLst>
        </c:ser>
        <c:ser>
          <c:idx val="6"/>
          <c:order val="6"/>
          <c:tx>
            <c:strRef>
              <c:f>'240'!$W$34</c:f>
              <c:strCache>
                <c:ptCount val="1"/>
                <c:pt idx="0">
                  <c:v>Stg.2 Shroud Aft#15</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'240'!$W$36:$W$53</c:f>
              <c:numCache>
                <c:formatCode>General</c:formatCode>
                <c:ptCount val="18"/>
                <c:pt idx="4" formatCode="0.000">
                  <c:v>394.91054444725796</c:v>
                </c:pt>
                <c:pt idx="5" formatCode="0.000">
                  <c:v>394.91054444725796</c:v>
                </c:pt>
              </c:numCache>
            </c:numRef>
          </c:val>
          <c:extLst>
            <c:ext xmlns:c16="http://schemas.microsoft.com/office/drawing/2014/chart" uri="{C3380CC4-5D6E-409C-BE32-E72D297353CC}">
              <c16:uniqueId val="{00000006-3D25-49F6-B39F-226B3B136D47}"/>
            </c:ext>
          </c:extLst>
        </c:ser>
        <c:ser>
          <c:idx val="7"/>
          <c:order val="7"/>
          <c:tx>
            <c:strRef>
              <c:f>'240'!$X$34</c:f>
              <c:strCache>
                <c:ptCount val="1"/>
                <c:pt idx="0">
                  <c:v>Stg.2 Shroud Aft#14</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'240'!$X$36:$X$53</c:f>
              <c:numCache>
                <c:formatCode>General</c:formatCode>
                <c:ptCount val="18"/>
                <c:pt idx="5" formatCode="0.000">
                  <c:v>394.91294778002862</c:v>
                </c:pt>
                <c:pt idx="6" formatCode="0.000">
                  <c:v>394.91294778002862</c:v>
                </c:pt>
              </c:numCache>
            </c:numRef>
          </c:val>
          <c:extLst>
            <c:ext xmlns:c16="http://schemas.microsoft.com/office/drawing/2014/chart" uri="{C3380CC4-5D6E-409C-BE32-E72D297353CC}">
              <c16:uniqueId val="{00000007-3D25-49F6-B39F-226B3B136D47}"/>
            </c:ext>
          </c:extLst>
        </c:ser>
        <c:ser>
          <c:idx val="8"/>
          <c:order val="8"/>
          <c:tx>
            <c:strRef>
              <c:f>'240'!$Y$34</c:f>
              <c:strCache>
                <c:ptCount val="1"/>
                <c:pt idx="0">
                  <c:v>Stg.2 Shroud Aft#13</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'240'!$Y$36:$Y$53</c:f>
              <c:numCache>
                <c:formatCode>General</c:formatCode>
                <c:ptCount val="18"/>
                <c:pt idx="6" formatCode="0.000">
                  <c:v>394.91221333613566</c:v>
                </c:pt>
                <c:pt idx="7" formatCode="0.000">
                  <c:v>394.91221333613566</c:v>
                </c:pt>
              </c:numCache>
            </c:numRef>
          </c:val>
          <c:extLst>
            <c:ext xmlns:c16="http://schemas.microsoft.com/office/drawing/2014/chart" uri="{C3380CC4-5D6E-409C-BE32-E72D297353CC}">
              <c16:uniqueId val="{00000008-3D25-49F6-B39F-226B3B136D47}"/>
            </c:ext>
          </c:extLst>
        </c:ser>
        <c:ser>
          <c:idx val="9"/>
          <c:order val="9"/>
          <c:tx>
            <c:strRef>
              <c:f>'240'!$Z$34</c:f>
              <c:strCache>
                <c:ptCount val="1"/>
                <c:pt idx="0">
                  <c:v>Stg.2 Shroud Aft#12</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'240'!$Z$36:$Z$53</c:f>
              <c:numCache>
                <c:formatCode>General</c:formatCode>
                <c:ptCount val="18"/>
                <c:pt idx="7" formatCode="0.000">
                  <c:v>394.90113889226382</c:v>
                </c:pt>
                <c:pt idx="8" formatCode="0.000">
                  <c:v>394.90113889226382</c:v>
                </c:pt>
              </c:numCache>
            </c:numRef>
          </c:val>
          <c:extLst>
            <c:ext xmlns:c16="http://schemas.microsoft.com/office/drawing/2014/chart" uri="{C3380CC4-5D6E-409C-BE32-E72D297353CC}">
              <c16:uniqueId val="{00000009-3D25-49F6-B39F-226B3B136D47}"/>
            </c:ext>
          </c:extLst>
        </c:ser>
        <c:ser>
          <c:idx val="10"/>
          <c:order val="10"/>
          <c:tx>
            <c:strRef>
              <c:f>'240'!$AA$34</c:f>
              <c:strCache>
                <c:ptCount val="1"/>
                <c:pt idx="0">
                  <c:v>Stg.2 Shroud Aft#11</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'240'!$AA$36:$AA$53</c:f>
              <c:numCache>
                <c:formatCode>General</c:formatCode>
                <c:ptCount val="18"/>
                <c:pt idx="8" formatCode="0.000">
                  <c:v>394.88470444592588</c:v>
                </c:pt>
                <c:pt idx="9" formatCode="0.000">
                  <c:v>394.88470444592588</c:v>
                </c:pt>
              </c:numCache>
            </c:numRef>
          </c:val>
          <c:extLst>
            <c:ext xmlns:c16="http://schemas.microsoft.com/office/drawing/2014/chart" uri="{C3380CC4-5D6E-409C-BE32-E72D297353CC}">
              <c16:uniqueId val="{0000000A-3D25-49F6-B39F-226B3B136D47}"/>
            </c:ext>
          </c:extLst>
        </c:ser>
        <c:ser>
          <c:idx val="11"/>
          <c:order val="11"/>
          <c:tx>
            <c:strRef>
              <c:f>'240'!$AB$34</c:f>
              <c:strCache>
                <c:ptCount val="1"/>
                <c:pt idx="0">
                  <c:v>Stg.2 Shroud Aft#10</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'240'!$AB$36:$AB$53</c:f>
              <c:numCache>
                <c:formatCode>General</c:formatCode>
                <c:ptCount val="18"/>
                <c:pt idx="9" formatCode="0.000">
                  <c:v>394.87524555640107</c:v>
                </c:pt>
                <c:pt idx="10" formatCode="0.000">
                  <c:v>394.87524555640107</c:v>
                </c:pt>
              </c:numCache>
            </c:numRef>
          </c:val>
          <c:extLst>
            <c:ext xmlns:c16="http://schemas.microsoft.com/office/drawing/2014/chart" uri="{C3380CC4-5D6E-409C-BE32-E72D297353CC}">
              <c16:uniqueId val="{0000000B-3D25-49F6-B39F-226B3B136D47}"/>
            </c:ext>
          </c:extLst>
        </c:ser>
        <c:ser>
          <c:idx val="12"/>
          <c:order val="12"/>
          <c:tx>
            <c:strRef>
              <c:f>'240'!$AC$34</c:f>
              <c:strCache>
                <c:ptCount val="1"/>
                <c:pt idx="0">
                  <c:v>Stg.2 Shroud Aft#9</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'240'!$AC$36:$AC$53</c:f>
              <c:numCache>
                <c:formatCode>General</c:formatCode>
                <c:ptCount val="18"/>
                <c:pt idx="10" formatCode="0.000">
                  <c:v>394.8694511169287</c:v>
                </c:pt>
                <c:pt idx="11" formatCode="0.000">
                  <c:v>394.8694511169287</c:v>
                </c:pt>
              </c:numCache>
            </c:numRef>
          </c:val>
          <c:extLst>
            <c:ext xmlns:c16="http://schemas.microsoft.com/office/drawing/2014/chart" uri="{C3380CC4-5D6E-409C-BE32-E72D297353CC}">
              <c16:uniqueId val="{0000000C-3D25-49F6-B39F-226B3B136D47}"/>
            </c:ext>
          </c:extLst>
        </c:ser>
        <c:ser>
          <c:idx val="13"/>
          <c:order val="13"/>
          <c:tx>
            <c:strRef>
              <c:f>'240'!$AD$34</c:f>
              <c:strCache>
                <c:ptCount val="1"/>
                <c:pt idx="0">
                  <c:v>Stg.2 Shroud Aft#8</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'240'!$AD$36:$AD$53</c:f>
              <c:numCache>
                <c:formatCode>General</c:formatCode>
                <c:ptCount val="18"/>
                <c:pt idx="11" formatCode="0.000">
                  <c:v>394.87530445681966</c:v>
                </c:pt>
                <c:pt idx="12" formatCode="0.000">
                  <c:v>394.87530445681966</c:v>
                </c:pt>
              </c:numCache>
            </c:numRef>
          </c:val>
          <c:extLst>
            <c:ext xmlns:c16="http://schemas.microsoft.com/office/drawing/2014/chart" uri="{C3380CC4-5D6E-409C-BE32-E72D297353CC}">
              <c16:uniqueId val="{0000000D-3D25-49F6-B39F-226B3B136D47}"/>
            </c:ext>
          </c:extLst>
        </c:ser>
        <c:ser>
          <c:idx val="14"/>
          <c:order val="14"/>
          <c:tx>
            <c:strRef>
              <c:f>'240'!$AE$34</c:f>
              <c:strCache>
                <c:ptCount val="1"/>
                <c:pt idx="0">
                  <c:v>Stg.2 Shroud Aft#7</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'240'!$AE$36:$AE$53</c:f>
              <c:numCache>
                <c:formatCode>General</c:formatCode>
                <c:ptCount val="18"/>
                <c:pt idx="12" formatCode="0.000">
                  <c:v>394.89298778812804</c:v>
                </c:pt>
                <c:pt idx="13" formatCode="0.000">
                  <c:v>394.89298778812804</c:v>
                </c:pt>
              </c:numCache>
            </c:numRef>
          </c:val>
          <c:extLst>
            <c:ext xmlns:c16="http://schemas.microsoft.com/office/drawing/2014/chart" uri="{C3380CC4-5D6E-409C-BE32-E72D297353CC}">
              <c16:uniqueId val="{0000000E-3D25-49F6-B39F-226B3B136D47}"/>
            </c:ext>
          </c:extLst>
        </c:ser>
        <c:ser>
          <c:idx val="15"/>
          <c:order val="15"/>
          <c:tx>
            <c:strRef>
              <c:f>'240'!$AF$34</c:f>
              <c:strCache>
                <c:ptCount val="1"/>
                <c:pt idx="0">
                  <c:v>Stg.2 Shroud Aft#6</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'240'!$AF$36:$AF$53</c:f>
              <c:numCache>
                <c:formatCode>General</c:formatCode>
                <c:ptCount val="18"/>
                <c:pt idx="13" formatCode="0.000">
                  <c:v>394.91940000802401</c:v>
                </c:pt>
                <c:pt idx="14" formatCode="0.000">
                  <c:v>394.91940000802401</c:v>
                </c:pt>
              </c:numCache>
            </c:numRef>
          </c:val>
          <c:extLst>
            <c:ext xmlns:c16="http://schemas.microsoft.com/office/drawing/2014/chart" uri="{C3380CC4-5D6E-409C-BE32-E72D297353CC}">
              <c16:uniqueId val="{0000000F-3D25-49F6-B39F-226B3B136D47}"/>
            </c:ext>
          </c:extLst>
        </c:ser>
        <c:ser>
          <c:idx val="16"/>
          <c:order val="16"/>
          <c:tx>
            <c:strRef>
              <c:f>'240'!$AG$34</c:f>
              <c:strCache>
                <c:ptCount val="1"/>
                <c:pt idx="0">
                  <c:v>Stg.2 Shroud Aft#5</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'240'!$AG$36:$AG$53</c:f>
              <c:numCache>
                <c:formatCode>General</c:formatCode>
                <c:ptCount val="18"/>
                <c:pt idx="14" formatCode="0.000">
                  <c:v>394.93091555999933</c:v>
                </c:pt>
                <c:pt idx="15" formatCode="0.000">
                  <c:v>394.93091555999933</c:v>
                </c:pt>
              </c:numCache>
            </c:numRef>
          </c:val>
          <c:extLst>
            <c:ext xmlns:c16="http://schemas.microsoft.com/office/drawing/2014/chart" uri="{C3380CC4-5D6E-409C-BE32-E72D297353CC}">
              <c16:uniqueId val="{00000010-3D25-49F6-B39F-226B3B136D47}"/>
            </c:ext>
          </c:extLst>
        </c:ser>
        <c:ser>
          <c:idx val="17"/>
          <c:order val="17"/>
          <c:tx>
            <c:strRef>
              <c:f>'240'!$AH$34</c:f>
              <c:strCache>
                <c:ptCount val="1"/>
                <c:pt idx="0">
                  <c:v>Stg.2 Shroud Aft#4</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'240'!$AH$36:$AH$52</c:f>
              <c:numCache>
                <c:formatCode>General</c:formatCode>
                <c:ptCount val="17"/>
                <c:pt idx="15" formatCode="0.000">
                  <c:v>394.91948666666667</c:v>
                </c:pt>
                <c:pt idx="16" formatCode="0.000">
                  <c:v>394.91948666666667</c:v>
                </c:pt>
              </c:numCache>
            </c:numRef>
          </c:val>
          <c:extLst>
            <c:ext xmlns:c16="http://schemas.microsoft.com/office/drawing/2014/chart" uri="{C3380CC4-5D6E-409C-BE32-E72D297353CC}">
              <c16:uniqueId val="{00000011-3D25-49F6-B39F-226B3B136D47}"/>
            </c:ext>
          </c:extLst>
        </c:ser>
        <c:ser>
          <c:idx val="18"/>
          <c:order val="18"/>
          <c:tx>
            <c:strRef>
              <c:f>'240'!$AI$34</c:f>
              <c:strCache>
                <c:ptCount val="1"/>
                <c:pt idx="0">
                  <c:v>Stg.2 Shroud Aft#3</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'240'!$AI$36:$AI$53</c:f>
              <c:numCache>
                <c:formatCode>General</c:formatCode>
                <c:ptCount val="18"/>
                <c:pt idx="16" formatCode="0.000">
                  <c:v>394.89195777777775</c:v>
                </c:pt>
                <c:pt idx="17" formatCode="0.000">
                  <c:v>394.89195777777775</c:v>
                </c:pt>
              </c:numCache>
            </c:numRef>
          </c:val>
          <c:extLst>
            <c:ext xmlns:c16="http://schemas.microsoft.com/office/drawing/2014/chart" uri="{C3380CC4-5D6E-409C-BE32-E72D297353CC}">
              <c16:uniqueId val="{00000012-3D25-49F6-B39F-226B3B136D47}"/>
            </c:ext>
          </c:extLst>
        </c:ser>
        <c:ser>
          <c:idx val="19"/>
          <c:order val="19"/>
          <c:tx>
            <c:strRef>
              <c:f>'240'!$AJ$34</c:f>
              <c:strCache>
                <c:ptCount val="1"/>
                <c:pt idx="0">
                  <c:v>Stg.2 Shroud Aft#2</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'240'!$AJ$36:$AJ$53</c:f>
              <c:numCache>
                <c:formatCode>General</c:formatCode>
                <c:ptCount val="18"/>
                <c:pt idx="0" formatCode="0.000">
                  <c:v>394.86617111160217</c:v>
                </c:pt>
                <c:pt idx="17" formatCode="0.000">
                  <c:v>394.86617111160217</c:v>
                </c:pt>
              </c:numCache>
            </c:numRef>
          </c:val>
          <c:extLst>
            <c:ext xmlns:c16="http://schemas.microsoft.com/office/drawing/2014/chart" uri="{C3380CC4-5D6E-409C-BE32-E72D297353CC}">
              <c16:uniqueId val="{00000013-3D25-49F6-B39F-226B3B136D47}"/>
            </c:ext>
          </c:extLst>
        </c:ser>
        <c:dLbls>
          <c:showLegendKey val="0"/>
          <c:showVal val="0"/>
          <c:showCatName val="0"/>
          <c:showSerName val="0"/>
          <c:showPercent val="0"/>
          <c:showBubbleSize val="0"/>
        </c:dLbls>
        <c:axId val="171358720"/>
        <c:axId val="170908416"/>
      </c:radarChart>
      <c:catAx>
        <c:axId val="17135872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0908416"/>
        <c:crosses val="autoZero"/>
        <c:auto val="1"/>
        <c:lblAlgn val="ctr"/>
        <c:lblOffset val="100"/>
        <c:noMultiLvlLbl val="0"/>
      </c:catAx>
      <c:valAx>
        <c:axId val="17090841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358720"/>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'240'!$AK$87</c:f>
              <c:strCache>
                <c:ptCount val="1"/>
                <c:pt idx="0">
                  <c:v>Step Min</c:v>
                </c:pt>
              </c:strCache>
            </c:strRef>
          </c:tx>
          <c:spPr>
            <a:ln w="28575">
              <a:prstDash val="dash"/>
            </a:ln>
          </c:spPr>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'240'!$AK$89:$AK$106</c:f>
              <c:numCache>
                <c:formatCode>General</c:formatCode>
                <c:ptCount val="18"/>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numCache>
            </c:numRef>
          </c:val>
          <c:extLst>
            <c:ext xmlns:c16="http://schemas.microsoft.com/office/drawing/2014/chart" uri="{C3380CC4-5D6E-409C-BE32-E72D297353CC}">
              <c16:uniqueId val="{00000000-453C-4B8C-A744-BC88E27BCAED}"/>
            </c:ext>
          </c:extLst>
        </c:ser>
        <c:ser>
          <c:idx val="1"/>
          <c:order val="1"/>
          <c:tx>
            <c:strRef>
              <c:f>'240'!$AL$87</c:f>
              <c:strCache>
                <c:ptCount val="1"/>
                <c:pt idx="0">
                  <c:v>Step Max</c:v>
                </c:pt>
              </c:strCache>
            </c:strRef>
          </c:tx>
          <c:spPr>
            <a:ln w="28575">
              <a:prstDash val="dash"/>
            </a:ln>
          </c:spPr>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'240'!$AL$89:$AL$106</c:f>
              <c:numCache>
                <c:formatCode>General</c:formatCode>
                <c:ptCount val="18"/>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numCache>
            </c:numRef>
          </c:val>
          <c:extLst>
            <c:ext xmlns:c16="http://schemas.microsoft.com/office/drawing/2014/chart" uri="{C3380CC4-5D6E-409C-BE32-E72D297353CC}">
              <c16:uniqueId val="{00000001-453C-4B8C-A744-BC88E27BCAED}"/>
            </c:ext>
          </c:extLst>
        </c:ser>
        <c:ser>
          <c:idx val="2"/>
          <c:order val="2"/>
          <c:tx>
            <c:strRef>
              <c:f>'240'!$S$87</c:f>
              <c:strCache>
                <c:ptCount val="1"/>
                <c:pt idx="0">
                  <c:v>Stg.2 Shroud Step#1</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'240'!$S$89:$S$106</c:f>
              <c:numCache>
                <c:formatCode>0.000_ </c:formatCode>
                <c:ptCount val="18"/>
                <c:pt idx="0">
                  <c:v>-4.3366732317622336E-3</c:v>
                </c:pt>
                <c:pt idx="1">
                  <c:v>-4.3366732317622336E-3</c:v>
                </c:pt>
              </c:numCache>
            </c:numRef>
          </c:val>
          <c:extLst>
            <c:ext xmlns:c16="http://schemas.microsoft.com/office/drawing/2014/chart" uri="{C3380CC4-5D6E-409C-BE32-E72D297353CC}">
              <c16:uniqueId val="{00000002-453C-4B8C-A744-BC88E27BCAED}"/>
            </c:ext>
          </c:extLst>
        </c:ser>
        <c:ser>
          <c:idx val="3"/>
          <c:order val="3"/>
          <c:tx>
            <c:strRef>
              <c:f>'240'!$T$87</c:f>
              <c:strCache>
                <c:ptCount val="1"/>
                <c:pt idx="0">
                  <c:v>Stg.2 Shroud Step#18</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'240'!$T$89:$T$106</c:f>
              <c:numCache>
                <c:formatCode>0.000_ </c:formatCode>
                <c:ptCount val="18"/>
                <c:pt idx="1">
                  <c:v>4.3327814353233407E-5</c:v>
                </c:pt>
                <c:pt idx="2">
                  <c:v>4.3327814353233407E-5</c:v>
                </c:pt>
              </c:numCache>
            </c:numRef>
          </c:val>
          <c:extLst>
            <c:ext xmlns:c16="http://schemas.microsoft.com/office/drawing/2014/chart" uri="{C3380CC4-5D6E-409C-BE32-E72D297353CC}">
              <c16:uniqueId val="{00000003-453C-4B8C-A744-BC88E27BCAED}"/>
            </c:ext>
          </c:extLst>
        </c:ser>
        <c:ser>
          <c:idx val="4"/>
          <c:order val="4"/>
          <c:tx>
            <c:strRef>
              <c:f>'240'!$U$87</c:f>
              <c:strCache>
                <c:ptCount val="1"/>
                <c:pt idx="0">
                  <c:v>Stg.2 Shroud Step#17</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'240'!$U$89:$U$106</c:f>
              <c:numCache>
                <c:formatCode>0.000_ </c:formatCode>
                <c:ptCount val="18"/>
                <c:pt idx="2">
                  <c:v>4.1011048414816287E-3</c:v>
                </c:pt>
                <c:pt idx="3">
                  <c:v>4.1011048414816287E-3</c:v>
                </c:pt>
              </c:numCache>
            </c:numRef>
          </c:val>
          <c:extLst>
            <c:ext xmlns:c16="http://schemas.microsoft.com/office/drawing/2014/chart" uri="{C3380CC4-5D6E-409C-BE32-E72D297353CC}">
              <c16:uniqueId val="{00000004-453C-4B8C-A744-BC88E27BCAED}"/>
            </c:ext>
          </c:extLst>
        </c:ser>
        <c:ser>
          <c:idx val="5"/>
          <c:order val="5"/>
          <c:tx>
            <c:strRef>
              <c:f>'240'!$V$87</c:f>
              <c:strCache>
                <c:ptCount val="1"/>
                <c:pt idx="0">
                  <c:v>Stg.2 Shroud Step#16</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'240'!$V$89:$V$106</c:f>
              <c:numCache>
                <c:formatCode>0.000_ </c:formatCode>
                <c:ptCount val="18"/>
                <c:pt idx="3">
                  <c:v>5.0677720826683981E-3</c:v>
                </c:pt>
                <c:pt idx="4">
                  <c:v>5.0677720826683981E-3</c:v>
                </c:pt>
              </c:numCache>
            </c:numRef>
          </c:val>
          <c:extLst>
            <c:ext xmlns:c16="http://schemas.microsoft.com/office/drawing/2014/chart" uri="{C3380CC4-5D6E-409C-BE32-E72D297353CC}">
              <c16:uniqueId val="{00000005-453C-4B8C-A744-BC88E27BCAED}"/>
            </c:ext>
          </c:extLst>
        </c:ser>
        <c:ser>
          <c:idx val="6"/>
          <c:order val="6"/>
          <c:tx>
            <c:strRef>
              <c:f>'240'!$W$87</c:f>
              <c:strCache>
                <c:ptCount val="1"/>
                <c:pt idx="0">
                  <c:v>Stg.2 Shroud Step#15</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'240'!$W$89:$W$106</c:f>
              <c:numCache>
                <c:formatCode>0.000_ </c:formatCode>
                <c:ptCount val="18"/>
                <c:pt idx="4">
                  <c:v>-2.2000091985887593E-3</c:v>
                </c:pt>
                <c:pt idx="5">
                  <c:v>-2.2000091985887593E-3</c:v>
                </c:pt>
              </c:numCache>
            </c:numRef>
          </c:val>
          <c:extLst>
            <c:ext xmlns:c16="http://schemas.microsoft.com/office/drawing/2014/chart" uri="{C3380CC4-5D6E-409C-BE32-E72D297353CC}">
              <c16:uniqueId val="{00000006-453C-4B8C-A744-BC88E27BCAED}"/>
            </c:ext>
          </c:extLst>
        </c:ser>
        <c:ser>
          <c:idx val="7"/>
          <c:order val="7"/>
          <c:tx>
            <c:strRef>
              <c:f>'240'!$X$87</c:f>
              <c:strCache>
                <c:ptCount val="1"/>
                <c:pt idx="0">
                  <c:v>Stg.2 Shroud Step#14</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'240'!$X$89:$X$106</c:f>
              <c:numCache>
                <c:formatCode>0.000_ </c:formatCode>
                <c:ptCount val="18"/>
                <c:pt idx="5">
                  <c:v>-9.4922293330341745E-3</c:v>
                </c:pt>
                <c:pt idx="6">
                  <c:v>-9.4922293330341745E-3</c:v>
                </c:pt>
              </c:numCache>
            </c:numRef>
          </c:val>
          <c:extLst>
            <c:ext xmlns:c16="http://schemas.microsoft.com/office/drawing/2014/chart" uri="{C3380CC4-5D6E-409C-BE32-E72D297353CC}">
              <c16:uniqueId val="{00000007-453C-4B8C-A744-BC88E27BCAED}"/>
            </c:ext>
          </c:extLst>
        </c:ser>
        <c:ser>
          <c:idx val="8"/>
          <c:order val="8"/>
          <c:tx>
            <c:strRef>
              <c:f>'240'!$Y$87</c:f>
              <c:strCache>
                <c:ptCount val="1"/>
                <c:pt idx="0">
                  <c:v>Stg.2 Shroud Step#13</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'240'!$Y$89:$Y$106</c:f>
              <c:numCache>
                <c:formatCode>0.000_ </c:formatCode>
                <c:ptCount val="18"/>
                <c:pt idx="6">
                  <c:v>-1.2766667414950916E-2</c:v>
                </c:pt>
                <c:pt idx="7">
                  <c:v>-1.2766667414950916E-2</c:v>
                </c:pt>
              </c:numCache>
            </c:numRef>
          </c:val>
          <c:extLst>
            <c:ext xmlns:c16="http://schemas.microsoft.com/office/drawing/2014/chart" uri="{C3380CC4-5D6E-409C-BE32-E72D297353CC}">
              <c16:uniqueId val="{00000008-453C-4B8C-A744-BC88E27BCAED}"/>
            </c:ext>
          </c:extLst>
        </c:ser>
        <c:ser>
          <c:idx val="9"/>
          <c:order val="9"/>
          <c:tx>
            <c:strRef>
              <c:f>'240'!$Z$87</c:f>
              <c:strCache>
                <c:ptCount val="1"/>
                <c:pt idx="0">
                  <c:v>Stg.2 Shroud Step#12</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'240'!$Z$89:$Z$106</c:f>
              <c:numCache>
                <c:formatCode>0.000_ </c:formatCode>
                <c:ptCount val="18"/>
                <c:pt idx="7">
                  <c:v>-5.6844440372856297E-3</c:v>
                </c:pt>
                <c:pt idx="8">
                  <c:v>-5.6844440372856297E-3</c:v>
                </c:pt>
              </c:numCache>
            </c:numRef>
          </c:val>
          <c:extLst>
            <c:ext xmlns:c16="http://schemas.microsoft.com/office/drawing/2014/chart" uri="{C3380CC4-5D6E-409C-BE32-E72D297353CC}">
              <c16:uniqueId val="{00000009-453C-4B8C-A744-BC88E27BCAED}"/>
            </c:ext>
          </c:extLst>
        </c:ser>
        <c:ser>
          <c:idx val="10"/>
          <c:order val="10"/>
          <c:tx>
            <c:strRef>
              <c:f>'240'!$AA$87</c:f>
              <c:strCache>
                <c:ptCount val="1"/>
                <c:pt idx="0">
                  <c:v>Stg.2 Shroud Step#11</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'240'!$AA$89:$AA$106</c:f>
              <c:numCache>
                <c:formatCode>0.000_ </c:formatCode>
                <c:ptCount val="18"/>
                <c:pt idx="8">
                  <c:v>3.6466657748519538E-3</c:v>
                </c:pt>
                <c:pt idx="9">
                  <c:v>3.6466657748519538E-3</c:v>
                </c:pt>
              </c:numCache>
            </c:numRef>
          </c:val>
          <c:extLst>
            <c:ext xmlns:c16="http://schemas.microsoft.com/office/drawing/2014/chart" uri="{C3380CC4-5D6E-409C-BE32-E72D297353CC}">
              <c16:uniqueId val="{0000000A-453C-4B8C-A744-BC88E27BCAED}"/>
            </c:ext>
          </c:extLst>
        </c:ser>
        <c:ser>
          <c:idx val="11"/>
          <c:order val="11"/>
          <c:tx>
            <c:strRef>
              <c:f>'240'!$AB$87</c:f>
              <c:strCache>
                <c:ptCount val="1"/>
                <c:pt idx="0">
                  <c:v>Stg.2 Shroud Step#10</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'240'!$AB$89:$AB$106</c:f>
              <c:numCache>
                <c:formatCode>0.000_ </c:formatCode>
                <c:ptCount val="18"/>
                <c:pt idx="9">
                  <c:v>2.3399974352855679E-3</c:v>
                </c:pt>
                <c:pt idx="10">
                  <c:v>2.3399974352855679E-3</c:v>
                </c:pt>
              </c:numCache>
            </c:numRef>
          </c:val>
          <c:extLst>
            <c:ext xmlns:c16="http://schemas.microsoft.com/office/drawing/2014/chart" uri="{C3380CC4-5D6E-409C-BE32-E72D297353CC}">
              <c16:uniqueId val="{0000000B-453C-4B8C-A744-BC88E27BCAED}"/>
            </c:ext>
          </c:extLst>
        </c:ser>
        <c:ser>
          <c:idx val="12"/>
          <c:order val="12"/>
          <c:tx>
            <c:strRef>
              <c:f>'240'!$AC$87</c:f>
              <c:strCache>
                <c:ptCount val="1"/>
                <c:pt idx="0">
                  <c:v>Stg.2 Shroud Step#9</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'240'!$AC$89:$AC$106</c:f>
              <c:numCache>
                <c:formatCode>0.000_ </c:formatCode>
                <c:ptCount val="18"/>
                <c:pt idx="10">
                  <c:v>-4.9997297480786074E-5</c:v>
                </c:pt>
                <c:pt idx="11">
                  <c:v>-4.9997297480786074E-5</c:v>
                </c:pt>
              </c:numCache>
            </c:numRef>
          </c:val>
          <c:extLst>
            <c:ext xmlns:c16="http://schemas.microsoft.com/office/drawing/2014/chart" uri="{C3380CC4-5D6E-409C-BE32-E72D297353CC}">
              <c16:uniqueId val="{0000000C-453C-4B8C-A744-BC88E27BCAED}"/>
            </c:ext>
          </c:extLst>
        </c:ser>
        <c:ser>
          <c:idx val="13"/>
          <c:order val="13"/>
          <c:tx>
            <c:strRef>
              <c:f>'240'!$AD$87</c:f>
              <c:strCache>
                <c:ptCount val="1"/>
                <c:pt idx="0">
                  <c:v>Stg.2 Shroud Step#8</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'240'!$AD$89:$AD$106</c:f>
              <c:numCache>
                <c:formatCode>0.000_ </c:formatCode>
                <c:ptCount val="18"/>
                <c:pt idx="11">
                  <c:v>-3.101104657275755E-3</c:v>
                </c:pt>
                <c:pt idx="12">
                  <c:v>-3.101104657275755E-3</c:v>
                </c:pt>
              </c:numCache>
            </c:numRef>
          </c:val>
          <c:extLst>
            <c:ext xmlns:c16="http://schemas.microsoft.com/office/drawing/2014/chart" uri="{C3380CC4-5D6E-409C-BE32-E72D297353CC}">
              <c16:uniqueId val="{0000000D-453C-4B8C-A744-BC88E27BCAED}"/>
            </c:ext>
          </c:extLst>
        </c:ser>
        <c:ser>
          <c:idx val="14"/>
          <c:order val="14"/>
          <c:tx>
            <c:strRef>
              <c:f>'240'!$AE$87</c:f>
              <c:strCache>
                <c:ptCount val="1"/>
                <c:pt idx="0">
                  <c:v>Stg.2 Shroud Step#7</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'240'!$AE$89:$AE$106</c:f>
              <c:numCache>
                <c:formatCode>0.000_ </c:formatCode>
                <c:ptCount val="18"/>
                <c:pt idx="12">
                  <c:v>-4.895553590245072E-3</c:v>
                </c:pt>
                <c:pt idx="13">
                  <c:v>-4.895553590245072E-3</c:v>
                </c:pt>
              </c:numCache>
            </c:numRef>
          </c:val>
          <c:extLst>
            <c:ext xmlns:c16="http://schemas.microsoft.com/office/drawing/2014/chart" uri="{C3380CC4-5D6E-409C-BE32-E72D297353CC}">
              <c16:uniqueId val="{0000000E-453C-4B8C-A744-BC88E27BCAED}"/>
            </c:ext>
          </c:extLst>
        </c:ser>
        <c:ser>
          <c:idx val="15"/>
          <c:order val="15"/>
          <c:tx>
            <c:strRef>
              <c:f>'240'!$AF$87</c:f>
              <c:strCache>
                <c:ptCount val="1"/>
                <c:pt idx="0">
                  <c:v>Stg.2 Shroud Step#6</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'240'!$AF$89:$AF$106</c:f>
              <c:numCache>
                <c:formatCode>0.000_ </c:formatCode>
                <c:ptCount val="18"/>
                <c:pt idx="13">
                  <c:v>-7.8777466029578136E-4</c:v>
                </c:pt>
                <c:pt idx="14">
                  <c:v>-7.8777466029578136E-4</c:v>
                </c:pt>
              </c:numCache>
            </c:numRef>
          </c:val>
          <c:extLst>
            <c:ext xmlns:c16="http://schemas.microsoft.com/office/drawing/2014/chart" uri="{C3380CC4-5D6E-409C-BE32-E72D297353CC}">
              <c16:uniqueId val="{0000000F-453C-4B8C-A744-BC88E27BCAED}"/>
            </c:ext>
          </c:extLst>
        </c:ser>
        <c:ser>
          <c:idx val="16"/>
          <c:order val="16"/>
          <c:tx>
            <c:strRef>
              <c:f>'240'!$AG$87</c:f>
              <c:strCache>
                <c:ptCount val="1"/>
                <c:pt idx="0">
                  <c:v>Stg.2 Shroud Step#5</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'240'!$AG$89:$AG$106</c:f>
              <c:numCache>
                <c:formatCode>0.000_ </c:formatCode>
                <c:ptCount val="18"/>
                <c:pt idx="14">
                  <c:v>1.1788919978812373E-3</c:v>
                </c:pt>
                <c:pt idx="15">
                  <c:v>1.1788919978812373E-3</c:v>
                </c:pt>
              </c:numCache>
            </c:numRef>
          </c:val>
          <c:extLst>
            <c:ext xmlns:c16="http://schemas.microsoft.com/office/drawing/2014/chart" uri="{C3380CC4-5D6E-409C-BE32-E72D297353CC}">
              <c16:uniqueId val="{00000010-453C-4B8C-A744-BC88E27BCAED}"/>
            </c:ext>
          </c:extLst>
        </c:ser>
        <c:ser>
          <c:idx val="17"/>
          <c:order val="17"/>
          <c:tx>
            <c:strRef>
              <c:f>'240'!$AH$87</c:f>
              <c:strCache>
                <c:ptCount val="1"/>
                <c:pt idx="0">
                  <c:v>Stg.2 Shroud Step#4</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'240'!$AH$89:$AH$106</c:f>
              <c:numCache>
                <c:formatCode>0.000_ </c:formatCode>
                <c:ptCount val="18"/>
                <c:pt idx="15">
                  <c:v>-3.8733346681851799E-3</c:v>
                </c:pt>
                <c:pt idx="16">
                  <c:v>-3.8733346681851799E-3</c:v>
                </c:pt>
              </c:numCache>
            </c:numRef>
          </c:val>
          <c:extLst>
            <c:ext xmlns:c16="http://schemas.microsoft.com/office/drawing/2014/chart" uri="{C3380CC4-5D6E-409C-BE32-E72D297353CC}">
              <c16:uniqueId val="{00000011-453C-4B8C-A744-BC88E27BCAED}"/>
            </c:ext>
          </c:extLst>
        </c:ser>
        <c:ser>
          <c:idx val="18"/>
          <c:order val="18"/>
          <c:tx>
            <c:strRef>
              <c:f>'240'!$AI$87</c:f>
              <c:strCache>
                <c:ptCount val="1"/>
                <c:pt idx="0">
                  <c:v>Stg.2 Shroud Step#3</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'240'!$AI$89:$AI$106</c:f>
              <c:numCache>
                <c:formatCode>0.000_ </c:formatCode>
                <c:ptCount val="18"/>
                <c:pt idx="16">
                  <c:v>-4.775556890479038E-3</c:v>
                </c:pt>
                <c:pt idx="17">
                  <c:v>-4.775556890479038E-3</c:v>
                </c:pt>
              </c:numCache>
            </c:numRef>
          </c:val>
          <c:extLst>
            <c:ext xmlns:c16="http://schemas.microsoft.com/office/drawing/2014/chart" uri="{C3380CC4-5D6E-409C-BE32-E72D297353CC}">
              <c16:uniqueId val="{00000012-453C-4B8C-A744-BC88E27BCAED}"/>
            </c:ext>
          </c:extLst>
        </c:ser>
        <c:ser>
          <c:idx val="19"/>
          <c:order val="19"/>
          <c:tx>
            <c:strRef>
              <c:f>'240'!$AJ$87</c:f>
              <c:strCache>
                <c:ptCount val="1"/>
                <c:pt idx="0">
                  <c:v>Stg.2 Shroud Step#2</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'240'!$AJ$89:$AJ$106</c:f>
              <c:numCache>
                <c:formatCode>0.000_ </c:formatCode>
                <c:ptCount val="18"/>
                <c:pt idx="0">
                  <c:v>-4.6100049856363512E-3</c:v>
                </c:pt>
                <c:pt idx="17">
                  <c:v>-4.6100049856363512E-3</c:v>
                </c:pt>
              </c:numCache>
            </c:numRef>
          </c:val>
          <c:extLst>
            <c:ext xmlns:c16="http://schemas.microsoft.com/office/drawing/2014/chart" uri="{C3380CC4-5D6E-409C-BE32-E72D297353CC}">
              <c16:uniqueId val="{00000013-453C-4B8C-A744-BC88E27BCAED}"/>
            </c:ext>
          </c:extLst>
        </c:ser>
        <c:dLbls>
          <c:showLegendKey val="0"/>
          <c:showVal val="0"/>
          <c:showCatName val="0"/>
          <c:showSerName val="0"/>
          <c:showPercent val="0"/>
          <c:showBubbleSize val="0"/>
        </c:dLbls>
        <c:axId val="171357184"/>
        <c:axId val="171018496"/>
      </c:radarChart>
      <c:catAx>
        <c:axId val="17135718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1018496"/>
        <c:crosses val="autoZero"/>
        <c:auto val="1"/>
        <c:lblAlgn val="ctr"/>
        <c:lblOffset val="100"/>
        <c:noMultiLvlLbl val="0"/>
      </c:catAx>
      <c:valAx>
        <c:axId val="17101849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357184"/>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'241'!$K$9</c:f>
              <c:strCache>
                <c:ptCount val="1"/>
                <c:pt idx="0">
                  <c:v>CMM</c:v>
                </c:pt>
              </c:strCache>
            </c:strRef>
          </c:tx>
          <c:marker>
            <c:symbol val="none"/>
          </c:marker>
          <c:cat>
            <c:numRef>
              <c:f>'241'!$J$11:$J$26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'241'!$K$11:$K$26</c:f>
              <c:numCache>
                <c:formatCode>General</c:formatCode>
                <c:ptCount val="16"/>
                <c:pt idx="0">
                  <c:v>396.88500000125981</c:v>
                </c:pt>
                <c:pt idx="1">
                  <c:v>396.90400000503899</c:v>
                </c:pt>
                <c:pt idx="2">
                  <c:v>396.90900000125976</c:v>
                </c:pt>
                <c:pt idx="3">
                  <c:v>396.92900004534818</c:v>
                </c:pt>
                <c:pt idx="4">
                  <c:v>396.916</c:v>
                </c:pt>
                <c:pt idx="5">
                  <c:v>396.92500001133715</c:v>
                </c:pt>
                <c:pt idx="6">
                  <c:v>396.892</c:v>
                </c:pt>
                <c:pt idx="7">
                  <c:v>396.88500003149528</c:v>
                </c:pt>
                <c:pt idx="8">
                  <c:v>396.87200000125989</c:v>
                </c:pt>
                <c:pt idx="9">
                  <c:v>396.88700001133827</c:v>
                </c:pt>
                <c:pt idx="10">
                  <c:v>396.89900000125976</c:v>
                </c:pt>
                <c:pt idx="11">
                  <c:v>396.95400015241063</c:v>
                </c:pt>
                <c:pt idx="12">
                  <c:v>396.94100000125962</c:v>
                </c:pt>
                <c:pt idx="13">
                  <c:v>396.92600004534853</c:v>
                </c:pt>
                <c:pt idx="14">
                  <c:v>396.8830000012598</c:v>
                </c:pt>
                <c:pt idx="15">
                  <c:v>396.87000001133873</c:v>
                </c:pt>
              </c:numCache>
            </c:numRef>
          </c:val>
          <c:extLst>
            <c:ext xmlns:c16="http://schemas.microsoft.com/office/drawing/2014/chart" uri="{C3380CC4-5D6E-409C-BE32-E72D297353CC}">
              <c16:uniqueId val="{00000000-198F-4132-AEAC-4919EE0D8F16}"/>
            </c:ext>
          </c:extLst>
        </c:ser>
        <c:ser>
          <c:idx val="1"/>
          <c:order val="1"/>
          <c:tx>
            <c:strRef>
              <c:f>'241'!$L$9</c:f>
              <c:strCache>
                <c:ptCount val="1"/>
                <c:pt idx="0">
                  <c:v>Dwg Min</c:v>
                </c:pt>
              </c:strCache>
            </c:strRef>
          </c:tx>
          <c:spPr>
            <a:ln>
              <a:prstDash val="dash"/>
            </a:ln>
          </c:spPr>
          <c:marker>
            <c:symbol val="none"/>
          </c:marker>
          <c:val>
            <c:numRef>
              <c:f>'241'!$L$11:$L$26</c:f>
              <c:numCache>
                <c:formatCode>General</c:formatCode>
                <c:ptCount val="16"/>
                <c:pt idx="0">
                  <c:v>396.81</c:v>
                </c:pt>
                <c:pt idx="1">
                  <c:v>396.81</c:v>
                </c:pt>
                <c:pt idx="2">
                  <c:v>396.81</c:v>
                </c:pt>
                <c:pt idx="3">
                  <c:v>396.81</c:v>
                </c:pt>
                <c:pt idx="4">
                  <c:v>396.81</c:v>
                </c:pt>
                <c:pt idx="5">
                  <c:v>396.81</c:v>
                </c:pt>
                <c:pt idx="6">
                  <c:v>396.81</c:v>
                </c:pt>
                <c:pt idx="7">
                  <c:v>396.81</c:v>
                </c:pt>
                <c:pt idx="8">
                  <c:v>396.81</c:v>
                </c:pt>
                <c:pt idx="9">
                  <c:v>396.81</c:v>
                </c:pt>
                <c:pt idx="10">
                  <c:v>396.81</c:v>
                </c:pt>
                <c:pt idx="11">
                  <c:v>396.81</c:v>
                </c:pt>
                <c:pt idx="12">
                  <c:v>396.81</c:v>
                </c:pt>
                <c:pt idx="13">
                  <c:v>396.81</c:v>
                </c:pt>
                <c:pt idx="14">
                  <c:v>396.81</c:v>
                </c:pt>
                <c:pt idx="15">
                  <c:v>396.81</c:v>
                </c:pt>
              </c:numCache>
            </c:numRef>
          </c:val>
          <c:extLst>
            <c:ext xmlns:c16="http://schemas.microsoft.com/office/drawing/2014/chart" uri="{C3380CC4-5D6E-409C-BE32-E72D297353CC}">
              <c16:uniqueId val="{00000001-198F-4132-AEAC-4919EE0D8F16}"/>
            </c:ext>
          </c:extLst>
        </c:ser>
        <c:ser>
          <c:idx val="2"/>
          <c:order val="2"/>
          <c:tx>
            <c:strRef>
              <c:f>'241'!$M$9</c:f>
              <c:strCache>
                <c:ptCount val="1"/>
                <c:pt idx="0">
                  <c:v>Dwg Max</c:v>
                </c:pt>
              </c:strCache>
            </c:strRef>
          </c:tx>
          <c:spPr>
            <a:ln>
              <a:prstDash val="dash"/>
            </a:ln>
          </c:spPr>
          <c:marker>
            <c:symbol val="none"/>
          </c:marker>
          <c:val>
            <c:numRef>
              <c:f>'241'!$M$11:$M$26</c:f>
              <c:numCache>
                <c:formatCode>General</c:formatCode>
                <c:ptCount val="16"/>
                <c:pt idx="0">
                  <c:v>396.98999999999995</c:v>
                </c:pt>
                <c:pt idx="1">
                  <c:v>396.98999999999995</c:v>
                </c:pt>
                <c:pt idx="2">
                  <c:v>396.98999999999995</c:v>
                </c:pt>
                <c:pt idx="3">
                  <c:v>396.98999999999995</c:v>
                </c:pt>
                <c:pt idx="4">
                  <c:v>396.98999999999995</c:v>
                </c:pt>
                <c:pt idx="5">
                  <c:v>396.98999999999995</c:v>
                </c:pt>
                <c:pt idx="6">
                  <c:v>396.98999999999995</c:v>
                </c:pt>
                <c:pt idx="7">
                  <c:v>396.98999999999995</c:v>
                </c:pt>
                <c:pt idx="8">
                  <c:v>396.98999999999995</c:v>
                </c:pt>
                <c:pt idx="9">
                  <c:v>396.98999999999995</c:v>
                </c:pt>
                <c:pt idx="10">
                  <c:v>396.98999999999995</c:v>
                </c:pt>
                <c:pt idx="11">
                  <c:v>396.98999999999995</c:v>
                </c:pt>
                <c:pt idx="12">
                  <c:v>396.98999999999995</c:v>
                </c:pt>
                <c:pt idx="13">
                  <c:v>396.98999999999995</c:v>
                </c:pt>
                <c:pt idx="14">
                  <c:v>396.98999999999995</c:v>
                </c:pt>
                <c:pt idx="15">
                  <c:v>396.98999999999995</c:v>
                </c:pt>
              </c:numCache>
            </c:numRef>
          </c:val>
          <c:extLst>
            <c:ext xmlns:c16="http://schemas.microsoft.com/office/drawing/2014/chart" uri="{C3380CC4-5D6E-409C-BE32-E72D297353CC}">
              <c16:uniqueId val="{00000002-198F-4132-AEAC-4919EE0D8F16}"/>
            </c:ext>
          </c:extLst>
        </c:ser>
        <c:dLbls>
          <c:showLegendKey val="0"/>
          <c:showVal val="0"/>
          <c:showCatName val="0"/>
          <c:showSerName val="0"/>
          <c:showPercent val="0"/>
          <c:showBubbleSize val="0"/>
        </c:dLbls>
        <c:axId val="172455424"/>
        <c:axId val="171022528"/>
      </c:radarChart>
      <c:catAx>
        <c:axId val="17245542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1022528"/>
        <c:crosses val="autoZero"/>
        <c:auto val="1"/>
        <c:lblAlgn val="ctr"/>
        <c:lblOffset val="100"/>
        <c:noMultiLvlLbl val="0"/>
      </c:catAx>
      <c:valAx>
        <c:axId val="17102252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2455424"/>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'241'!$AP$34</c:f>
              <c:strCache>
                <c:ptCount val="1"/>
                <c:pt idx="0">
                  <c:v>LPT Case Hook R Min</c:v>
                </c:pt>
              </c:strCache>
            </c:strRef>
          </c:tx>
          <c:spPr>
            <a:ln w="28575">
              <a:prstDash val="dash"/>
            </a:ln>
          </c:spPr>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'241'!$AP$36:$AP$58</c:f>
              <c:numCache>
                <c:formatCode>General</c:formatCode>
                <c:ptCount val="23"/>
                <c:pt idx="0">
                  <c:v>396.86799999999999</c:v>
                </c:pt>
                <c:pt idx="1">
                  <c:v>396.86799999999999</c:v>
                </c:pt>
                <c:pt idx="2">
                  <c:v>396.86799999999999</c:v>
                </c:pt>
                <c:pt idx="3">
                  <c:v>396.86799999999999</c:v>
                </c:pt>
                <c:pt idx="4">
                  <c:v>396.86799999999999</c:v>
                </c:pt>
                <c:pt idx="5">
                  <c:v>396.86799999999999</c:v>
                </c:pt>
                <c:pt idx="6">
                  <c:v>396.86799999999999</c:v>
                </c:pt>
                <c:pt idx="7">
                  <c:v>396.86799999999999</c:v>
                </c:pt>
                <c:pt idx="8">
                  <c:v>396.86799999999999</c:v>
                </c:pt>
                <c:pt idx="9">
                  <c:v>396.86799999999999</c:v>
                </c:pt>
                <c:pt idx="10">
                  <c:v>396.86799999999999</c:v>
                </c:pt>
                <c:pt idx="11">
                  <c:v>396.86799999999999</c:v>
                </c:pt>
                <c:pt idx="12">
                  <c:v>396.86799999999999</c:v>
                </c:pt>
                <c:pt idx="13">
                  <c:v>396.86799999999999</c:v>
                </c:pt>
                <c:pt idx="14">
                  <c:v>396.86799999999999</c:v>
                </c:pt>
                <c:pt idx="15">
                  <c:v>396.86799999999999</c:v>
                </c:pt>
                <c:pt idx="16">
                  <c:v>396.86799999999999</c:v>
                </c:pt>
                <c:pt idx="17">
                  <c:v>396.86799999999999</c:v>
                </c:pt>
                <c:pt idx="18">
                  <c:v>396.86799999999999</c:v>
                </c:pt>
                <c:pt idx="19">
                  <c:v>396.86799999999999</c:v>
                </c:pt>
                <c:pt idx="20">
                  <c:v>396.86799999999999</c:v>
                </c:pt>
                <c:pt idx="21">
                  <c:v>396.86799999999999</c:v>
                </c:pt>
                <c:pt idx="22">
                  <c:v>396.86799999999999</c:v>
                </c:pt>
              </c:numCache>
            </c:numRef>
          </c:val>
          <c:extLst>
            <c:ext xmlns:c16="http://schemas.microsoft.com/office/drawing/2014/chart" uri="{C3380CC4-5D6E-409C-BE32-E72D297353CC}">
              <c16:uniqueId val="{00000000-199D-488D-A889-59326525A278}"/>
            </c:ext>
          </c:extLst>
        </c:ser>
        <c:ser>
          <c:idx val="1"/>
          <c:order val="1"/>
          <c:tx>
            <c:strRef>
              <c:f>'241'!$AQ$34</c:f>
              <c:strCache>
                <c:ptCount val="1"/>
                <c:pt idx="0">
                  <c:v>LPT Case Hook R Max</c:v>
                </c:pt>
              </c:strCache>
            </c:strRef>
          </c:tx>
          <c:spPr>
            <a:ln w="28575">
              <a:prstDash val="dash"/>
            </a:ln>
          </c:spPr>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'241'!$AQ$36:$AQ$58</c:f>
              <c:numCache>
                <c:formatCode>General</c:formatCode>
                <c:ptCount val="23"/>
                <c:pt idx="0">
                  <c:v>396.93199999999996</c:v>
                </c:pt>
                <c:pt idx="1">
                  <c:v>396.93199999999996</c:v>
                </c:pt>
                <c:pt idx="2">
                  <c:v>396.93199999999996</c:v>
                </c:pt>
                <c:pt idx="3">
                  <c:v>396.93199999999996</c:v>
                </c:pt>
                <c:pt idx="4">
                  <c:v>396.93199999999996</c:v>
                </c:pt>
                <c:pt idx="5">
                  <c:v>396.93199999999996</c:v>
                </c:pt>
                <c:pt idx="6">
                  <c:v>396.93199999999996</c:v>
                </c:pt>
                <c:pt idx="7">
                  <c:v>396.93199999999996</c:v>
                </c:pt>
                <c:pt idx="8">
                  <c:v>396.93199999999996</c:v>
                </c:pt>
                <c:pt idx="9">
                  <c:v>396.93199999999996</c:v>
                </c:pt>
                <c:pt idx="10">
                  <c:v>396.93199999999996</c:v>
                </c:pt>
                <c:pt idx="11">
                  <c:v>396.93199999999996</c:v>
                </c:pt>
                <c:pt idx="12">
                  <c:v>396.93199999999996</c:v>
                </c:pt>
                <c:pt idx="13">
                  <c:v>396.93199999999996</c:v>
                </c:pt>
                <c:pt idx="14">
                  <c:v>396.93199999999996</c:v>
                </c:pt>
                <c:pt idx="15">
                  <c:v>396.93199999999996</c:v>
                </c:pt>
                <c:pt idx="16">
                  <c:v>396.93199999999996</c:v>
                </c:pt>
                <c:pt idx="17">
                  <c:v>396.93199999999996</c:v>
                </c:pt>
                <c:pt idx="18">
                  <c:v>396.93199999999996</c:v>
                </c:pt>
                <c:pt idx="19">
                  <c:v>396.93199999999996</c:v>
                </c:pt>
                <c:pt idx="20">
                  <c:v>396.93199999999996</c:v>
                </c:pt>
                <c:pt idx="21">
                  <c:v>396.93199999999996</c:v>
                </c:pt>
                <c:pt idx="22">
                  <c:v>396.93199999999996</c:v>
                </c:pt>
              </c:numCache>
            </c:numRef>
          </c:val>
          <c:extLst>
            <c:ext xmlns:c16="http://schemas.microsoft.com/office/drawing/2014/chart" uri="{C3380CC4-5D6E-409C-BE32-E72D297353CC}">
              <c16:uniqueId val="{00000001-199D-488D-A889-59326525A278}"/>
            </c:ext>
          </c:extLst>
        </c:ser>
        <c:ser>
          <c:idx val="2"/>
          <c:order val="2"/>
          <c:tx>
            <c:strRef>
              <c:f>'241'!$S$34</c:f>
              <c:strCache>
                <c:ptCount val="1"/>
                <c:pt idx="0">
                  <c:v>Stg.3 Nozzle Fwd#1</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'241'!$S$36:$S$58</c:f>
              <c:numCache>
                <c:formatCode>0.000</c:formatCode>
                <c:ptCount val="23"/>
                <c:pt idx="0">
                  <c:v>396.88055327998507</c:v>
                </c:pt>
                <c:pt idx="1">
                  <c:v>396.88055327998507</c:v>
                </c:pt>
              </c:numCache>
            </c:numRef>
          </c:val>
          <c:extLst>
            <c:ext xmlns:c16="http://schemas.microsoft.com/office/drawing/2014/chart" uri="{C3380CC4-5D6E-409C-BE32-E72D297353CC}">
              <c16:uniqueId val="{00000002-199D-488D-A889-59326525A278}"/>
            </c:ext>
          </c:extLst>
        </c:ser>
        <c:ser>
          <c:idx val="3"/>
          <c:order val="3"/>
          <c:tx>
            <c:strRef>
              <c:f>'241'!$T$34</c:f>
              <c:strCache>
                <c:ptCount val="1"/>
                <c:pt idx="0">
                  <c:v>Stg.3 Nozzle Fwd#23</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'241'!$T$36:$T$58</c:f>
              <c:numCache>
                <c:formatCode>0.000</c:formatCode>
                <c:ptCount val="23"/>
                <c:pt idx="1">
                  <c:v>396.89247003173114</c:v>
                </c:pt>
                <c:pt idx="2">
                  <c:v>396.89247003173114</c:v>
                </c:pt>
              </c:numCache>
            </c:numRef>
          </c:val>
          <c:extLst>
            <c:ext xmlns:c16="http://schemas.microsoft.com/office/drawing/2014/chart" uri="{C3380CC4-5D6E-409C-BE32-E72D297353CC}">
              <c16:uniqueId val="{00000003-199D-488D-A889-59326525A278}"/>
            </c:ext>
          </c:extLst>
        </c:ser>
        <c:ser>
          <c:idx val="4"/>
          <c:order val="4"/>
          <c:tx>
            <c:strRef>
              <c:f>'241'!$U$34</c:f>
              <c:strCache>
                <c:ptCount val="1"/>
                <c:pt idx="0">
                  <c:v>Stg.3 Nozzle Fwd#22</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'241'!$U$36:$U$58</c:f>
              <c:numCache>
                <c:formatCode>General</c:formatCode>
                <c:ptCount val="23"/>
                <c:pt idx="2" formatCode="0.000">
                  <c:v>396.90263096024626</c:v>
                </c:pt>
                <c:pt idx="3" formatCode="0.000">
                  <c:v>396.90263096024626</c:v>
                </c:pt>
              </c:numCache>
            </c:numRef>
          </c:val>
          <c:extLst>
            <c:ext xmlns:c16="http://schemas.microsoft.com/office/drawing/2014/chart" uri="{C3380CC4-5D6E-409C-BE32-E72D297353CC}">
              <c16:uniqueId val="{00000004-199D-488D-A889-59326525A278}"/>
            </c:ext>
          </c:extLst>
        </c:ser>
        <c:ser>
          <c:idx val="5"/>
          <c:order val="5"/>
          <c:tx>
            <c:strRef>
              <c:f>'241'!$V$34</c:f>
              <c:strCache>
                <c:ptCount val="1"/>
                <c:pt idx="0">
                  <c:v>Stg.3 Nozzle Fwd#21</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'241'!$V$36:$V$58</c:f>
              <c:numCache>
                <c:formatCode>General</c:formatCode>
                <c:ptCount val="23"/>
                <c:pt idx="3" formatCode="0.000">
                  <c:v>396.90891449799415</c:v>
                </c:pt>
                <c:pt idx="4" formatCode="0.000">
                  <c:v>396.90891449799415</c:v>
                </c:pt>
              </c:numCache>
            </c:numRef>
          </c:val>
          <c:extLst>
            <c:ext xmlns:c16="http://schemas.microsoft.com/office/drawing/2014/chart" uri="{C3380CC4-5D6E-409C-BE32-E72D297353CC}">
              <c16:uniqueId val="{00000005-199D-488D-A889-59326525A278}"/>
            </c:ext>
          </c:extLst>
        </c:ser>
        <c:ser>
          <c:idx val="6"/>
          <c:order val="6"/>
          <c:tx>
            <c:strRef>
              <c:f>'241'!$W$34</c:f>
              <c:strCache>
                <c:ptCount val="1"/>
                <c:pt idx="0">
                  <c:v>Stg.3 Nozzle Fwd#20</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'241'!$W$36:$W$58</c:f>
              <c:numCache>
                <c:formatCode>General</c:formatCode>
                <c:ptCount val="23"/>
                <c:pt idx="4" formatCode="0.000">
                  <c:v>396.9186023412679</c:v>
                </c:pt>
                <c:pt idx="5" formatCode="0.000">
                  <c:v>396.9186023412679</c:v>
                </c:pt>
              </c:numCache>
            </c:numRef>
          </c:val>
          <c:extLst>
            <c:ext xmlns:c16="http://schemas.microsoft.com/office/drawing/2014/chart" uri="{C3380CC4-5D6E-409C-BE32-E72D297353CC}">
              <c16:uniqueId val="{00000006-199D-488D-A889-59326525A278}"/>
            </c:ext>
          </c:extLst>
        </c:ser>
        <c:ser>
          <c:idx val="7"/>
          <c:order val="7"/>
          <c:tx>
            <c:strRef>
              <c:f>'241'!$X$34</c:f>
              <c:strCache>
                <c:ptCount val="1"/>
                <c:pt idx="0">
                  <c:v>Stg.3 Nozzle Fwd#19</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'241'!$X$36:$X$58</c:f>
              <c:numCache>
                <c:formatCode>General</c:formatCode>
                <c:ptCount val="23"/>
                <c:pt idx="5" formatCode="0.000">
                  <c:v>396.92387608765432</c:v>
                </c:pt>
                <c:pt idx="6" formatCode="0.000">
                  <c:v>396.92387608765432</c:v>
                </c:pt>
              </c:numCache>
            </c:numRef>
          </c:val>
          <c:extLst>
            <c:ext xmlns:c16="http://schemas.microsoft.com/office/drawing/2014/chart" uri="{C3380CC4-5D6E-409C-BE32-E72D297353CC}">
              <c16:uniqueId val="{00000007-199D-488D-A889-59326525A278}"/>
            </c:ext>
          </c:extLst>
        </c:ser>
        <c:ser>
          <c:idx val="8"/>
          <c:order val="8"/>
          <c:tx>
            <c:strRef>
              <c:f>'241'!$Y$34</c:f>
              <c:strCache>
                <c:ptCount val="1"/>
                <c:pt idx="0">
                  <c:v>Stg.3 Nozzle Fwd#18</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'241'!$Y$36:$Y$58</c:f>
              <c:numCache>
                <c:formatCode>General</c:formatCode>
                <c:ptCount val="23"/>
                <c:pt idx="6" formatCode="0.000">
                  <c:v>396.9200832584217</c:v>
                </c:pt>
                <c:pt idx="7" formatCode="0.000">
                  <c:v>396.9200832584217</c:v>
                </c:pt>
              </c:numCache>
            </c:numRef>
          </c:val>
          <c:extLst>
            <c:ext xmlns:c16="http://schemas.microsoft.com/office/drawing/2014/chart" uri="{C3380CC4-5D6E-409C-BE32-E72D297353CC}">
              <c16:uniqueId val="{00000008-199D-488D-A889-59326525A278}"/>
            </c:ext>
          </c:extLst>
        </c:ser>
        <c:ser>
          <c:idx val="9"/>
          <c:order val="9"/>
          <c:tx>
            <c:strRef>
              <c:f>'241'!$Z$34</c:f>
              <c:strCache>
                <c:ptCount val="1"/>
                <c:pt idx="0">
                  <c:v>Stg.3 Nozzle Fwd#17</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'241'!$Z$36:$Z$58</c:f>
              <c:numCache>
                <c:formatCode>General</c:formatCode>
                <c:ptCount val="23"/>
                <c:pt idx="7" formatCode="0.000">
                  <c:v>396.92110365860287</c:v>
                </c:pt>
                <c:pt idx="8" formatCode="0.000">
                  <c:v>396.92110365860287</c:v>
                </c:pt>
              </c:numCache>
            </c:numRef>
          </c:val>
          <c:extLst>
            <c:ext xmlns:c16="http://schemas.microsoft.com/office/drawing/2014/chart" uri="{C3380CC4-5D6E-409C-BE32-E72D297353CC}">
              <c16:uniqueId val="{00000009-199D-488D-A889-59326525A278}"/>
            </c:ext>
          </c:extLst>
        </c:ser>
        <c:ser>
          <c:idx val="10"/>
          <c:order val="10"/>
          <c:tx>
            <c:strRef>
              <c:f>'241'!$AA$34</c:f>
              <c:strCache>
                <c:ptCount val="1"/>
                <c:pt idx="0">
                  <c:v>Stg.3 Nozzle Fwd#16</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'241'!$AA$36:$AA$58</c:f>
              <c:numCache>
                <c:formatCode>General</c:formatCode>
                <c:ptCount val="23"/>
                <c:pt idx="8" formatCode="0.000">
                  <c:v>396.91454296391555</c:v>
                </c:pt>
                <c:pt idx="9" formatCode="0.000">
                  <c:v>396.91454296391555</c:v>
                </c:pt>
              </c:numCache>
            </c:numRef>
          </c:val>
          <c:extLst>
            <c:ext xmlns:c16="http://schemas.microsoft.com/office/drawing/2014/chart" uri="{C3380CC4-5D6E-409C-BE32-E72D297353CC}">
              <c16:uniqueId val="{0000000A-199D-488D-A889-59326525A278}"/>
            </c:ext>
          </c:extLst>
        </c:ser>
        <c:ser>
          <c:idx val="11"/>
          <c:order val="11"/>
          <c:tx>
            <c:strRef>
              <c:f>'241'!$AB$34</c:f>
              <c:strCache>
                <c:ptCount val="1"/>
                <c:pt idx="0">
                  <c:v>Stg.3 Nozzle Fwd#15</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'241'!$AB$36:$AB$58</c:f>
              <c:numCache>
                <c:formatCode>General</c:formatCode>
                <c:ptCount val="23"/>
                <c:pt idx="9" formatCode="0.000">
                  <c:v>396.89735420992815</c:v>
                </c:pt>
                <c:pt idx="10" formatCode="0.000">
                  <c:v>396.89735420992815</c:v>
                </c:pt>
              </c:numCache>
            </c:numRef>
          </c:val>
          <c:extLst>
            <c:ext xmlns:c16="http://schemas.microsoft.com/office/drawing/2014/chart" uri="{C3380CC4-5D6E-409C-BE32-E72D297353CC}">
              <c16:uniqueId val="{0000000B-199D-488D-A889-59326525A278}"/>
            </c:ext>
          </c:extLst>
        </c:ser>
        <c:ser>
          <c:idx val="12"/>
          <c:order val="12"/>
          <c:tx>
            <c:strRef>
              <c:f>'241'!$AC$34</c:f>
              <c:strCache>
                <c:ptCount val="1"/>
                <c:pt idx="0">
                  <c:v>Stg.3 Nozzle Fwd#14</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'241'!$AC$36:$AC$58</c:f>
              <c:numCache>
                <c:formatCode>General</c:formatCode>
                <c:ptCount val="23"/>
                <c:pt idx="10" formatCode="0.000">
                  <c:v>396.88741625242562</c:v>
                </c:pt>
                <c:pt idx="11" formatCode="0.000">
                  <c:v>396.88741625242562</c:v>
                </c:pt>
              </c:numCache>
            </c:numRef>
          </c:val>
          <c:extLst>
            <c:ext xmlns:c16="http://schemas.microsoft.com/office/drawing/2014/chart" uri="{C3380CC4-5D6E-409C-BE32-E72D297353CC}">
              <c16:uniqueId val="{0000000C-199D-488D-A889-59326525A278}"/>
            </c:ext>
          </c:extLst>
        </c:ser>
        <c:ser>
          <c:idx val="13"/>
          <c:order val="13"/>
          <c:tx>
            <c:strRef>
              <c:f>'241'!$AD$34</c:f>
              <c:strCache>
                <c:ptCount val="1"/>
                <c:pt idx="0">
                  <c:v>Stg.3 Nozzle Fwd#13</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'241'!$AD$36:$AD$58</c:f>
              <c:numCache>
                <c:formatCode>General</c:formatCode>
                <c:ptCount val="23"/>
                <c:pt idx="11" formatCode="0.000">
                  <c:v>396.8804541658501</c:v>
                </c:pt>
                <c:pt idx="12" formatCode="0.000">
                  <c:v>396.8804541658501</c:v>
                </c:pt>
              </c:numCache>
            </c:numRef>
          </c:val>
          <c:extLst>
            <c:ext xmlns:c16="http://schemas.microsoft.com/office/drawing/2014/chart" uri="{C3380CC4-5D6E-409C-BE32-E72D297353CC}">
              <c16:uniqueId val="{0000000D-199D-488D-A889-59326525A278}"/>
            </c:ext>
          </c:extLst>
        </c:ser>
        <c:ser>
          <c:idx val="14"/>
          <c:order val="14"/>
          <c:tx>
            <c:strRef>
              <c:f>'241'!$AE$34</c:f>
              <c:strCache>
                <c:ptCount val="1"/>
                <c:pt idx="0">
                  <c:v>Stg.3 Nozzle Fwd#12</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'241'!$AE$36:$AE$58</c:f>
              <c:numCache>
                <c:formatCode>General</c:formatCode>
                <c:ptCount val="23"/>
                <c:pt idx="12" formatCode="0.000">
                  <c:v>396.87691490636485</c:v>
                </c:pt>
                <c:pt idx="13" formatCode="0.000">
                  <c:v>396.87691490636485</c:v>
                </c:pt>
              </c:numCache>
            </c:numRef>
          </c:val>
          <c:extLst>
            <c:ext xmlns:c16="http://schemas.microsoft.com/office/drawing/2014/chart" uri="{C3380CC4-5D6E-409C-BE32-E72D297353CC}">
              <c16:uniqueId val="{0000000E-199D-488D-A889-59326525A278}"/>
            </c:ext>
          </c:extLst>
        </c:ser>
        <c:ser>
          <c:idx val="15"/>
          <c:order val="15"/>
          <c:tx>
            <c:strRef>
              <c:f>'241'!$AF$34</c:f>
              <c:strCache>
                <c:ptCount val="1"/>
                <c:pt idx="0">
                  <c:v>Stg.3 Nozzle Fwd#11</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'241'!$AF$36:$AF$58</c:f>
              <c:numCache>
                <c:formatCode>General</c:formatCode>
                <c:ptCount val="23"/>
                <c:pt idx="13" formatCode="0.000">
                  <c:v>396.88298157305013</c:v>
                </c:pt>
                <c:pt idx="14" formatCode="0.000">
                  <c:v>396.88298157305013</c:v>
                </c:pt>
              </c:numCache>
            </c:numRef>
          </c:val>
          <c:extLst>
            <c:ext xmlns:c16="http://schemas.microsoft.com/office/drawing/2014/chart" uri="{C3380CC4-5D6E-409C-BE32-E72D297353CC}">
              <c16:uniqueId val="{0000000F-199D-488D-A889-59326525A278}"/>
            </c:ext>
          </c:extLst>
        </c:ser>
        <c:ser>
          <c:idx val="16"/>
          <c:order val="16"/>
          <c:tx>
            <c:strRef>
              <c:f>'241'!$AG$34</c:f>
              <c:strCache>
                <c:ptCount val="1"/>
                <c:pt idx="0">
                  <c:v>Stg.3 Nozzle Fwd#10</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'241'!$AG$36:$AG$58</c:f>
              <c:numCache>
                <c:formatCode>General</c:formatCode>
                <c:ptCount val="23"/>
                <c:pt idx="14" formatCode="0.000">
                  <c:v>396.89223965911151</c:v>
                </c:pt>
                <c:pt idx="15" formatCode="0.000">
                  <c:v>396.89223965911151</c:v>
                </c:pt>
              </c:numCache>
            </c:numRef>
          </c:val>
          <c:extLst>
            <c:ext xmlns:c16="http://schemas.microsoft.com/office/drawing/2014/chart" uri="{C3380CC4-5D6E-409C-BE32-E72D297353CC}">
              <c16:uniqueId val="{00000010-199D-488D-A889-59326525A278}"/>
            </c:ext>
          </c:extLst>
        </c:ser>
        <c:ser>
          <c:idx val="17"/>
          <c:order val="17"/>
          <c:tx>
            <c:strRef>
              <c:f>'241'!$AH$34</c:f>
              <c:strCache>
                <c:ptCount val="1"/>
                <c:pt idx="0">
                  <c:v>Stg.3 Nozzle Fwd#9</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'241'!$AH$36:$AH$58</c:f>
              <c:numCache>
                <c:formatCode>General</c:formatCode>
                <c:ptCount val="23"/>
                <c:pt idx="15" formatCode="0.000">
                  <c:v>396.91091000964536</c:v>
                </c:pt>
                <c:pt idx="16" formatCode="0.000">
                  <c:v>396.91091000964536</c:v>
                </c:pt>
              </c:numCache>
            </c:numRef>
          </c:val>
          <c:extLst>
            <c:ext xmlns:c16="http://schemas.microsoft.com/office/drawing/2014/chart" uri="{C3380CC4-5D6E-409C-BE32-E72D297353CC}">
              <c16:uniqueId val="{00000011-199D-488D-A889-59326525A278}"/>
            </c:ext>
          </c:extLst>
        </c:ser>
        <c:ser>
          <c:idx val="18"/>
          <c:order val="18"/>
          <c:tx>
            <c:strRef>
              <c:f>'241'!$AI$34</c:f>
              <c:strCache>
                <c:ptCount val="1"/>
                <c:pt idx="0">
                  <c:v>Stg.3 Nozzle Fwd#8</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'241'!$AI$36:$AI$58</c:f>
              <c:numCache>
                <c:formatCode>General</c:formatCode>
                <c:ptCount val="23"/>
                <c:pt idx="16" formatCode="0.000">
                  <c:v>396.93856079548857</c:v>
                </c:pt>
                <c:pt idx="17" formatCode="0.000">
                  <c:v>396.93856079548857</c:v>
                </c:pt>
              </c:numCache>
            </c:numRef>
          </c:val>
          <c:extLst>
            <c:ext xmlns:c16="http://schemas.microsoft.com/office/drawing/2014/chart" uri="{C3380CC4-5D6E-409C-BE32-E72D297353CC}">
              <c16:uniqueId val="{00000012-199D-488D-A889-59326525A278}"/>
            </c:ext>
          </c:extLst>
        </c:ser>
        <c:ser>
          <c:idx val="19"/>
          <c:order val="19"/>
          <c:tx>
            <c:strRef>
              <c:f>'241'!$AJ$34</c:f>
              <c:strCache>
                <c:ptCount val="1"/>
                <c:pt idx="0">
                  <c:v>Stg.3 Nozzle Fwd#7</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'241'!$AJ$36:$AJ$58</c:f>
              <c:numCache>
                <c:formatCode>General</c:formatCode>
                <c:ptCount val="23"/>
                <c:pt idx="17" formatCode="0.000">
                  <c:v>396.94719334863117</c:v>
                </c:pt>
                <c:pt idx="18" formatCode="0.000">
                  <c:v>396.94719334863117</c:v>
                </c:pt>
              </c:numCache>
            </c:numRef>
          </c:val>
          <c:extLst>
            <c:ext xmlns:c16="http://schemas.microsoft.com/office/drawing/2014/chart" uri="{C3380CC4-5D6E-409C-BE32-E72D297353CC}">
              <c16:uniqueId val="{00000013-199D-488D-A889-59326525A278}"/>
            </c:ext>
          </c:extLst>
        </c:ser>
        <c:ser>
          <c:idx val="20"/>
          <c:order val="20"/>
          <c:tx>
            <c:strRef>
              <c:f>'241'!$AK$34</c:f>
              <c:strCache>
                <c:ptCount val="1"/>
                <c:pt idx="0">
                  <c:v>Stg.3 Nozzle Fwd#6</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'241'!$AK$36:$AK$58</c:f>
              <c:numCache>
                <c:formatCode>General</c:formatCode>
                <c:ptCount val="23"/>
                <c:pt idx="18" formatCode="0.000">
                  <c:v>396.93758274811557</c:v>
                </c:pt>
                <c:pt idx="19" formatCode="0.000">
                  <c:v>396.93758274811557</c:v>
                </c:pt>
              </c:numCache>
            </c:numRef>
          </c:val>
          <c:extLst>
            <c:ext xmlns:c16="http://schemas.microsoft.com/office/drawing/2014/chart" uri="{C3380CC4-5D6E-409C-BE32-E72D297353CC}">
              <c16:uniqueId val="{00000014-199D-488D-A889-59326525A278}"/>
            </c:ext>
          </c:extLst>
        </c:ser>
        <c:ser>
          <c:idx val="21"/>
          <c:order val="21"/>
          <c:tx>
            <c:strRef>
              <c:f>'241'!$AL$34</c:f>
              <c:strCache>
                <c:ptCount val="1"/>
                <c:pt idx="0">
                  <c:v>Stg.3 Nozzle Fwd#5</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'241'!$AL$36:$AL$58</c:f>
              <c:numCache>
                <c:formatCode>General</c:formatCode>
                <c:ptCount val="23"/>
                <c:pt idx="19" formatCode="0.000">
                  <c:v>396.92359840682491</c:v>
                </c:pt>
                <c:pt idx="20" formatCode="0.000">
                  <c:v>396.92359840682491</c:v>
                </c:pt>
              </c:numCache>
            </c:numRef>
          </c:val>
          <c:extLst>
            <c:ext xmlns:c16="http://schemas.microsoft.com/office/drawing/2014/chart" uri="{C3380CC4-5D6E-409C-BE32-E72D297353CC}">
              <c16:uniqueId val="{00000015-199D-488D-A889-59326525A278}"/>
            </c:ext>
          </c:extLst>
        </c:ser>
        <c:ser>
          <c:idx val="22"/>
          <c:order val="22"/>
          <c:tx>
            <c:strRef>
              <c:f>'241'!$AM$34</c:f>
              <c:strCache>
                <c:ptCount val="1"/>
                <c:pt idx="0">
                  <c:v>Stg.3 Nozzle Fwd#4</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'241'!$AM$36:$AM$58</c:f>
              <c:numCache>
                <c:formatCode>General</c:formatCode>
                <c:ptCount val="23"/>
                <c:pt idx="20" formatCode="0.000">
                  <c:v>396.8997463372707</c:v>
                </c:pt>
                <c:pt idx="21" formatCode="0.000">
                  <c:v>396.8997463372707</c:v>
                </c:pt>
              </c:numCache>
            </c:numRef>
          </c:val>
          <c:extLst>
            <c:ext xmlns:c16="http://schemas.microsoft.com/office/drawing/2014/chart" uri="{C3380CC4-5D6E-409C-BE32-E72D297353CC}">
              <c16:uniqueId val="{00000016-199D-488D-A889-59326525A278}"/>
            </c:ext>
          </c:extLst>
        </c:ser>
        <c:ser>
          <c:idx val="23"/>
          <c:order val="23"/>
          <c:tx>
            <c:strRef>
              <c:f>'241'!$AN$34</c:f>
              <c:strCache>
                <c:ptCount val="1"/>
                <c:pt idx="0">
                  <c:v>Stg.3 Nozzle Fwd#3</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'241'!$AN$36:$AN$58</c:f>
              <c:numCache>
                <c:formatCode>General</c:formatCode>
                <c:ptCount val="23"/>
                <c:pt idx="21" formatCode="0.000">
                  <c:v>396.87964371561827</c:v>
                </c:pt>
                <c:pt idx="22" formatCode="0.000">
                  <c:v>396.87964371561827</c:v>
                </c:pt>
              </c:numCache>
            </c:numRef>
          </c:val>
          <c:extLst>
            <c:ext xmlns:c16="http://schemas.microsoft.com/office/drawing/2014/chart" uri="{C3380CC4-5D6E-409C-BE32-E72D297353CC}">
              <c16:uniqueId val="{00000017-199D-488D-A889-59326525A278}"/>
            </c:ext>
          </c:extLst>
        </c:ser>
        <c:ser>
          <c:idx val="24"/>
          <c:order val="24"/>
          <c:tx>
            <c:strRef>
              <c:f>'241'!$AO$34</c:f>
              <c:strCache>
                <c:ptCount val="1"/>
                <c:pt idx="0">
                  <c:v>Stg.3 Nozzle Fwd#2</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'241'!$AO$36:$AO$58</c:f>
              <c:numCache>
                <c:formatCode>General</c:formatCode>
                <c:ptCount val="23"/>
                <c:pt idx="0" formatCode="0.000">
                  <c:v>396.8748714281229</c:v>
                </c:pt>
                <c:pt idx="22" formatCode="0.000">
                  <c:v>396.8748714281229</c:v>
                </c:pt>
              </c:numCache>
            </c:numRef>
          </c:val>
          <c:extLst>
            <c:ext xmlns:c16="http://schemas.microsoft.com/office/drawing/2014/chart" uri="{C3380CC4-5D6E-409C-BE32-E72D297353CC}">
              <c16:uniqueId val="{00000018-199D-488D-A889-59326525A278}"/>
            </c:ext>
          </c:extLst>
        </c:ser>
        <c:dLbls>
          <c:showLegendKey val="0"/>
          <c:showVal val="0"/>
          <c:showCatName val="0"/>
          <c:showSerName val="0"/>
          <c:showPercent val="0"/>
          <c:showBubbleSize val="0"/>
        </c:dLbls>
        <c:axId val="172456448"/>
        <c:axId val="172127296"/>
      </c:radarChart>
      <c:catAx>
        <c:axId val="17245644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127296"/>
        <c:crosses val="autoZero"/>
        <c:auto val="1"/>
        <c:lblAlgn val="ctr"/>
        <c:lblOffset val="100"/>
        <c:noMultiLvlLbl val="0"/>
      </c:catAx>
      <c:valAx>
        <c:axId val="17212729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2456448"/>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'242'!$K$9</c:f>
              <c:strCache>
                <c:ptCount val="1"/>
                <c:pt idx="0">
                  <c:v>CMM - Rear</c:v>
                </c:pt>
              </c:strCache>
            </c:strRef>
          </c:tx>
          <c:marker>
            <c:symbol val="none"/>
          </c:marker>
          <c:cat>
            <c:numRef>
              <c:f>'242'!$J$11:$J$26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'242'!$K$11:$K$26</c:f>
              <c:numCache>
                <c:formatCode>General</c:formatCode>
                <c:ptCount val="16"/>
                <c:pt idx="0">
                  <c:v>405.48900000123308</c:v>
                </c:pt>
                <c:pt idx="1">
                  <c:v>405.51700001109697</c:v>
                </c:pt>
                <c:pt idx="2">
                  <c:v>405.52699999999999</c:v>
                </c:pt>
                <c:pt idx="3">
                  <c:v>405.53000004438633</c:v>
                </c:pt>
                <c:pt idx="4">
                  <c:v>405.52700000123298</c:v>
                </c:pt>
                <c:pt idx="5">
                  <c:v>405.52700000493184</c:v>
                </c:pt>
                <c:pt idx="6">
                  <c:v>405.51000000123304</c:v>
                </c:pt>
                <c:pt idx="7">
                  <c:v>405.50100000493217</c:v>
                </c:pt>
                <c:pt idx="8">
                  <c:v>405.47800000123311</c:v>
                </c:pt>
                <c:pt idx="9">
                  <c:v>405.4860000308272</c:v>
                </c:pt>
                <c:pt idx="10">
                  <c:v>405.5110000049321</c:v>
                </c:pt>
                <c:pt idx="11">
                  <c:v>405.55700000000002</c:v>
                </c:pt>
                <c:pt idx="12">
                  <c:v>405.55800000123287</c:v>
                </c:pt>
                <c:pt idx="13">
                  <c:v>405.52800001109665</c:v>
                </c:pt>
                <c:pt idx="14">
                  <c:v>405.47900000493246</c:v>
                </c:pt>
                <c:pt idx="15">
                  <c:v>405.47300001109818</c:v>
                </c:pt>
              </c:numCache>
            </c:numRef>
          </c:val>
          <c:extLst>
            <c:ext xmlns:c16="http://schemas.microsoft.com/office/drawing/2014/chart" uri="{C3380CC4-5D6E-409C-BE32-E72D297353CC}">
              <c16:uniqueId val="{00000000-DAD0-4684-B6C3-E6AE55A6800F}"/>
            </c:ext>
          </c:extLst>
        </c:ser>
        <c:ser>
          <c:idx val="1"/>
          <c:order val="1"/>
          <c:tx>
            <c:strRef>
              <c:f>'242'!$L$9</c:f>
              <c:strCache>
                <c:ptCount val="1"/>
                <c:pt idx="0">
                  <c:v>Dwg Min</c:v>
                </c:pt>
              </c:strCache>
            </c:strRef>
          </c:tx>
          <c:spPr>
            <a:ln>
              <a:prstDash val="dash"/>
            </a:ln>
          </c:spPr>
          <c:marker>
            <c:symbol val="none"/>
          </c:marker>
          <c:val>
            <c:numRef>
              <c:f>'242'!$L$11:$L$26</c:f>
              <c:numCache>
                <c:formatCode>General</c:formatCode>
                <c:ptCount val="16"/>
                <c:pt idx="0">
                  <c:v>405.41</c:v>
                </c:pt>
                <c:pt idx="1">
                  <c:v>405.41</c:v>
                </c:pt>
                <c:pt idx="2">
                  <c:v>405.41</c:v>
                </c:pt>
                <c:pt idx="3">
                  <c:v>405.41</c:v>
                </c:pt>
                <c:pt idx="4">
                  <c:v>405.41</c:v>
                </c:pt>
                <c:pt idx="5">
                  <c:v>405.41</c:v>
                </c:pt>
                <c:pt idx="6">
                  <c:v>405.41</c:v>
                </c:pt>
                <c:pt idx="7">
                  <c:v>405.41</c:v>
                </c:pt>
                <c:pt idx="8">
                  <c:v>405.41</c:v>
                </c:pt>
                <c:pt idx="9">
                  <c:v>405.41</c:v>
                </c:pt>
                <c:pt idx="10">
                  <c:v>405.41</c:v>
                </c:pt>
                <c:pt idx="11">
                  <c:v>405.41</c:v>
                </c:pt>
                <c:pt idx="12">
                  <c:v>405.41</c:v>
                </c:pt>
                <c:pt idx="13">
                  <c:v>405.41</c:v>
                </c:pt>
                <c:pt idx="14">
                  <c:v>405.41</c:v>
                </c:pt>
                <c:pt idx="15">
                  <c:v>405.41</c:v>
                </c:pt>
              </c:numCache>
            </c:numRef>
          </c:val>
          <c:extLst>
            <c:ext xmlns:c16="http://schemas.microsoft.com/office/drawing/2014/chart" uri="{C3380CC4-5D6E-409C-BE32-E72D297353CC}">
              <c16:uniqueId val="{00000001-DAD0-4684-B6C3-E6AE55A6800F}"/>
            </c:ext>
          </c:extLst>
        </c:ser>
        <c:ser>
          <c:idx val="2"/>
          <c:order val="2"/>
          <c:tx>
            <c:strRef>
              <c:f>'242'!$M$9</c:f>
              <c:strCache>
                <c:ptCount val="1"/>
                <c:pt idx="0">
                  <c:v>Dwg Max</c:v>
                </c:pt>
              </c:strCache>
            </c:strRef>
          </c:tx>
          <c:spPr>
            <a:ln>
              <a:prstDash val="dash"/>
            </a:ln>
          </c:spPr>
          <c:marker>
            <c:symbol val="none"/>
          </c:marker>
          <c:val>
            <c:numRef>
              <c:f>'242'!$M$11:$M$26</c:f>
              <c:numCache>
                <c:formatCode>General</c:formatCode>
                <c:ptCount val="16"/>
                <c:pt idx="0">
                  <c:v>405.59</c:v>
                </c:pt>
                <c:pt idx="1">
                  <c:v>405.59</c:v>
                </c:pt>
                <c:pt idx="2">
                  <c:v>405.59</c:v>
                </c:pt>
                <c:pt idx="3">
                  <c:v>405.59</c:v>
                </c:pt>
                <c:pt idx="4">
                  <c:v>405.59</c:v>
                </c:pt>
                <c:pt idx="5">
                  <c:v>405.59</c:v>
                </c:pt>
                <c:pt idx="6">
                  <c:v>405.59</c:v>
                </c:pt>
                <c:pt idx="7">
                  <c:v>405.59</c:v>
                </c:pt>
                <c:pt idx="8">
                  <c:v>405.59</c:v>
                </c:pt>
                <c:pt idx="9">
                  <c:v>405.59</c:v>
                </c:pt>
                <c:pt idx="10">
                  <c:v>405.59</c:v>
                </c:pt>
                <c:pt idx="11">
                  <c:v>405.59</c:v>
                </c:pt>
                <c:pt idx="12">
                  <c:v>405.59</c:v>
                </c:pt>
                <c:pt idx="13">
                  <c:v>405.59</c:v>
                </c:pt>
                <c:pt idx="14">
                  <c:v>405.59</c:v>
                </c:pt>
                <c:pt idx="15">
                  <c:v>405.59</c:v>
                </c:pt>
              </c:numCache>
            </c:numRef>
          </c:val>
          <c:extLst>
            <c:ext xmlns:c16="http://schemas.microsoft.com/office/drawing/2014/chart" uri="{C3380CC4-5D6E-409C-BE32-E72D297353CC}">
              <c16:uniqueId val="{00000002-DAD0-4684-B6C3-E6AE55A6800F}"/>
            </c:ext>
          </c:extLst>
        </c:ser>
        <c:dLbls>
          <c:showLegendKey val="0"/>
          <c:showVal val="0"/>
          <c:showCatName val="0"/>
          <c:showSerName val="0"/>
          <c:showPercent val="0"/>
          <c:showBubbleSize val="0"/>
        </c:dLbls>
        <c:axId val="172453888"/>
        <c:axId val="172127872"/>
      </c:radarChart>
      <c:catAx>
        <c:axId val="17245388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127872"/>
        <c:crosses val="autoZero"/>
        <c:auto val="1"/>
        <c:lblAlgn val="ctr"/>
        <c:lblOffset val="100"/>
        <c:noMultiLvlLbl val="0"/>
      </c:catAx>
      <c:valAx>
        <c:axId val="17212787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2453888"/>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'242'!$AP$34</c:f>
              <c:strCache>
                <c:ptCount val="1"/>
                <c:pt idx="0">
                  <c:v>LPT Case Hook R Min</c:v>
                </c:pt>
              </c:strCache>
            </c:strRef>
          </c:tx>
          <c:spPr>
            <a:ln w="28575">
              <a:prstDash val="dash"/>
            </a:ln>
          </c:spPr>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'242'!$AP$36:$AP$58</c:f>
              <c:numCache>
                <c:formatCode>General</c:formatCode>
                <c:ptCount val="23"/>
                <c:pt idx="0">
                  <c:v>405.46800000000002</c:v>
                </c:pt>
                <c:pt idx="1">
                  <c:v>405.46800000000002</c:v>
                </c:pt>
                <c:pt idx="2">
                  <c:v>405.46800000000002</c:v>
                </c:pt>
                <c:pt idx="3">
                  <c:v>405.46800000000002</c:v>
                </c:pt>
                <c:pt idx="4">
                  <c:v>405.46800000000002</c:v>
                </c:pt>
                <c:pt idx="5">
                  <c:v>405.46800000000002</c:v>
                </c:pt>
                <c:pt idx="6">
                  <c:v>405.46800000000002</c:v>
                </c:pt>
                <c:pt idx="7">
                  <c:v>405.46800000000002</c:v>
                </c:pt>
                <c:pt idx="8">
                  <c:v>405.46800000000002</c:v>
                </c:pt>
                <c:pt idx="9">
                  <c:v>405.46800000000002</c:v>
                </c:pt>
                <c:pt idx="10">
                  <c:v>405.46800000000002</c:v>
                </c:pt>
                <c:pt idx="11">
                  <c:v>405.46800000000002</c:v>
                </c:pt>
                <c:pt idx="12">
                  <c:v>405.46800000000002</c:v>
                </c:pt>
                <c:pt idx="13">
                  <c:v>405.46800000000002</c:v>
                </c:pt>
                <c:pt idx="14">
                  <c:v>405.46800000000002</c:v>
                </c:pt>
                <c:pt idx="15">
                  <c:v>405.46800000000002</c:v>
                </c:pt>
                <c:pt idx="16">
                  <c:v>405.46800000000002</c:v>
                </c:pt>
                <c:pt idx="17">
                  <c:v>405.46800000000002</c:v>
                </c:pt>
                <c:pt idx="18">
                  <c:v>405.46800000000002</c:v>
                </c:pt>
                <c:pt idx="19">
                  <c:v>405.46800000000002</c:v>
                </c:pt>
                <c:pt idx="20">
                  <c:v>405.46800000000002</c:v>
                </c:pt>
                <c:pt idx="21">
                  <c:v>405.46800000000002</c:v>
                </c:pt>
                <c:pt idx="22">
                  <c:v>405.46800000000002</c:v>
                </c:pt>
              </c:numCache>
            </c:numRef>
          </c:val>
          <c:extLst>
            <c:ext xmlns:c16="http://schemas.microsoft.com/office/drawing/2014/chart" uri="{C3380CC4-5D6E-409C-BE32-E72D297353CC}">
              <c16:uniqueId val="{00000000-BCF2-46A4-8E20-FC055B922BA3}"/>
            </c:ext>
          </c:extLst>
        </c:ser>
        <c:ser>
          <c:idx val="1"/>
          <c:order val="1"/>
          <c:tx>
            <c:strRef>
              <c:f>'242'!$AQ$34</c:f>
              <c:strCache>
                <c:ptCount val="1"/>
                <c:pt idx="0">
                  <c:v>LPT Case Hook R Max</c:v>
                </c:pt>
              </c:strCache>
            </c:strRef>
          </c:tx>
          <c:spPr>
            <a:ln w="28575">
              <a:prstDash val="dash"/>
            </a:ln>
          </c:spPr>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'242'!$AQ$36:$AQ$58</c:f>
              <c:numCache>
                <c:formatCode>General</c:formatCode>
                <c:ptCount val="23"/>
                <c:pt idx="0">
                  <c:v>405.53199999999998</c:v>
                </c:pt>
                <c:pt idx="1">
                  <c:v>405.53199999999998</c:v>
                </c:pt>
                <c:pt idx="2">
                  <c:v>405.53199999999998</c:v>
                </c:pt>
                <c:pt idx="3">
                  <c:v>405.53199999999998</c:v>
                </c:pt>
                <c:pt idx="4">
                  <c:v>405.53199999999998</c:v>
                </c:pt>
                <c:pt idx="5">
                  <c:v>405.53199999999998</c:v>
                </c:pt>
                <c:pt idx="6">
                  <c:v>405.53199999999998</c:v>
                </c:pt>
                <c:pt idx="7">
                  <c:v>405.53199999999998</c:v>
                </c:pt>
                <c:pt idx="8">
                  <c:v>405.53199999999998</c:v>
                </c:pt>
                <c:pt idx="9">
                  <c:v>405.53199999999998</c:v>
                </c:pt>
                <c:pt idx="10">
                  <c:v>405.53199999999998</c:v>
                </c:pt>
                <c:pt idx="11">
                  <c:v>405.53199999999998</c:v>
                </c:pt>
                <c:pt idx="12">
                  <c:v>405.53199999999998</c:v>
                </c:pt>
                <c:pt idx="13">
                  <c:v>405.53199999999998</c:v>
                </c:pt>
                <c:pt idx="14">
                  <c:v>405.53199999999998</c:v>
                </c:pt>
                <c:pt idx="15">
                  <c:v>405.53199999999998</c:v>
                </c:pt>
                <c:pt idx="16">
                  <c:v>405.53199999999998</c:v>
                </c:pt>
                <c:pt idx="17">
                  <c:v>405.53199999999998</c:v>
                </c:pt>
                <c:pt idx="18">
                  <c:v>405.53199999999998</c:v>
                </c:pt>
                <c:pt idx="19">
                  <c:v>405.53199999999998</c:v>
                </c:pt>
                <c:pt idx="20">
                  <c:v>405.53199999999998</c:v>
                </c:pt>
                <c:pt idx="21">
                  <c:v>405.53199999999998</c:v>
                </c:pt>
                <c:pt idx="22">
                  <c:v>405.53199999999998</c:v>
                </c:pt>
              </c:numCache>
            </c:numRef>
          </c:val>
          <c:extLst>
            <c:ext xmlns:c16="http://schemas.microsoft.com/office/drawing/2014/chart" uri="{C3380CC4-5D6E-409C-BE32-E72D297353CC}">
              <c16:uniqueId val="{00000001-BCF2-46A4-8E20-FC055B922BA3}"/>
            </c:ext>
          </c:extLst>
        </c:ser>
        <c:ser>
          <c:idx val="2"/>
          <c:order val="2"/>
          <c:tx>
            <c:strRef>
              <c:f>'242'!$S$34</c:f>
              <c:strCache>
                <c:ptCount val="1"/>
                <c:pt idx="0">
                  <c:v>Stg.3 Shroud Fwd#1</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'242'!$S$36:$S$58</c:f>
              <c:numCache>
                <c:formatCode>0.000</c:formatCode>
                <c:ptCount val="23"/>
                <c:pt idx="0">
                  <c:v>405.47880545679408</c:v>
                </c:pt>
                <c:pt idx="1">
                  <c:v>405.47880545679408</c:v>
                </c:pt>
              </c:numCache>
            </c:numRef>
          </c:val>
          <c:extLst>
            <c:ext xmlns:c16="http://schemas.microsoft.com/office/drawing/2014/chart" uri="{C3380CC4-5D6E-409C-BE32-E72D297353CC}">
              <c16:uniqueId val="{00000002-BCF2-46A4-8E20-FC055B922BA3}"/>
            </c:ext>
          </c:extLst>
        </c:ser>
        <c:ser>
          <c:idx val="3"/>
          <c:order val="3"/>
          <c:tx>
            <c:strRef>
              <c:f>'242'!$T$34</c:f>
              <c:strCache>
                <c:ptCount val="1"/>
                <c:pt idx="0">
                  <c:v>Stg.3 Shroud Fwd#23</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'242'!$T$36:$T$58</c:f>
              <c:numCache>
                <c:formatCode>0.000</c:formatCode>
                <c:ptCount val="23"/>
                <c:pt idx="1">
                  <c:v>405.49237380176567</c:v>
                </c:pt>
                <c:pt idx="2">
                  <c:v>405.49237380176567</c:v>
                </c:pt>
              </c:numCache>
            </c:numRef>
          </c:val>
          <c:extLst>
            <c:ext xmlns:c16="http://schemas.microsoft.com/office/drawing/2014/chart" uri="{C3380CC4-5D6E-409C-BE32-E72D297353CC}">
              <c16:uniqueId val="{00000003-BCF2-46A4-8E20-FC055B922BA3}"/>
            </c:ext>
          </c:extLst>
        </c:ser>
        <c:ser>
          <c:idx val="4"/>
          <c:order val="4"/>
          <c:tx>
            <c:strRef>
              <c:f>'242'!$U$34</c:f>
              <c:strCache>
                <c:ptCount val="1"/>
                <c:pt idx="0">
                  <c:v>Stg.3 Shroud Fwd#22</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'242'!$U$36:$U$58</c:f>
              <c:numCache>
                <c:formatCode>General</c:formatCode>
                <c:ptCount val="23"/>
                <c:pt idx="2" formatCode="0.000">
                  <c:v>405.50919832644377</c:v>
                </c:pt>
                <c:pt idx="3" formatCode="0.000">
                  <c:v>405.50919832644377</c:v>
                </c:pt>
              </c:numCache>
            </c:numRef>
          </c:val>
          <c:extLst>
            <c:ext xmlns:c16="http://schemas.microsoft.com/office/drawing/2014/chart" uri="{C3380CC4-5D6E-409C-BE32-E72D297353CC}">
              <c16:uniqueId val="{00000004-BCF2-46A4-8E20-FC055B922BA3}"/>
            </c:ext>
          </c:extLst>
        </c:ser>
        <c:ser>
          <c:idx val="5"/>
          <c:order val="5"/>
          <c:tx>
            <c:strRef>
              <c:f>'242'!$V$34</c:f>
              <c:strCache>
                <c:ptCount val="1"/>
                <c:pt idx="0">
                  <c:v>Stg.3 Shroud Fwd#21</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'242'!$V$36:$V$58</c:f>
              <c:numCache>
                <c:formatCode>General</c:formatCode>
                <c:ptCount val="23"/>
                <c:pt idx="3" formatCode="0.000">
                  <c:v>405.52149797712008</c:v>
                </c:pt>
                <c:pt idx="4" formatCode="0.000">
                  <c:v>405.52149797712008</c:v>
                </c:pt>
              </c:numCache>
            </c:numRef>
          </c:val>
          <c:extLst>
            <c:ext xmlns:c16="http://schemas.microsoft.com/office/drawing/2014/chart" uri="{C3380CC4-5D6E-409C-BE32-E72D297353CC}">
              <c16:uniqueId val="{00000005-BCF2-46A4-8E20-FC055B922BA3}"/>
            </c:ext>
          </c:extLst>
        </c:ser>
        <c:ser>
          <c:idx val="6"/>
          <c:order val="6"/>
          <c:tx>
            <c:strRef>
              <c:f>'242'!$W$34</c:f>
              <c:strCache>
                <c:ptCount val="1"/>
                <c:pt idx="0">
                  <c:v>Stg.3 Shroud Fwd#20</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'242'!$W$36:$W$58</c:f>
              <c:numCache>
                <c:formatCode>General</c:formatCode>
                <c:ptCount val="23"/>
                <c:pt idx="4" formatCode="0.000">
                  <c:v>405.52672804105578</c:v>
                </c:pt>
                <c:pt idx="5" formatCode="0.000">
                  <c:v>405.52672804105578</c:v>
                </c:pt>
              </c:numCache>
            </c:numRef>
          </c:val>
          <c:extLst>
            <c:ext xmlns:c16="http://schemas.microsoft.com/office/drawing/2014/chart" uri="{C3380CC4-5D6E-409C-BE32-E72D297353CC}">
              <c16:uniqueId val="{00000006-BCF2-46A4-8E20-FC055B922BA3}"/>
            </c:ext>
          </c:extLst>
        </c:ser>
        <c:ser>
          <c:idx val="7"/>
          <c:order val="7"/>
          <c:tx>
            <c:strRef>
              <c:f>'242'!$X$34</c:f>
              <c:strCache>
                <c:ptCount val="1"/>
                <c:pt idx="0">
                  <c:v>Stg.3 Shroud Fwd#19</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'242'!$X$36:$X$58</c:f>
              <c:numCache>
                <c:formatCode>General</c:formatCode>
                <c:ptCount val="23"/>
                <c:pt idx="5" formatCode="0.000">
                  <c:v>405.52895655080323</c:v>
                </c:pt>
                <c:pt idx="6" formatCode="0.000">
                  <c:v>405.52895655080323</c:v>
                </c:pt>
              </c:numCache>
            </c:numRef>
          </c:val>
          <c:extLst>
            <c:ext xmlns:c16="http://schemas.microsoft.com/office/drawing/2014/chart" uri="{C3380CC4-5D6E-409C-BE32-E72D297353CC}">
              <c16:uniqueId val="{00000007-BCF2-46A4-8E20-FC055B922BA3}"/>
            </c:ext>
          </c:extLst>
        </c:ser>
        <c:ser>
          <c:idx val="8"/>
          <c:order val="8"/>
          <c:tx>
            <c:strRef>
              <c:f>'242'!$Y$34</c:f>
              <c:strCache>
                <c:ptCount val="1"/>
                <c:pt idx="0">
                  <c:v>Stg.3 Shroud Fwd#18</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'242'!$Y$36:$Y$58</c:f>
              <c:numCache>
                <c:formatCode>General</c:formatCode>
                <c:ptCount val="23"/>
                <c:pt idx="6" formatCode="0.000">
                  <c:v>405.52838976035406</c:v>
                </c:pt>
                <c:pt idx="7" formatCode="0.000">
                  <c:v>405.52838976035406</c:v>
                </c:pt>
              </c:numCache>
            </c:numRef>
          </c:val>
          <c:extLst>
            <c:ext xmlns:c16="http://schemas.microsoft.com/office/drawing/2014/chart" uri="{C3380CC4-5D6E-409C-BE32-E72D297353CC}">
              <c16:uniqueId val="{00000008-BCF2-46A4-8E20-FC055B922BA3}"/>
            </c:ext>
          </c:extLst>
        </c:ser>
        <c:ser>
          <c:idx val="9"/>
          <c:order val="9"/>
          <c:tx>
            <c:strRef>
              <c:f>'242'!$Z$34</c:f>
              <c:strCache>
                <c:ptCount val="1"/>
                <c:pt idx="0">
                  <c:v>Stg.3 Shroud Fwd#17</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'242'!$Z$36:$Z$58</c:f>
              <c:numCache>
                <c:formatCode>General</c:formatCode>
                <c:ptCount val="23"/>
                <c:pt idx="7" formatCode="0.000">
                  <c:v>405.52717313523124</c:v>
                </c:pt>
                <c:pt idx="8" formatCode="0.000">
                  <c:v>405.52717313523124</c:v>
                </c:pt>
              </c:numCache>
            </c:numRef>
          </c:val>
          <c:extLst>
            <c:ext xmlns:c16="http://schemas.microsoft.com/office/drawing/2014/chart" uri="{C3380CC4-5D6E-409C-BE32-E72D297353CC}">
              <c16:uniqueId val="{00000009-BCF2-46A4-8E20-FC055B922BA3}"/>
            </c:ext>
          </c:extLst>
        </c:ser>
        <c:ser>
          <c:idx val="10"/>
          <c:order val="10"/>
          <c:tx>
            <c:strRef>
              <c:f>'242'!$AA$34</c:f>
              <c:strCache>
                <c:ptCount val="1"/>
                <c:pt idx="0">
                  <c:v>Stg.3 Shroud Fwd#16</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'242'!$AA$36:$AA$58</c:f>
              <c:numCache>
                <c:formatCode>General</c:formatCode>
                <c:ptCount val="23"/>
                <c:pt idx="8" formatCode="0.000">
                  <c:v>405.52465498915251</c:v>
                </c:pt>
                <c:pt idx="9" formatCode="0.000">
                  <c:v>405.52465498915251</c:v>
                </c:pt>
              </c:numCache>
            </c:numRef>
          </c:val>
          <c:extLst>
            <c:ext xmlns:c16="http://schemas.microsoft.com/office/drawing/2014/chart" uri="{C3380CC4-5D6E-409C-BE32-E72D297353CC}">
              <c16:uniqueId val="{0000000A-BCF2-46A4-8E20-FC055B922BA3}"/>
            </c:ext>
          </c:extLst>
        </c:ser>
        <c:ser>
          <c:idx val="11"/>
          <c:order val="11"/>
          <c:tx>
            <c:strRef>
              <c:f>'242'!$AB$34</c:f>
              <c:strCache>
                <c:ptCount val="1"/>
                <c:pt idx="0">
                  <c:v>Stg.3 Shroud Fwd#15</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'242'!$AB$36:$AB$58</c:f>
              <c:numCache>
                <c:formatCode>General</c:formatCode>
                <c:ptCount val="23"/>
                <c:pt idx="9" formatCode="0.000">
                  <c:v>405.51639693016108</c:v>
                </c:pt>
                <c:pt idx="10" formatCode="0.000">
                  <c:v>405.51639693016108</c:v>
                </c:pt>
              </c:numCache>
            </c:numRef>
          </c:val>
          <c:extLst>
            <c:ext xmlns:c16="http://schemas.microsoft.com/office/drawing/2014/chart" uri="{C3380CC4-5D6E-409C-BE32-E72D297353CC}">
              <c16:uniqueId val="{0000000B-BCF2-46A4-8E20-FC055B922BA3}"/>
            </c:ext>
          </c:extLst>
        </c:ser>
        <c:ser>
          <c:idx val="12"/>
          <c:order val="12"/>
          <c:tx>
            <c:strRef>
              <c:f>'242'!$AC$34</c:f>
              <c:strCache>
                <c:ptCount val="1"/>
                <c:pt idx="0">
                  <c:v>Stg.3 Shroud Fwd#14</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'242'!$AC$36:$AC$58</c:f>
              <c:numCache>
                <c:formatCode>General</c:formatCode>
                <c:ptCount val="23"/>
                <c:pt idx="10" formatCode="0.000">
                  <c:v>405.50723959672257</c:v>
                </c:pt>
                <c:pt idx="11" formatCode="0.000">
                  <c:v>405.50723959672257</c:v>
                </c:pt>
              </c:numCache>
            </c:numRef>
          </c:val>
          <c:extLst>
            <c:ext xmlns:c16="http://schemas.microsoft.com/office/drawing/2014/chart" uri="{C3380CC4-5D6E-409C-BE32-E72D297353CC}">
              <c16:uniqueId val="{0000000C-BCF2-46A4-8E20-FC055B922BA3}"/>
            </c:ext>
          </c:extLst>
        </c:ser>
        <c:ser>
          <c:idx val="13"/>
          <c:order val="13"/>
          <c:tx>
            <c:strRef>
              <c:f>'242'!$AD$34</c:f>
              <c:strCache>
                <c:ptCount val="1"/>
                <c:pt idx="0">
                  <c:v>Stg.3 Shroud Fwd#13</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'242'!$AD$36:$AD$58</c:f>
              <c:numCache>
                <c:formatCode>General</c:formatCode>
                <c:ptCount val="23"/>
                <c:pt idx="11" formatCode="0.000">
                  <c:v>405.49832498915282</c:v>
                </c:pt>
                <c:pt idx="12" formatCode="0.000">
                  <c:v>405.49832498915282</c:v>
                </c:pt>
              </c:numCache>
            </c:numRef>
          </c:val>
          <c:extLst>
            <c:ext xmlns:c16="http://schemas.microsoft.com/office/drawing/2014/chart" uri="{C3380CC4-5D6E-409C-BE32-E72D297353CC}">
              <c16:uniqueId val="{0000000D-BCF2-46A4-8E20-FC055B922BA3}"/>
            </c:ext>
          </c:extLst>
        </c:ser>
        <c:ser>
          <c:idx val="14"/>
          <c:order val="14"/>
          <c:tx>
            <c:strRef>
              <c:f>'242'!$AE$34</c:f>
              <c:strCache>
                <c:ptCount val="1"/>
                <c:pt idx="0">
                  <c:v>Stg.3 Shroud Fwd#12</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'242'!$AE$36:$AE$58</c:f>
              <c:numCache>
                <c:formatCode>General</c:formatCode>
                <c:ptCount val="23"/>
                <c:pt idx="12" formatCode="0.000">
                  <c:v>405.48556130762495</c:v>
                </c:pt>
                <c:pt idx="13" formatCode="0.000">
                  <c:v>405.48556130762495</c:v>
                </c:pt>
              </c:numCache>
            </c:numRef>
          </c:val>
          <c:extLst>
            <c:ext xmlns:c16="http://schemas.microsoft.com/office/drawing/2014/chart" uri="{C3380CC4-5D6E-409C-BE32-E72D297353CC}">
              <c16:uniqueId val="{0000000E-BCF2-46A4-8E20-FC055B922BA3}"/>
            </c:ext>
          </c:extLst>
        </c:ser>
        <c:ser>
          <c:idx val="15"/>
          <c:order val="15"/>
          <c:tx>
            <c:strRef>
              <c:f>'242'!$AF$34</c:f>
              <c:strCache>
                <c:ptCount val="1"/>
                <c:pt idx="0">
                  <c:v>Stg.3 Shroud Fwd#11</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'242'!$AF$36:$AF$58</c:f>
              <c:numCache>
                <c:formatCode>General</c:formatCode>
                <c:ptCount val="23"/>
                <c:pt idx="13" formatCode="0.000">
                  <c:v>405.48125056398237</c:v>
                </c:pt>
                <c:pt idx="14" formatCode="0.000">
                  <c:v>405.48125056398237</c:v>
                </c:pt>
              </c:numCache>
            </c:numRef>
          </c:val>
          <c:extLst>
            <c:ext xmlns:c16="http://schemas.microsoft.com/office/drawing/2014/chart" uri="{C3380CC4-5D6E-409C-BE32-E72D297353CC}">
              <c16:uniqueId val="{0000000F-BCF2-46A4-8E20-FC055B922BA3}"/>
            </c:ext>
          </c:extLst>
        </c:ser>
        <c:ser>
          <c:idx val="16"/>
          <c:order val="16"/>
          <c:tx>
            <c:strRef>
              <c:f>'242'!$AG$34</c:f>
              <c:strCache>
                <c:ptCount val="1"/>
                <c:pt idx="0">
                  <c:v>Stg.3 Shroud Fwd#10</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'242'!$AG$36:$AG$58</c:f>
              <c:numCache>
                <c:formatCode>General</c:formatCode>
                <c:ptCount val="23"/>
                <c:pt idx="14" formatCode="0.000">
                  <c:v>405.49063906484378</c:v>
                </c:pt>
                <c:pt idx="15" formatCode="0.000">
                  <c:v>405.49063906484378</c:v>
                </c:pt>
              </c:numCache>
            </c:numRef>
          </c:val>
          <c:extLst>
            <c:ext xmlns:c16="http://schemas.microsoft.com/office/drawing/2014/chart" uri="{C3380CC4-5D6E-409C-BE32-E72D297353CC}">
              <c16:uniqueId val="{00000010-BCF2-46A4-8E20-FC055B922BA3}"/>
            </c:ext>
          </c:extLst>
        </c:ser>
        <c:ser>
          <c:idx val="17"/>
          <c:order val="17"/>
          <c:tx>
            <c:strRef>
              <c:f>'242'!$AH$34</c:f>
              <c:strCache>
                <c:ptCount val="1"/>
                <c:pt idx="0">
                  <c:v>Stg.3 Shroud Fwd#9</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'242'!$AH$36:$AH$58</c:f>
              <c:numCache>
                <c:formatCode>General</c:formatCode>
                <c:ptCount val="23"/>
                <c:pt idx="15" formatCode="0.000">
                  <c:v>405.50746780879865</c:v>
                </c:pt>
                <c:pt idx="16" formatCode="0.000">
                  <c:v>405.50746780879865</c:v>
                </c:pt>
              </c:numCache>
            </c:numRef>
          </c:val>
          <c:extLst>
            <c:ext xmlns:c16="http://schemas.microsoft.com/office/drawing/2014/chart" uri="{C3380CC4-5D6E-409C-BE32-E72D297353CC}">
              <c16:uniqueId val="{00000011-BCF2-46A4-8E20-FC055B922BA3}"/>
            </c:ext>
          </c:extLst>
        </c:ser>
        <c:ser>
          <c:idx val="18"/>
          <c:order val="18"/>
          <c:tx>
            <c:strRef>
              <c:f>'242'!$AI$34</c:f>
              <c:strCache>
                <c:ptCount val="1"/>
                <c:pt idx="0">
                  <c:v>Stg.3 Shroud Fwd#8</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'242'!$AI$36:$AI$58</c:f>
              <c:numCache>
                <c:formatCode>General</c:formatCode>
                <c:ptCount val="23"/>
                <c:pt idx="16" formatCode="0.000">
                  <c:v>405.53369066916588</c:v>
                </c:pt>
                <c:pt idx="17" formatCode="0.000">
                  <c:v>405.53369066916588</c:v>
                </c:pt>
              </c:numCache>
            </c:numRef>
          </c:val>
          <c:extLst>
            <c:ext xmlns:c16="http://schemas.microsoft.com/office/drawing/2014/chart" uri="{C3380CC4-5D6E-409C-BE32-E72D297353CC}">
              <c16:uniqueId val="{00000012-BCF2-46A4-8E20-FC055B922BA3}"/>
            </c:ext>
          </c:extLst>
        </c:ser>
        <c:ser>
          <c:idx val="19"/>
          <c:order val="19"/>
          <c:tx>
            <c:strRef>
              <c:f>'242'!$AJ$34</c:f>
              <c:strCache>
                <c:ptCount val="1"/>
                <c:pt idx="0">
                  <c:v>Stg.3 Shroud Fwd#7</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'242'!$AJ$36:$AJ$58</c:f>
              <c:numCache>
                <c:formatCode>General</c:formatCode>
                <c:ptCount val="23"/>
                <c:pt idx="17" formatCode="0.000">
                  <c:v>405.55361371086769</c:v>
                </c:pt>
                <c:pt idx="18" formatCode="0.000">
                  <c:v>405.55361371086769</c:v>
                </c:pt>
              </c:numCache>
            </c:numRef>
          </c:val>
          <c:extLst>
            <c:ext xmlns:c16="http://schemas.microsoft.com/office/drawing/2014/chart" uri="{C3380CC4-5D6E-409C-BE32-E72D297353CC}">
              <c16:uniqueId val="{00000013-BCF2-46A4-8E20-FC055B922BA3}"/>
            </c:ext>
          </c:extLst>
        </c:ser>
        <c:ser>
          <c:idx val="20"/>
          <c:order val="20"/>
          <c:tx>
            <c:strRef>
              <c:f>'242'!$AK$34</c:f>
              <c:strCache>
                <c:ptCount val="1"/>
                <c:pt idx="0">
                  <c:v>Stg.3 Shroud Fwd#6</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'242'!$AK$36:$AK$58</c:f>
              <c:numCache>
                <c:formatCode>General</c:formatCode>
                <c:ptCount val="23"/>
                <c:pt idx="18" formatCode="0.000">
                  <c:v>405.5542822919486</c:v>
                </c:pt>
                <c:pt idx="19" formatCode="0.000">
                  <c:v>405.5542822919486</c:v>
                </c:pt>
              </c:numCache>
            </c:numRef>
          </c:val>
          <c:extLst>
            <c:ext xmlns:c16="http://schemas.microsoft.com/office/drawing/2014/chart" uri="{C3380CC4-5D6E-409C-BE32-E72D297353CC}">
              <c16:uniqueId val="{00000014-BCF2-46A4-8E20-FC055B922BA3}"/>
            </c:ext>
          </c:extLst>
        </c:ser>
        <c:ser>
          <c:idx val="21"/>
          <c:order val="21"/>
          <c:tx>
            <c:strRef>
              <c:f>'242'!$AL$34</c:f>
              <c:strCache>
                <c:ptCount val="1"/>
                <c:pt idx="0">
                  <c:v>Stg.3 Shroud Fwd#5</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'242'!$AL$36:$AL$58</c:f>
              <c:numCache>
                <c:formatCode>General</c:formatCode>
                <c:ptCount val="23"/>
                <c:pt idx="19" formatCode="0.000">
                  <c:v>405.54059305043438</c:v>
                </c:pt>
                <c:pt idx="20" formatCode="0.000">
                  <c:v>405.54059305043438</c:v>
                </c:pt>
              </c:numCache>
            </c:numRef>
          </c:val>
          <c:extLst>
            <c:ext xmlns:c16="http://schemas.microsoft.com/office/drawing/2014/chart" uri="{C3380CC4-5D6E-409C-BE32-E72D297353CC}">
              <c16:uniqueId val="{00000015-BCF2-46A4-8E20-FC055B922BA3}"/>
            </c:ext>
          </c:extLst>
        </c:ser>
        <c:ser>
          <c:idx val="22"/>
          <c:order val="22"/>
          <c:tx>
            <c:strRef>
              <c:f>'242'!$AM$34</c:f>
              <c:strCache>
                <c:ptCount val="1"/>
                <c:pt idx="0">
                  <c:v>Stg.3 Shroud Fwd#4</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'242'!$AM$36:$AM$58</c:f>
              <c:numCache>
                <c:formatCode>General</c:formatCode>
                <c:ptCount val="23"/>
                <c:pt idx="20" formatCode="0.000">
                  <c:v>405.51379824070352</c:v>
                </c:pt>
                <c:pt idx="21" formatCode="0.000">
                  <c:v>405.51379824070352</c:v>
                </c:pt>
              </c:numCache>
            </c:numRef>
          </c:val>
          <c:extLst>
            <c:ext xmlns:c16="http://schemas.microsoft.com/office/drawing/2014/chart" uri="{C3380CC4-5D6E-409C-BE32-E72D297353CC}">
              <c16:uniqueId val="{00000016-BCF2-46A4-8E20-FC055B922BA3}"/>
            </c:ext>
          </c:extLst>
        </c:ser>
        <c:ser>
          <c:idx val="23"/>
          <c:order val="23"/>
          <c:tx>
            <c:strRef>
              <c:f>'242'!$AN$34</c:f>
              <c:strCache>
                <c:ptCount val="1"/>
                <c:pt idx="0">
                  <c:v>Stg.3 Shroud Fwd#3</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'242'!$AN$36:$AN$58</c:f>
              <c:numCache>
                <c:formatCode>General</c:formatCode>
                <c:ptCount val="23"/>
                <c:pt idx="21" formatCode="0.000">
                  <c:v>405.48726102156951</c:v>
                </c:pt>
                <c:pt idx="22" formatCode="0.000">
                  <c:v>405.48726102156951</c:v>
                </c:pt>
              </c:numCache>
            </c:numRef>
          </c:val>
          <c:extLst>
            <c:ext xmlns:c16="http://schemas.microsoft.com/office/drawing/2014/chart" uri="{C3380CC4-5D6E-409C-BE32-E72D297353CC}">
              <c16:uniqueId val="{00000017-BCF2-46A4-8E20-FC055B922BA3}"/>
            </c:ext>
          </c:extLst>
        </c:ser>
        <c:ser>
          <c:idx val="24"/>
          <c:order val="24"/>
          <c:tx>
            <c:strRef>
              <c:f>'242'!$AO$34</c:f>
              <c:strCache>
                <c:ptCount val="1"/>
                <c:pt idx="0">
                  <c:v>Stg.3 Shroud Fwd#2</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'242'!$AO$36:$AO$58</c:f>
              <c:numCache>
                <c:formatCode>General</c:formatCode>
                <c:ptCount val="23"/>
                <c:pt idx="0" formatCode="0.000">
                  <c:v>405.47516203791133</c:v>
                </c:pt>
                <c:pt idx="22" formatCode="0.000">
                  <c:v>405.47516203791133</c:v>
                </c:pt>
              </c:numCache>
            </c:numRef>
          </c:val>
          <c:extLst>
            <c:ext xmlns:c16="http://schemas.microsoft.com/office/drawing/2014/chart" uri="{C3380CC4-5D6E-409C-BE32-E72D297353CC}">
              <c16:uniqueId val="{00000018-BCF2-46A4-8E20-FC055B922BA3}"/>
            </c:ext>
          </c:extLst>
        </c:ser>
        <c:dLbls>
          <c:showLegendKey val="0"/>
          <c:showVal val="0"/>
          <c:showCatName val="0"/>
          <c:showSerName val="0"/>
          <c:showPercent val="0"/>
          <c:showBubbleSize val="0"/>
        </c:dLbls>
        <c:axId val="173168128"/>
        <c:axId val="172738240"/>
      </c:radarChart>
      <c:catAx>
        <c:axId val="17316812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738240"/>
        <c:crosses val="autoZero"/>
        <c:auto val="1"/>
        <c:lblAlgn val="ctr"/>
        <c:lblOffset val="100"/>
        <c:noMultiLvlLbl val="0"/>
      </c:catAx>
      <c:valAx>
        <c:axId val="17273824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3168128"/>
        <c:crosses val="autoZero"/>
        <c:crossBetween val="between"/>
        <c:majorUnit val="5.000000000000001E-2"/>
      </c:valAx>
    </c:plotArea>
    <c:legend>
      <c:legendPos val="r"/>
      <c:layout>
        <c:manualLayout>
          <c:xMode val="edge"/>
          <c:yMode val="edge"/>
          <c:x val="0.75693150597950609"/>
          <c:y val="0"/>
          <c:w val="0.23186849496117629"/>
          <c:h val="1"/>
        </c:manualLayout>
      </c:layout>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'242'!$V$9</c:f>
              <c:strCache>
                <c:ptCount val="1"/>
                <c:pt idx="0">
                  <c:v>Front</c:v>
                </c:pt>
              </c:strCache>
            </c:strRef>
          </c:tx>
          <c:marker>
            <c:symbol val="none"/>
          </c:marker>
          <c:cat>
            <c:numRef>
              <c:f>'242'!$U$11:$U$26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'242'!$V$11:$V$26</c:f>
              <c:numCache>
                <c:formatCode>General</c:formatCode>
                <c:ptCount val="16"/>
                <c:pt idx="0">
                  <c:v>405.48300000123311</c:v>
                </c:pt>
                <c:pt idx="1">
                  <c:v>405.51000001109713</c:v>
                </c:pt>
                <c:pt idx="2">
                  <c:v>405.51600000000002</c:v>
                </c:pt>
                <c:pt idx="3">
                  <c:v>405.52600000000001</c:v>
                </c:pt>
                <c:pt idx="4">
                  <c:v>405.51600000123301</c:v>
                </c:pt>
                <c:pt idx="5">
                  <c:v>405.51700000123299</c:v>
                </c:pt>
                <c:pt idx="6">
                  <c:v>405.49299999999999</c:v>
                </c:pt>
                <c:pt idx="7">
                  <c:v>405.48300003082744</c:v>
                </c:pt>
                <c:pt idx="8">
                  <c:v>405.47000000493256</c:v>
                </c:pt>
                <c:pt idx="9">
                  <c:v>405.48300003082744</c:v>
                </c:pt>
                <c:pt idx="10">
                  <c:v>405.49800000123304</c:v>
                </c:pt>
                <c:pt idx="11">
                  <c:v>405.54700009986516</c:v>
                </c:pt>
                <c:pt idx="12">
                  <c:v>405.54400000123292</c:v>
                </c:pt>
                <c:pt idx="13">
                  <c:v>405.52200000123298</c:v>
                </c:pt>
                <c:pt idx="14">
                  <c:v>405.47700000493245</c:v>
                </c:pt>
                <c:pt idx="15">
                  <c:v>405.46800000493261</c:v>
                </c:pt>
              </c:numCache>
            </c:numRef>
          </c:val>
          <c:extLst>
            <c:ext xmlns:c16="http://schemas.microsoft.com/office/drawing/2014/chart" uri="{C3380CC4-5D6E-409C-BE32-E72D297353CC}">
              <c16:uniqueId val="{00000000-4268-4A41-96CA-B06A3E3031D9}"/>
            </c:ext>
          </c:extLst>
        </c:ser>
        <c:ser>
          <c:idx val="1"/>
          <c:order val="1"/>
          <c:tx>
            <c:strRef>
              <c:f>'242'!$W$9</c:f>
              <c:strCache>
                <c:ptCount val="1"/>
                <c:pt idx="0">
                  <c:v>Rear</c:v>
                </c:pt>
              </c:strCache>
            </c:strRef>
          </c:tx>
          <c:marker>
            <c:symbol val="none"/>
          </c:marker>
          <c:cat>
            <c:numRef>
              <c:f>'242'!$U$11:$U$26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'242'!$W$11:$W$26</c:f>
              <c:numCache>
                <c:formatCode>General</c:formatCode>
                <c:ptCount val="16"/>
                <c:pt idx="0">
                  <c:v>405.48900000123308</c:v>
                </c:pt>
                <c:pt idx="1">
                  <c:v>405.51700001109697</c:v>
                </c:pt>
                <c:pt idx="2">
                  <c:v>405.52699999999999</c:v>
                </c:pt>
                <c:pt idx="3">
                  <c:v>405.53000004438633</c:v>
                </c:pt>
                <c:pt idx="4">
                  <c:v>405.52700000123298</c:v>
                </c:pt>
                <c:pt idx="5">
                  <c:v>405.52700000493184</c:v>
                </c:pt>
                <c:pt idx="6">
                  <c:v>405.51000000123304</c:v>
                </c:pt>
                <c:pt idx="7">
                  <c:v>405.50100000493217</c:v>
                </c:pt>
                <c:pt idx="8">
                  <c:v>405.47800000123311</c:v>
                </c:pt>
                <c:pt idx="9">
                  <c:v>405.4860000308272</c:v>
                </c:pt>
                <c:pt idx="10">
                  <c:v>405.5110000049321</c:v>
                </c:pt>
                <c:pt idx="11">
                  <c:v>405.55700000000002</c:v>
                </c:pt>
                <c:pt idx="12">
                  <c:v>405.55800000123287</c:v>
                </c:pt>
                <c:pt idx="13">
                  <c:v>405.52800001109665</c:v>
                </c:pt>
                <c:pt idx="14">
                  <c:v>405.47900000493246</c:v>
                </c:pt>
                <c:pt idx="15">
                  <c:v>405.47300001109818</c:v>
                </c:pt>
              </c:numCache>
            </c:numRef>
          </c:val>
          <c:extLst>
            <c:ext xmlns:c16="http://schemas.microsoft.com/office/drawing/2014/chart" uri="{C3380CC4-5D6E-409C-BE32-E72D297353CC}">
              <c16:uniqueId val="{00000001-4268-4A41-96CA-B06A3E3031D9}"/>
            </c:ext>
          </c:extLst>
        </c:ser>
        <c:dLbls>
          <c:showLegendKey val="0"/>
          <c:showVal val="0"/>
          <c:showCatName val="0"/>
          <c:showSerName val="0"/>
          <c:showPercent val="0"/>
          <c:showBubbleSize val="0"/>
        </c:dLbls>
        <c:axId val="173169152"/>
        <c:axId val="172739392"/>
      </c:radarChart>
      <c:valAx>
        <c:axId val="172739392"/>
        <c:scaling>
          <c:orientation val="minMax"/>
          <c:min val="405.34000000000003"/>
        </c:scaling>
        <c:delete val="0"/>
        <c:axPos val="l"/>
        <c:majorGridlines/>
        <c:numFmt formatCode="General" sourceLinked="1"/>
        <c:majorTickMark val="out"/>
        <c:minorTickMark val="none"/>
        <c:tickLblPos val="nextTo"/>
        <c:txPr>
          <a:bodyPr/>
          <a:lstStyle/>
          <a:p>
            <a:pPr>
              <a:defRPr lang="ja-JP"/>
            </a:pPr>
            <a:endParaRPr lang="en-US"/>
          </a:p>
        </c:txPr>
        <c:crossAx val="173169152"/>
        <c:crosses val="max"/>
        <c:crossBetween val="between"/>
      </c:valAx>
      <c:catAx>
        <c:axId val="17316915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739392"/>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'242'!$X$9</c:f>
              <c:strCache>
                <c:ptCount val="1"/>
                <c:pt idx="0">
                  <c:v>Rear-Front</c:v>
                </c:pt>
              </c:strCache>
            </c:strRef>
          </c:tx>
          <c:marker>
            <c:symbol val="none"/>
          </c:marker>
          <c:cat>
            <c:numRef>
              <c:f>'242'!$U$11:$U$26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'242'!$X$11:$X$26</c:f>
              <c:numCache>
                <c:formatCode>General</c:formatCode>
                <c:ptCount val="16"/>
                <c:pt idx="0">
                  <c:v>5.9999999999718057E-3</c:v>
                </c:pt>
                <c:pt idx="1">
                  <c:v>6.999999999834472E-3</c:v>
                </c:pt>
                <c:pt idx="2">
                  <c:v>1.0999999999967258E-2</c:v>
                </c:pt>
                <c:pt idx="3">
                  <c:v>4.0000443863164037E-3</c:v>
                </c:pt>
                <c:pt idx="4">
                  <c:v>1.0999999999967258E-2</c:v>
                </c:pt>
                <c:pt idx="5">
                  <c:v>1.0000003698849014E-2</c:v>
                </c:pt>
                <c:pt idx="6">
                  <c:v>1.7000001233043349E-2</c:v>
                </c:pt>
                <c:pt idx="7">
                  <c:v>1.7999974104725425E-2</c:v>
                </c:pt>
                <c:pt idx="8">
                  <c:v>7.9999963005548125E-3</c:v>
                </c:pt>
                <c:pt idx="9">
                  <c:v>2.9999999997585292E-3</c:v>
                </c:pt>
                <c:pt idx="10">
                  <c:v>1.300000369906229E-2</c:v>
                </c:pt>
                <c:pt idx="11">
                  <c:v>9.9999001348578531E-3</c:v>
                </c:pt>
                <c:pt idx="12">
                  <c:v>1.3999999999953161E-2</c:v>
                </c:pt>
                <c:pt idx="13">
                  <c:v>6.0000098636692201E-3</c:v>
                </c:pt>
                <c:pt idx="14">
                  <c:v>2.0000000000095497E-3</c:v>
                </c:pt>
                <c:pt idx="15">
                  <c:v>5.0000061655737227E-3</c:v>
                </c:pt>
              </c:numCache>
            </c:numRef>
          </c:val>
          <c:extLst>
            <c:ext xmlns:c16="http://schemas.microsoft.com/office/drawing/2014/chart" uri="{C3380CC4-5D6E-409C-BE32-E72D297353CC}">
              <c16:uniqueId val="{00000000-712B-479A-8C03-9CBFB2A61A4C}"/>
            </c:ext>
          </c:extLst>
        </c:ser>
        <c:dLbls>
          <c:showLegendKey val="0"/>
          <c:showVal val="0"/>
          <c:showCatName val="0"/>
          <c:showSerName val="0"/>
          <c:showPercent val="0"/>
          <c:showBubbleSize val="0"/>
        </c:dLbls>
        <c:axId val="173169664"/>
        <c:axId val="172108608"/>
      </c:radarChart>
      <c:valAx>
        <c:axId val="172108608"/>
        <c:scaling>
          <c:orientation val="minMax"/>
          <c:max val="2.0000000000000004E-2"/>
          <c:min val="-2.0000000000000004E-2"/>
        </c:scaling>
        <c:delete val="0"/>
        <c:axPos val="l"/>
        <c:majorGridlines/>
        <c:numFmt formatCode="General" sourceLinked="1"/>
        <c:majorTickMark val="out"/>
        <c:minorTickMark val="none"/>
        <c:tickLblPos val="nextTo"/>
        <c:txPr>
          <a:bodyPr/>
          <a:lstStyle/>
          <a:p>
            <a:pPr>
              <a:defRPr lang="ja-JP"/>
            </a:pPr>
            <a:endParaRPr lang="en-US"/>
          </a:p>
        </c:txPr>
        <c:crossAx val="173169664"/>
        <c:crosses val="max"/>
        <c:crossBetween val="between"/>
      </c:valAx>
      <c:catAx>
        <c:axId val="17316966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108608"/>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'243'!$K$9</c:f>
              <c:strCache>
                <c:ptCount val="1"/>
                <c:pt idx="0">
                  <c:v>CMM</c:v>
                </c:pt>
              </c:strCache>
            </c:strRef>
          </c:tx>
          <c:marker>
            <c:symbol val="none"/>
          </c:marker>
          <c:cat>
            <c:numRef>
              <c:f>'243'!$J$11:$J$26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'243'!$K$11:$K$26</c:f>
              <c:numCache>
                <c:formatCode>General</c:formatCode>
                <c:ptCount val="16"/>
                <c:pt idx="0">
                  <c:v>407.48</c:v>
                </c:pt>
                <c:pt idx="1">
                  <c:v>407.50700001963156</c:v>
                </c:pt>
                <c:pt idx="2">
                  <c:v>407.51499999999999</c:v>
                </c:pt>
                <c:pt idx="3">
                  <c:v>407.52400003067299</c:v>
                </c:pt>
                <c:pt idx="4">
                  <c:v>407.51799999999997</c:v>
                </c:pt>
                <c:pt idx="5">
                  <c:v>407.51900000122697</c:v>
                </c:pt>
                <c:pt idx="6">
                  <c:v>407.49800000490802</c:v>
                </c:pt>
                <c:pt idx="7">
                  <c:v>407.48300031412356</c:v>
                </c:pt>
                <c:pt idx="8">
                  <c:v>407.47</c:v>
                </c:pt>
                <c:pt idx="9">
                  <c:v>407.47900001104352</c:v>
                </c:pt>
                <c:pt idx="10">
                  <c:v>407.501000001227</c:v>
                </c:pt>
                <c:pt idx="11">
                  <c:v>407.55200003067091</c:v>
                </c:pt>
                <c:pt idx="12">
                  <c:v>407.54599999999999</c:v>
                </c:pt>
                <c:pt idx="13">
                  <c:v>407.52000000122689</c:v>
                </c:pt>
                <c:pt idx="14">
                  <c:v>407.47100000122708</c:v>
                </c:pt>
                <c:pt idx="15">
                  <c:v>407.46300006012814</c:v>
                </c:pt>
              </c:numCache>
            </c:numRef>
          </c:val>
          <c:extLst>
            <c:ext xmlns:c16="http://schemas.microsoft.com/office/drawing/2014/chart" uri="{C3380CC4-5D6E-409C-BE32-E72D297353CC}">
              <c16:uniqueId val="{00000000-8408-45AA-8BF8-3FD18789E1C3}"/>
            </c:ext>
          </c:extLst>
        </c:ser>
        <c:ser>
          <c:idx val="1"/>
          <c:order val="1"/>
          <c:tx>
            <c:strRef>
              <c:f>'243'!$L$9</c:f>
              <c:strCache>
                <c:ptCount val="1"/>
                <c:pt idx="0">
                  <c:v>Dwg Min</c:v>
                </c:pt>
              </c:strCache>
            </c:strRef>
          </c:tx>
          <c:spPr>
            <a:ln>
              <a:prstDash val="dash"/>
            </a:ln>
          </c:spPr>
          <c:marker>
            <c:symbol val="none"/>
          </c:marker>
          <c:val>
            <c:numRef>
              <c:f>'243'!$L$11:$L$26</c:f>
              <c:numCache>
                <c:formatCode>General</c:formatCode>
                <c:ptCount val="16"/>
                <c:pt idx="0">
                  <c:v>407.41500000000002</c:v>
                </c:pt>
                <c:pt idx="1">
                  <c:v>407.41500000000002</c:v>
                </c:pt>
                <c:pt idx="2">
                  <c:v>407.41500000000002</c:v>
                </c:pt>
                <c:pt idx="3">
                  <c:v>407.41500000000002</c:v>
                </c:pt>
                <c:pt idx="4">
                  <c:v>407.41500000000002</c:v>
                </c:pt>
                <c:pt idx="5">
                  <c:v>407.41500000000002</c:v>
                </c:pt>
                <c:pt idx="6">
                  <c:v>407.41500000000002</c:v>
                </c:pt>
                <c:pt idx="7">
                  <c:v>407.41500000000002</c:v>
                </c:pt>
                <c:pt idx="8">
                  <c:v>407.41500000000002</c:v>
                </c:pt>
                <c:pt idx="9">
                  <c:v>407.41500000000002</c:v>
                </c:pt>
                <c:pt idx="10">
                  <c:v>407.41500000000002</c:v>
                </c:pt>
                <c:pt idx="11">
                  <c:v>407.41500000000002</c:v>
                </c:pt>
                <c:pt idx="12">
                  <c:v>407.41500000000002</c:v>
                </c:pt>
                <c:pt idx="13">
                  <c:v>407.41500000000002</c:v>
                </c:pt>
                <c:pt idx="14">
                  <c:v>407.41500000000002</c:v>
                </c:pt>
                <c:pt idx="15">
                  <c:v>407.41500000000002</c:v>
                </c:pt>
              </c:numCache>
            </c:numRef>
          </c:val>
          <c:extLst>
            <c:ext xmlns:c16="http://schemas.microsoft.com/office/drawing/2014/chart" uri="{C3380CC4-5D6E-409C-BE32-E72D297353CC}">
              <c16:uniqueId val="{00000001-8408-45AA-8BF8-3FD18789E1C3}"/>
            </c:ext>
          </c:extLst>
        </c:ser>
        <c:ser>
          <c:idx val="2"/>
          <c:order val="2"/>
          <c:tx>
            <c:strRef>
              <c:f>'243'!$M$9</c:f>
              <c:strCache>
                <c:ptCount val="1"/>
                <c:pt idx="0">
                  <c:v>Dwg Max</c:v>
                </c:pt>
              </c:strCache>
            </c:strRef>
          </c:tx>
          <c:spPr>
            <a:ln>
              <a:prstDash val="dash"/>
            </a:ln>
          </c:spPr>
          <c:marker>
            <c:symbol val="none"/>
          </c:marker>
          <c:val>
            <c:numRef>
              <c:f>'243'!$M$11:$M$26</c:f>
              <c:numCache>
                <c:formatCode>General</c:formatCode>
                <c:ptCount val="16"/>
                <c:pt idx="0">
                  <c:v>407.58499999999998</c:v>
                </c:pt>
                <c:pt idx="1">
                  <c:v>407.58499999999998</c:v>
                </c:pt>
                <c:pt idx="2">
                  <c:v>407.58499999999998</c:v>
                </c:pt>
                <c:pt idx="3">
                  <c:v>407.58499999999998</c:v>
                </c:pt>
                <c:pt idx="4">
                  <c:v>407.58499999999998</c:v>
                </c:pt>
                <c:pt idx="5">
                  <c:v>407.58499999999998</c:v>
                </c:pt>
                <c:pt idx="6">
                  <c:v>407.58499999999998</c:v>
                </c:pt>
                <c:pt idx="7">
                  <c:v>407.58499999999998</c:v>
                </c:pt>
                <c:pt idx="8">
                  <c:v>407.58499999999998</c:v>
                </c:pt>
                <c:pt idx="9">
                  <c:v>407.58499999999998</c:v>
                </c:pt>
                <c:pt idx="10">
                  <c:v>407.58499999999998</c:v>
                </c:pt>
                <c:pt idx="11">
                  <c:v>407.58499999999998</c:v>
                </c:pt>
                <c:pt idx="12">
                  <c:v>407.58499999999998</c:v>
                </c:pt>
                <c:pt idx="13">
                  <c:v>407.58499999999998</c:v>
                </c:pt>
                <c:pt idx="14">
                  <c:v>407.58499999999998</c:v>
                </c:pt>
                <c:pt idx="15">
                  <c:v>407.58499999999998</c:v>
                </c:pt>
              </c:numCache>
            </c:numRef>
          </c:val>
          <c:extLst>
            <c:ext xmlns:c16="http://schemas.microsoft.com/office/drawing/2014/chart" uri="{C3380CC4-5D6E-409C-BE32-E72D297353CC}">
              <c16:uniqueId val="{00000002-8408-45AA-8BF8-3FD18789E1C3}"/>
            </c:ext>
          </c:extLst>
        </c:ser>
        <c:dLbls>
          <c:showLegendKey val="0"/>
          <c:showVal val="0"/>
          <c:showCatName val="0"/>
          <c:showSerName val="0"/>
          <c:showPercent val="0"/>
          <c:showBubbleSize val="0"/>
        </c:dLbls>
        <c:axId val="171359744"/>
        <c:axId val="172110336"/>
      </c:radarChart>
      <c:catAx>
        <c:axId val="17135974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110336"/>
        <c:crosses val="autoZero"/>
        <c:auto val="1"/>
        <c:lblAlgn val="ctr"/>
        <c:lblOffset val="100"/>
        <c:noMultiLvlLbl val="0"/>
      </c:catAx>
      <c:valAx>
        <c:axId val="17211033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359744"/>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'243'!$AP$34</c:f>
              <c:strCache>
                <c:ptCount val="1"/>
                <c:pt idx="0">
                  <c:v>LPT Case Hook R Min</c:v>
                </c:pt>
              </c:strCache>
            </c:strRef>
          </c:tx>
          <c:spPr>
            <a:ln w="28575">
              <a:prstDash val="dash"/>
            </a:ln>
          </c:spPr>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'243'!$AP$36:$AP$58</c:f>
              <c:numCache>
                <c:formatCode>General</c:formatCode>
                <c:ptCount val="23"/>
                <c:pt idx="0">
                  <c:v>407.46800000000002</c:v>
                </c:pt>
                <c:pt idx="1">
                  <c:v>407.46800000000002</c:v>
                </c:pt>
                <c:pt idx="2">
                  <c:v>407.46800000000002</c:v>
                </c:pt>
                <c:pt idx="3">
                  <c:v>407.46800000000002</c:v>
                </c:pt>
                <c:pt idx="4">
                  <c:v>407.46800000000002</c:v>
                </c:pt>
                <c:pt idx="5">
                  <c:v>407.46800000000002</c:v>
                </c:pt>
                <c:pt idx="6">
                  <c:v>407.46800000000002</c:v>
                </c:pt>
                <c:pt idx="7">
                  <c:v>407.46800000000002</c:v>
                </c:pt>
                <c:pt idx="8">
                  <c:v>407.46800000000002</c:v>
                </c:pt>
                <c:pt idx="9">
                  <c:v>407.46800000000002</c:v>
                </c:pt>
                <c:pt idx="10">
                  <c:v>407.46800000000002</c:v>
                </c:pt>
                <c:pt idx="11">
                  <c:v>407.46800000000002</c:v>
                </c:pt>
                <c:pt idx="12">
                  <c:v>407.46800000000002</c:v>
                </c:pt>
                <c:pt idx="13">
                  <c:v>407.46800000000002</c:v>
                </c:pt>
                <c:pt idx="14">
                  <c:v>407.46800000000002</c:v>
                </c:pt>
                <c:pt idx="15">
                  <c:v>407.46800000000002</c:v>
                </c:pt>
                <c:pt idx="16">
                  <c:v>407.46800000000002</c:v>
                </c:pt>
                <c:pt idx="17">
                  <c:v>407.46800000000002</c:v>
                </c:pt>
                <c:pt idx="18">
                  <c:v>407.46800000000002</c:v>
                </c:pt>
                <c:pt idx="19">
                  <c:v>407.46800000000002</c:v>
                </c:pt>
                <c:pt idx="20">
                  <c:v>407.46800000000002</c:v>
                </c:pt>
                <c:pt idx="21">
                  <c:v>407.46800000000002</c:v>
                </c:pt>
                <c:pt idx="22">
                  <c:v>407.46800000000002</c:v>
                </c:pt>
              </c:numCache>
            </c:numRef>
          </c:val>
          <c:extLst>
            <c:ext xmlns:c16="http://schemas.microsoft.com/office/drawing/2014/chart" uri="{C3380CC4-5D6E-409C-BE32-E72D297353CC}">
              <c16:uniqueId val="{00000000-4DFE-4FBD-ADF6-5ED44C63B121}"/>
            </c:ext>
          </c:extLst>
        </c:ser>
        <c:ser>
          <c:idx val="1"/>
          <c:order val="1"/>
          <c:tx>
            <c:strRef>
              <c:f>'243'!$AQ$34</c:f>
              <c:strCache>
                <c:ptCount val="1"/>
                <c:pt idx="0">
                  <c:v>LPT Case Hook R Max</c:v>
                </c:pt>
              </c:strCache>
            </c:strRef>
          </c:tx>
          <c:spPr>
            <a:ln w="28575">
              <a:prstDash val="dash"/>
            </a:ln>
          </c:spPr>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'243'!$AQ$36:$AQ$58</c:f>
              <c:numCache>
                <c:formatCode>General</c:formatCode>
                <c:ptCount val="23"/>
                <c:pt idx="0">
                  <c:v>407.53199999999998</c:v>
                </c:pt>
                <c:pt idx="1">
                  <c:v>407.53199999999998</c:v>
                </c:pt>
                <c:pt idx="2">
                  <c:v>407.53199999999998</c:v>
                </c:pt>
                <c:pt idx="3">
                  <c:v>407.53199999999998</c:v>
                </c:pt>
                <c:pt idx="4">
                  <c:v>407.53199999999998</c:v>
                </c:pt>
                <c:pt idx="5">
                  <c:v>407.53199999999998</c:v>
                </c:pt>
                <c:pt idx="6">
                  <c:v>407.53199999999998</c:v>
                </c:pt>
                <c:pt idx="7">
                  <c:v>407.53199999999998</c:v>
                </c:pt>
                <c:pt idx="8">
                  <c:v>407.53199999999998</c:v>
                </c:pt>
                <c:pt idx="9">
                  <c:v>407.53199999999998</c:v>
                </c:pt>
                <c:pt idx="10">
                  <c:v>407.53199999999998</c:v>
                </c:pt>
                <c:pt idx="11">
                  <c:v>407.53199999999998</c:v>
                </c:pt>
                <c:pt idx="12">
                  <c:v>407.53199999999998</c:v>
                </c:pt>
                <c:pt idx="13">
                  <c:v>407.53199999999998</c:v>
                </c:pt>
                <c:pt idx="14">
                  <c:v>407.53199999999998</c:v>
                </c:pt>
                <c:pt idx="15">
                  <c:v>407.53199999999998</c:v>
                </c:pt>
                <c:pt idx="16">
                  <c:v>407.53199999999998</c:v>
                </c:pt>
                <c:pt idx="17">
                  <c:v>407.53199999999998</c:v>
                </c:pt>
                <c:pt idx="18">
                  <c:v>407.53199999999998</c:v>
                </c:pt>
                <c:pt idx="19">
                  <c:v>407.53199999999998</c:v>
                </c:pt>
                <c:pt idx="20">
                  <c:v>407.53199999999998</c:v>
                </c:pt>
                <c:pt idx="21">
                  <c:v>407.53199999999998</c:v>
                </c:pt>
                <c:pt idx="22">
                  <c:v>407.53199999999998</c:v>
                </c:pt>
              </c:numCache>
            </c:numRef>
          </c:val>
          <c:extLst>
            <c:ext xmlns:c16="http://schemas.microsoft.com/office/drawing/2014/chart" uri="{C3380CC4-5D6E-409C-BE32-E72D297353CC}">
              <c16:uniqueId val="{00000001-4DFE-4FBD-ADF6-5ED44C63B121}"/>
            </c:ext>
          </c:extLst>
        </c:ser>
        <c:ser>
          <c:idx val="2"/>
          <c:order val="2"/>
          <c:tx>
            <c:strRef>
              <c:f>'243'!$S$34</c:f>
              <c:strCache>
                <c:ptCount val="1"/>
                <c:pt idx="0">
                  <c:v>Stg.3 Nozzle Aft#1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'243'!$S$36:$S$58</c:f>
              <c:numCache>
                <c:formatCode>0.000</c:formatCode>
                <c:ptCount val="23"/>
                <c:pt idx="0">
                  <c:v>407.4750843098513</c:v>
                </c:pt>
                <c:pt idx="1">
                  <c:v>407.4750843098513</c:v>
                </c:pt>
              </c:numCache>
            </c:numRef>
          </c:val>
          <c:extLst>
            <c:ext xmlns:c16="http://schemas.microsoft.com/office/drawing/2014/chart" uri="{C3380CC4-5D6E-409C-BE32-E72D297353CC}">
              <c16:uniqueId val="{00000002-4DFE-4FBD-ADF6-5ED44C63B121}"/>
            </c:ext>
          </c:extLst>
        </c:ser>
        <c:ser>
          <c:idx val="3"/>
          <c:order val="3"/>
          <c:tx>
            <c:strRef>
              <c:f>'243'!$T$34</c:f>
              <c:strCache>
                <c:ptCount val="1"/>
                <c:pt idx="0">
                  <c:v>Stg.3 Nozzle Aft#23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'243'!$T$36:$T$58</c:f>
              <c:numCache>
                <c:formatCode>0.000</c:formatCode>
                <c:ptCount val="23"/>
                <c:pt idx="1">
                  <c:v>407.49061531206621</c:v>
                </c:pt>
                <c:pt idx="2">
                  <c:v>407.49061531206621</c:v>
                </c:pt>
              </c:numCache>
            </c:numRef>
          </c:val>
          <c:extLst>
            <c:ext xmlns:c16="http://schemas.microsoft.com/office/drawing/2014/chart" uri="{C3380CC4-5D6E-409C-BE32-E72D297353CC}">
              <c16:uniqueId val="{00000003-4DFE-4FBD-ADF6-5ED44C63B121}"/>
            </c:ext>
          </c:extLst>
        </c:ser>
        <c:ser>
          <c:idx val="4"/>
          <c:order val="4"/>
          <c:tx>
            <c:strRef>
              <c:f>'243'!$U$34</c:f>
              <c:strCache>
                <c:ptCount val="1"/>
                <c:pt idx="0">
                  <c:v>Stg.3 Nozzle Aft#22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'243'!$U$36:$U$58</c:f>
              <c:numCache>
                <c:formatCode>General</c:formatCode>
                <c:ptCount val="23"/>
                <c:pt idx="2" formatCode="0.000">
                  <c:v>407.50524986787565</c:v>
                </c:pt>
                <c:pt idx="3" formatCode="0.000">
                  <c:v>407.50524986787565</c:v>
                </c:pt>
              </c:numCache>
            </c:numRef>
          </c:val>
          <c:extLst>
            <c:ext xmlns:c16="http://schemas.microsoft.com/office/drawing/2014/chart" uri="{C3380CC4-5D6E-409C-BE32-E72D297353CC}">
              <c16:uniqueId val="{00000004-4DFE-4FBD-ADF6-5ED44C63B121}"/>
            </c:ext>
          </c:extLst>
        </c:ser>
        <c:ser>
          <c:idx val="5"/>
          <c:order val="5"/>
          <c:tx>
            <c:strRef>
              <c:f>'243'!$V$34</c:f>
              <c:strCache>
                <c:ptCount val="1"/>
                <c:pt idx="0">
                  <c:v>Stg.3 Nozzle Aft#21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'243'!$V$36:$V$58</c:f>
              <c:numCache>
                <c:formatCode>General</c:formatCode>
                <c:ptCount val="23"/>
                <c:pt idx="3" formatCode="0.000">
                  <c:v>407.51334186263114</c:v>
                </c:pt>
                <c:pt idx="4" formatCode="0.000">
                  <c:v>407.51334186263114</c:v>
                </c:pt>
              </c:numCache>
            </c:numRef>
          </c:val>
          <c:extLst>
            <c:ext xmlns:c16="http://schemas.microsoft.com/office/drawing/2014/chart" uri="{C3380CC4-5D6E-409C-BE32-E72D297353CC}">
              <c16:uniqueId val="{00000005-4DFE-4FBD-ADF6-5ED44C63B121}"/>
            </c:ext>
          </c:extLst>
        </c:ser>
        <c:ser>
          <c:idx val="6"/>
          <c:order val="6"/>
          <c:tx>
            <c:strRef>
              <c:f>'243'!$W$34</c:f>
              <c:strCache>
                <c:ptCount val="1"/>
                <c:pt idx="0">
                  <c:v>Stg.3 Nozzle Aft#20</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'243'!$W$36:$W$58</c:f>
              <c:numCache>
                <c:formatCode>General</c:formatCode>
                <c:ptCount val="23"/>
                <c:pt idx="4" formatCode="0.000">
                  <c:v>407.51932105820481</c:v>
                </c:pt>
                <c:pt idx="5" formatCode="0.000">
                  <c:v>407.51932105820481</c:v>
                </c:pt>
              </c:numCache>
            </c:numRef>
          </c:val>
          <c:extLst>
            <c:ext xmlns:c16="http://schemas.microsoft.com/office/drawing/2014/chart" uri="{C3380CC4-5D6E-409C-BE32-E72D297353CC}">
              <c16:uniqueId val="{00000006-4DFE-4FBD-ADF6-5ED44C63B121}"/>
            </c:ext>
          </c:extLst>
        </c:ser>
        <c:ser>
          <c:idx val="7"/>
          <c:order val="7"/>
          <c:tx>
            <c:strRef>
              <c:f>'243'!$X$34</c:f>
              <c:strCache>
                <c:ptCount val="1"/>
                <c:pt idx="0">
                  <c:v>Stg.3 Nozzle Aft#19</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'243'!$X$36:$X$58</c:f>
              <c:numCache>
                <c:formatCode>General</c:formatCode>
                <c:ptCount val="23"/>
                <c:pt idx="5" formatCode="0.000">
                  <c:v>407.52165497652584</c:v>
                </c:pt>
                <c:pt idx="6" formatCode="0.000">
                  <c:v>407.52165497652584</c:v>
                </c:pt>
              </c:numCache>
            </c:numRef>
          </c:val>
          <c:extLst>
            <c:ext xmlns:c16="http://schemas.microsoft.com/office/drawing/2014/chart" uri="{C3380CC4-5D6E-409C-BE32-E72D297353CC}">
              <c16:uniqueId val="{00000007-4DFE-4FBD-ADF6-5ED44C63B121}"/>
            </c:ext>
          </c:extLst>
        </c:ser>
        <c:ser>
          <c:idx val="8"/>
          <c:order val="8"/>
          <c:tx>
            <c:strRef>
              <c:f>'243'!$Y$34</c:f>
              <c:strCache>
                <c:ptCount val="1"/>
                <c:pt idx="0">
                  <c:v>Stg.3 Nozzle Aft#18</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'243'!$Y$36:$Y$58</c:f>
              <c:numCache>
                <c:formatCode>General</c:formatCode>
                <c:ptCount val="23"/>
                <c:pt idx="6" formatCode="0.000">
                  <c:v>407.5195388480206</c:v>
                </c:pt>
                <c:pt idx="7" formatCode="0.000">
                  <c:v>407.5195388480206</c:v>
                </c:pt>
              </c:numCache>
            </c:numRef>
          </c:val>
          <c:extLst>
            <c:ext xmlns:c16="http://schemas.microsoft.com/office/drawing/2014/chart" uri="{C3380CC4-5D6E-409C-BE32-E72D297353CC}">
              <c16:uniqueId val="{00000008-4DFE-4FBD-ADF6-5ED44C63B121}"/>
            </c:ext>
          </c:extLst>
        </c:ser>
        <c:ser>
          <c:idx val="9"/>
          <c:order val="9"/>
          <c:tx>
            <c:strRef>
              <c:f>'243'!$Z$34</c:f>
              <c:strCache>
                <c:ptCount val="1"/>
                <c:pt idx="0">
                  <c:v>Stg.3 Nozzle Aft#17</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'243'!$Z$36:$Z$58</c:f>
              <c:numCache>
                <c:formatCode>General</c:formatCode>
                <c:ptCount val="23"/>
                <c:pt idx="7" formatCode="0.000">
                  <c:v>407.51856707315955</c:v>
                </c:pt>
                <c:pt idx="8" formatCode="0.000">
                  <c:v>407.51856707315955</c:v>
                </c:pt>
              </c:numCache>
            </c:numRef>
          </c:val>
          <c:extLst>
            <c:ext xmlns:c16="http://schemas.microsoft.com/office/drawing/2014/chart" uri="{C3380CC4-5D6E-409C-BE32-E72D297353CC}">
              <c16:uniqueId val="{00000009-4DFE-4FBD-ADF6-5ED44C63B121}"/>
            </c:ext>
          </c:extLst>
        </c:ser>
        <c:ser>
          <c:idx val="10"/>
          <c:order val="10"/>
          <c:tx>
            <c:strRef>
              <c:f>'243'!$AA$34</c:f>
              <c:strCache>
                <c:ptCount val="1"/>
                <c:pt idx="0">
                  <c:v>Stg.3 Nozzle Aft#16</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'243'!$AA$36:$AA$58</c:f>
              <c:numCache>
                <c:formatCode>General</c:formatCode>
                <c:ptCount val="23"/>
                <c:pt idx="8" formatCode="0.000">
                  <c:v>407.51254666896517</c:v>
                </c:pt>
                <c:pt idx="9" formatCode="0.000">
                  <c:v>407.51254666896517</c:v>
                </c:pt>
              </c:numCache>
            </c:numRef>
          </c:val>
          <c:extLst>
            <c:ext xmlns:c16="http://schemas.microsoft.com/office/drawing/2014/chart" uri="{C3380CC4-5D6E-409C-BE32-E72D297353CC}">
              <c16:uniqueId val="{0000000A-4DFE-4FBD-ADF6-5ED44C63B121}"/>
            </c:ext>
          </c:extLst>
        </c:ser>
        <c:ser>
          <c:idx val="11"/>
          <c:order val="11"/>
          <c:tx>
            <c:strRef>
              <c:f>'243'!$AB$34</c:f>
              <c:strCache>
                <c:ptCount val="1"/>
                <c:pt idx="0">
                  <c:v>Stg.3 Nozzle Aft#15</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'243'!$AB$36:$AB$58</c:f>
              <c:numCache>
                <c:formatCode>General</c:formatCode>
                <c:ptCount val="23"/>
                <c:pt idx="9" formatCode="0.000">
                  <c:v>407.49979274718476</c:v>
                </c:pt>
                <c:pt idx="10" formatCode="0.000">
                  <c:v>407.49979274718476</c:v>
                </c:pt>
              </c:numCache>
            </c:numRef>
          </c:val>
          <c:extLst>
            <c:ext xmlns:c16="http://schemas.microsoft.com/office/drawing/2014/chart" uri="{C3380CC4-5D6E-409C-BE32-E72D297353CC}">
              <c16:uniqueId val="{0000000B-4DFE-4FBD-ADF6-5ED44C63B121}"/>
            </c:ext>
          </c:extLst>
        </c:ser>
        <c:ser>
          <c:idx val="12"/>
          <c:order val="12"/>
          <c:tx>
            <c:strRef>
              <c:f>'243'!$AC$34</c:f>
              <c:strCache>
                <c:ptCount val="1"/>
                <c:pt idx="0">
                  <c:v>Stg.3 Nozzle Aft#14</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'243'!$AC$36:$AC$58</c:f>
              <c:numCache>
                <c:formatCode>General</c:formatCode>
                <c:ptCount val="23"/>
                <c:pt idx="10" formatCode="0.000">
                  <c:v>407.48819162685561</c:v>
                </c:pt>
                <c:pt idx="11" formatCode="0.000">
                  <c:v>407.48819162685561</c:v>
                </c:pt>
              </c:numCache>
            </c:numRef>
          </c:val>
          <c:extLst>
            <c:ext xmlns:c16="http://schemas.microsoft.com/office/drawing/2014/chart" uri="{C3380CC4-5D6E-409C-BE32-E72D297353CC}">
              <c16:uniqueId val="{0000000C-4DFE-4FBD-ADF6-5ED44C63B121}"/>
            </c:ext>
          </c:extLst>
        </c:ser>
        <c:ser>
          <c:idx val="13"/>
          <c:order val="13"/>
          <c:tx>
            <c:strRef>
              <c:f>'243'!$AD$34</c:f>
              <c:strCache>
                <c:ptCount val="1"/>
                <c:pt idx="0">
                  <c:v>Stg.3 Nozzle Aft#13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'243'!$AD$36:$AD$58</c:f>
              <c:numCache>
                <c:formatCode>General</c:formatCode>
                <c:ptCount val="23"/>
                <c:pt idx="11" formatCode="0.000">
                  <c:v>407.47845434920805</c:v>
                </c:pt>
                <c:pt idx="12" formatCode="0.000">
                  <c:v>407.47845434920805</c:v>
                </c:pt>
              </c:numCache>
            </c:numRef>
          </c:val>
          <c:extLst>
            <c:ext xmlns:c16="http://schemas.microsoft.com/office/drawing/2014/chart" uri="{C3380CC4-5D6E-409C-BE32-E72D297353CC}">
              <c16:uniqueId val="{0000000D-4DFE-4FBD-ADF6-5ED44C63B121}"/>
            </c:ext>
          </c:extLst>
        </c:ser>
        <c:ser>
          <c:idx val="14"/>
          <c:order val="14"/>
          <c:tx>
            <c:strRef>
              <c:f>'243'!$AE$34</c:f>
              <c:strCache>
                <c:ptCount val="1"/>
                <c:pt idx="0">
                  <c:v>Stg.3 Nozzle Aft#12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'243'!$AE$36:$AE$58</c:f>
              <c:numCache>
                <c:formatCode>General</c:formatCode>
                <c:ptCount val="23"/>
                <c:pt idx="12" formatCode="0.000">
                  <c:v>407.47373546997085</c:v>
                </c:pt>
                <c:pt idx="13" formatCode="0.000">
                  <c:v>407.47373546997085</c:v>
                </c:pt>
              </c:numCache>
            </c:numRef>
          </c:val>
          <c:extLst>
            <c:ext xmlns:c16="http://schemas.microsoft.com/office/drawing/2014/chart" uri="{C3380CC4-5D6E-409C-BE32-E72D297353CC}">
              <c16:uniqueId val="{0000000E-4DFE-4FBD-ADF6-5ED44C63B121}"/>
            </c:ext>
          </c:extLst>
        </c:ser>
        <c:ser>
          <c:idx val="15"/>
          <c:order val="15"/>
          <c:tx>
            <c:strRef>
              <c:f>'243'!$AF$34</c:f>
              <c:strCache>
                <c:ptCount val="1"/>
                <c:pt idx="0">
                  <c:v>Stg.3 Nozzle Aft#11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'243'!$AF$36:$AF$58</c:f>
              <c:numCache>
                <c:formatCode>General</c:formatCode>
                <c:ptCount val="23"/>
                <c:pt idx="13" formatCode="0.000">
                  <c:v>407.47724615218431</c:v>
                </c:pt>
                <c:pt idx="14" formatCode="0.000">
                  <c:v>407.47724615218431</c:v>
                </c:pt>
              </c:numCache>
            </c:numRef>
          </c:val>
          <c:extLst>
            <c:ext xmlns:c16="http://schemas.microsoft.com/office/drawing/2014/chart" uri="{C3380CC4-5D6E-409C-BE32-E72D297353CC}">
              <c16:uniqueId val="{0000000F-4DFE-4FBD-ADF6-5ED44C63B121}"/>
            </c:ext>
          </c:extLst>
        </c:ser>
        <c:ser>
          <c:idx val="16"/>
          <c:order val="16"/>
          <c:tx>
            <c:strRef>
              <c:f>'243'!$AG$34</c:f>
              <c:strCache>
                <c:ptCount val="1"/>
                <c:pt idx="0">
                  <c:v>Stg.3 Nozzle Aft#10</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'243'!$AG$36:$AG$58</c:f>
              <c:numCache>
                <c:formatCode>General</c:formatCode>
                <c:ptCount val="23"/>
                <c:pt idx="14" formatCode="0.000">
                  <c:v>407.48860603574275</c:v>
                </c:pt>
                <c:pt idx="15" formatCode="0.000">
                  <c:v>407.48860603574275</c:v>
                </c:pt>
              </c:numCache>
            </c:numRef>
          </c:val>
          <c:extLst>
            <c:ext xmlns:c16="http://schemas.microsoft.com/office/drawing/2014/chart" uri="{C3380CC4-5D6E-409C-BE32-E72D297353CC}">
              <c16:uniqueId val="{00000010-4DFE-4FBD-ADF6-5ED44C63B121}"/>
            </c:ext>
          </c:extLst>
        </c:ser>
        <c:ser>
          <c:idx val="17"/>
          <c:order val="17"/>
          <c:tx>
            <c:strRef>
              <c:f>'243'!$AH$34</c:f>
              <c:strCache>
                <c:ptCount val="1"/>
                <c:pt idx="0">
                  <c:v>Stg.3 Nozzle Aft#9</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'243'!$AH$36:$AH$58</c:f>
              <c:numCache>
                <c:formatCode>General</c:formatCode>
                <c:ptCount val="23"/>
                <c:pt idx="15" formatCode="0.000">
                  <c:v>407.51087206732416</c:v>
                </c:pt>
                <c:pt idx="16" formatCode="0.000">
                  <c:v>407.51087206732416</c:v>
                </c:pt>
              </c:numCache>
            </c:numRef>
          </c:val>
          <c:extLst>
            <c:ext xmlns:c16="http://schemas.microsoft.com/office/drawing/2014/chart" uri="{C3380CC4-5D6E-409C-BE32-E72D297353CC}">
              <c16:uniqueId val="{00000011-4DFE-4FBD-ADF6-5ED44C63B121}"/>
            </c:ext>
          </c:extLst>
        </c:ser>
        <c:ser>
          <c:idx val="18"/>
          <c:order val="18"/>
          <c:tx>
            <c:strRef>
              <c:f>'243'!$AI$34</c:f>
              <c:strCache>
                <c:ptCount val="1"/>
                <c:pt idx="0">
                  <c:v>Stg.3 Nozzle Aft#8</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'243'!$AI$36:$AI$58</c:f>
              <c:numCache>
                <c:formatCode>General</c:formatCode>
                <c:ptCount val="23"/>
                <c:pt idx="16" formatCode="0.000">
                  <c:v>407.53821567249565</c:v>
                </c:pt>
                <c:pt idx="17" formatCode="0.000">
                  <c:v>407.53821567249565</c:v>
                </c:pt>
              </c:numCache>
            </c:numRef>
          </c:val>
          <c:extLst>
            <c:ext xmlns:c16="http://schemas.microsoft.com/office/drawing/2014/chart" uri="{C3380CC4-5D6E-409C-BE32-E72D297353CC}">
              <c16:uniqueId val="{00000012-4DFE-4FBD-ADF6-5ED44C63B121}"/>
            </c:ext>
          </c:extLst>
        </c:ser>
        <c:ser>
          <c:idx val="19"/>
          <c:order val="19"/>
          <c:tx>
            <c:strRef>
              <c:f>'243'!$AJ$34</c:f>
              <c:strCache>
                <c:ptCount val="1"/>
                <c:pt idx="0">
                  <c:v>Stg.3 Nozzle Aft#7</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'243'!$AJ$36:$AJ$58</c:f>
              <c:numCache>
                <c:formatCode>General</c:formatCode>
                <c:ptCount val="23"/>
                <c:pt idx="17" formatCode="0.000">
                  <c:v>407.5488584493944</c:v>
                </c:pt>
                <c:pt idx="18" formatCode="0.000">
                  <c:v>407.5488584493944</c:v>
                </c:pt>
              </c:numCache>
            </c:numRef>
          </c:val>
          <c:extLst>
            <c:ext xmlns:c16="http://schemas.microsoft.com/office/drawing/2014/chart" uri="{C3380CC4-5D6E-409C-BE32-E72D297353CC}">
              <c16:uniqueId val="{00000013-4DFE-4FBD-ADF6-5ED44C63B121}"/>
            </c:ext>
          </c:extLst>
        </c:ser>
        <c:ser>
          <c:idx val="20"/>
          <c:order val="20"/>
          <c:tx>
            <c:strRef>
              <c:f>'243'!$AK$34</c:f>
              <c:strCache>
                <c:ptCount val="1"/>
                <c:pt idx="0">
                  <c:v>Stg.3 Nozzle Aft#6</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'243'!$AK$36:$AK$58</c:f>
              <c:numCache>
                <c:formatCode>General</c:formatCode>
                <c:ptCount val="23"/>
                <c:pt idx="18" formatCode="0.000">
                  <c:v>407.53901379942113</c:v>
                </c:pt>
                <c:pt idx="19" formatCode="0.000">
                  <c:v>407.53901379942113</c:v>
                </c:pt>
              </c:numCache>
            </c:numRef>
          </c:val>
          <c:extLst>
            <c:ext xmlns:c16="http://schemas.microsoft.com/office/drawing/2014/chart" uri="{C3380CC4-5D6E-409C-BE32-E72D297353CC}">
              <c16:uniqueId val="{00000014-4DFE-4FBD-ADF6-5ED44C63B121}"/>
            </c:ext>
          </c:extLst>
        </c:ser>
        <c:ser>
          <c:idx val="21"/>
          <c:order val="21"/>
          <c:tx>
            <c:strRef>
              <c:f>'243'!$AL$34</c:f>
              <c:strCache>
                <c:ptCount val="1"/>
                <c:pt idx="0">
                  <c:v>Stg.3 Nozzle Aft#5</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'243'!$AL$36:$AL$58</c:f>
              <c:numCache>
                <c:formatCode>General</c:formatCode>
                <c:ptCount val="23"/>
                <c:pt idx="19" formatCode="0.000">
                  <c:v>407.51919130530916</c:v>
                </c:pt>
                <c:pt idx="20" formatCode="0.000">
                  <c:v>407.51919130530916</c:v>
                </c:pt>
              </c:numCache>
            </c:numRef>
          </c:val>
          <c:extLst>
            <c:ext xmlns:c16="http://schemas.microsoft.com/office/drawing/2014/chart" uri="{C3380CC4-5D6E-409C-BE32-E72D297353CC}">
              <c16:uniqueId val="{00000015-4DFE-4FBD-ADF6-5ED44C63B121}"/>
            </c:ext>
          </c:extLst>
        </c:ser>
        <c:ser>
          <c:idx val="22"/>
          <c:order val="22"/>
          <c:tx>
            <c:strRef>
              <c:f>'243'!$AM$34</c:f>
              <c:strCache>
                <c:ptCount val="1"/>
                <c:pt idx="0">
                  <c:v>Stg.3 Nozzle Aft#4</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'243'!$AM$36:$AM$58</c:f>
              <c:numCache>
                <c:formatCode>General</c:formatCode>
                <c:ptCount val="23"/>
                <c:pt idx="20" formatCode="0.000">
                  <c:v>407.49008301571973</c:v>
                </c:pt>
                <c:pt idx="21" formatCode="0.000">
                  <c:v>407.49008301571973</c:v>
                </c:pt>
              </c:numCache>
            </c:numRef>
          </c:val>
          <c:extLst>
            <c:ext xmlns:c16="http://schemas.microsoft.com/office/drawing/2014/chart" uri="{C3380CC4-5D6E-409C-BE32-E72D297353CC}">
              <c16:uniqueId val="{00000016-4DFE-4FBD-ADF6-5ED44C63B121}"/>
            </c:ext>
          </c:extLst>
        </c:ser>
        <c:ser>
          <c:idx val="23"/>
          <c:order val="23"/>
          <c:tx>
            <c:strRef>
              <c:f>'243'!$AN$34</c:f>
              <c:strCache>
                <c:ptCount val="1"/>
                <c:pt idx="0">
                  <c:v>Stg.3 Nozzle Aft#3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'243'!$AN$36:$AN$58</c:f>
              <c:numCache>
                <c:formatCode>General</c:formatCode>
                <c:ptCount val="23"/>
                <c:pt idx="21" formatCode="0.000">
                  <c:v>407.46940367266245</c:v>
                </c:pt>
                <c:pt idx="22" formatCode="0.000">
                  <c:v>407.46940367266245</c:v>
                </c:pt>
              </c:numCache>
            </c:numRef>
          </c:val>
          <c:extLst>
            <c:ext xmlns:c16="http://schemas.microsoft.com/office/drawing/2014/chart" uri="{C3380CC4-5D6E-409C-BE32-E72D297353CC}">
              <c16:uniqueId val="{00000017-4DFE-4FBD-ADF6-5ED44C63B121}"/>
            </c:ext>
          </c:extLst>
        </c:ser>
        <c:ser>
          <c:idx val="24"/>
          <c:order val="24"/>
          <c:tx>
            <c:strRef>
              <c:f>'243'!$AO$34</c:f>
              <c:strCache>
                <c:ptCount val="1"/>
                <c:pt idx="0">
                  <c:v>Stg.3 Nozzle Aft#2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'243'!$AO$36:$AO$58</c:f>
              <c:numCache>
                <c:formatCode>General</c:formatCode>
                <c:ptCount val="23"/>
                <c:pt idx="0" formatCode="0.000">
                  <c:v>407.46735621333931</c:v>
                </c:pt>
                <c:pt idx="22" formatCode="0.000">
                  <c:v>407.46735621333931</c:v>
                </c:pt>
              </c:numCache>
            </c:numRef>
          </c:val>
          <c:extLst>
            <c:ext xmlns:c16="http://schemas.microsoft.com/office/drawing/2014/chart" uri="{C3380CC4-5D6E-409C-BE32-E72D297353CC}">
              <c16:uniqueId val="{00000018-4DFE-4FBD-ADF6-5ED44C63B121}"/>
            </c:ext>
          </c:extLst>
        </c:ser>
        <c:dLbls>
          <c:showLegendKey val="0"/>
          <c:showVal val="0"/>
          <c:showCatName val="0"/>
          <c:showSerName val="0"/>
          <c:showPercent val="0"/>
          <c:showBubbleSize val="0"/>
        </c:dLbls>
        <c:axId val="172914176"/>
        <c:axId val="173016768"/>
      </c:radarChart>
      <c:catAx>
        <c:axId val="1729141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3016768"/>
        <c:crosses val="autoZero"/>
        <c:auto val="1"/>
        <c:lblAlgn val="ctr"/>
        <c:lblOffset val="100"/>
        <c:noMultiLvlLbl val="0"/>
      </c:catAx>
      <c:valAx>
        <c:axId val="17301676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2914176"/>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'243'!$AP$106</c:f>
              <c:strCache>
                <c:ptCount val="1"/>
                <c:pt idx="0">
                  <c:v>Step Min</c:v>
                </c:pt>
              </c:strCache>
            </c:strRef>
          </c:tx>
          <c:spPr>
            <a:ln w="28575">
              <a:prstDash val="dash"/>
            </a:ln>
          </c:spPr>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'243'!$AP$108:$AP$130</c:f>
              <c:numCache>
                <c:formatCode>General</c:formatCode>
                <c:ptCount val="23"/>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numCache>
            </c:numRef>
          </c:val>
          <c:extLst>
            <c:ext xmlns:c16="http://schemas.microsoft.com/office/drawing/2014/chart" uri="{C3380CC4-5D6E-409C-BE32-E72D297353CC}">
              <c16:uniqueId val="{00000000-597F-4756-AC21-7EB7738391A7}"/>
            </c:ext>
          </c:extLst>
        </c:ser>
        <c:ser>
          <c:idx val="1"/>
          <c:order val="1"/>
          <c:tx>
            <c:strRef>
              <c:f>'243'!$AQ$106</c:f>
              <c:strCache>
                <c:ptCount val="1"/>
                <c:pt idx="0">
                  <c:v>Step Max</c:v>
                </c:pt>
              </c:strCache>
            </c:strRef>
          </c:tx>
          <c:spPr>
            <a:ln w="28575">
              <a:prstDash val="dash"/>
            </a:ln>
          </c:spPr>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'243'!$AQ$108:$AQ$130</c:f>
              <c:numCache>
                <c:formatCode>General</c:formatCode>
                <c:ptCount val="23"/>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numCache>
            </c:numRef>
          </c:val>
          <c:extLst>
            <c:ext xmlns:c16="http://schemas.microsoft.com/office/drawing/2014/chart" uri="{C3380CC4-5D6E-409C-BE32-E72D297353CC}">
              <c16:uniqueId val="{00000001-597F-4756-AC21-7EB7738391A7}"/>
            </c:ext>
          </c:extLst>
        </c:ser>
        <c:ser>
          <c:idx val="2"/>
          <c:order val="2"/>
          <c:tx>
            <c:strRef>
              <c:f>'243'!$S$106</c:f>
              <c:strCache>
                <c:ptCount val="1"/>
                <c:pt idx="0">
                  <c:v>Stg.3 Nozzle Step#1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'243'!$S$108:$S$130</c:f>
              <c:numCache>
                <c:formatCode>0.000</c:formatCode>
                <c:ptCount val="23"/>
                <c:pt idx="0">
                  <c:v>-5.4689701337906627E-3</c:v>
                </c:pt>
                <c:pt idx="1">
                  <c:v>-5.4689701337906627E-3</c:v>
                </c:pt>
              </c:numCache>
            </c:numRef>
          </c:val>
          <c:extLst>
            <c:ext xmlns:c16="http://schemas.microsoft.com/office/drawing/2014/chart" uri="{C3380CC4-5D6E-409C-BE32-E72D297353CC}">
              <c16:uniqueId val="{00000002-597F-4756-AC21-7EB7738391A7}"/>
            </c:ext>
          </c:extLst>
        </c:ser>
        <c:ser>
          <c:idx val="3"/>
          <c:order val="3"/>
          <c:tx>
            <c:strRef>
              <c:f>'243'!$T$106</c:f>
              <c:strCache>
                <c:ptCount val="1"/>
                <c:pt idx="0">
                  <c:v>Stg.3 Nozzle Step#23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'243'!$T$108:$T$130</c:f>
              <c:numCache>
                <c:formatCode>0.000</c:formatCode>
                <c:ptCount val="23"/>
                <c:pt idx="1">
                  <c:v>-1.8547196649478792E-3</c:v>
                </c:pt>
                <c:pt idx="2">
                  <c:v>-1.8547196649478792E-3</c:v>
                </c:pt>
              </c:numCache>
            </c:numRef>
          </c:val>
          <c:extLst>
            <c:ext xmlns:c16="http://schemas.microsoft.com/office/drawing/2014/chart" uri="{C3380CC4-5D6E-409C-BE32-E72D297353CC}">
              <c16:uniqueId val="{00000003-597F-4756-AC21-7EB7738391A7}"/>
            </c:ext>
          </c:extLst>
        </c:ser>
        <c:ser>
          <c:idx val="4"/>
          <c:order val="4"/>
          <c:tx>
            <c:strRef>
              <c:f>'243'!$U$106</c:f>
              <c:strCache>
                <c:ptCount val="1"/>
                <c:pt idx="0">
                  <c:v>Stg.3 Nozzle Step#22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'243'!$U$108:$U$130</c:f>
              <c:numCache>
                <c:formatCode>0.000</c:formatCode>
                <c:ptCount val="23"/>
                <c:pt idx="2">
                  <c:v>2.618907629369005E-3</c:v>
                </c:pt>
                <c:pt idx="3">
                  <c:v>2.618907629369005E-3</c:v>
                </c:pt>
              </c:numCache>
            </c:numRef>
          </c:val>
          <c:extLst>
            <c:ext xmlns:c16="http://schemas.microsoft.com/office/drawing/2014/chart" uri="{C3380CC4-5D6E-409C-BE32-E72D297353CC}">
              <c16:uniqueId val="{00000004-597F-4756-AC21-7EB7738391A7}"/>
            </c:ext>
          </c:extLst>
        </c:ser>
        <c:ser>
          <c:idx val="5"/>
          <c:order val="5"/>
          <c:tx>
            <c:strRef>
              <c:f>'243'!$V$106</c:f>
              <c:strCache>
                <c:ptCount val="1"/>
                <c:pt idx="0">
                  <c:v>Stg.3 Nozzle Step#21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'243'!$V$108:$V$130</c:f>
              <c:numCache>
                <c:formatCode>0.000</c:formatCode>
                <c:ptCount val="23"/>
                <c:pt idx="3">
                  <c:v>4.427364636967468E-3</c:v>
                </c:pt>
                <c:pt idx="4">
                  <c:v>4.427364636967468E-3</c:v>
                </c:pt>
              </c:numCache>
            </c:numRef>
          </c:val>
          <c:extLst>
            <c:ext xmlns:c16="http://schemas.microsoft.com/office/drawing/2014/chart" uri="{C3380CC4-5D6E-409C-BE32-E72D297353CC}">
              <c16:uniqueId val="{00000005-597F-4756-AC21-7EB7738391A7}"/>
            </c:ext>
          </c:extLst>
        </c:ser>
        <c:ser>
          <c:idx val="6"/>
          <c:order val="6"/>
          <c:tx>
            <c:strRef>
              <c:f>'243'!$W$106</c:f>
              <c:strCache>
                <c:ptCount val="1"/>
                <c:pt idx="0">
                  <c:v>Stg.3 Nozzle Step#20</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'243'!$W$108:$W$130</c:f>
              <c:numCache>
                <c:formatCode>0.000</c:formatCode>
                <c:ptCount val="23"/>
                <c:pt idx="4">
                  <c:v>7.1871693688763116E-4</c:v>
                </c:pt>
                <c:pt idx="5">
                  <c:v>7.1871693688763116E-4</c:v>
                </c:pt>
              </c:numCache>
            </c:numRef>
          </c:val>
          <c:extLst>
            <c:ext xmlns:c16="http://schemas.microsoft.com/office/drawing/2014/chart" uri="{C3380CC4-5D6E-409C-BE32-E72D297353CC}">
              <c16:uniqueId val="{00000006-597F-4756-AC21-7EB7738391A7}"/>
            </c:ext>
          </c:extLst>
        </c:ser>
        <c:ser>
          <c:idx val="7"/>
          <c:order val="7"/>
          <c:tx>
            <c:strRef>
              <c:f>'243'!$X$106</c:f>
              <c:strCache>
                <c:ptCount val="1"/>
                <c:pt idx="0">
                  <c:v>Stg.3 Nozzle Step#19</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'243'!$X$108:$X$130</c:f>
              <c:numCache>
                <c:formatCode>0.000</c:formatCode>
                <c:ptCount val="23"/>
                <c:pt idx="5">
                  <c:v>-2.2211111285059815E-3</c:v>
                </c:pt>
                <c:pt idx="6">
                  <c:v>-2.2211111285059815E-3</c:v>
                </c:pt>
              </c:numCache>
            </c:numRef>
          </c:val>
          <c:extLst>
            <c:ext xmlns:c16="http://schemas.microsoft.com/office/drawing/2014/chart" uri="{C3380CC4-5D6E-409C-BE32-E72D297353CC}">
              <c16:uniqueId val="{00000007-597F-4756-AC21-7EB7738391A7}"/>
            </c:ext>
          </c:extLst>
        </c:ser>
        <c:ser>
          <c:idx val="8"/>
          <c:order val="8"/>
          <c:tx>
            <c:strRef>
              <c:f>'243'!$Y$106</c:f>
              <c:strCache>
                <c:ptCount val="1"/>
                <c:pt idx="0">
                  <c:v>Stg.3 Nozzle Step#18</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'243'!$Y$108:$Y$130</c:f>
              <c:numCache>
                <c:formatCode>0.000</c:formatCode>
                <c:ptCount val="23"/>
                <c:pt idx="6">
                  <c:v>-5.4441040111896655E-4</c:v>
                </c:pt>
                <c:pt idx="7">
                  <c:v>-5.4441040111896655E-4</c:v>
                </c:pt>
              </c:numCache>
            </c:numRef>
          </c:val>
          <c:extLst>
            <c:ext xmlns:c16="http://schemas.microsoft.com/office/drawing/2014/chart" uri="{C3380CC4-5D6E-409C-BE32-E72D297353CC}">
              <c16:uniqueId val="{00000008-597F-4756-AC21-7EB7738391A7}"/>
            </c:ext>
          </c:extLst>
        </c:ser>
        <c:ser>
          <c:idx val="9"/>
          <c:order val="9"/>
          <c:tx>
            <c:strRef>
              <c:f>'243'!$Z$106</c:f>
              <c:strCache>
                <c:ptCount val="1"/>
                <c:pt idx="0">
                  <c:v>Stg.3 Nozzle Step#17</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'243'!$Z$108:$Z$130</c:f>
              <c:numCache>
                <c:formatCode>0.000</c:formatCode>
                <c:ptCount val="23"/>
                <c:pt idx="7">
                  <c:v>-2.5365854433516688E-3</c:v>
                </c:pt>
                <c:pt idx="8">
                  <c:v>-2.5365854433516688E-3</c:v>
                </c:pt>
              </c:numCache>
            </c:numRef>
          </c:val>
          <c:extLst>
            <c:ext xmlns:c16="http://schemas.microsoft.com/office/drawing/2014/chart" uri="{C3380CC4-5D6E-409C-BE32-E72D297353CC}">
              <c16:uniqueId val="{00000009-597F-4756-AC21-7EB7738391A7}"/>
            </c:ext>
          </c:extLst>
        </c:ser>
        <c:ser>
          <c:idx val="10"/>
          <c:order val="10"/>
          <c:tx>
            <c:strRef>
              <c:f>'243'!$AA$106</c:f>
              <c:strCache>
                <c:ptCount val="1"/>
                <c:pt idx="0">
                  <c:v>Stg.3 Nozzle Step#16</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'243'!$AA$108:$AA$130</c:f>
              <c:numCache>
                <c:formatCode>0.000</c:formatCode>
                <c:ptCount val="23"/>
                <c:pt idx="8">
                  <c:v>-1.9962949504019889E-3</c:v>
                </c:pt>
                <c:pt idx="9">
                  <c:v>-1.9962949504019889E-3</c:v>
                </c:pt>
              </c:numCache>
            </c:numRef>
          </c:val>
          <c:extLst>
            <c:ext xmlns:c16="http://schemas.microsoft.com/office/drawing/2014/chart" uri="{C3380CC4-5D6E-409C-BE32-E72D297353CC}">
              <c16:uniqueId val="{0000000A-597F-4756-AC21-7EB7738391A7}"/>
            </c:ext>
          </c:extLst>
        </c:ser>
        <c:ser>
          <c:idx val="11"/>
          <c:order val="11"/>
          <c:tx>
            <c:strRef>
              <c:f>'243'!$AB$106</c:f>
              <c:strCache>
                <c:ptCount val="1"/>
                <c:pt idx="0">
                  <c:v>Stg.3 Nozzle Step#15</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'243'!$AB$108:$AB$130</c:f>
              <c:numCache>
                <c:formatCode>0.000</c:formatCode>
                <c:ptCount val="23"/>
                <c:pt idx="9">
                  <c:v>2.4385372565802754E-3</c:v>
                </c:pt>
                <c:pt idx="10">
                  <c:v>2.4385372565802754E-3</c:v>
                </c:pt>
              </c:numCache>
            </c:numRef>
          </c:val>
          <c:extLst>
            <c:ext xmlns:c16="http://schemas.microsoft.com/office/drawing/2014/chart" uri="{C3380CC4-5D6E-409C-BE32-E72D297353CC}">
              <c16:uniqueId val="{0000000B-597F-4756-AC21-7EB7738391A7}"/>
            </c:ext>
          </c:extLst>
        </c:ser>
        <c:ser>
          <c:idx val="12"/>
          <c:order val="12"/>
          <c:tx>
            <c:strRef>
              <c:f>'243'!$AC$106</c:f>
              <c:strCache>
                <c:ptCount val="1"/>
                <c:pt idx="0">
                  <c:v>Stg.3 Nozzle Step#14</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'243'!$AC$108:$AC$130</c:f>
              <c:numCache>
                <c:formatCode>0.000</c:formatCode>
                <c:ptCount val="23"/>
                <c:pt idx="10">
                  <c:v>7.7537442996344907E-4</c:v>
                </c:pt>
                <c:pt idx="11">
                  <c:v>7.7537442996344907E-4</c:v>
                </c:pt>
              </c:numCache>
            </c:numRef>
          </c:val>
          <c:extLst>
            <c:ext xmlns:c16="http://schemas.microsoft.com/office/drawing/2014/chart" uri="{C3380CC4-5D6E-409C-BE32-E72D297353CC}">
              <c16:uniqueId val="{0000000C-597F-4756-AC21-7EB7738391A7}"/>
            </c:ext>
          </c:extLst>
        </c:ser>
        <c:ser>
          <c:idx val="13"/>
          <c:order val="13"/>
          <c:tx>
            <c:strRef>
              <c:f>'243'!$AD$106</c:f>
              <c:strCache>
                <c:ptCount val="1"/>
                <c:pt idx="0">
                  <c:v>Stg.3 Nozzle Step#13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'243'!$AD$108:$AD$130</c:f>
              <c:numCache>
                <c:formatCode>0.000</c:formatCode>
                <c:ptCount val="23"/>
                <c:pt idx="11">
                  <c:v>-1.9998166420691632E-3</c:v>
                </c:pt>
                <c:pt idx="12">
                  <c:v>-1.9998166420691632E-3</c:v>
                </c:pt>
              </c:numCache>
            </c:numRef>
          </c:val>
          <c:extLst>
            <c:ext xmlns:c16="http://schemas.microsoft.com/office/drawing/2014/chart" uri="{C3380CC4-5D6E-409C-BE32-E72D297353CC}">
              <c16:uniqueId val="{0000000D-597F-4756-AC21-7EB7738391A7}"/>
            </c:ext>
          </c:extLst>
        </c:ser>
        <c:ser>
          <c:idx val="14"/>
          <c:order val="14"/>
          <c:tx>
            <c:strRef>
              <c:f>'243'!$AE$106</c:f>
              <c:strCache>
                <c:ptCount val="1"/>
                <c:pt idx="0">
                  <c:v>Stg.3 Nozzle Step#12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'243'!$AE$108:$AE$130</c:f>
              <c:numCache>
                <c:formatCode>0.000</c:formatCode>
                <c:ptCount val="23"/>
                <c:pt idx="12">
                  <c:v>-3.1794363940207404E-3</c:v>
                </c:pt>
                <c:pt idx="13">
                  <c:v>-3.1794363940207404E-3</c:v>
                </c:pt>
              </c:numCache>
            </c:numRef>
          </c:val>
          <c:extLst>
            <c:ext xmlns:c16="http://schemas.microsoft.com/office/drawing/2014/chart" uri="{C3380CC4-5D6E-409C-BE32-E72D297353CC}">
              <c16:uniqueId val="{0000000E-597F-4756-AC21-7EB7738391A7}"/>
            </c:ext>
          </c:extLst>
        </c:ser>
        <c:ser>
          <c:idx val="15"/>
          <c:order val="15"/>
          <c:tx>
            <c:strRef>
              <c:f>'243'!$AF$106</c:f>
              <c:strCache>
                <c:ptCount val="1"/>
                <c:pt idx="0">
                  <c:v>Stg.3 Nozzle Step#11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'243'!$AF$108:$AF$130</c:f>
              <c:numCache>
                <c:formatCode>0.000</c:formatCode>
                <c:ptCount val="23"/>
                <c:pt idx="13">
                  <c:v>-5.7354208658466632E-3</c:v>
                </c:pt>
                <c:pt idx="14">
                  <c:v>-5.7354208658466632E-3</c:v>
                </c:pt>
              </c:numCache>
            </c:numRef>
          </c:val>
          <c:extLst>
            <c:ext xmlns:c16="http://schemas.microsoft.com/office/drawing/2014/chart" uri="{C3380CC4-5D6E-409C-BE32-E72D297353CC}">
              <c16:uniqueId val="{0000000F-597F-4756-AC21-7EB7738391A7}"/>
            </c:ext>
          </c:extLst>
        </c:ser>
        <c:ser>
          <c:idx val="16"/>
          <c:order val="16"/>
          <c:tx>
            <c:strRef>
              <c:f>'243'!$AG$106</c:f>
              <c:strCache>
                <c:ptCount val="1"/>
                <c:pt idx="0">
                  <c:v>Stg.3 Nozzle Step#10</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'243'!$AG$108:$AG$130</c:f>
              <c:numCache>
                <c:formatCode>0.000</c:formatCode>
                <c:ptCount val="23"/>
                <c:pt idx="14">
                  <c:v>-3.6336233687848107E-3</c:v>
                </c:pt>
                <c:pt idx="15">
                  <c:v>-3.6336233687848107E-3</c:v>
                </c:pt>
              </c:numCache>
            </c:numRef>
          </c:val>
          <c:extLst>
            <c:ext xmlns:c16="http://schemas.microsoft.com/office/drawing/2014/chart" uri="{C3380CC4-5D6E-409C-BE32-E72D297353CC}">
              <c16:uniqueId val="{00000010-597F-4756-AC21-7EB7738391A7}"/>
            </c:ext>
          </c:extLst>
        </c:ser>
        <c:ser>
          <c:idx val="17"/>
          <c:order val="17"/>
          <c:tx>
            <c:strRef>
              <c:f>'243'!$AH$106</c:f>
              <c:strCache>
                <c:ptCount val="1"/>
                <c:pt idx="0">
                  <c:v>Stg.3 Nozzle Step#9</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'243'!$AH$108:$AH$130</c:f>
              <c:numCache>
                <c:formatCode>0.000</c:formatCode>
                <c:ptCount val="23"/>
                <c:pt idx="15">
                  <c:v>-3.7942321228001674E-5</c:v>
                </c:pt>
                <c:pt idx="16">
                  <c:v>-3.7942321228001674E-5</c:v>
                </c:pt>
              </c:numCache>
            </c:numRef>
          </c:val>
          <c:extLst>
            <c:ext xmlns:c16="http://schemas.microsoft.com/office/drawing/2014/chart" uri="{C3380CC4-5D6E-409C-BE32-E72D297353CC}">
              <c16:uniqueId val="{00000011-597F-4756-AC21-7EB7738391A7}"/>
            </c:ext>
          </c:extLst>
        </c:ser>
        <c:ser>
          <c:idx val="18"/>
          <c:order val="18"/>
          <c:tx>
            <c:strRef>
              <c:f>'243'!$AI$106</c:f>
              <c:strCache>
                <c:ptCount val="1"/>
                <c:pt idx="0">
                  <c:v>Stg.3 Nozzle Step#8</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'243'!$AI$108:$AI$130</c:f>
              <c:numCache>
                <c:formatCode>0.000</c:formatCode>
                <c:ptCount val="23"/>
                <c:pt idx="16">
                  <c:v>-3.4512299293965043E-4</c:v>
                </c:pt>
                <c:pt idx="17">
                  <c:v>-3.4512299293965043E-4</c:v>
                </c:pt>
              </c:numCache>
            </c:numRef>
          </c:val>
          <c:extLst>
            <c:ext xmlns:c16="http://schemas.microsoft.com/office/drawing/2014/chart" uri="{C3380CC4-5D6E-409C-BE32-E72D297353CC}">
              <c16:uniqueId val="{00000012-597F-4756-AC21-7EB7738391A7}"/>
            </c:ext>
          </c:extLst>
        </c:ser>
        <c:ser>
          <c:idx val="19"/>
          <c:order val="19"/>
          <c:tx>
            <c:strRef>
              <c:f>'243'!$AJ$106</c:f>
              <c:strCache>
                <c:ptCount val="1"/>
                <c:pt idx="0">
                  <c:v>Stg.3 Nozzle Step#7</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'243'!$AJ$108:$AJ$130</c:f>
              <c:numCache>
                <c:formatCode>0.000</c:formatCode>
                <c:ptCount val="23"/>
                <c:pt idx="17">
                  <c:v>1.6651007632049186E-3</c:v>
                </c:pt>
                <c:pt idx="18">
                  <c:v>1.6651007632049186E-3</c:v>
                </c:pt>
              </c:numCache>
            </c:numRef>
          </c:val>
          <c:extLst>
            <c:ext xmlns:c16="http://schemas.microsoft.com/office/drawing/2014/chart" uri="{C3380CC4-5D6E-409C-BE32-E72D297353CC}">
              <c16:uniqueId val="{00000013-597F-4756-AC21-7EB7738391A7}"/>
            </c:ext>
          </c:extLst>
        </c:ser>
        <c:ser>
          <c:idx val="20"/>
          <c:order val="20"/>
          <c:tx>
            <c:strRef>
              <c:f>'243'!$AK$106</c:f>
              <c:strCache>
                <c:ptCount val="1"/>
                <c:pt idx="0">
                  <c:v>Stg.3 Nozzle Step#6</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'243'!$AK$108:$AK$130</c:f>
              <c:numCache>
                <c:formatCode>0.000</c:formatCode>
                <c:ptCount val="23"/>
                <c:pt idx="18">
                  <c:v>1.4310513055306728E-3</c:v>
                </c:pt>
                <c:pt idx="19">
                  <c:v>1.4310513055306728E-3</c:v>
                </c:pt>
              </c:numCache>
            </c:numRef>
          </c:val>
          <c:extLst>
            <c:ext xmlns:c16="http://schemas.microsoft.com/office/drawing/2014/chart" uri="{C3380CC4-5D6E-409C-BE32-E72D297353CC}">
              <c16:uniqueId val="{00000014-597F-4756-AC21-7EB7738391A7}"/>
            </c:ext>
          </c:extLst>
        </c:ser>
        <c:ser>
          <c:idx val="21"/>
          <c:order val="21"/>
          <c:tx>
            <c:strRef>
              <c:f>'243'!$AL$106</c:f>
              <c:strCache>
                <c:ptCount val="1"/>
                <c:pt idx="0">
                  <c:v>Stg.3 Nozzle Step#5</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'243'!$AL$108:$AL$130</c:f>
              <c:numCache>
                <c:formatCode>0.000</c:formatCode>
                <c:ptCount val="23"/>
                <c:pt idx="19">
                  <c:v>-4.4071015157669535E-3</c:v>
                </c:pt>
                <c:pt idx="20">
                  <c:v>-4.4071015157669535E-3</c:v>
                </c:pt>
              </c:numCache>
            </c:numRef>
          </c:val>
          <c:extLst>
            <c:ext xmlns:c16="http://schemas.microsoft.com/office/drawing/2014/chart" uri="{C3380CC4-5D6E-409C-BE32-E72D297353CC}">
              <c16:uniqueId val="{00000015-597F-4756-AC21-7EB7738391A7}"/>
            </c:ext>
          </c:extLst>
        </c:ser>
        <c:ser>
          <c:idx val="22"/>
          <c:order val="22"/>
          <c:tx>
            <c:strRef>
              <c:f>'243'!$AM$106</c:f>
              <c:strCache>
                <c:ptCount val="1"/>
                <c:pt idx="0">
                  <c:v>Stg.3 Nozzle Step#4</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'243'!$AM$108:$AM$130</c:f>
              <c:numCache>
                <c:formatCode>0.000</c:formatCode>
                <c:ptCount val="23"/>
                <c:pt idx="20">
                  <c:v>-9.6633215509882575E-3</c:v>
                </c:pt>
                <c:pt idx="21">
                  <c:v>-9.6633215509882575E-3</c:v>
                </c:pt>
              </c:numCache>
            </c:numRef>
          </c:val>
          <c:extLst>
            <c:ext xmlns:c16="http://schemas.microsoft.com/office/drawing/2014/chart" uri="{C3380CC4-5D6E-409C-BE32-E72D297353CC}">
              <c16:uniqueId val="{00000016-597F-4756-AC21-7EB7738391A7}"/>
            </c:ext>
          </c:extLst>
        </c:ser>
        <c:ser>
          <c:idx val="23"/>
          <c:order val="23"/>
          <c:tx>
            <c:strRef>
              <c:f>'243'!$AN$106</c:f>
              <c:strCache>
                <c:ptCount val="1"/>
                <c:pt idx="0">
                  <c:v>Stg.3 Nozzle Step#3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'243'!$AN$108:$AN$130</c:f>
              <c:numCache>
                <c:formatCode>0.000</c:formatCode>
                <c:ptCount val="23"/>
                <c:pt idx="21">
                  <c:v>-1.024004295584291E-2</c:v>
                </c:pt>
                <c:pt idx="22">
                  <c:v>-1.024004295584291E-2</c:v>
                </c:pt>
              </c:numCache>
            </c:numRef>
          </c:val>
          <c:extLst>
            <c:ext xmlns:c16="http://schemas.microsoft.com/office/drawing/2014/chart" uri="{C3380CC4-5D6E-409C-BE32-E72D297353CC}">
              <c16:uniqueId val="{00000017-597F-4756-AC21-7EB7738391A7}"/>
            </c:ext>
          </c:extLst>
        </c:ser>
        <c:ser>
          <c:idx val="24"/>
          <c:order val="24"/>
          <c:tx>
            <c:strRef>
              <c:f>'243'!$AO$106</c:f>
              <c:strCache>
                <c:ptCount val="1"/>
                <c:pt idx="0">
                  <c:v>Stg.3 Nozzle Step#2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'243'!$AO$108:$AO$130</c:f>
              <c:numCache>
                <c:formatCode>0.000</c:formatCode>
                <c:ptCount val="23"/>
                <c:pt idx="0">
                  <c:v>-7.5152147836092809E-3</c:v>
                </c:pt>
                <c:pt idx="22">
                  <c:v>-7.5152147836092809E-3</c:v>
                </c:pt>
              </c:numCache>
            </c:numRef>
          </c:val>
          <c:extLst>
            <c:ext xmlns:c16="http://schemas.microsoft.com/office/drawing/2014/chart" uri="{C3380CC4-5D6E-409C-BE32-E72D297353CC}">
              <c16:uniqueId val="{00000018-597F-4756-AC21-7EB7738391A7}"/>
            </c:ext>
          </c:extLst>
        </c:ser>
        <c:dLbls>
          <c:showLegendKey val="0"/>
          <c:showVal val="0"/>
          <c:showCatName val="0"/>
          <c:showSerName val="0"/>
          <c:showPercent val="0"/>
          <c:showBubbleSize val="0"/>
        </c:dLbls>
        <c:axId val="172915200"/>
        <c:axId val="174140800"/>
      </c:radarChart>
      <c:catAx>
        <c:axId val="17291520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4140800"/>
        <c:crosses val="autoZero"/>
        <c:auto val="1"/>
        <c:lblAlgn val="ctr"/>
        <c:lblOffset val="100"/>
        <c:noMultiLvlLbl val="0"/>
      </c:catAx>
      <c:valAx>
        <c:axId val="17414080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2915200"/>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'244'!$K$9</c:f>
              <c:strCache>
                <c:ptCount val="1"/>
                <c:pt idx="0">
                  <c:v>CMM</c:v>
                </c:pt>
              </c:strCache>
            </c:strRef>
          </c:tx>
          <c:marker>
            <c:symbol val="none"/>
          </c:marker>
          <c:cat>
            <c:numRef>
              <c:f>'244'!$J$11:$J$26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'244'!$K$11:$K$26</c:f>
              <c:numCache>
                <c:formatCode>General</c:formatCode>
                <c:ptCount val="16"/>
                <c:pt idx="0">
                  <c:v>417.26400000000001</c:v>
                </c:pt>
                <c:pt idx="1">
                  <c:v>417.30000007668343</c:v>
                </c:pt>
                <c:pt idx="2">
                  <c:v>417.30800000119814</c:v>
                </c:pt>
                <c:pt idx="3">
                  <c:v>417.29500000479277</c:v>
                </c:pt>
                <c:pt idx="4">
                  <c:v>417.298</c:v>
                </c:pt>
                <c:pt idx="5">
                  <c:v>417.30900000000003</c:v>
                </c:pt>
                <c:pt idx="6">
                  <c:v>417.29400000119819</c:v>
                </c:pt>
                <c:pt idx="7">
                  <c:v>417.28900002995522</c:v>
                </c:pt>
                <c:pt idx="8">
                  <c:v>417.25900000000001</c:v>
                </c:pt>
                <c:pt idx="9">
                  <c:v>417.24400009706557</c:v>
                </c:pt>
                <c:pt idx="10">
                  <c:v>417.28000000119823</c:v>
                </c:pt>
                <c:pt idx="11">
                  <c:v>417.34100000000001</c:v>
                </c:pt>
                <c:pt idx="12">
                  <c:v>417.346</c:v>
                </c:pt>
                <c:pt idx="13">
                  <c:v>417.29600000119819</c:v>
                </c:pt>
                <c:pt idx="14">
                  <c:v>417.233</c:v>
                </c:pt>
                <c:pt idx="15">
                  <c:v>417.21800000479368</c:v>
                </c:pt>
              </c:numCache>
            </c:numRef>
          </c:val>
          <c:extLst>
            <c:ext xmlns:c16="http://schemas.microsoft.com/office/drawing/2014/chart" uri="{C3380CC4-5D6E-409C-BE32-E72D297353CC}">
              <c16:uniqueId val="{00000000-8165-4DB7-BEE9-8179FE4598B8}"/>
            </c:ext>
          </c:extLst>
        </c:ser>
        <c:ser>
          <c:idx val="1"/>
          <c:order val="1"/>
          <c:tx>
            <c:strRef>
              <c:f>'244'!$L$9</c:f>
              <c:strCache>
                <c:ptCount val="1"/>
                <c:pt idx="0">
                  <c:v>Dwg Min</c:v>
                </c:pt>
              </c:strCache>
            </c:strRef>
          </c:tx>
          <c:spPr>
            <a:ln>
              <a:prstDash val="dash"/>
            </a:ln>
          </c:spPr>
          <c:marker>
            <c:symbol val="none"/>
          </c:marker>
          <c:val>
            <c:numRef>
              <c:f>'244'!$L$11:$L$26</c:f>
              <c:numCache>
                <c:formatCode>General</c:formatCode>
                <c:ptCount val="16"/>
                <c:pt idx="0">
                  <c:v>417.23200000000003</c:v>
                </c:pt>
                <c:pt idx="1">
                  <c:v>417.23200000000003</c:v>
                </c:pt>
                <c:pt idx="2">
                  <c:v>417.23200000000003</c:v>
                </c:pt>
                <c:pt idx="3">
                  <c:v>417.23200000000003</c:v>
                </c:pt>
                <c:pt idx="4">
                  <c:v>417.23200000000003</c:v>
                </c:pt>
                <c:pt idx="5">
                  <c:v>417.23200000000003</c:v>
                </c:pt>
                <c:pt idx="6">
                  <c:v>417.23200000000003</c:v>
                </c:pt>
                <c:pt idx="7">
                  <c:v>417.23200000000003</c:v>
                </c:pt>
                <c:pt idx="8">
                  <c:v>417.23200000000003</c:v>
                </c:pt>
                <c:pt idx="9">
                  <c:v>417.23200000000003</c:v>
                </c:pt>
                <c:pt idx="10">
                  <c:v>417.23200000000003</c:v>
                </c:pt>
                <c:pt idx="11">
                  <c:v>417.23200000000003</c:v>
                </c:pt>
                <c:pt idx="12">
                  <c:v>417.23200000000003</c:v>
                </c:pt>
                <c:pt idx="13">
                  <c:v>417.23200000000003</c:v>
                </c:pt>
                <c:pt idx="14">
                  <c:v>417.23200000000003</c:v>
                </c:pt>
                <c:pt idx="15">
                  <c:v>417.23200000000003</c:v>
                </c:pt>
              </c:numCache>
            </c:numRef>
          </c:val>
          <c:extLst>
            <c:ext xmlns:c16="http://schemas.microsoft.com/office/drawing/2014/chart" uri="{C3380CC4-5D6E-409C-BE32-E72D297353CC}">
              <c16:uniqueId val="{00000001-8165-4DB7-BEE9-8179FE4598B8}"/>
            </c:ext>
          </c:extLst>
        </c:ser>
        <c:ser>
          <c:idx val="2"/>
          <c:order val="2"/>
          <c:tx>
            <c:strRef>
              <c:f>'244'!$M$9</c:f>
              <c:strCache>
                <c:ptCount val="1"/>
                <c:pt idx="0">
                  <c:v>Dwg Max</c:v>
                </c:pt>
              </c:strCache>
            </c:strRef>
          </c:tx>
          <c:spPr>
            <a:ln>
              <a:prstDash val="dash"/>
            </a:ln>
          </c:spPr>
          <c:marker>
            <c:symbol val="none"/>
          </c:marker>
          <c:val>
            <c:numRef>
              <c:f>'244'!$M$11:$M$26</c:f>
              <c:numCache>
                <c:formatCode>General</c:formatCode>
                <c:ptCount val="16"/>
                <c:pt idx="0">
                  <c:v>417.36799999999999</c:v>
                </c:pt>
                <c:pt idx="1">
                  <c:v>417.36799999999999</c:v>
                </c:pt>
                <c:pt idx="2">
                  <c:v>417.36799999999999</c:v>
                </c:pt>
                <c:pt idx="3">
                  <c:v>417.36799999999999</c:v>
                </c:pt>
                <c:pt idx="4">
                  <c:v>417.36799999999999</c:v>
                </c:pt>
                <c:pt idx="5">
                  <c:v>417.36799999999999</c:v>
                </c:pt>
                <c:pt idx="6">
                  <c:v>417.36799999999999</c:v>
                </c:pt>
                <c:pt idx="7">
                  <c:v>417.36799999999999</c:v>
                </c:pt>
                <c:pt idx="8">
                  <c:v>417.36799999999999</c:v>
                </c:pt>
                <c:pt idx="9">
                  <c:v>417.36799999999999</c:v>
                </c:pt>
                <c:pt idx="10">
                  <c:v>417.36799999999999</c:v>
                </c:pt>
                <c:pt idx="11">
                  <c:v>417.36799999999999</c:v>
                </c:pt>
                <c:pt idx="12">
                  <c:v>417.36799999999999</c:v>
                </c:pt>
                <c:pt idx="13">
                  <c:v>417.36799999999999</c:v>
                </c:pt>
                <c:pt idx="14">
                  <c:v>417.36799999999999</c:v>
                </c:pt>
                <c:pt idx="15">
                  <c:v>417.36799999999999</c:v>
                </c:pt>
              </c:numCache>
            </c:numRef>
          </c:val>
          <c:extLst>
            <c:ext xmlns:c16="http://schemas.microsoft.com/office/drawing/2014/chart" uri="{C3380CC4-5D6E-409C-BE32-E72D297353CC}">
              <c16:uniqueId val="{00000002-8165-4DB7-BEE9-8179FE4598B8}"/>
            </c:ext>
          </c:extLst>
        </c:ser>
        <c:dLbls>
          <c:showLegendKey val="0"/>
          <c:showVal val="0"/>
          <c:showCatName val="0"/>
          <c:showSerName val="0"/>
          <c:showPercent val="0"/>
          <c:showBubbleSize val="0"/>
        </c:dLbls>
        <c:axId val="172916224"/>
        <c:axId val="173017344"/>
      </c:radarChart>
      <c:catAx>
        <c:axId val="17291622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3017344"/>
        <c:crosses val="autoZero"/>
        <c:auto val="1"/>
        <c:lblAlgn val="ctr"/>
        <c:lblOffset val="100"/>
        <c:noMultiLvlLbl val="0"/>
      </c:catAx>
      <c:valAx>
        <c:axId val="17301734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2916224"/>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'244'!$AP$34</c:f>
              <c:strCache>
                <c:ptCount val="1"/>
                <c:pt idx="0">
                  <c:v>LPT Case Hook R Min</c:v>
                </c:pt>
              </c:strCache>
            </c:strRef>
          </c:tx>
          <c:spPr>
            <a:ln w="28575">
              <a:prstDash val="dash"/>
            </a:ln>
          </c:spPr>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'244'!$AP$36:$AP$58</c:f>
              <c:numCache>
                <c:formatCode>General</c:formatCode>
                <c:ptCount val="23"/>
                <c:pt idx="0">
                  <c:v>417.26800000000003</c:v>
                </c:pt>
                <c:pt idx="1">
                  <c:v>417.26800000000003</c:v>
                </c:pt>
                <c:pt idx="2">
                  <c:v>417.26800000000003</c:v>
                </c:pt>
                <c:pt idx="3">
                  <c:v>417.26800000000003</c:v>
                </c:pt>
                <c:pt idx="4">
                  <c:v>417.26800000000003</c:v>
                </c:pt>
                <c:pt idx="5">
                  <c:v>417.26800000000003</c:v>
                </c:pt>
                <c:pt idx="6">
                  <c:v>417.26800000000003</c:v>
                </c:pt>
                <c:pt idx="7">
                  <c:v>417.26800000000003</c:v>
                </c:pt>
                <c:pt idx="8">
                  <c:v>417.26800000000003</c:v>
                </c:pt>
                <c:pt idx="9">
                  <c:v>417.26800000000003</c:v>
                </c:pt>
                <c:pt idx="10">
                  <c:v>417.26800000000003</c:v>
                </c:pt>
                <c:pt idx="11">
                  <c:v>417.26800000000003</c:v>
                </c:pt>
                <c:pt idx="12">
                  <c:v>417.26800000000003</c:v>
                </c:pt>
                <c:pt idx="13">
                  <c:v>417.26800000000003</c:v>
                </c:pt>
                <c:pt idx="14">
                  <c:v>417.26800000000003</c:v>
                </c:pt>
                <c:pt idx="15">
                  <c:v>417.26800000000003</c:v>
                </c:pt>
                <c:pt idx="16">
                  <c:v>417.26800000000003</c:v>
                </c:pt>
                <c:pt idx="17">
                  <c:v>417.26800000000003</c:v>
                </c:pt>
                <c:pt idx="18">
                  <c:v>417.26800000000003</c:v>
                </c:pt>
                <c:pt idx="19">
                  <c:v>417.26800000000003</c:v>
                </c:pt>
                <c:pt idx="20">
                  <c:v>417.26800000000003</c:v>
                </c:pt>
                <c:pt idx="21">
                  <c:v>417.26800000000003</c:v>
                </c:pt>
                <c:pt idx="22">
                  <c:v>417.26800000000003</c:v>
                </c:pt>
              </c:numCache>
            </c:numRef>
          </c:val>
          <c:extLst>
            <c:ext xmlns:c16="http://schemas.microsoft.com/office/drawing/2014/chart" uri="{C3380CC4-5D6E-409C-BE32-E72D297353CC}">
              <c16:uniqueId val="{00000000-5428-4410-A70C-F3C808DF3959}"/>
            </c:ext>
          </c:extLst>
        </c:ser>
        <c:ser>
          <c:idx val="1"/>
          <c:order val="1"/>
          <c:tx>
            <c:strRef>
              <c:f>'244'!$AQ$34</c:f>
              <c:strCache>
                <c:ptCount val="1"/>
                <c:pt idx="0">
                  <c:v>LPT Case Hook R Max</c:v>
                </c:pt>
              </c:strCache>
            </c:strRef>
          </c:tx>
          <c:spPr>
            <a:ln w="28575">
              <a:prstDash val="dash"/>
            </a:ln>
          </c:spPr>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'244'!$AQ$36:$AQ$58</c:f>
              <c:numCache>
                <c:formatCode>General</c:formatCode>
                <c:ptCount val="23"/>
                <c:pt idx="0">
                  <c:v>417.33199999999999</c:v>
                </c:pt>
                <c:pt idx="1">
                  <c:v>417.33199999999999</c:v>
                </c:pt>
                <c:pt idx="2">
                  <c:v>417.33199999999999</c:v>
                </c:pt>
                <c:pt idx="3">
                  <c:v>417.33199999999999</c:v>
                </c:pt>
                <c:pt idx="4">
                  <c:v>417.33199999999999</c:v>
                </c:pt>
                <c:pt idx="5">
                  <c:v>417.33199999999999</c:v>
                </c:pt>
                <c:pt idx="6">
                  <c:v>417.33199999999999</c:v>
                </c:pt>
                <c:pt idx="7">
                  <c:v>417.33199999999999</c:v>
                </c:pt>
                <c:pt idx="8">
                  <c:v>417.33199999999999</c:v>
                </c:pt>
                <c:pt idx="9">
                  <c:v>417.33199999999999</c:v>
                </c:pt>
                <c:pt idx="10">
                  <c:v>417.33199999999999</c:v>
                </c:pt>
                <c:pt idx="11">
                  <c:v>417.33199999999999</c:v>
                </c:pt>
                <c:pt idx="12">
                  <c:v>417.33199999999999</c:v>
                </c:pt>
                <c:pt idx="13">
                  <c:v>417.33199999999999</c:v>
                </c:pt>
                <c:pt idx="14">
                  <c:v>417.33199999999999</c:v>
                </c:pt>
                <c:pt idx="15">
                  <c:v>417.33199999999999</c:v>
                </c:pt>
                <c:pt idx="16">
                  <c:v>417.33199999999999</c:v>
                </c:pt>
                <c:pt idx="17">
                  <c:v>417.33199999999999</c:v>
                </c:pt>
                <c:pt idx="18">
                  <c:v>417.33199999999999</c:v>
                </c:pt>
                <c:pt idx="19">
                  <c:v>417.33199999999999</c:v>
                </c:pt>
                <c:pt idx="20">
                  <c:v>417.33199999999999</c:v>
                </c:pt>
                <c:pt idx="21">
                  <c:v>417.33199999999999</c:v>
                </c:pt>
                <c:pt idx="22">
                  <c:v>417.33199999999999</c:v>
                </c:pt>
              </c:numCache>
            </c:numRef>
          </c:val>
          <c:extLst>
            <c:ext xmlns:c16="http://schemas.microsoft.com/office/drawing/2014/chart" uri="{C3380CC4-5D6E-409C-BE32-E72D297353CC}">
              <c16:uniqueId val="{00000001-5428-4410-A70C-F3C808DF3959}"/>
            </c:ext>
          </c:extLst>
        </c:ser>
        <c:ser>
          <c:idx val="2"/>
          <c:order val="2"/>
          <c:tx>
            <c:strRef>
              <c:f>'244'!$S$34</c:f>
              <c:strCache>
                <c:ptCount val="1"/>
                <c:pt idx="0">
                  <c:v>Stg.3 Shroud Aft#1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'244'!$S$36:$S$58</c:f>
              <c:numCache>
                <c:formatCode>0.000</c:formatCode>
                <c:ptCount val="23"/>
                <c:pt idx="0">
                  <c:v>417.23469066972098</c:v>
                </c:pt>
                <c:pt idx="1">
                  <c:v>417.23469066972098</c:v>
                </c:pt>
              </c:numCache>
            </c:numRef>
          </c:val>
          <c:extLst>
            <c:ext xmlns:c16="http://schemas.microsoft.com/office/drawing/2014/chart" uri="{C3380CC4-5D6E-409C-BE32-E72D297353CC}">
              <c16:uniqueId val="{00000002-5428-4410-A70C-F3C808DF3959}"/>
            </c:ext>
          </c:extLst>
        </c:ser>
        <c:ser>
          <c:idx val="3"/>
          <c:order val="3"/>
          <c:tx>
            <c:strRef>
              <c:f>'244'!$T$34</c:f>
              <c:strCache>
                <c:ptCount val="1"/>
                <c:pt idx="0">
                  <c:v>Stg.3 Shroud Aft#23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'244'!$T$36:$T$58</c:f>
              <c:numCache>
                <c:formatCode>0.000</c:formatCode>
                <c:ptCount val="23"/>
                <c:pt idx="1">
                  <c:v>417.26465908873627</c:v>
                </c:pt>
                <c:pt idx="2">
                  <c:v>417.26465908873627</c:v>
                </c:pt>
              </c:numCache>
            </c:numRef>
          </c:val>
          <c:extLst>
            <c:ext xmlns:c16="http://schemas.microsoft.com/office/drawing/2014/chart" uri="{C3380CC4-5D6E-409C-BE32-E72D297353CC}">
              <c16:uniqueId val="{00000003-5428-4410-A70C-F3C808DF3959}"/>
            </c:ext>
          </c:extLst>
        </c:ser>
        <c:ser>
          <c:idx val="4"/>
          <c:order val="4"/>
          <c:tx>
            <c:strRef>
              <c:f>'244'!$U$34</c:f>
              <c:strCache>
                <c:ptCount val="1"/>
                <c:pt idx="0">
                  <c:v>Stg.3 Shroud Aft#22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'244'!$U$36:$U$58</c:f>
              <c:numCache>
                <c:formatCode>General</c:formatCode>
                <c:ptCount val="23"/>
                <c:pt idx="2" formatCode="0.000">
                  <c:v>417.28972167326043</c:v>
                </c:pt>
                <c:pt idx="3" formatCode="0.000">
                  <c:v>417.28972167326043</c:v>
                </c:pt>
              </c:numCache>
            </c:numRef>
          </c:val>
          <c:extLst>
            <c:ext xmlns:c16="http://schemas.microsoft.com/office/drawing/2014/chart" uri="{C3380CC4-5D6E-409C-BE32-E72D297353CC}">
              <c16:uniqueId val="{00000004-5428-4410-A70C-F3C808DF3959}"/>
            </c:ext>
          </c:extLst>
        </c:ser>
        <c:ser>
          <c:idx val="5"/>
          <c:order val="5"/>
          <c:tx>
            <c:strRef>
              <c:f>'244'!$V$34</c:f>
              <c:strCache>
                <c:ptCount val="1"/>
                <c:pt idx="0">
                  <c:v>Stg.3 Shroud Aft#21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'244'!$V$36:$V$58</c:f>
              <c:numCache>
                <c:formatCode>General</c:formatCode>
                <c:ptCount val="23"/>
                <c:pt idx="3" formatCode="0.000">
                  <c:v>417.30359841954191</c:v>
                </c:pt>
                <c:pt idx="4" formatCode="0.000">
                  <c:v>417.30359841954191</c:v>
                </c:pt>
              </c:numCache>
            </c:numRef>
          </c:val>
          <c:extLst>
            <c:ext xmlns:c16="http://schemas.microsoft.com/office/drawing/2014/chart" uri="{C3380CC4-5D6E-409C-BE32-E72D297353CC}">
              <c16:uniqueId val="{00000005-5428-4410-A70C-F3C808DF3959}"/>
            </c:ext>
          </c:extLst>
        </c:ser>
        <c:ser>
          <c:idx val="6"/>
          <c:order val="6"/>
          <c:tx>
            <c:strRef>
              <c:f>'244'!$W$34</c:f>
              <c:strCache>
                <c:ptCount val="1"/>
                <c:pt idx="0">
                  <c:v>Stg.3 Shroud Aft#20</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'244'!$W$36:$W$58</c:f>
              <c:numCache>
                <c:formatCode>General</c:formatCode>
                <c:ptCount val="23"/>
                <c:pt idx="4" formatCode="0.000">
                  <c:v>417.30398421262146</c:v>
                </c:pt>
                <c:pt idx="5" formatCode="0.000">
                  <c:v>417.30398421262146</c:v>
                </c:pt>
              </c:numCache>
            </c:numRef>
          </c:val>
          <c:extLst>
            <c:ext xmlns:c16="http://schemas.microsoft.com/office/drawing/2014/chart" uri="{C3380CC4-5D6E-409C-BE32-E72D297353CC}">
              <c16:uniqueId val="{00000006-5428-4410-A70C-F3C808DF3959}"/>
            </c:ext>
          </c:extLst>
        </c:ser>
        <c:ser>
          <c:idx val="7"/>
          <c:order val="7"/>
          <c:tx>
            <c:strRef>
              <c:f>'244'!$X$34</c:f>
              <c:strCache>
                <c:ptCount val="1"/>
                <c:pt idx="0">
                  <c:v>Stg.3 Shroud Aft#19</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'244'!$X$36:$X$58</c:f>
              <c:numCache>
                <c:formatCode>General</c:formatCode>
                <c:ptCount val="23"/>
                <c:pt idx="5" formatCode="0.000">
                  <c:v>417.29857710487852</c:v>
                </c:pt>
                <c:pt idx="6" formatCode="0.000">
                  <c:v>417.29857710487852</c:v>
                </c:pt>
              </c:numCache>
            </c:numRef>
          </c:val>
          <c:extLst>
            <c:ext xmlns:c16="http://schemas.microsoft.com/office/drawing/2014/chart" uri="{C3380CC4-5D6E-409C-BE32-E72D297353CC}">
              <c16:uniqueId val="{00000007-5428-4410-A70C-F3C808DF3959}"/>
            </c:ext>
          </c:extLst>
        </c:ser>
        <c:ser>
          <c:idx val="8"/>
          <c:order val="8"/>
          <c:tx>
            <c:strRef>
              <c:f>'244'!$Y$34</c:f>
              <c:strCache>
                <c:ptCount val="1"/>
                <c:pt idx="0">
                  <c:v>Stg.3 Shroud Aft#18</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'244'!$Y$36:$Y$58</c:f>
              <c:numCache>
                <c:formatCode>General</c:formatCode>
                <c:ptCount val="23"/>
                <c:pt idx="6" formatCode="0.000">
                  <c:v>417.29661026308975</c:v>
                </c:pt>
                <c:pt idx="7" formatCode="0.000">
                  <c:v>417.29661026308975</c:v>
                </c:pt>
              </c:numCache>
            </c:numRef>
          </c:val>
          <c:extLst>
            <c:ext xmlns:c16="http://schemas.microsoft.com/office/drawing/2014/chart" uri="{C3380CC4-5D6E-409C-BE32-E72D297353CC}">
              <c16:uniqueId val="{00000008-5428-4410-A70C-F3C808DF3959}"/>
            </c:ext>
          </c:extLst>
        </c:ser>
        <c:ser>
          <c:idx val="9"/>
          <c:order val="9"/>
          <c:tx>
            <c:strRef>
              <c:f>'244'!$Z$34</c:f>
              <c:strCache>
                <c:ptCount val="1"/>
                <c:pt idx="0">
                  <c:v>Stg.3 Shroud Aft#17</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'244'!$Z$36:$Z$58</c:f>
              <c:numCache>
                <c:formatCode>General</c:formatCode>
                <c:ptCount val="23"/>
                <c:pt idx="7" formatCode="0.000">
                  <c:v>417.30101814520413</c:v>
                </c:pt>
                <c:pt idx="8" formatCode="0.000">
                  <c:v>417.30101814520413</c:v>
                </c:pt>
              </c:numCache>
            </c:numRef>
          </c:val>
          <c:extLst>
            <c:ext xmlns:c16="http://schemas.microsoft.com/office/drawing/2014/chart" uri="{C3380CC4-5D6E-409C-BE32-E72D297353CC}">
              <c16:uniqueId val="{00000009-5428-4410-A70C-F3C808DF3959}"/>
            </c:ext>
          </c:extLst>
        </c:ser>
        <c:ser>
          <c:idx val="10"/>
          <c:order val="10"/>
          <c:tx>
            <c:strRef>
              <c:f>'244'!$AA$34</c:f>
              <c:strCache>
                <c:ptCount val="1"/>
                <c:pt idx="0">
                  <c:v>Stg.3 Shroud Aft#16</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'244'!$AA$36:$AA$58</c:f>
              <c:numCache>
                <c:formatCode>General</c:formatCode>
                <c:ptCount val="23"/>
                <c:pt idx="8" formatCode="0.000">
                  <c:v>417.30462214509282</c:v>
                </c:pt>
                <c:pt idx="9" formatCode="0.000">
                  <c:v>417.30462214509282</c:v>
                </c:pt>
              </c:numCache>
            </c:numRef>
          </c:val>
          <c:extLst>
            <c:ext xmlns:c16="http://schemas.microsoft.com/office/drawing/2014/chart" uri="{C3380CC4-5D6E-409C-BE32-E72D297353CC}">
              <c16:uniqueId val="{0000000A-5428-4410-A70C-F3C808DF3959}"/>
            </c:ext>
          </c:extLst>
        </c:ser>
        <c:ser>
          <c:idx val="11"/>
          <c:order val="11"/>
          <c:tx>
            <c:strRef>
              <c:f>'244'!$AB$34</c:f>
              <c:strCache>
                <c:ptCount val="1"/>
                <c:pt idx="0">
                  <c:v>Stg.3 Shroud Aft#15</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'244'!$AB$36:$AB$58</c:f>
              <c:numCache>
                <c:formatCode>General</c:formatCode>
                <c:ptCount val="23"/>
                <c:pt idx="9" formatCode="0.000">
                  <c:v>417.29964434857339</c:v>
                </c:pt>
                <c:pt idx="10" formatCode="0.000">
                  <c:v>417.29964434857339</c:v>
                </c:pt>
              </c:numCache>
            </c:numRef>
          </c:val>
          <c:extLst>
            <c:ext xmlns:c16="http://schemas.microsoft.com/office/drawing/2014/chart" uri="{C3380CC4-5D6E-409C-BE32-E72D297353CC}">
              <c16:uniqueId val="{0000000B-5428-4410-A70C-F3C808DF3959}"/>
            </c:ext>
          </c:extLst>
        </c:ser>
        <c:ser>
          <c:idx val="12"/>
          <c:order val="12"/>
          <c:tx>
            <c:strRef>
              <c:f>'244'!$AC$34</c:f>
              <c:strCache>
                <c:ptCount val="1"/>
                <c:pt idx="0">
                  <c:v>Stg.3 Shroud Aft#14</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'244'!$AC$36:$AC$58</c:f>
              <c:numCache>
                <c:formatCode>General</c:formatCode>
                <c:ptCount val="23"/>
                <c:pt idx="10" formatCode="0.000">
                  <c:v>417.29254551802069</c:v>
                </c:pt>
                <c:pt idx="11" formatCode="0.000">
                  <c:v>417.29254551802069</c:v>
                </c:pt>
              </c:numCache>
            </c:numRef>
          </c:val>
          <c:extLst>
            <c:ext xmlns:c16="http://schemas.microsoft.com/office/drawing/2014/chart" uri="{C3380CC4-5D6E-409C-BE32-E72D297353CC}">
              <c16:uniqueId val="{0000000C-5428-4410-A70C-F3C808DF3959}"/>
            </c:ext>
          </c:extLst>
        </c:ser>
        <c:ser>
          <c:idx val="13"/>
          <c:order val="13"/>
          <c:tx>
            <c:strRef>
              <c:f>'244'!$AD$34</c:f>
              <c:strCache>
                <c:ptCount val="1"/>
                <c:pt idx="0">
                  <c:v>Stg.3 Shroud Aft#13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'244'!$AD$36:$AD$58</c:f>
              <c:numCache>
                <c:formatCode>General</c:formatCode>
                <c:ptCount val="23"/>
                <c:pt idx="11" formatCode="0.000">
                  <c:v>417.28438944002528</c:v>
                </c:pt>
                <c:pt idx="12" formatCode="0.000">
                  <c:v>417.28438944002528</c:v>
                </c:pt>
              </c:numCache>
            </c:numRef>
          </c:val>
          <c:extLst>
            <c:ext xmlns:c16="http://schemas.microsoft.com/office/drawing/2014/chart" uri="{C3380CC4-5D6E-409C-BE32-E72D297353CC}">
              <c16:uniqueId val="{0000000D-5428-4410-A70C-F3C808DF3959}"/>
            </c:ext>
          </c:extLst>
        </c:ser>
        <c:ser>
          <c:idx val="14"/>
          <c:order val="14"/>
          <c:tx>
            <c:strRef>
              <c:f>'244'!$AE$34</c:f>
              <c:strCache>
                <c:ptCount val="1"/>
                <c:pt idx="0">
                  <c:v>Stg.3 Shroud Aft#12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'244'!$AE$36:$AE$58</c:f>
              <c:numCache>
                <c:formatCode>General</c:formatCode>
                <c:ptCount val="23"/>
                <c:pt idx="12" formatCode="0.000">
                  <c:v>417.26811870803408</c:v>
                </c:pt>
                <c:pt idx="13" formatCode="0.000">
                  <c:v>417.26811870803408</c:v>
                </c:pt>
              </c:numCache>
            </c:numRef>
          </c:val>
          <c:extLst>
            <c:ext xmlns:c16="http://schemas.microsoft.com/office/drawing/2014/chart" uri="{C3380CC4-5D6E-409C-BE32-E72D297353CC}">
              <c16:uniqueId val="{0000000E-5428-4410-A70C-F3C808DF3959}"/>
            </c:ext>
          </c:extLst>
        </c:ser>
        <c:ser>
          <c:idx val="15"/>
          <c:order val="15"/>
          <c:tx>
            <c:strRef>
              <c:f>'244'!$AF$34</c:f>
              <c:strCache>
                <c:ptCount val="1"/>
                <c:pt idx="0">
                  <c:v>Stg.3 Shroud Aft#11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'244'!$AF$36:$AF$58</c:f>
              <c:numCache>
                <c:formatCode>General</c:formatCode>
                <c:ptCount val="23"/>
                <c:pt idx="13" formatCode="0.000">
                  <c:v>417.2529052568309</c:v>
                </c:pt>
                <c:pt idx="14" formatCode="0.000">
                  <c:v>417.2529052568309</c:v>
                </c:pt>
              </c:numCache>
            </c:numRef>
          </c:val>
          <c:extLst>
            <c:ext xmlns:c16="http://schemas.microsoft.com/office/drawing/2014/chart" uri="{C3380CC4-5D6E-409C-BE32-E72D297353CC}">
              <c16:uniqueId val="{0000000F-5428-4410-A70C-F3C808DF3959}"/>
            </c:ext>
          </c:extLst>
        </c:ser>
        <c:ser>
          <c:idx val="16"/>
          <c:order val="16"/>
          <c:tx>
            <c:strRef>
              <c:f>'244'!$AG$34</c:f>
              <c:strCache>
                <c:ptCount val="1"/>
                <c:pt idx="0">
                  <c:v>Stg.3 Shroud Aft#10</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'244'!$AG$36:$AG$58</c:f>
              <c:numCache>
                <c:formatCode>General</c:formatCode>
                <c:ptCount val="23"/>
                <c:pt idx="14" formatCode="0.000">
                  <c:v>417.25394032444268</c:v>
                </c:pt>
                <c:pt idx="15" formatCode="0.000">
                  <c:v>417.25394032444268</c:v>
                </c:pt>
              </c:numCache>
            </c:numRef>
          </c:val>
          <c:extLst>
            <c:ext xmlns:c16="http://schemas.microsoft.com/office/drawing/2014/chart" uri="{C3380CC4-5D6E-409C-BE32-E72D297353CC}">
              <c16:uniqueId val="{00000010-5428-4410-A70C-F3C808DF3959}"/>
            </c:ext>
          </c:extLst>
        </c:ser>
        <c:ser>
          <c:idx val="17"/>
          <c:order val="17"/>
          <c:tx>
            <c:strRef>
              <c:f>'244'!$AH$34</c:f>
              <c:strCache>
                <c:ptCount val="1"/>
                <c:pt idx="0">
                  <c:v>Stg.3 Shroud Aft#9</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'244'!$AH$36:$AH$58</c:f>
              <c:numCache>
                <c:formatCode>General</c:formatCode>
                <c:ptCount val="23"/>
                <c:pt idx="15" formatCode="0.000">
                  <c:v>417.274532578209</c:v>
                </c:pt>
                <c:pt idx="16" formatCode="0.000">
                  <c:v>417.274532578209</c:v>
                </c:pt>
              </c:numCache>
            </c:numRef>
          </c:val>
          <c:extLst>
            <c:ext xmlns:c16="http://schemas.microsoft.com/office/drawing/2014/chart" uri="{C3380CC4-5D6E-409C-BE32-E72D297353CC}">
              <c16:uniqueId val="{00000011-5428-4410-A70C-F3C808DF3959}"/>
            </c:ext>
          </c:extLst>
        </c:ser>
        <c:ser>
          <c:idx val="18"/>
          <c:order val="18"/>
          <c:tx>
            <c:strRef>
              <c:f>'244'!$AI$34</c:f>
              <c:strCache>
                <c:ptCount val="1"/>
                <c:pt idx="0">
                  <c:v>Stg.3 Shroud Aft#8</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'244'!$AI$36:$AI$58</c:f>
              <c:numCache>
                <c:formatCode>General</c:formatCode>
                <c:ptCount val="23"/>
                <c:pt idx="16" formatCode="0.000">
                  <c:v>417.31008979770866</c:v>
                </c:pt>
                <c:pt idx="17" formatCode="0.000">
                  <c:v>417.31008979770866</c:v>
                </c:pt>
              </c:numCache>
            </c:numRef>
          </c:val>
          <c:extLst>
            <c:ext xmlns:c16="http://schemas.microsoft.com/office/drawing/2014/chart" uri="{C3380CC4-5D6E-409C-BE32-E72D297353CC}">
              <c16:uniqueId val="{00000012-5428-4410-A70C-F3C808DF3959}"/>
            </c:ext>
          </c:extLst>
        </c:ser>
        <c:ser>
          <c:idx val="19"/>
          <c:order val="19"/>
          <c:tx>
            <c:strRef>
              <c:f>'244'!$AJ$34</c:f>
              <c:strCache>
                <c:ptCount val="1"/>
                <c:pt idx="0">
                  <c:v>Stg.3 Shroud Aft#7</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'244'!$AJ$36:$AJ$58</c:f>
              <c:numCache>
                <c:formatCode>General</c:formatCode>
                <c:ptCount val="23"/>
                <c:pt idx="17" formatCode="0.000">
                  <c:v>417.33749547835612</c:v>
                </c:pt>
                <c:pt idx="18" formatCode="0.000">
                  <c:v>417.33749547835612</c:v>
                </c:pt>
              </c:numCache>
            </c:numRef>
          </c:val>
          <c:extLst>
            <c:ext xmlns:c16="http://schemas.microsoft.com/office/drawing/2014/chart" uri="{C3380CC4-5D6E-409C-BE32-E72D297353CC}">
              <c16:uniqueId val="{00000013-5428-4410-A70C-F3C808DF3959}"/>
            </c:ext>
          </c:extLst>
        </c:ser>
        <c:ser>
          <c:idx val="20"/>
          <c:order val="20"/>
          <c:tx>
            <c:strRef>
              <c:f>'244'!$AK$34</c:f>
              <c:strCache>
                <c:ptCount val="1"/>
                <c:pt idx="0">
                  <c:v>Stg.3 Shroud Aft#6</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'244'!$AK$36:$AK$58</c:f>
              <c:numCache>
                <c:formatCode>General</c:formatCode>
                <c:ptCount val="23"/>
                <c:pt idx="18" formatCode="0.000">
                  <c:v>417.33903173926967</c:v>
                </c:pt>
                <c:pt idx="19" formatCode="0.000">
                  <c:v>417.33903173926967</c:v>
                </c:pt>
              </c:numCache>
            </c:numRef>
          </c:val>
          <c:extLst>
            <c:ext xmlns:c16="http://schemas.microsoft.com/office/drawing/2014/chart" uri="{C3380CC4-5D6E-409C-BE32-E72D297353CC}">
              <c16:uniqueId val="{00000014-5428-4410-A70C-F3C808DF3959}"/>
            </c:ext>
          </c:extLst>
        </c:ser>
        <c:ser>
          <c:idx val="21"/>
          <c:order val="21"/>
          <c:tx>
            <c:strRef>
              <c:f>'244'!$AL$34</c:f>
              <c:strCache>
                <c:ptCount val="1"/>
                <c:pt idx="0">
                  <c:v>Stg.3 Shroud Aft#5</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'244'!$AL$36:$AL$58</c:f>
              <c:numCache>
                <c:formatCode>General</c:formatCode>
                <c:ptCount val="23"/>
                <c:pt idx="19" formatCode="0.000">
                  <c:v>417.31698840649233</c:v>
                </c:pt>
                <c:pt idx="20" formatCode="0.000">
                  <c:v>417.31698840649233</c:v>
                </c:pt>
              </c:numCache>
            </c:numRef>
          </c:val>
          <c:extLst>
            <c:ext xmlns:c16="http://schemas.microsoft.com/office/drawing/2014/chart" uri="{C3380CC4-5D6E-409C-BE32-E72D297353CC}">
              <c16:uniqueId val="{00000015-5428-4410-A70C-F3C808DF3959}"/>
            </c:ext>
          </c:extLst>
        </c:ser>
        <c:ser>
          <c:idx val="22"/>
          <c:order val="22"/>
          <c:tx>
            <c:strRef>
              <c:f>'244'!$AM$34</c:f>
              <c:strCache>
                <c:ptCount val="1"/>
                <c:pt idx="0">
                  <c:v>Stg.3 Shroud Aft#4</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'244'!$AM$36:$AM$58</c:f>
              <c:numCache>
                <c:formatCode>General</c:formatCode>
                <c:ptCount val="23"/>
                <c:pt idx="20" formatCode="0.000">
                  <c:v>417.27815168194087</c:v>
                </c:pt>
                <c:pt idx="21" formatCode="0.000">
                  <c:v>417.27815168194087</c:v>
                </c:pt>
              </c:numCache>
            </c:numRef>
          </c:val>
          <c:extLst>
            <c:ext xmlns:c16="http://schemas.microsoft.com/office/drawing/2014/chart" uri="{C3380CC4-5D6E-409C-BE32-E72D297353CC}">
              <c16:uniqueId val="{00000016-5428-4410-A70C-F3C808DF3959}"/>
            </c:ext>
          </c:extLst>
        </c:ser>
        <c:ser>
          <c:idx val="23"/>
          <c:order val="23"/>
          <c:tx>
            <c:strRef>
              <c:f>'244'!$AN$34</c:f>
              <c:strCache>
                <c:ptCount val="1"/>
                <c:pt idx="0">
                  <c:v>Stg.3 Shroud Aft#3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'244'!$AN$36:$AN$58</c:f>
              <c:numCache>
                <c:formatCode>General</c:formatCode>
                <c:ptCount val="23"/>
                <c:pt idx="21" formatCode="0.000">
                  <c:v>417.24245791403439</c:v>
                </c:pt>
                <c:pt idx="22" formatCode="0.000">
                  <c:v>417.24245791403439</c:v>
                </c:pt>
              </c:numCache>
            </c:numRef>
          </c:val>
          <c:extLst>
            <c:ext xmlns:c16="http://schemas.microsoft.com/office/drawing/2014/chart" uri="{C3380CC4-5D6E-409C-BE32-E72D297353CC}">
              <c16:uniqueId val="{00000017-5428-4410-A70C-F3C808DF3959}"/>
            </c:ext>
          </c:extLst>
        </c:ser>
        <c:ser>
          <c:idx val="24"/>
          <c:order val="24"/>
          <c:tx>
            <c:strRef>
              <c:f>'244'!$AO$34</c:f>
              <c:strCache>
                <c:ptCount val="1"/>
                <c:pt idx="0">
                  <c:v>Stg.3 Shroud Aft#2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'244'!$AO$36:$AO$58</c:f>
              <c:numCache>
                <c:formatCode>General</c:formatCode>
                <c:ptCount val="23"/>
                <c:pt idx="0" formatCode="0.000">
                  <c:v>417.22345011906833</c:v>
                </c:pt>
                <c:pt idx="22" formatCode="0.000">
                  <c:v>417.22345011906833</c:v>
                </c:pt>
              </c:numCache>
            </c:numRef>
          </c:val>
          <c:extLst>
            <c:ext xmlns:c16="http://schemas.microsoft.com/office/drawing/2014/chart" uri="{C3380CC4-5D6E-409C-BE32-E72D297353CC}">
              <c16:uniqueId val="{00000018-5428-4410-A70C-F3C808DF3959}"/>
            </c:ext>
          </c:extLst>
        </c:ser>
        <c:dLbls>
          <c:showLegendKey val="0"/>
          <c:showVal val="0"/>
          <c:showCatName val="0"/>
          <c:showSerName val="0"/>
          <c:showPercent val="0"/>
          <c:showBubbleSize val="0"/>
        </c:dLbls>
        <c:axId val="173703680"/>
        <c:axId val="174144832"/>
      </c:radarChart>
      <c:catAx>
        <c:axId val="17370368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4144832"/>
        <c:crosses val="autoZero"/>
        <c:auto val="1"/>
        <c:lblAlgn val="ctr"/>
        <c:lblOffset val="100"/>
        <c:noMultiLvlLbl val="0"/>
      </c:catAx>
      <c:valAx>
        <c:axId val="17414483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3703680"/>
        <c:crosses val="autoZero"/>
        <c:crossBetween val="between"/>
        <c:majorUnit val="5.000000000000001E-2"/>
      </c:valAx>
    </c:plotArea>
    <c:legend>
      <c:legendPos val="r"/>
      <c:layout>
        <c:manualLayout>
          <c:xMode val="edge"/>
          <c:yMode val="edge"/>
          <c:x val="0.75693147025290097"/>
          <c:y val="0"/>
          <c:w val="0.23186852904158714"/>
          <c:h val="1"/>
        </c:manualLayout>
      </c:layout>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'244'!$AP$92</c:f>
              <c:strCache>
                <c:ptCount val="1"/>
                <c:pt idx="0">
                  <c:v>Step Min</c:v>
                </c:pt>
              </c:strCache>
            </c:strRef>
          </c:tx>
          <c:spPr>
            <a:ln w="28575">
              <a:prstDash val="dash"/>
            </a:ln>
          </c:spPr>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'244'!$AP$94:$AP$116</c:f>
              <c:numCache>
                <c:formatCode>General</c:formatCode>
                <c:ptCount val="23"/>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numCache>
            </c:numRef>
          </c:val>
          <c:extLst>
            <c:ext xmlns:c16="http://schemas.microsoft.com/office/drawing/2014/chart" uri="{C3380CC4-5D6E-409C-BE32-E72D297353CC}">
              <c16:uniqueId val="{00000000-4931-4188-89FC-8698D11B6E0D}"/>
            </c:ext>
          </c:extLst>
        </c:ser>
        <c:ser>
          <c:idx val="1"/>
          <c:order val="1"/>
          <c:tx>
            <c:strRef>
              <c:f>'244'!$AQ$92</c:f>
              <c:strCache>
                <c:ptCount val="1"/>
                <c:pt idx="0">
                  <c:v>Step Max</c:v>
                </c:pt>
              </c:strCache>
            </c:strRef>
          </c:tx>
          <c:spPr>
            <a:ln w="28575">
              <a:prstDash val="dash"/>
            </a:ln>
          </c:spPr>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'244'!$AQ$94:$AQ$116</c:f>
              <c:numCache>
                <c:formatCode>General</c:formatCode>
                <c:ptCount val="23"/>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numCache>
            </c:numRef>
          </c:val>
          <c:extLst>
            <c:ext xmlns:c16="http://schemas.microsoft.com/office/drawing/2014/chart" uri="{C3380CC4-5D6E-409C-BE32-E72D297353CC}">
              <c16:uniqueId val="{00000001-4931-4188-89FC-8698D11B6E0D}"/>
            </c:ext>
          </c:extLst>
        </c:ser>
        <c:ser>
          <c:idx val="2"/>
          <c:order val="2"/>
          <c:tx>
            <c:strRef>
              <c:f>'244'!$S$92</c:f>
              <c:strCache>
                <c:ptCount val="1"/>
                <c:pt idx="0">
                  <c:v>Stg.3 Shroud Step#1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'244'!$S$94:$S$116</c:f>
              <c:numCache>
                <c:formatCode>0.000_ </c:formatCode>
                <c:ptCount val="23"/>
                <c:pt idx="0">
                  <c:v>-4.4114787073112893E-2</c:v>
                </c:pt>
                <c:pt idx="1">
                  <c:v>-4.4114787073112893E-2</c:v>
                </c:pt>
              </c:numCache>
            </c:numRef>
          </c:val>
          <c:extLst>
            <c:ext xmlns:c16="http://schemas.microsoft.com/office/drawing/2014/chart" uri="{C3380CC4-5D6E-409C-BE32-E72D297353CC}">
              <c16:uniqueId val="{00000002-4931-4188-89FC-8698D11B6E0D}"/>
            </c:ext>
          </c:extLst>
        </c:ser>
        <c:ser>
          <c:idx val="3"/>
          <c:order val="3"/>
          <c:tx>
            <c:strRef>
              <c:f>'244'!$T$92</c:f>
              <c:strCache>
                <c:ptCount val="1"/>
                <c:pt idx="0">
                  <c:v>Stg.3 Shroud Step#23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'244'!$T$94:$T$116</c:f>
              <c:numCache>
                <c:formatCode>0.000_ </c:formatCode>
                <c:ptCount val="23"/>
                <c:pt idx="1">
                  <c:v>-2.7714713029411087E-2</c:v>
                </c:pt>
                <c:pt idx="2">
                  <c:v>-2.7714713029411087E-2</c:v>
                </c:pt>
              </c:numCache>
            </c:numRef>
          </c:val>
          <c:extLst>
            <c:ext xmlns:c16="http://schemas.microsoft.com/office/drawing/2014/chart" uri="{C3380CC4-5D6E-409C-BE32-E72D297353CC}">
              <c16:uniqueId val="{00000003-4931-4188-89FC-8698D11B6E0D}"/>
            </c:ext>
          </c:extLst>
        </c:ser>
        <c:ser>
          <c:idx val="4"/>
          <c:order val="4"/>
          <c:tx>
            <c:strRef>
              <c:f>'244'!$U$92</c:f>
              <c:strCache>
                <c:ptCount val="1"/>
                <c:pt idx="0">
                  <c:v>Stg.3 Shroud Step#22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'244'!$U$94:$U$116</c:f>
              <c:numCache>
                <c:formatCode>0.000_ </c:formatCode>
                <c:ptCount val="23"/>
                <c:pt idx="2">
                  <c:v>-1.9476653183346571E-2</c:v>
                </c:pt>
                <c:pt idx="3">
                  <c:v>-1.9476653183346571E-2</c:v>
                </c:pt>
              </c:numCache>
            </c:numRef>
          </c:val>
          <c:extLst>
            <c:ext xmlns:c16="http://schemas.microsoft.com/office/drawing/2014/chart" uri="{C3380CC4-5D6E-409C-BE32-E72D297353CC}">
              <c16:uniqueId val="{00000004-4931-4188-89FC-8698D11B6E0D}"/>
            </c:ext>
          </c:extLst>
        </c:ser>
        <c:ser>
          <c:idx val="5"/>
          <c:order val="5"/>
          <c:tx>
            <c:strRef>
              <c:f>'244'!$V$92</c:f>
              <c:strCache>
                <c:ptCount val="1"/>
                <c:pt idx="0">
                  <c:v>Stg.3 Shroud Step#21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'244'!$V$94:$V$116</c:f>
              <c:numCache>
                <c:formatCode>0.000_ </c:formatCode>
                <c:ptCount val="23"/>
                <c:pt idx="3">
                  <c:v>-1.7899557578175518E-2</c:v>
                </c:pt>
                <c:pt idx="4">
                  <c:v>-1.7899557578175518E-2</c:v>
                </c:pt>
              </c:numCache>
            </c:numRef>
          </c:val>
          <c:extLst>
            <c:ext xmlns:c16="http://schemas.microsoft.com/office/drawing/2014/chart" uri="{C3380CC4-5D6E-409C-BE32-E72D297353CC}">
              <c16:uniqueId val="{00000005-4931-4188-89FC-8698D11B6E0D}"/>
            </c:ext>
          </c:extLst>
        </c:ser>
        <c:ser>
          <c:idx val="6"/>
          <c:order val="6"/>
          <c:tx>
            <c:strRef>
              <c:f>'244'!$W$92</c:f>
              <c:strCache>
                <c:ptCount val="1"/>
                <c:pt idx="0">
                  <c:v>Stg.3 Shroud Step#20</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'244'!$W$94:$W$116</c:f>
              <c:numCache>
                <c:formatCode>0.000_ </c:formatCode>
                <c:ptCount val="23"/>
                <c:pt idx="4">
                  <c:v>-2.2743828434329316E-2</c:v>
                </c:pt>
                <c:pt idx="5">
                  <c:v>-2.2743828434329316E-2</c:v>
                </c:pt>
              </c:numCache>
            </c:numRef>
          </c:val>
          <c:extLst>
            <c:ext xmlns:c16="http://schemas.microsoft.com/office/drawing/2014/chart" uri="{C3380CC4-5D6E-409C-BE32-E72D297353CC}">
              <c16:uniqueId val="{00000006-4931-4188-89FC-8698D11B6E0D}"/>
            </c:ext>
          </c:extLst>
        </c:ser>
        <c:ser>
          <c:idx val="7"/>
          <c:order val="7"/>
          <c:tx>
            <c:strRef>
              <c:f>'244'!$X$92</c:f>
              <c:strCache>
                <c:ptCount val="1"/>
                <c:pt idx="0">
                  <c:v>Stg.3 Shroud Step#19</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'244'!$X$94:$X$116</c:f>
              <c:numCache>
                <c:formatCode>0.000_ </c:formatCode>
                <c:ptCount val="23"/>
                <c:pt idx="5">
                  <c:v>-3.0379445924722859E-2</c:v>
                </c:pt>
                <c:pt idx="6">
                  <c:v>-3.0379445924722859E-2</c:v>
                </c:pt>
              </c:numCache>
            </c:numRef>
          </c:val>
          <c:extLst>
            <c:ext xmlns:c16="http://schemas.microsoft.com/office/drawing/2014/chart" uri="{C3380CC4-5D6E-409C-BE32-E72D297353CC}">
              <c16:uniqueId val="{00000007-4931-4188-89FC-8698D11B6E0D}"/>
            </c:ext>
          </c:extLst>
        </c:ser>
        <c:ser>
          <c:idx val="8"/>
          <c:order val="8"/>
          <c:tx>
            <c:strRef>
              <c:f>'244'!$Y$92</c:f>
              <c:strCache>
                <c:ptCount val="1"/>
                <c:pt idx="0">
                  <c:v>Stg.3 Shroud Step#18</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'244'!$Y$94:$Y$116</c:f>
              <c:numCache>
                <c:formatCode>0.000_ </c:formatCode>
                <c:ptCount val="23"/>
                <c:pt idx="6">
                  <c:v>-3.1779497264324164E-2</c:v>
                </c:pt>
                <c:pt idx="7">
                  <c:v>-3.1779497264324164E-2</c:v>
                </c:pt>
              </c:numCache>
            </c:numRef>
          </c:val>
          <c:extLst>
            <c:ext xmlns:c16="http://schemas.microsoft.com/office/drawing/2014/chart" uri="{C3380CC4-5D6E-409C-BE32-E72D297353CC}">
              <c16:uniqueId val="{00000008-4931-4188-89FC-8698D11B6E0D}"/>
            </c:ext>
          </c:extLst>
        </c:ser>
        <c:ser>
          <c:idx val="9"/>
          <c:order val="9"/>
          <c:tx>
            <c:strRef>
              <c:f>'244'!$Z$92</c:f>
              <c:strCache>
                <c:ptCount val="1"/>
                <c:pt idx="0">
                  <c:v>Stg.3 Shroud Step#17</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'244'!$Z$94:$Z$116</c:f>
              <c:numCache>
                <c:formatCode>0.000_ </c:formatCode>
                <c:ptCount val="23"/>
                <c:pt idx="7">
                  <c:v>-2.6154990027123404E-2</c:v>
                </c:pt>
                <c:pt idx="8">
                  <c:v>-2.6154990027123404E-2</c:v>
                </c:pt>
              </c:numCache>
            </c:numRef>
          </c:val>
          <c:extLst>
            <c:ext xmlns:c16="http://schemas.microsoft.com/office/drawing/2014/chart" uri="{C3380CC4-5D6E-409C-BE32-E72D297353CC}">
              <c16:uniqueId val="{00000009-4931-4188-89FC-8698D11B6E0D}"/>
            </c:ext>
          </c:extLst>
        </c:ser>
        <c:ser>
          <c:idx val="10"/>
          <c:order val="10"/>
          <c:tx>
            <c:strRef>
              <c:f>'244'!$AA$92</c:f>
              <c:strCache>
                <c:ptCount val="1"/>
                <c:pt idx="0">
                  <c:v>Stg.3 Shroud Step#16</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'244'!$AA$94:$AA$116</c:f>
              <c:numCache>
                <c:formatCode>0.000_ </c:formatCode>
                <c:ptCount val="23"/>
                <c:pt idx="8">
                  <c:v>-2.0032844059699073E-2</c:v>
                </c:pt>
                <c:pt idx="9">
                  <c:v>-2.0032844059699073E-2</c:v>
                </c:pt>
              </c:numCache>
            </c:numRef>
          </c:val>
          <c:extLst>
            <c:ext xmlns:c16="http://schemas.microsoft.com/office/drawing/2014/chart" uri="{C3380CC4-5D6E-409C-BE32-E72D297353CC}">
              <c16:uniqueId val="{0000000A-4931-4188-89FC-8698D11B6E0D}"/>
            </c:ext>
          </c:extLst>
        </c:ser>
        <c:ser>
          <c:idx val="11"/>
          <c:order val="11"/>
          <c:tx>
            <c:strRef>
              <c:f>'244'!$AB$92</c:f>
              <c:strCache>
                <c:ptCount val="1"/>
                <c:pt idx="0">
                  <c:v>Stg.3 Shroud Step#15</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'244'!$AB$94:$AB$116</c:f>
              <c:numCache>
                <c:formatCode>0.000_ </c:formatCode>
                <c:ptCount val="23"/>
                <c:pt idx="9">
                  <c:v>-1.6752581587695659E-2</c:v>
                </c:pt>
                <c:pt idx="10">
                  <c:v>-1.6752581587695659E-2</c:v>
                </c:pt>
              </c:numCache>
            </c:numRef>
          </c:val>
          <c:extLst>
            <c:ext xmlns:c16="http://schemas.microsoft.com/office/drawing/2014/chart" uri="{C3380CC4-5D6E-409C-BE32-E72D297353CC}">
              <c16:uniqueId val="{0000000B-4931-4188-89FC-8698D11B6E0D}"/>
            </c:ext>
          </c:extLst>
        </c:ser>
        <c:ser>
          <c:idx val="12"/>
          <c:order val="12"/>
          <c:tx>
            <c:strRef>
              <c:f>'244'!$AC$92</c:f>
              <c:strCache>
                <c:ptCount val="1"/>
                <c:pt idx="0">
                  <c:v>Stg.3 Shroud Step#14</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'244'!$AC$94:$AC$116</c:f>
              <c:numCache>
                <c:formatCode>0.000_ </c:formatCode>
                <c:ptCount val="23"/>
                <c:pt idx="10">
                  <c:v>-1.4694078701893432E-2</c:v>
                </c:pt>
                <c:pt idx="11">
                  <c:v>-1.4694078701893432E-2</c:v>
                </c:pt>
              </c:numCache>
            </c:numRef>
          </c:val>
          <c:extLst>
            <c:ext xmlns:c16="http://schemas.microsoft.com/office/drawing/2014/chart" uri="{C3380CC4-5D6E-409C-BE32-E72D297353CC}">
              <c16:uniqueId val="{0000000C-4931-4188-89FC-8698D11B6E0D}"/>
            </c:ext>
          </c:extLst>
        </c:ser>
        <c:ser>
          <c:idx val="13"/>
          <c:order val="13"/>
          <c:tx>
            <c:strRef>
              <c:f>'244'!$AD$92</c:f>
              <c:strCache>
                <c:ptCount val="1"/>
                <c:pt idx="0">
                  <c:v>Stg.3 Shroud Step#13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'244'!$AD$94:$AD$116</c:f>
              <c:numCache>
                <c:formatCode>0.000_ </c:formatCode>
                <c:ptCount val="23"/>
                <c:pt idx="11">
                  <c:v>-1.3935549127552349E-2</c:v>
                </c:pt>
                <c:pt idx="12">
                  <c:v>-1.3935549127552349E-2</c:v>
                </c:pt>
              </c:numCache>
            </c:numRef>
          </c:val>
          <c:extLst>
            <c:ext xmlns:c16="http://schemas.microsoft.com/office/drawing/2014/chart" uri="{C3380CC4-5D6E-409C-BE32-E72D297353CC}">
              <c16:uniqueId val="{0000000D-4931-4188-89FC-8698D11B6E0D}"/>
            </c:ext>
          </c:extLst>
        </c:ser>
        <c:ser>
          <c:idx val="14"/>
          <c:order val="14"/>
          <c:tx>
            <c:strRef>
              <c:f>'244'!$AE$92</c:f>
              <c:strCache>
                <c:ptCount val="1"/>
                <c:pt idx="0">
                  <c:v>Stg.3 Shroud Step#12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'244'!$AE$94:$AE$116</c:f>
              <c:numCache>
                <c:formatCode>0.000_ </c:formatCode>
                <c:ptCount val="23"/>
                <c:pt idx="12">
                  <c:v>-1.7442599590879126E-2</c:v>
                </c:pt>
                <c:pt idx="13">
                  <c:v>-1.7442599590879126E-2</c:v>
                </c:pt>
              </c:numCache>
            </c:numRef>
          </c:val>
          <c:extLst>
            <c:ext xmlns:c16="http://schemas.microsoft.com/office/drawing/2014/chart" uri="{C3380CC4-5D6E-409C-BE32-E72D297353CC}">
              <c16:uniqueId val="{0000000E-4931-4188-89FC-8698D11B6E0D}"/>
            </c:ext>
          </c:extLst>
        </c:ser>
        <c:ser>
          <c:idx val="15"/>
          <c:order val="15"/>
          <c:tx>
            <c:strRef>
              <c:f>'244'!$AF$92</c:f>
              <c:strCache>
                <c:ptCount val="1"/>
                <c:pt idx="0">
                  <c:v>Stg.3 Shroud Step#11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'244'!$AF$94:$AF$116</c:f>
              <c:numCache>
                <c:formatCode>0.000_ </c:formatCode>
                <c:ptCount val="23"/>
                <c:pt idx="13">
                  <c:v>-2.8345307151482757E-2</c:v>
                </c:pt>
                <c:pt idx="14">
                  <c:v>-2.8345307151482757E-2</c:v>
                </c:pt>
              </c:numCache>
            </c:numRef>
          </c:val>
          <c:extLst>
            <c:ext xmlns:c16="http://schemas.microsoft.com/office/drawing/2014/chart" uri="{C3380CC4-5D6E-409C-BE32-E72D297353CC}">
              <c16:uniqueId val="{0000000F-4931-4188-89FC-8698D11B6E0D}"/>
            </c:ext>
          </c:extLst>
        </c:ser>
        <c:ser>
          <c:idx val="16"/>
          <c:order val="16"/>
          <c:tx>
            <c:strRef>
              <c:f>'244'!$AG$92</c:f>
              <c:strCache>
                <c:ptCount val="1"/>
                <c:pt idx="0">
                  <c:v>Stg.3 Shroud Step#10</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'244'!$AG$94:$AG$116</c:f>
              <c:numCache>
                <c:formatCode>0.000_ </c:formatCode>
                <c:ptCount val="23"/>
                <c:pt idx="14">
                  <c:v>-3.6698740401106988E-2</c:v>
                </c:pt>
                <c:pt idx="15">
                  <c:v>-3.6698740401106988E-2</c:v>
                </c:pt>
              </c:numCache>
            </c:numRef>
          </c:val>
          <c:extLst>
            <c:ext xmlns:c16="http://schemas.microsoft.com/office/drawing/2014/chart" uri="{C3380CC4-5D6E-409C-BE32-E72D297353CC}">
              <c16:uniqueId val="{00000010-4931-4188-89FC-8698D11B6E0D}"/>
            </c:ext>
          </c:extLst>
        </c:ser>
        <c:ser>
          <c:idx val="17"/>
          <c:order val="17"/>
          <c:tx>
            <c:strRef>
              <c:f>'244'!$AH$92</c:f>
              <c:strCache>
                <c:ptCount val="1"/>
                <c:pt idx="0">
                  <c:v>Stg.3 Shroud Step#9</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'244'!$AH$94:$AH$116</c:f>
              <c:numCache>
                <c:formatCode>0.000_ </c:formatCode>
                <c:ptCount val="23"/>
                <c:pt idx="15">
                  <c:v>-3.2935230589657749E-2</c:v>
                </c:pt>
                <c:pt idx="16">
                  <c:v>-3.2935230589657749E-2</c:v>
                </c:pt>
              </c:numCache>
            </c:numRef>
          </c:val>
          <c:extLst>
            <c:ext xmlns:c16="http://schemas.microsoft.com/office/drawing/2014/chart" uri="{C3380CC4-5D6E-409C-BE32-E72D297353CC}">
              <c16:uniqueId val="{00000011-4931-4188-89FC-8698D11B6E0D}"/>
            </c:ext>
          </c:extLst>
        </c:ser>
        <c:ser>
          <c:idx val="18"/>
          <c:order val="18"/>
          <c:tx>
            <c:strRef>
              <c:f>'244'!$AI$92</c:f>
              <c:strCache>
                <c:ptCount val="1"/>
                <c:pt idx="0">
                  <c:v>Stg.3 Shroud Step#8</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'244'!$AI$94:$AI$116</c:f>
              <c:numCache>
                <c:formatCode>0.000_ </c:formatCode>
                <c:ptCount val="23"/>
                <c:pt idx="16">
                  <c:v>-2.3600871457233552E-2</c:v>
                </c:pt>
                <c:pt idx="17">
                  <c:v>-2.3600871457233552E-2</c:v>
                </c:pt>
              </c:numCache>
            </c:numRef>
          </c:val>
          <c:extLst>
            <c:ext xmlns:c16="http://schemas.microsoft.com/office/drawing/2014/chart" uri="{C3380CC4-5D6E-409C-BE32-E72D297353CC}">
              <c16:uniqueId val="{00000012-4931-4188-89FC-8698D11B6E0D}"/>
            </c:ext>
          </c:extLst>
        </c:ser>
        <c:ser>
          <c:idx val="19"/>
          <c:order val="19"/>
          <c:tx>
            <c:strRef>
              <c:f>'244'!$AJ$92</c:f>
              <c:strCache>
                <c:ptCount val="1"/>
                <c:pt idx="0">
                  <c:v>Stg.3 Shroud Step#7</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'244'!$AJ$94:$AJ$116</c:f>
              <c:numCache>
                <c:formatCode>0.000_ </c:formatCode>
                <c:ptCount val="23"/>
                <c:pt idx="17">
                  <c:v>-1.6118232511587394E-2</c:v>
                </c:pt>
                <c:pt idx="18">
                  <c:v>-1.6118232511587394E-2</c:v>
                </c:pt>
              </c:numCache>
            </c:numRef>
          </c:val>
          <c:extLst>
            <c:ext xmlns:c16="http://schemas.microsoft.com/office/drawing/2014/chart" uri="{C3380CC4-5D6E-409C-BE32-E72D297353CC}">
              <c16:uniqueId val="{00000013-4931-4188-89FC-8698D11B6E0D}"/>
            </c:ext>
          </c:extLst>
        </c:ser>
        <c:ser>
          <c:idx val="20"/>
          <c:order val="20"/>
          <c:tx>
            <c:strRef>
              <c:f>'244'!$AK$92</c:f>
              <c:strCache>
                <c:ptCount val="1"/>
                <c:pt idx="0">
                  <c:v>Stg.3 Shroud Step#6</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'244'!$AK$94:$AK$116</c:f>
              <c:numCache>
                <c:formatCode>0.000_ </c:formatCode>
                <c:ptCount val="23"/>
                <c:pt idx="18">
                  <c:v>-1.5250552678935492E-2</c:v>
                </c:pt>
                <c:pt idx="19">
                  <c:v>-1.5250552678935492E-2</c:v>
                </c:pt>
              </c:numCache>
            </c:numRef>
          </c:val>
          <c:extLst>
            <c:ext xmlns:c16="http://schemas.microsoft.com/office/drawing/2014/chart" uri="{C3380CC4-5D6E-409C-BE32-E72D297353CC}">
              <c16:uniqueId val="{00000014-4931-4188-89FC-8698D11B6E0D}"/>
            </c:ext>
          </c:extLst>
        </c:ser>
        <c:ser>
          <c:idx val="21"/>
          <c:order val="21"/>
          <c:tx>
            <c:strRef>
              <c:f>'244'!$AL$92</c:f>
              <c:strCache>
                <c:ptCount val="1"/>
                <c:pt idx="0">
                  <c:v>Stg.3 Shroud Step#5</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'244'!$AL$94:$AL$116</c:f>
              <c:numCache>
                <c:formatCode>0.000_ </c:formatCode>
                <c:ptCount val="23"/>
                <c:pt idx="19">
                  <c:v>-2.360464394206474E-2</c:v>
                </c:pt>
                <c:pt idx="20">
                  <c:v>-2.360464394206474E-2</c:v>
                </c:pt>
              </c:numCache>
            </c:numRef>
          </c:val>
          <c:extLst>
            <c:ext xmlns:c16="http://schemas.microsoft.com/office/drawing/2014/chart" uri="{C3380CC4-5D6E-409C-BE32-E72D297353CC}">
              <c16:uniqueId val="{00000015-4931-4188-89FC-8698D11B6E0D}"/>
            </c:ext>
          </c:extLst>
        </c:ser>
        <c:ser>
          <c:idx val="22"/>
          <c:order val="22"/>
          <c:tx>
            <c:strRef>
              <c:f>'244'!$AM$92</c:f>
              <c:strCache>
                <c:ptCount val="1"/>
                <c:pt idx="0">
                  <c:v>Stg.3 Shroud Step#4</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'244'!$AM$94:$AM$116</c:f>
              <c:numCache>
                <c:formatCode>0.000_ </c:formatCode>
                <c:ptCount val="23"/>
                <c:pt idx="20">
                  <c:v>-3.5646558762664426E-2</c:v>
                </c:pt>
                <c:pt idx="21">
                  <c:v>-3.5646558762664426E-2</c:v>
                </c:pt>
              </c:numCache>
            </c:numRef>
          </c:val>
          <c:extLst>
            <c:ext xmlns:c16="http://schemas.microsoft.com/office/drawing/2014/chart" uri="{C3380CC4-5D6E-409C-BE32-E72D297353CC}">
              <c16:uniqueId val="{00000016-4931-4188-89FC-8698D11B6E0D}"/>
            </c:ext>
          </c:extLst>
        </c:ser>
        <c:ser>
          <c:idx val="23"/>
          <c:order val="23"/>
          <c:tx>
            <c:strRef>
              <c:f>'244'!$AN$92</c:f>
              <c:strCache>
                <c:ptCount val="1"/>
                <c:pt idx="0">
                  <c:v>Stg.3 Shroud Step#3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'244'!$AN$94:$AN$116</c:f>
              <c:numCache>
                <c:formatCode>0.000_ </c:formatCode>
                <c:ptCount val="23"/>
                <c:pt idx="21">
                  <c:v>-4.4803107535130948E-2</c:v>
                </c:pt>
                <c:pt idx="22">
                  <c:v>-4.4803107535130948E-2</c:v>
                </c:pt>
              </c:numCache>
            </c:numRef>
          </c:val>
          <c:extLst>
            <c:ext xmlns:c16="http://schemas.microsoft.com/office/drawing/2014/chart" uri="{C3380CC4-5D6E-409C-BE32-E72D297353CC}">
              <c16:uniqueId val="{00000017-4931-4188-89FC-8698D11B6E0D}"/>
            </c:ext>
          </c:extLst>
        </c:ser>
        <c:ser>
          <c:idx val="24"/>
          <c:order val="24"/>
          <c:tx>
            <c:strRef>
              <c:f>'244'!$AO$92</c:f>
              <c:strCache>
                <c:ptCount val="1"/>
                <c:pt idx="0">
                  <c:v>Stg.3 Shroud Step#2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'244'!$AO$94:$AO$116</c:f>
              <c:numCache>
                <c:formatCode>0.000_ </c:formatCode>
                <c:ptCount val="23"/>
                <c:pt idx="0">
                  <c:v>-5.1711918843011517E-2</c:v>
                </c:pt>
                <c:pt idx="22">
                  <c:v>-5.1711918843011517E-2</c:v>
                </c:pt>
              </c:numCache>
            </c:numRef>
          </c:val>
          <c:extLst>
            <c:ext xmlns:c16="http://schemas.microsoft.com/office/drawing/2014/chart" uri="{C3380CC4-5D6E-409C-BE32-E72D297353CC}">
              <c16:uniqueId val="{00000018-4931-4188-89FC-8698D11B6E0D}"/>
            </c:ext>
          </c:extLst>
        </c:ser>
        <c:dLbls>
          <c:showLegendKey val="0"/>
          <c:showVal val="0"/>
          <c:showCatName val="0"/>
          <c:showSerName val="0"/>
          <c:showPercent val="0"/>
          <c:showBubbleSize val="0"/>
        </c:dLbls>
        <c:axId val="173704704"/>
        <c:axId val="174143680"/>
      </c:radarChart>
      <c:catAx>
        <c:axId val="17370470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4143680"/>
        <c:crosses val="autoZero"/>
        <c:auto val="1"/>
        <c:lblAlgn val="ctr"/>
        <c:lblOffset val="100"/>
        <c:noMultiLvlLbl val="0"/>
      </c:catAx>
      <c:valAx>
        <c:axId val="17414368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3704704"/>
        <c:crosses val="autoZero"/>
        <c:crossBetween val="between"/>
        <c:majorUnit val="5.000000000000001E-2"/>
      </c:valAx>
    </c:plotArea>
    <c:legend>
      <c:legendPos val="r"/>
      <c:layout>
        <c:manualLayout>
          <c:xMode val="edge"/>
          <c:yMode val="edge"/>
          <c:x val="0.7560631385983716"/>
          <c:y val="0"/>
          <c:w val="0.23273686234231078"/>
          <c:h val="1"/>
        </c:manualLayout>
      </c:layout>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'245'!$K$9</c:f>
              <c:strCache>
                <c:ptCount val="1"/>
                <c:pt idx="0">
                  <c:v>JIG</c:v>
                </c:pt>
              </c:strCache>
            </c:strRef>
          </c:tx>
          <c:marker>
            <c:symbol val="none"/>
          </c:marker>
          <c:cat>
            <c:numRef>
              <c:f>'245'!$J$11:$J$18</c:f>
              <c:numCache>
                <c:formatCode>General</c:formatCode>
                <c:ptCount val="8"/>
                <c:pt idx="0">
                  <c:v>1</c:v>
                </c:pt>
                <c:pt idx="1">
                  <c:v>8</c:v>
                </c:pt>
                <c:pt idx="2">
                  <c:v>7</c:v>
                </c:pt>
                <c:pt idx="3">
                  <c:v>6</c:v>
                </c:pt>
                <c:pt idx="4">
                  <c:v>5</c:v>
                </c:pt>
                <c:pt idx="5">
                  <c:v>4</c:v>
                </c:pt>
                <c:pt idx="6">
                  <c:v>3</c:v>
                </c:pt>
                <c:pt idx="7">
                  <c:v>2</c:v>
                </c:pt>
              </c:numCache>
            </c:numRef>
          </c:cat>
          <c:val>
            <c:numRef>
              <c:f>'245'!$K$11:$K$18</c:f>
              <c:numCache>
                <c:formatCode>General</c:formatCode>
                <c:ptCount val="8"/>
                <c:pt idx="0">
                  <c:v>419.315</c:v>
                </c:pt>
                <c:pt idx="1">
                  <c:v>419.31</c:v>
                </c:pt>
                <c:pt idx="2">
                  <c:v>419.32</c:v>
                </c:pt>
                <c:pt idx="3">
                  <c:v>419.32</c:v>
                </c:pt>
                <c:pt idx="4">
                  <c:v>419.315</c:v>
                </c:pt>
                <c:pt idx="5">
                  <c:v>419.31</c:v>
                </c:pt>
                <c:pt idx="6">
                  <c:v>419.32</c:v>
                </c:pt>
                <c:pt idx="7">
                  <c:v>419.32</c:v>
                </c:pt>
              </c:numCache>
            </c:numRef>
          </c:val>
          <c:extLst>
            <c:ext xmlns:c16="http://schemas.microsoft.com/office/drawing/2014/chart" uri="{C3380CC4-5D6E-409C-BE32-E72D297353CC}">
              <c16:uniqueId val="{00000000-2F8C-47DB-9C8D-219D67379821}"/>
            </c:ext>
          </c:extLst>
        </c:ser>
        <c:ser>
          <c:idx val="1"/>
          <c:order val="1"/>
          <c:tx>
            <c:strRef>
              <c:f>'245'!$L$9</c:f>
              <c:strCache>
                <c:ptCount val="1"/>
                <c:pt idx="0">
                  <c:v>Dwg Min</c:v>
                </c:pt>
              </c:strCache>
            </c:strRef>
          </c:tx>
          <c:spPr>
            <a:ln>
              <a:prstDash val="dash"/>
            </a:ln>
          </c:spPr>
          <c:marker>
            <c:symbol val="none"/>
          </c:marker>
          <c:val>
            <c:numRef>
              <c:f>'245'!$L$11:$L$18</c:f>
              <c:numCache>
                <c:formatCode>General</c:formatCode>
                <c:ptCount val="8"/>
                <c:pt idx="0">
                  <c:v>419.25700000000001</c:v>
                </c:pt>
                <c:pt idx="1">
                  <c:v>419.25700000000001</c:v>
                </c:pt>
                <c:pt idx="2">
                  <c:v>419.25700000000001</c:v>
                </c:pt>
                <c:pt idx="3">
                  <c:v>419.25700000000001</c:v>
                </c:pt>
                <c:pt idx="4">
                  <c:v>419.25700000000001</c:v>
                </c:pt>
                <c:pt idx="5">
                  <c:v>419.25700000000001</c:v>
                </c:pt>
                <c:pt idx="6">
                  <c:v>419.25700000000001</c:v>
                </c:pt>
                <c:pt idx="7">
                  <c:v>419.25700000000001</c:v>
                </c:pt>
              </c:numCache>
            </c:numRef>
          </c:val>
          <c:extLst>
            <c:ext xmlns:c16="http://schemas.microsoft.com/office/drawing/2014/chart" uri="{C3380CC4-5D6E-409C-BE32-E72D297353CC}">
              <c16:uniqueId val="{00000001-2F8C-47DB-9C8D-219D67379821}"/>
            </c:ext>
          </c:extLst>
        </c:ser>
        <c:ser>
          <c:idx val="2"/>
          <c:order val="2"/>
          <c:tx>
            <c:strRef>
              <c:f>'245'!$M$9</c:f>
              <c:strCache>
                <c:ptCount val="1"/>
                <c:pt idx="0">
                  <c:v>Dwg Max</c:v>
                </c:pt>
              </c:strCache>
            </c:strRef>
          </c:tx>
          <c:spPr>
            <a:ln>
              <a:prstDash val="dash"/>
            </a:ln>
          </c:spPr>
          <c:marker>
            <c:symbol val="none"/>
          </c:marker>
          <c:val>
            <c:numRef>
              <c:f>'245'!$M$11:$M$18</c:f>
              <c:numCache>
                <c:formatCode>General</c:formatCode>
                <c:ptCount val="8"/>
                <c:pt idx="0">
                  <c:v>419.34300000000002</c:v>
                </c:pt>
                <c:pt idx="1">
                  <c:v>419.34300000000002</c:v>
                </c:pt>
                <c:pt idx="2">
                  <c:v>419.34300000000002</c:v>
                </c:pt>
                <c:pt idx="3">
                  <c:v>419.34300000000002</c:v>
                </c:pt>
                <c:pt idx="4">
                  <c:v>419.34300000000002</c:v>
                </c:pt>
                <c:pt idx="5">
                  <c:v>419.34300000000002</c:v>
                </c:pt>
                <c:pt idx="6">
                  <c:v>419.34300000000002</c:v>
                </c:pt>
                <c:pt idx="7">
                  <c:v>419.34300000000002</c:v>
                </c:pt>
              </c:numCache>
            </c:numRef>
          </c:val>
          <c:extLst>
            <c:ext xmlns:c16="http://schemas.microsoft.com/office/drawing/2014/chart" uri="{C3380CC4-5D6E-409C-BE32-E72D297353CC}">
              <c16:uniqueId val="{00000002-2F8C-47DB-9C8D-219D67379821}"/>
            </c:ext>
          </c:extLst>
        </c:ser>
        <c:dLbls>
          <c:showLegendKey val="0"/>
          <c:showVal val="0"/>
          <c:showCatName val="0"/>
          <c:showSerName val="0"/>
          <c:showPercent val="0"/>
          <c:showBubbleSize val="0"/>
        </c:dLbls>
        <c:axId val="173706752"/>
        <c:axId val="172125568"/>
      </c:radarChart>
      <c:catAx>
        <c:axId val="17370675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125568"/>
        <c:crosses val="autoZero"/>
        <c:auto val="1"/>
        <c:lblAlgn val="ctr"/>
        <c:lblOffset val="100"/>
        <c:noMultiLvlLbl val="0"/>
      </c:catAx>
      <c:valAx>
        <c:axId val="17212556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3706752"/>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'245'!$AQ$34</c:f>
              <c:strCache>
                <c:ptCount val="1"/>
                <c:pt idx="0">
                  <c:v>LPT Case Hook R Min</c:v>
                </c:pt>
              </c:strCache>
            </c:strRef>
          </c:tx>
          <c:spPr>
            <a:ln w="28575">
              <a:prstDash val="dash"/>
            </a:ln>
          </c:spPr>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'245'!$AQ$36:$AQ$59</c:f>
              <c:numCache>
                <c:formatCode>General</c:formatCode>
                <c:ptCount val="24"/>
                <c:pt idx="0">
                  <c:v>419.26800000000003</c:v>
                </c:pt>
                <c:pt idx="1">
                  <c:v>419.26800000000003</c:v>
                </c:pt>
                <c:pt idx="2">
                  <c:v>419.26800000000003</c:v>
                </c:pt>
                <c:pt idx="3">
                  <c:v>419.26800000000003</c:v>
                </c:pt>
                <c:pt idx="4">
                  <c:v>419.26800000000003</c:v>
                </c:pt>
                <c:pt idx="5">
                  <c:v>419.26800000000003</c:v>
                </c:pt>
                <c:pt idx="6">
                  <c:v>419.26800000000003</c:v>
                </c:pt>
                <c:pt idx="7">
                  <c:v>419.26800000000003</c:v>
                </c:pt>
                <c:pt idx="8">
                  <c:v>419.26800000000003</c:v>
                </c:pt>
                <c:pt idx="9">
                  <c:v>419.26800000000003</c:v>
                </c:pt>
                <c:pt idx="10">
                  <c:v>419.26800000000003</c:v>
                </c:pt>
                <c:pt idx="11">
                  <c:v>419.26800000000003</c:v>
                </c:pt>
                <c:pt idx="12">
                  <c:v>419.26800000000003</c:v>
                </c:pt>
                <c:pt idx="13">
                  <c:v>419.26800000000003</c:v>
                </c:pt>
                <c:pt idx="14">
                  <c:v>419.26800000000003</c:v>
                </c:pt>
                <c:pt idx="15">
                  <c:v>419.26800000000003</c:v>
                </c:pt>
                <c:pt idx="16">
                  <c:v>419.26800000000003</c:v>
                </c:pt>
                <c:pt idx="17">
                  <c:v>419.26800000000003</c:v>
                </c:pt>
                <c:pt idx="18">
                  <c:v>419.26800000000003</c:v>
                </c:pt>
                <c:pt idx="19">
                  <c:v>419.26800000000003</c:v>
                </c:pt>
                <c:pt idx="20">
                  <c:v>419.26800000000003</c:v>
                </c:pt>
                <c:pt idx="21">
                  <c:v>419.26800000000003</c:v>
                </c:pt>
                <c:pt idx="22">
                  <c:v>419.26800000000003</c:v>
                </c:pt>
                <c:pt idx="23">
                  <c:v>419.26800000000003</c:v>
                </c:pt>
              </c:numCache>
            </c:numRef>
          </c:val>
          <c:extLst>
            <c:ext xmlns:c16="http://schemas.microsoft.com/office/drawing/2014/chart" uri="{C3380CC4-5D6E-409C-BE32-E72D297353CC}">
              <c16:uniqueId val="{00000000-A574-4256-850E-E73DB019E4A8}"/>
            </c:ext>
          </c:extLst>
        </c:ser>
        <c:ser>
          <c:idx val="1"/>
          <c:order val="1"/>
          <c:tx>
            <c:strRef>
              <c:f>'245'!$AR$34</c:f>
              <c:strCache>
                <c:ptCount val="1"/>
                <c:pt idx="0">
                  <c:v>LPT Case Hook R Max</c:v>
                </c:pt>
              </c:strCache>
            </c:strRef>
          </c:tx>
          <c:spPr>
            <a:ln w="28575">
              <a:prstDash val="dash"/>
            </a:ln>
          </c:spPr>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'245'!$AR$36:$AR$59</c:f>
              <c:numCache>
                <c:formatCode>General</c:formatCode>
                <c:ptCount val="24"/>
                <c:pt idx="0">
                  <c:v>419.33199999999999</c:v>
                </c:pt>
                <c:pt idx="1">
                  <c:v>419.33199999999999</c:v>
                </c:pt>
                <c:pt idx="2">
                  <c:v>419.33199999999999</c:v>
                </c:pt>
                <c:pt idx="3">
                  <c:v>419.33199999999999</c:v>
                </c:pt>
                <c:pt idx="4">
                  <c:v>419.33199999999999</c:v>
                </c:pt>
                <c:pt idx="5">
                  <c:v>419.33199999999999</c:v>
                </c:pt>
                <c:pt idx="6">
                  <c:v>419.33199999999999</c:v>
                </c:pt>
                <c:pt idx="7">
                  <c:v>419.33199999999999</c:v>
                </c:pt>
                <c:pt idx="8">
                  <c:v>419.33199999999999</c:v>
                </c:pt>
                <c:pt idx="9">
                  <c:v>419.33199999999999</c:v>
                </c:pt>
                <c:pt idx="10">
                  <c:v>419.33199999999999</c:v>
                </c:pt>
                <c:pt idx="11">
                  <c:v>419.33199999999999</c:v>
                </c:pt>
                <c:pt idx="12">
                  <c:v>419.33199999999999</c:v>
                </c:pt>
                <c:pt idx="13">
                  <c:v>419.33199999999999</c:v>
                </c:pt>
                <c:pt idx="14">
                  <c:v>419.33199999999999</c:v>
                </c:pt>
                <c:pt idx="15">
                  <c:v>419.33199999999999</c:v>
                </c:pt>
                <c:pt idx="16">
                  <c:v>419.33199999999999</c:v>
                </c:pt>
                <c:pt idx="17">
                  <c:v>419.33199999999999</c:v>
                </c:pt>
                <c:pt idx="18">
                  <c:v>419.33199999999999</c:v>
                </c:pt>
                <c:pt idx="19">
                  <c:v>419.33199999999999</c:v>
                </c:pt>
                <c:pt idx="20">
                  <c:v>419.33199999999999</c:v>
                </c:pt>
                <c:pt idx="21">
                  <c:v>419.33199999999999</c:v>
                </c:pt>
                <c:pt idx="22">
                  <c:v>419.33199999999999</c:v>
                </c:pt>
                <c:pt idx="23">
                  <c:v>419.33199999999999</c:v>
                </c:pt>
              </c:numCache>
            </c:numRef>
          </c:val>
          <c:extLst>
            <c:ext xmlns:c16="http://schemas.microsoft.com/office/drawing/2014/chart" uri="{C3380CC4-5D6E-409C-BE32-E72D297353CC}">
              <c16:uniqueId val="{00000001-A574-4256-850E-E73DB019E4A8}"/>
            </c:ext>
          </c:extLst>
        </c:ser>
        <c:ser>
          <c:idx val="2"/>
          <c:order val="2"/>
          <c:tx>
            <c:strRef>
              <c:f>'245'!$S$34</c:f>
              <c:strCache>
                <c:ptCount val="1"/>
                <c:pt idx="0">
                  <c:v>Stg.4 Nozzle Fwd#1</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'245'!$S$36:$S$59</c:f>
              <c:numCache>
                <c:formatCode>0.000</c:formatCode>
                <c:ptCount val="24"/>
                <c:pt idx="0">
                  <c:v>419.31570666666664</c:v>
                </c:pt>
                <c:pt idx="1">
                  <c:v>419.31570666666664</c:v>
                </c:pt>
              </c:numCache>
            </c:numRef>
          </c:val>
          <c:extLst>
            <c:ext xmlns:c16="http://schemas.microsoft.com/office/drawing/2014/chart" uri="{C3380CC4-5D6E-409C-BE32-E72D297353CC}">
              <c16:uniqueId val="{00000002-A574-4256-850E-E73DB019E4A8}"/>
            </c:ext>
          </c:extLst>
        </c:ser>
        <c:ser>
          <c:idx val="3"/>
          <c:order val="3"/>
          <c:tx>
            <c:strRef>
              <c:f>'245'!$T$34</c:f>
              <c:strCache>
                <c:ptCount val="1"/>
                <c:pt idx="0">
                  <c:v>Stg.4 Nozzle Fwd#24</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'245'!$T$36:$T$59</c:f>
              <c:numCache>
                <c:formatCode>0.000</c:formatCode>
                <c:ptCount val="24"/>
                <c:pt idx="1">
                  <c:v>419.31403999999998</c:v>
                </c:pt>
                <c:pt idx="2">
                  <c:v>419.31403999999998</c:v>
                </c:pt>
              </c:numCache>
            </c:numRef>
          </c:val>
          <c:extLst>
            <c:ext xmlns:c16="http://schemas.microsoft.com/office/drawing/2014/chart" uri="{C3380CC4-5D6E-409C-BE32-E72D297353CC}">
              <c16:uniqueId val="{00000003-A574-4256-850E-E73DB019E4A8}"/>
            </c:ext>
          </c:extLst>
        </c:ser>
        <c:ser>
          <c:idx val="4"/>
          <c:order val="4"/>
          <c:tx>
            <c:strRef>
              <c:f>'245'!$U$34</c:f>
              <c:strCache>
                <c:ptCount val="1"/>
                <c:pt idx="0">
                  <c:v>Stg.4 Nozzle Fwd#23</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'245'!$U$36:$U$59</c:f>
              <c:numCache>
                <c:formatCode>General</c:formatCode>
                <c:ptCount val="24"/>
                <c:pt idx="2" formatCode="0.000">
                  <c:v>419.31237333333331</c:v>
                </c:pt>
                <c:pt idx="3" formatCode="0.000">
                  <c:v>419.31237333333331</c:v>
                </c:pt>
              </c:numCache>
            </c:numRef>
          </c:val>
          <c:extLst>
            <c:ext xmlns:c16="http://schemas.microsoft.com/office/drawing/2014/chart" uri="{C3380CC4-5D6E-409C-BE32-E72D297353CC}">
              <c16:uniqueId val="{00000004-A574-4256-850E-E73DB019E4A8}"/>
            </c:ext>
          </c:extLst>
        </c:ser>
        <c:ser>
          <c:idx val="5"/>
          <c:order val="5"/>
          <c:tx>
            <c:strRef>
              <c:f>'245'!$V$34</c:f>
              <c:strCache>
                <c:ptCount val="1"/>
                <c:pt idx="0">
                  <c:v>Stg.4 Nozzle Fwd#22</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'245'!$V$36:$V$59</c:f>
              <c:numCache>
                <c:formatCode>General</c:formatCode>
                <c:ptCount val="24"/>
                <c:pt idx="3" formatCode="0.000">
                  <c:v>419.31089666666662</c:v>
                </c:pt>
                <c:pt idx="4" formatCode="0.000">
                  <c:v>419.31089666666662</c:v>
                </c:pt>
              </c:numCache>
            </c:numRef>
          </c:val>
          <c:extLst>
            <c:ext xmlns:c16="http://schemas.microsoft.com/office/drawing/2014/chart" uri="{C3380CC4-5D6E-409C-BE32-E72D297353CC}">
              <c16:uniqueId val="{00000005-A574-4256-850E-E73DB019E4A8}"/>
            </c:ext>
          </c:extLst>
        </c:ser>
        <c:ser>
          <c:idx val="6"/>
          <c:order val="6"/>
          <c:tx>
            <c:strRef>
              <c:f>'245'!$W$34</c:f>
              <c:strCache>
                <c:ptCount val="1"/>
                <c:pt idx="0">
                  <c:v>Stg.4 Nozzle Fwd#21</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'245'!$W$36:$W$59</c:f>
              <c:numCache>
                <c:formatCode>General</c:formatCode>
                <c:ptCount val="24"/>
                <c:pt idx="4" formatCode="0.000">
                  <c:v>419.31191999999999</c:v>
                </c:pt>
                <c:pt idx="5" formatCode="0.000">
                  <c:v>419.31191999999999</c:v>
                </c:pt>
              </c:numCache>
            </c:numRef>
          </c:val>
          <c:extLst>
            <c:ext xmlns:c16="http://schemas.microsoft.com/office/drawing/2014/chart" uri="{C3380CC4-5D6E-409C-BE32-E72D297353CC}">
              <c16:uniqueId val="{00000006-A574-4256-850E-E73DB019E4A8}"/>
            </c:ext>
          </c:extLst>
        </c:ser>
        <c:ser>
          <c:idx val="7"/>
          <c:order val="7"/>
          <c:tx>
            <c:strRef>
              <c:f>'245'!$X$34</c:f>
              <c:strCache>
                <c:ptCount val="1"/>
                <c:pt idx="0">
                  <c:v>Stg.4 Nozzle Fwd#20</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'245'!$X$36:$X$59</c:f>
              <c:numCache>
                <c:formatCode>General</c:formatCode>
                <c:ptCount val="24"/>
                <c:pt idx="5" formatCode="0.000">
                  <c:v>419.31525333333332</c:v>
                </c:pt>
                <c:pt idx="6" formatCode="0.000">
                  <c:v>419.31525333333332</c:v>
                </c:pt>
              </c:numCache>
            </c:numRef>
          </c:val>
          <c:extLst>
            <c:ext xmlns:c16="http://schemas.microsoft.com/office/drawing/2014/chart" uri="{C3380CC4-5D6E-409C-BE32-E72D297353CC}">
              <c16:uniqueId val="{00000007-A574-4256-850E-E73DB019E4A8}"/>
            </c:ext>
          </c:extLst>
        </c:ser>
        <c:ser>
          <c:idx val="8"/>
          <c:order val="8"/>
          <c:tx>
            <c:strRef>
              <c:f>'245'!$Y$34</c:f>
              <c:strCache>
                <c:ptCount val="1"/>
                <c:pt idx="0">
                  <c:v>Stg.4 Nozzle Fwd#19</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'245'!$Y$36:$Y$59</c:f>
              <c:numCache>
                <c:formatCode>General</c:formatCode>
                <c:ptCount val="24"/>
                <c:pt idx="6" formatCode="0.000">
                  <c:v>419.31845999999996</c:v>
                </c:pt>
                <c:pt idx="7" formatCode="0.000">
                  <c:v>419.31845999999996</c:v>
                </c:pt>
              </c:numCache>
            </c:numRef>
          </c:val>
          <c:extLst>
            <c:ext xmlns:c16="http://schemas.microsoft.com/office/drawing/2014/chart" uri="{C3380CC4-5D6E-409C-BE32-E72D297353CC}">
              <c16:uniqueId val="{00000008-A574-4256-850E-E73DB019E4A8}"/>
            </c:ext>
          </c:extLst>
        </c:ser>
        <c:ser>
          <c:idx val="9"/>
          <c:order val="9"/>
          <c:tx>
            <c:strRef>
              <c:f>'245'!$Z$34</c:f>
              <c:strCache>
                <c:ptCount val="1"/>
                <c:pt idx="0">
                  <c:v>Stg.4 Nozzle Fwd#18</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'245'!$Z$36:$Z$59</c:f>
              <c:numCache>
                <c:formatCode>General</c:formatCode>
                <c:ptCount val="24"/>
                <c:pt idx="7" formatCode="0.000">
                  <c:v>419.32</c:v>
                </c:pt>
                <c:pt idx="8" formatCode="0.000">
                  <c:v>419.32</c:v>
                </c:pt>
              </c:numCache>
            </c:numRef>
          </c:val>
          <c:extLst>
            <c:ext xmlns:c16="http://schemas.microsoft.com/office/drawing/2014/chart" uri="{C3380CC4-5D6E-409C-BE32-E72D297353CC}">
              <c16:uniqueId val="{00000009-A574-4256-850E-E73DB019E4A8}"/>
            </c:ext>
          </c:extLst>
        </c:ser>
        <c:ser>
          <c:idx val="10"/>
          <c:order val="10"/>
          <c:tx>
            <c:strRef>
              <c:f>'245'!$AA$34</c:f>
              <c:strCache>
                <c:ptCount val="1"/>
                <c:pt idx="0">
                  <c:v>Stg.4 Nozzle Fwd#17</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'245'!$AA$36:$AA$59</c:f>
              <c:numCache>
                <c:formatCode>General</c:formatCode>
                <c:ptCount val="24"/>
                <c:pt idx="8" formatCode="0.000">
                  <c:v>419.32</c:v>
                </c:pt>
                <c:pt idx="9" formatCode="0.000">
                  <c:v>419.32</c:v>
                </c:pt>
              </c:numCache>
            </c:numRef>
          </c:val>
          <c:extLst>
            <c:ext xmlns:c16="http://schemas.microsoft.com/office/drawing/2014/chart" uri="{C3380CC4-5D6E-409C-BE32-E72D297353CC}">
              <c16:uniqueId val="{0000000A-A574-4256-850E-E73DB019E4A8}"/>
            </c:ext>
          </c:extLst>
        </c:ser>
        <c:ser>
          <c:idx val="11"/>
          <c:order val="11"/>
          <c:tx>
            <c:strRef>
              <c:f>'245'!$AB$34</c:f>
              <c:strCache>
                <c:ptCount val="1"/>
                <c:pt idx="0">
                  <c:v>Stg.4 Nozzle Fwd#16</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'245'!$AB$36:$AB$59</c:f>
              <c:numCache>
                <c:formatCode>General</c:formatCode>
                <c:ptCount val="24"/>
                <c:pt idx="9" formatCode="0.000">
                  <c:v>419.31993666666665</c:v>
                </c:pt>
                <c:pt idx="10" formatCode="0.000">
                  <c:v>419.31993666666665</c:v>
                </c:pt>
              </c:numCache>
            </c:numRef>
          </c:val>
          <c:extLst>
            <c:ext xmlns:c16="http://schemas.microsoft.com/office/drawing/2014/chart" uri="{C3380CC4-5D6E-409C-BE32-E72D297353CC}">
              <c16:uniqueId val="{0000000B-A574-4256-850E-E73DB019E4A8}"/>
            </c:ext>
          </c:extLst>
        </c:ser>
        <c:ser>
          <c:idx val="12"/>
          <c:order val="12"/>
          <c:tx>
            <c:strRef>
              <c:f>'245'!$AC$34</c:f>
              <c:strCache>
                <c:ptCount val="1"/>
                <c:pt idx="0">
                  <c:v>Stg.4 Nozzle Fwd#15</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'245'!$AC$36:$AC$59</c:f>
              <c:numCache>
                <c:formatCode>General</c:formatCode>
                <c:ptCount val="24"/>
                <c:pt idx="10" formatCode="0.000">
                  <c:v>419.31903999999997</c:v>
                </c:pt>
                <c:pt idx="11" formatCode="0.000">
                  <c:v>419.31903999999997</c:v>
                </c:pt>
              </c:numCache>
            </c:numRef>
          </c:val>
          <c:extLst>
            <c:ext xmlns:c16="http://schemas.microsoft.com/office/drawing/2014/chart" uri="{C3380CC4-5D6E-409C-BE32-E72D297353CC}">
              <c16:uniqueId val="{0000000C-A574-4256-850E-E73DB019E4A8}"/>
            </c:ext>
          </c:extLst>
        </c:ser>
        <c:ser>
          <c:idx val="13"/>
          <c:order val="13"/>
          <c:tx>
            <c:strRef>
              <c:f>'245'!$AD$34</c:f>
              <c:strCache>
                <c:ptCount val="1"/>
                <c:pt idx="0">
                  <c:v>Stg.4 Nozzle Fwd#14</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'245'!$AD$36:$AD$59</c:f>
              <c:numCache>
                <c:formatCode>General</c:formatCode>
                <c:ptCount val="24"/>
                <c:pt idx="11" formatCode="0.000">
                  <c:v>419.31737333333331</c:v>
                </c:pt>
                <c:pt idx="12" formatCode="0.000">
                  <c:v>419.31737333333331</c:v>
                </c:pt>
              </c:numCache>
            </c:numRef>
          </c:val>
          <c:extLst>
            <c:ext xmlns:c16="http://schemas.microsoft.com/office/drawing/2014/chart" uri="{C3380CC4-5D6E-409C-BE32-E72D297353CC}">
              <c16:uniqueId val="{0000000D-A574-4256-850E-E73DB019E4A8}"/>
            </c:ext>
          </c:extLst>
        </c:ser>
        <c:ser>
          <c:idx val="14"/>
          <c:order val="14"/>
          <c:tx>
            <c:strRef>
              <c:f>'245'!$AE$34</c:f>
              <c:strCache>
                <c:ptCount val="1"/>
                <c:pt idx="0">
                  <c:v>Stg.4 Nozzle Fwd#13</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'245'!$AE$36:$AE$59</c:f>
              <c:numCache>
                <c:formatCode>General</c:formatCode>
                <c:ptCount val="24"/>
                <c:pt idx="12" formatCode="0.000">
                  <c:v>419.31570666666664</c:v>
                </c:pt>
                <c:pt idx="13" formatCode="0.000">
                  <c:v>419.31570666666664</c:v>
                </c:pt>
              </c:numCache>
            </c:numRef>
          </c:val>
          <c:extLst>
            <c:ext xmlns:c16="http://schemas.microsoft.com/office/drawing/2014/chart" uri="{C3380CC4-5D6E-409C-BE32-E72D297353CC}">
              <c16:uniqueId val="{0000000E-A574-4256-850E-E73DB019E4A8}"/>
            </c:ext>
          </c:extLst>
        </c:ser>
        <c:ser>
          <c:idx val="15"/>
          <c:order val="15"/>
          <c:tx>
            <c:strRef>
              <c:f>'245'!$AF$34</c:f>
              <c:strCache>
                <c:ptCount val="1"/>
                <c:pt idx="0">
                  <c:v>Stg.4 Nozzle Fwd#12</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'245'!$AF$36:$AF$59</c:f>
              <c:numCache>
                <c:formatCode>General</c:formatCode>
                <c:ptCount val="24"/>
                <c:pt idx="13" formatCode="0.000">
                  <c:v>419.31403999999998</c:v>
                </c:pt>
                <c:pt idx="14" formatCode="0.000">
                  <c:v>419.31403999999998</c:v>
                </c:pt>
              </c:numCache>
            </c:numRef>
          </c:val>
          <c:extLst>
            <c:ext xmlns:c16="http://schemas.microsoft.com/office/drawing/2014/chart" uri="{C3380CC4-5D6E-409C-BE32-E72D297353CC}">
              <c16:uniqueId val="{0000000F-A574-4256-850E-E73DB019E4A8}"/>
            </c:ext>
          </c:extLst>
        </c:ser>
        <c:ser>
          <c:idx val="16"/>
          <c:order val="16"/>
          <c:tx>
            <c:strRef>
              <c:f>'245'!$AG$34</c:f>
              <c:strCache>
                <c:ptCount val="1"/>
                <c:pt idx="0">
                  <c:v>Stg.4 Nozzle Fwd#11</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'245'!$AG$36:$AG$59</c:f>
              <c:numCache>
                <c:formatCode>General</c:formatCode>
                <c:ptCount val="24"/>
                <c:pt idx="14" formatCode="0.000">
                  <c:v>419.31237333333331</c:v>
                </c:pt>
                <c:pt idx="15" formatCode="0.000">
                  <c:v>419.31237333333331</c:v>
                </c:pt>
              </c:numCache>
            </c:numRef>
          </c:val>
          <c:extLst>
            <c:ext xmlns:c16="http://schemas.microsoft.com/office/drawing/2014/chart" uri="{C3380CC4-5D6E-409C-BE32-E72D297353CC}">
              <c16:uniqueId val="{00000010-A574-4256-850E-E73DB019E4A8}"/>
            </c:ext>
          </c:extLst>
        </c:ser>
        <c:ser>
          <c:idx val="17"/>
          <c:order val="17"/>
          <c:tx>
            <c:strRef>
              <c:f>'245'!$AH$34</c:f>
              <c:strCache>
                <c:ptCount val="1"/>
                <c:pt idx="0">
                  <c:v>Stg.4 Nozzle Fwd#10</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'245'!$AH$36:$AH$59</c:f>
              <c:numCache>
                <c:formatCode>General</c:formatCode>
                <c:ptCount val="24"/>
                <c:pt idx="15" formatCode="0.000">
                  <c:v>419.31089666666662</c:v>
                </c:pt>
                <c:pt idx="16" formatCode="0.000">
                  <c:v>419.31089666666662</c:v>
                </c:pt>
              </c:numCache>
            </c:numRef>
          </c:val>
          <c:extLst>
            <c:ext xmlns:c16="http://schemas.microsoft.com/office/drawing/2014/chart" uri="{C3380CC4-5D6E-409C-BE32-E72D297353CC}">
              <c16:uniqueId val="{00000011-A574-4256-850E-E73DB019E4A8}"/>
            </c:ext>
          </c:extLst>
        </c:ser>
        <c:ser>
          <c:idx val="18"/>
          <c:order val="18"/>
          <c:tx>
            <c:strRef>
              <c:f>'245'!$AI$34</c:f>
              <c:strCache>
                <c:ptCount val="1"/>
                <c:pt idx="0">
                  <c:v>Stg.4 Nozzle Fwd#9</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'245'!$AI$36:$AI$59</c:f>
              <c:numCache>
                <c:formatCode>General</c:formatCode>
                <c:ptCount val="24"/>
                <c:pt idx="16" formatCode="0.000">
                  <c:v>419.31191999999999</c:v>
                </c:pt>
                <c:pt idx="17" formatCode="0.000">
                  <c:v>419.31191999999999</c:v>
                </c:pt>
              </c:numCache>
            </c:numRef>
          </c:val>
          <c:extLst>
            <c:ext xmlns:c16="http://schemas.microsoft.com/office/drawing/2014/chart" uri="{C3380CC4-5D6E-409C-BE32-E72D297353CC}">
              <c16:uniqueId val="{00000012-A574-4256-850E-E73DB019E4A8}"/>
            </c:ext>
          </c:extLst>
        </c:ser>
        <c:ser>
          <c:idx val="19"/>
          <c:order val="19"/>
          <c:tx>
            <c:strRef>
              <c:f>'245'!$AJ$34</c:f>
              <c:strCache>
                <c:ptCount val="1"/>
                <c:pt idx="0">
                  <c:v>Stg.4 Nozzle Fwd#8</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'245'!$AJ$36:$AJ$59</c:f>
              <c:numCache>
                <c:formatCode>General</c:formatCode>
                <c:ptCount val="24"/>
                <c:pt idx="17" formatCode="0.000">
                  <c:v>419.31525333333332</c:v>
                </c:pt>
                <c:pt idx="18" formatCode="0.000">
                  <c:v>419.31525333333332</c:v>
                </c:pt>
              </c:numCache>
            </c:numRef>
          </c:val>
          <c:extLst>
            <c:ext xmlns:c16="http://schemas.microsoft.com/office/drawing/2014/chart" uri="{C3380CC4-5D6E-409C-BE32-E72D297353CC}">
              <c16:uniqueId val="{00000013-A574-4256-850E-E73DB019E4A8}"/>
            </c:ext>
          </c:extLst>
        </c:ser>
        <c:ser>
          <c:idx val="20"/>
          <c:order val="20"/>
          <c:tx>
            <c:strRef>
              <c:f>'245'!$AK$34</c:f>
              <c:strCache>
                <c:ptCount val="1"/>
                <c:pt idx="0">
                  <c:v>Stg.4 Nozzle Fwd#7</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'245'!$AK$36:$AK$59</c:f>
              <c:numCache>
                <c:formatCode>General</c:formatCode>
                <c:ptCount val="24"/>
                <c:pt idx="18" formatCode="0.000">
                  <c:v>419.31845999999996</c:v>
                </c:pt>
                <c:pt idx="19" formatCode="0.000">
                  <c:v>419.31845999999996</c:v>
                </c:pt>
              </c:numCache>
            </c:numRef>
          </c:val>
          <c:extLst>
            <c:ext xmlns:c16="http://schemas.microsoft.com/office/drawing/2014/chart" uri="{C3380CC4-5D6E-409C-BE32-E72D297353CC}">
              <c16:uniqueId val="{00000014-A574-4256-850E-E73DB019E4A8}"/>
            </c:ext>
          </c:extLst>
        </c:ser>
        <c:ser>
          <c:idx val="21"/>
          <c:order val="21"/>
          <c:tx>
            <c:strRef>
              <c:f>'245'!$AL$34</c:f>
              <c:strCache>
                <c:ptCount val="1"/>
                <c:pt idx="0">
                  <c:v>Stg.4 Nozzle Fwd#6</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'245'!$AL$36:$AL$59</c:f>
              <c:numCache>
                <c:formatCode>General</c:formatCode>
                <c:ptCount val="24"/>
                <c:pt idx="19" formatCode="0.000">
                  <c:v>419.32</c:v>
                </c:pt>
                <c:pt idx="20" formatCode="0.000">
                  <c:v>419.32</c:v>
                </c:pt>
              </c:numCache>
            </c:numRef>
          </c:val>
          <c:extLst>
            <c:ext xmlns:c16="http://schemas.microsoft.com/office/drawing/2014/chart" uri="{C3380CC4-5D6E-409C-BE32-E72D297353CC}">
              <c16:uniqueId val="{00000015-A574-4256-850E-E73DB019E4A8}"/>
            </c:ext>
          </c:extLst>
        </c:ser>
        <c:ser>
          <c:idx val="22"/>
          <c:order val="22"/>
          <c:tx>
            <c:strRef>
              <c:f>'245'!$AM$34</c:f>
              <c:strCache>
                <c:ptCount val="1"/>
                <c:pt idx="0">
                  <c:v>Stg.4 Nozzle Fwd#5</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'245'!$AM$36:$AM$59</c:f>
              <c:numCache>
                <c:formatCode>General</c:formatCode>
                <c:ptCount val="24"/>
                <c:pt idx="20" formatCode="0.000">
                  <c:v>419.32</c:v>
                </c:pt>
                <c:pt idx="21" formatCode="0.000">
                  <c:v>419.32</c:v>
                </c:pt>
              </c:numCache>
            </c:numRef>
          </c:val>
          <c:extLst>
            <c:ext xmlns:c16="http://schemas.microsoft.com/office/drawing/2014/chart" uri="{C3380CC4-5D6E-409C-BE32-E72D297353CC}">
              <c16:uniqueId val="{00000016-A574-4256-850E-E73DB019E4A8}"/>
            </c:ext>
          </c:extLst>
        </c:ser>
        <c:ser>
          <c:idx val="23"/>
          <c:order val="23"/>
          <c:tx>
            <c:strRef>
              <c:f>'245'!$AN$34</c:f>
              <c:strCache>
                <c:ptCount val="1"/>
                <c:pt idx="0">
                  <c:v>Stg.4 Nozzle Fwd#4</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'245'!$AN$36:$AN$59</c:f>
              <c:numCache>
                <c:formatCode>General</c:formatCode>
                <c:ptCount val="24"/>
                <c:pt idx="21" formatCode="0.000">
                  <c:v>419.31993666666665</c:v>
                </c:pt>
                <c:pt idx="22" formatCode="0.000">
                  <c:v>419.31993666666665</c:v>
                </c:pt>
              </c:numCache>
            </c:numRef>
          </c:val>
          <c:extLst>
            <c:ext xmlns:c16="http://schemas.microsoft.com/office/drawing/2014/chart" uri="{C3380CC4-5D6E-409C-BE32-E72D297353CC}">
              <c16:uniqueId val="{00000017-A574-4256-850E-E73DB019E4A8}"/>
            </c:ext>
          </c:extLst>
        </c:ser>
        <c:ser>
          <c:idx val="24"/>
          <c:order val="24"/>
          <c:tx>
            <c:strRef>
              <c:f>'245'!$AO$34</c:f>
              <c:strCache>
                <c:ptCount val="1"/>
                <c:pt idx="0">
                  <c:v>Stg.4 Nozzle Fwd#3</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'245'!$AO$36:$AO$59</c:f>
              <c:numCache>
                <c:formatCode>General</c:formatCode>
                <c:ptCount val="24"/>
                <c:pt idx="22" formatCode="0.000">
                  <c:v>419.31903999999997</c:v>
                </c:pt>
                <c:pt idx="23" formatCode="0.000">
                  <c:v>419.31903999999997</c:v>
                </c:pt>
              </c:numCache>
            </c:numRef>
          </c:val>
          <c:extLst>
            <c:ext xmlns:c16="http://schemas.microsoft.com/office/drawing/2014/chart" uri="{C3380CC4-5D6E-409C-BE32-E72D297353CC}">
              <c16:uniqueId val="{00000018-A574-4256-850E-E73DB019E4A8}"/>
            </c:ext>
          </c:extLst>
        </c:ser>
        <c:ser>
          <c:idx val="25"/>
          <c:order val="25"/>
          <c:tx>
            <c:strRef>
              <c:f>'245'!$AP$34</c:f>
              <c:strCache>
                <c:ptCount val="1"/>
                <c:pt idx="0">
                  <c:v>Stg.4 Nozzle Fwd#2</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'245'!$AP$36:$AP$59</c:f>
              <c:numCache>
                <c:formatCode>General</c:formatCode>
                <c:ptCount val="24"/>
                <c:pt idx="0" formatCode="0.000">
                  <c:v>419.31820666666664</c:v>
                </c:pt>
                <c:pt idx="23" formatCode="0.000">
                  <c:v>419.31820666666664</c:v>
                </c:pt>
              </c:numCache>
            </c:numRef>
          </c:val>
          <c:extLst>
            <c:ext xmlns:c16="http://schemas.microsoft.com/office/drawing/2014/chart" uri="{C3380CC4-5D6E-409C-BE32-E72D297353CC}">
              <c16:uniqueId val="{00000019-A574-4256-850E-E73DB019E4A8}"/>
            </c:ext>
          </c:extLst>
        </c:ser>
        <c:dLbls>
          <c:showLegendKey val="0"/>
          <c:showVal val="0"/>
          <c:showCatName val="0"/>
          <c:showSerName val="0"/>
          <c:showPercent val="0"/>
          <c:showBubbleSize val="0"/>
        </c:dLbls>
        <c:axId val="175026688"/>
        <c:axId val="174693120"/>
      </c:radarChart>
      <c:catAx>
        <c:axId val="17502668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4693120"/>
        <c:crosses val="autoZero"/>
        <c:auto val="1"/>
        <c:lblAlgn val="ctr"/>
        <c:lblOffset val="100"/>
        <c:noMultiLvlLbl val="0"/>
      </c:catAx>
      <c:valAx>
        <c:axId val="17469312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5026688"/>
        <c:crosses val="autoZero"/>
        <c:crossBetween val="between"/>
        <c:majorUnit val="5.000000000000001E-2"/>
      </c:valAx>
    </c:plotArea>
    <c:legend>
      <c:legendPos val="r"/>
      <c:layout>
        <c:manualLayout>
          <c:xMode val="edge"/>
          <c:yMode val="edge"/>
          <c:x val="0.75693147025290097"/>
          <c:y val="0"/>
          <c:w val="0.23186852904158714"/>
          <c:h val="1"/>
        </c:manualLayout>
      </c:layout>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'246'!$K$9</c:f>
              <c:strCache>
                <c:ptCount val="1"/>
                <c:pt idx="0">
                  <c:v>CMM - Rear</c:v>
                </c:pt>
              </c:strCache>
            </c:strRef>
          </c:tx>
          <c:marker>
            <c:symbol val="none"/>
          </c:marker>
          <c:cat>
            <c:numRef>
              <c:f>'246'!$J$11:$J$26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'246'!$K$11:$K$26</c:f>
              <c:numCache>
                <c:formatCode>General</c:formatCode>
                <c:ptCount val="16"/>
                <c:pt idx="0">
                  <c:v>417.62400000119732</c:v>
                </c:pt>
                <c:pt idx="1">
                  <c:v>417.6620000011971</c:v>
                </c:pt>
                <c:pt idx="2">
                  <c:v>417.66300000478856</c:v>
                </c:pt>
                <c:pt idx="3">
                  <c:v>417.63600001915546</c:v>
                </c:pt>
                <c:pt idx="4">
                  <c:v>417.63700000119724</c:v>
                </c:pt>
                <c:pt idx="5">
                  <c:v>417.65800000119714</c:v>
                </c:pt>
                <c:pt idx="6">
                  <c:v>417.64200000119718</c:v>
                </c:pt>
                <c:pt idx="7">
                  <c:v>417.649</c:v>
                </c:pt>
                <c:pt idx="8">
                  <c:v>417.60600000119729</c:v>
                </c:pt>
                <c:pt idx="9">
                  <c:v>417.57100020236084</c:v>
                </c:pt>
                <c:pt idx="10">
                  <c:v>417.62400000119732</c:v>
                </c:pt>
                <c:pt idx="11">
                  <c:v>417.70800000478806</c:v>
                </c:pt>
                <c:pt idx="12">
                  <c:v>417.71000000119699</c:v>
                </c:pt>
                <c:pt idx="13">
                  <c:v>417.654</c:v>
                </c:pt>
                <c:pt idx="14">
                  <c:v>417.56000000119747</c:v>
                </c:pt>
                <c:pt idx="15">
                  <c:v>417.56000001077689</c:v>
                </c:pt>
              </c:numCache>
            </c:numRef>
          </c:val>
          <c:extLst>
            <c:ext xmlns:c16="http://schemas.microsoft.com/office/drawing/2014/chart" uri="{C3380CC4-5D6E-409C-BE32-E72D297353CC}">
              <c16:uniqueId val="{00000000-E93D-4754-9089-0FF773CF9B13}"/>
            </c:ext>
          </c:extLst>
        </c:ser>
        <c:ser>
          <c:idx val="1"/>
          <c:order val="1"/>
          <c:tx>
            <c:strRef>
              <c:f>'246'!$L$9</c:f>
              <c:strCache>
                <c:ptCount val="1"/>
                <c:pt idx="0">
                  <c:v>Dwg Min</c:v>
                </c:pt>
              </c:strCache>
            </c:strRef>
          </c:tx>
          <c:spPr>
            <a:ln>
              <a:prstDash val="dash"/>
            </a:ln>
          </c:spPr>
          <c:marker>
            <c:symbol val="none"/>
          </c:marker>
          <c:val>
            <c:numRef>
              <c:f>'246'!$L$11:$L$26</c:f>
              <c:numCache>
                <c:formatCode>General</c:formatCode>
                <c:ptCount val="16"/>
                <c:pt idx="0">
                  <c:v>417.56</c:v>
                </c:pt>
                <c:pt idx="1">
                  <c:v>417.56</c:v>
                </c:pt>
                <c:pt idx="2">
                  <c:v>417.56</c:v>
                </c:pt>
                <c:pt idx="3">
                  <c:v>417.56</c:v>
                </c:pt>
                <c:pt idx="4">
                  <c:v>417.56</c:v>
                </c:pt>
                <c:pt idx="5">
                  <c:v>417.56</c:v>
                </c:pt>
                <c:pt idx="6">
                  <c:v>417.56</c:v>
                </c:pt>
                <c:pt idx="7">
                  <c:v>417.56</c:v>
                </c:pt>
                <c:pt idx="8">
                  <c:v>417.56</c:v>
                </c:pt>
                <c:pt idx="9">
                  <c:v>417.56</c:v>
                </c:pt>
                <c:pt idx="10">
                  <c:v>417.56</c:v>
                </c:pt>
                <c:pt idx="11">
                  <c:v>417.56</c:v>
                </c:pt>
                <c:pt idx="12">
                  <c:v>417.56</c:v>
                </c:pt>
                <c:pt idx="13">
                  <c:v>417.56</c:v>
                </c:pt>
                <c:pt idx="14">
                  <c:v>417.56</c:v>
                </c:pt>
                <c:pt idx="15">
                  <c:v>417.56</c:v>
                </c:pt>
              </c:numCache>
            </c:numRef>
          </c:val>
          <c:extLst>
            <c:ext xmlns:c16="http://schemas.microsoft.com/office/drawing/2014/chart" uri="{C3380CC4-5D6E-409C-BE32-E72D297353CC}">
              <c16:uniqueId val="{00000001-E93D-4754-9089-0FF773CF9B13}"/>
            </c:ext>
          </c:extLst>
        </c:ser>
        <c:ser>
          <c:idx val="2"/>
          <c:order val="2"/>
          <c:tx>
            <c:strRef>
              <c:f>'246'!$M$9</c:f>
              <c:strCache>
                <c:ptCount val="1"/>
                <c:pt idx="0">
                  <c:v>Dwg Max</c:v>
                </c:pt>
              </c:strCache>
            </c:strRef>
          </c:tx>
          <c:spPr>
            <a:ln>
              <a:prstDash val="dash"/>
            </a:ln>
          </c:spPr>
          <c:marker>
            <c:symbol val="none"/>
          </c:marker>
          <c:val>
            <c:numRef>
              <c:f>'246'!$M$11:$M$26</c:f>
              <c:numCache>
                <c:formatCode>General</c:formatCode>
                <c:ptCount val="16"/>
                <c:pt idx="0">
                  <c:v>417.73999999999995</c:v>
                </c:pt>
                <c:pt idx="1">
                  <c:v>417.73999999999995</c:v>
                </c:pt>
                <c:pt idx="2">
                  <c:v>417.73999999999995</c:v>
                </c:pt>
                <c:pt idx="3">
                  <c:v>417.73999999999995</c:v>
                </c:pt>
                <c:pt idx="4">
                  <c:v>417.73999999999995</c:v>
                </c:pt>
                <c:pt idx="5">
                  <c:v>417.73999999999995</c:v>
                </c:pt>
                <c:pt idx="6">
                  <c:v>417.73999999999995</c:v>
                </c:pt>
                <c:pt idx="7">
                  <c:v>417.73999999999995</c:v>
                </c:pt>
                <c:pt idx="8">
                  <c:v>417.73999999999995</c:v>
                </c:pt>
                <c:pt idx="9">
                  <c:v>417.73999999999995</c:v>
                </c:pt>
                <c:pt idx="10">
                  <c:v>417.73999999999995</c:v>
                </c:pt>
                <c:pt idx="11">
                  <c:v>417.73999999999995</c:v>
                </c:pt>
                <c:pt idx="12">
                  <c:v>417.73999999999995</c:v>
                </c:pt>
                <c:pt idx="13">
                  <c:v>417.73999999999995</c:v>
                </c:pt>
                <c:pt idx="14">
                  <c:v>417.73999999999995</c:v>
                </c:pt>
                <c:pt idx="15">
                  <c:v>417.73999999999995</c:v>
                </c:pt>
              </c:numCache>
            </c:numRef>
          </c:val>
          <c:extLst>
            <c:ext xmlns:c16="http://schemas.microsoft.com/office/drawing/2014/chart" uri="{C3380CC4-5D6E-409C-BE32-E72D297353CC}">
              <c16:uniqueId val="{00000002-E93D-4754-9089-0FF773CF9B13}"/>
            </c:ext>
          </c:extLst>
        </c:ser>
        <c:dLbls>
          <c:showLegendKey val="0"/>
          <c:showVal val="0"/>
          <c:showCatName val="0"/>
          <c:showSerName val="0"/>
          <c:showPercent val="0"/>
          <c:showBubbleSize val="0"/>
        </c:dLbls>
        <c:axId val="173703168"/>
        <c:axId val="174693696"/>
      </c:radarChart>
      <c:catAx>
        <c:axId val="17370316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4693696"/>
        <c:crosses val="autoZero"/>
        <c:auto val="1"/>
        <c:lblAlgn val="ctr"/>
        <c:lblOffset val="100"/>
        <c:noMultiLvlLbl val="0"/>
      </c:catAx>
      <c:valAx>
        <c:axId val="17469369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3703168"/>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'246'!$AQ$34</c:f>
              <c:strCache>
                <c:ptCount val="1"/>
                <c:pt idx="0">
                  <c:v>LPT Case Hook R Min</c:v>
                </c:pt>
              </c:strCache>
            </c:strRef>
          </c:tx>
          <c:spPr>
            <a:ln w="28575">
              <a:prstDash val="dash"/>
            </a:ln>
          </c:spPr>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'246'!$AQ$36:$AQ$59</c:f>
              <c:numCache>
                <c:formatCode>General</c:formatCode>
                <c:ptCount val="24"/>
                <c:pt idx="0">
                  <c:v>417.61799999999999</c:v>
                </c:pt>
                <c:pt idx="1">
                  <c:v>417.61799999999999</c:v>
                </c:pt>
                <c:pt idx="2">
                  <c:v>417.61799999999999</c:v>
                </c:pt>
                <c:pt idx="3">
                  <c:v>417.61799999999999</c:v>
                </c:pt>
                <c:pt idx="4">
                  <c:v>417.61799999999999</c:v>
                </c:pt>
                <c:pt idx="5">
                  <c:v>417.61799999999999</c:v>
                </c:pt>
                <c:pt idx="6">
                  <c:v>417.61799999999999</c:v>
                </c:pt>
                <c:pt idx="7">
                  <c:v>417.61799999999999</c:v>
                </c:pt>
                <c:pt idx="8">
                  <c:v>417.61799999999999</c:v>
                </c:pt>
                <c:pt idx="9">
                  <c:v>417.61799999999999</c:v>
                </c:pt>
                <c:pt idx="10">
                  <c:v>417.61799999999999</c:v>
                </c:pt>
                <c:pt idx="11">
                  <c:v>417.61799999999999</c:v>
                </c:pt>
                <c:pt idx="12">
                  <c:v>417.61799999999999</c:v>
                </c:pt>
                <c:pt idx="13">
                  <c:v>417.61799999999999</c:v>
                </c:pt>
                <c:pt idx="14">
                  <c:v>417.61799999999999</c:v>
                </c:pt>
                <c:pt idx="15">
                  <c:v>417.61799999999999</c:v>
                </c:pt>
                <c:pt idx="16">
                  <c:v>417.61799999999999</c:v>
                </c:pt>
                <c:pt idx="17">
                  <c:v>417.61799999999999</c:v>
                </c:pt>
                <c:pt idx="18">
                  <c:v>417.61799999999999</c:v>
                </c:pt>
                <c:pt idx="19">
                  <c:v>417.61799999999999</c:v>
                </c:pt>
                <c:pt idx="20">
                  <c:v>417.61799999999999</c:v>
                </c:pt>
                <c:pt idx="21">
                  <c:v>417.61799999999999</c:v>
                </c:pt>
                <c:pt idx="22">
                  <c:v>417.61799999999999</c:v>
                </c:pt>
                <c:pt idx="23">
                  <c:v>417.61799999999999</c:v>
                </c:pt>
              </c:numCache>
            </c:numRef>
          </c:val>
          <c:extLst>
            <c:ext xmlns:c16="http://schemas.microsoft.com/office/drawing/2014/chart" uri="{C3380CC4-5D6E-409C-BE32-E72D297353CC}">
              <c16:uniqueId val="{00000000-B373-4D0E-ACF9-9FAFD945E58C}"/>
            </c:ext>
          </c:extLst>
        </c:ser>
        <c:ser>
          <c:idx val="1"/>
          <c:order val="1"/>
          <c:tx>
            <c:strRef>
              <c:f>'246'!$AR$34</c:f>
              <c:strCache>
                <c:ptCount val="1"/>
                <c:pt idx="0">
                  <c:v>LPT Case Hook R Max</c:v>
                </c:pt>
              </c:strCache>
            </c:strRef>
          </c:tx>
          <c:spPr>
            <a:ln w="28575">
              <a:prstDash val="dash"/>
            </a:ln>
          </c:spPr>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'246'!$AR$36:$AR$59</c:f>
              <c:numCache>
                <c:formatCode>General</c:formatCode>
                <c:ptCount val="24"/>
                <c:pt idx="0">
                  <c:v>417.68199999999996</c:v>
                </c:pt>
                <c:pt idx="1">
                  <c:v>417.68199999999996</c:v>
                </c:pt>
                <c:pt idx="2">
                  <c:v>417.68199999999996</c:v>
                </c:pt>
                <c:pt idx="3">
                  <c:v>417.68199999999996</c:v>
                </c:pt>
                <c:pt idx="4">
                  <c:v>417.68199999999996</c:v>
                </c:pt>
                <c:pt idx="5">
                  <c:v>417.68199999999996</c:v>
                </c:pt>
                <c:pt idx="6">
                  <c:v>417.68199999999996</c:v>
                </c:pt>
                <c:pt idx="7">
                  <c:v>417.68199999999996</c:v>
                </c:pt>
                <c:pt idx="8">
                  <c:v>417.68199999999996</c:v>
                </c:pt>
                <c:pt idx="9">
                  <c:v>417.68199999999996</c:v>
                </c:pt>
                <c:pt idx="10">
                  <c:v>417.68199999999996</c:v>
                </c:pt>
                <c:pt idx="11">
                  <c:v>417.68199999999996</c:v>
                </c:pt>
                <c:pt idx="12">
                  <c:v>417.68199999999996</c:v>
                </c:pt>
                <c:pt idx="13">
                  <c:v>417.68199999999996</c:v>
                </c:pt>
                <c:pt idx="14">
                  <c:v>417.68199999999996</c:v>
                </c:pt>
                <c:pt idx="15">
                  <c:v>417.68199999999996</c:v>
                </c:pt>
                <c:pt idx="16">
                  <c:v>417.68199999999996</c:v>
                </c:pt>
                <c:pt idx="17">
                  <c:v>417.68199999999996</c:v>
                </c:pt>
                <c:pt idx="18">
                  <c:v>417.68199999999996</c:v>
                </c:pt>
                <c:pt idx="19">
                  <c:v>417.68199999999996</c:v>
                </c:pt>
                <c:pt idx="20">
                  <c:v>417.68199999999996</c:v>
                </c:pt>
                <c:pt idx="21">
                  <c:v>417.68199999999996</c:v>
                </c:pt>
                <c:pt idx="22">
                  <c:v>417.68199999999996</c:v>
                </c:pt>
                <c:pt idx="23">
                  <c:v>417.68199999999996</c:v>
                </c:pt>
              </c:numCache>
            </c:numRef>
          </c:val>
          <c:extLst>
            <c:ext xmlns:c16="http://schemas.microsoft.com/office/drawing/2014/chart" uri="{C3380CC4-5D6E-409C-BE32-E72D297353CC}">
              <c16:uniqueId val="{00000001-B373-4D0E-ACF9-9FAFD945E58C}"/>
            </c:ext>
          </c:extLst>
        </c:ser>
        <c:ser>
          <c:idx val="2"/>
          <c:order val="2"/>
          <c:tx>
            <c:strRef>
              <c:f>'246'!$S$34</c:f>
              <c:strCache>
                <c:ptCount val="1"/>
                <c:pt idx="0">
                  <c:v>Stg.4 Shroud Fwd#1</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'246'!$S$36:$S$59</c:f>
              <c:numCache>
                <c:formatCode>0.000</c:formatCode>
                <c:ptCount val="24"/>
                <c:pt idx="0">
                  <c:v>417.58457600709835</c:v>
                </c:pt>
                <c:pt idx="1">
                  <c:v>417.58457600709835</c:v>
                </c:pt>
              </c:numCache>
            </c:numRef>
          </c:val>
          <c:extLst>
            <c:ext xmlns:c16="http://schemas.microsoft.com/office/drawing/2014/chart" uri="{C3380CC4-5D6E-409C-BE32-E72D297353CC}">
              <c16:uniqueId val="{00000002-B373-4D0E-ACF9-9FAFD945E58C}"/>
            </c:ext>
          </c:extLst>
        </c:ser>
        <c:ser>
          <c:idx val="3"/>
          <c:order val="3"/>
          <c:tx>
            <c:strRef>
              <c:f>'246'!$T$34</c:f>
              <c:strCache>
                <c:ptCount val="1"/>
                <c:pt idx="0">
                  <c:v>Stg.4 Shroud Fwd#24</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'246'!$T$36:$T$59</c:f>
              <c:numCache>
                <c:formatCode>0.000</c:formatCode>
                <c:ptCount val="24"/>
                <c:pt idx="1">
                  <c:v>417.62225066921786</c:v>
                </c:pt>
                <c:pt idx="2">
                  <c:v>417.62225066921786</c:v>
                </c:pt>
              </c:numCache>
            </c:numRef>
          </c:val>
          <c:extLst>
            <c:ext xmlns:c16="http://schemas.microsoft.com/office/drawing/2014/chart" uri="{C3380CC4-5D6E-409C-BE32-E72D297353CC}">
              <c16:uniqueId val="{00000003-B373-4D0E-ACF9-9FAFD945E58C}"/>
            </c:ext>
          </c:extLst>
        </c:ser>
        <c:ser>
          <c:idx val="4"/>
          <c:order val="4"/>
          <c:tx>
            <c:strRef>
              <c:f>'246'!$U$34</c:f>
              <c:strCache>
                <c:ptCount val="1"/>
                <c:pt idx="0">
                  <c:v>Stg.4 Shroud Fwd#23</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'246'!$U$36:$U$59</c:f>
              <c:numCache>
                <c:formatCode>General</c:formatCode>
                <c:ptCount val="24"/>
                <c:pt idx="2" formatCode="0.000">
                  <c:v>417.65032133462148</c:v>
                </c:pt>
                <c:pt idx="3" formatCode="0.000">
                  <c:v>417.65032133462148</c:v>
                </c:pt>
              </c:numCache>
            </c:numRef>
          </c:val>
          <c:extLst>
            <c:ext xmlns:c16="http://schemas.microsoft.com/office/drawing/2014/chart" uri="{C3380CC4-5D6E-409C-BE32-E72D297353CC}">
              <c16:uniqueId val="{00000004-B373-4D0E-ACF9-9FAFD945E58C}"/>
            </c:ext>
          </c:extLst>
        </c:ser>
        <c:ser>
          <c:idx val="5"/>
          <c:order val="5"/>
          <c:tx>
            <c:strRef>
              <c:f>'246'!$V$34</c:f>
              <c:strCache>
                <c:ptCount val="1"/>
                <c:pt idx="0">
                  <c:v>Stg.4 Shroud Fwd#22</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'246'!$V$36:$V$59</c:f>
              <c:numCache>
                <c:formatCode>General</c:formatCode>
                <c:ptCount val="24"/>
                <c:pt idx="3" formatCode="0.000">
                  <c:v>417.66238400257623</c:v>
                </c:pt>
                <c:pt idx="4" formatCode="0.000">
                  <c:v>417.66238400257623</c:v>
                </c:pt>
              </c:numCache>
            </c:numRef>
          </c:val>
          <c:extLst>
            <c:ext xmlns:c16="http://schemas.microsoft.com/office/drawing/2014/chart" uri="{C3380CC4-5D6E-409C-BE32-E72D297353CC}">
              <c16:uniqueId val="{00000005-B373-4D0E-ACF9-9FAFD945E58C}"/>
            </c:ext>
          </c:extLst>
        </c:ser>
        <c:ser>
          <c:idx val="6"/>
          <c:order val="6"/>
          <c:tx>
            <c:strRef>
              <c:f>'246'!$W$34</c:f>
              <c:strCache>
                <c:ptCount val="1"/>
                <c:pt idx="0">
                  <c:v>Stg.4 Shroud Fwd#21</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'246'!$W$36:$W$59</c:f>
              <c:numCache>
                <c:formatCode>General</c:formatCode>
                <c:ptCount val="24"/>
                <c:pt idx="4" formatCode="0.000">
                  <c:v>417.65767467370608</c:v>
                </c:pt>
                <c:pt idx="5" formatCode="0.000">
                  <c:v>417.65767467370608</c:v>
                </c:pt>
              </c:numCache>
            </c:numRef>
          </c:val>
          <c:extLst>
            <c:ext xmlns:c16="http://schemas.microsoft.com/office/drawing/2014/chart" uri="{C3380CC4-5D6E-409C-BE32-E72D297353CC}">
              <c16:uniqueId val="{00000006-B373-4D0E-ACF9-9FAFD945E58C}"/>
            </c:ext>
          </c:extLst>
        </c:ser>
        <c:ser>
          <c:idx val="7"/>
          <c:order val="7"/>
          <c:tx>
            <c:strRef>
              <c:f>'246'!$X$34</c:f>
              <c:strCache>
                <c:ptCount val="1"/>
                <c:pt idx="0">
                  <c:v>Stg.4 Shroud Fwd#20</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'246'!$X$36:$X$59</c:f>
              <c:numCache>
                <c:formatCode>General</c:formatCode>
                <c:ptCount val="24"/>
                <c:pt idx="5" formatCode="0.000">
                  <c:v>417.64434134760882</c:v>
                </c:pt>
                <c:pt idx="6" formatCode="0.000">
                  <c:v>417.64434134760882</c:v>
                </c:pt>
              </c:numCache>
            </c:numRef>
          </c:val>
          <c:extLst>
            <c:ext xmlns:c16="http://schemas.microsoft.com/office/drawing/2014/chart" uri="{C3380CC4-5D6E-409C-BE32-E72D297353CC}">
              <c16:uniqueId val="{00000007-B373-4D0E-ACF9-9FAFD945E58C}"/>
            </c:ext>
          </c:extLst>
        </c:ser>
        <c:ser>
          <c:idx val="8"/>
          <c:order val="8"/>
          <c:tx>
            <c:strRef>
              <c:f>'246'!$Y$34</c:f>
              <c:strCache>
                <c:ptCount val="1"/>
                <c:pt idx="0">
                  <c:v>Stg.4 Shroud Fwd#19</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'246'!$Y$36:$Y$59</c:f>
              <c:numCache>
                <c:formatCode>General</c:formatCode>
                <c:ptCount val="24"/>
                <c:pt idx="6" formatCode="0.000">
                  <c:v>417.6363840122595</c:v>
                </c:pt>
                <c:pt idx="7" formatCode="0.000">
                  <c:v>417.6363840122595</c:v>
                </c:pt>
              </c:numCache>
            </c:numRef>
          </c:val>
          <c:extLst>
            <c:ext xmlns:c16="http://schemas.microsoft.com/office/drawing/2014/chart" uri="{C3380CC4-5D6E-409C-BE32-E72D297353CC}">
              <c16:uniqueId val="{00000008-B373-4D0E-ACF9-9FAFD945E58C}"/>
            </c:ext>
          </c:extLst>
        </c:ser>
        <c:ser>
          <c:idx val="9"/>
          <c:order val="9"/>
          <c:tx>
            <c:strRef>
              <c:f>'246'!$Z$34</c:f>
              <c:strCache>
                <c:ptCount val="1"/>
                <c:pt idx="0">
                  <c:v>Stg.4 Shroud Fwd#18</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'246'!$Z$36:$Z$59</c:f>
              <c:numCache>
                <c:formatCode>General</c:formatCode>
                <c:ptCount val="24"/>
                <c:pt idx="7" formatCode="0.000">
                  <c:v>417.64089067040197</c:v>
                </c:pt>
                <c:pt idx="8" formatCode="0.000">
                  <c:v>417.64089067040197</c:v>
                </c:pt>
              </c:numCache>
            </c:numRef>
          </c:val>
          <c:extLst>
            <c:ext xmlns:c16="http://schemas.microsoft.com/office/drawing/2014/chart" uri="{C3380CC4-5D6E-409C-BE32-E72D297353CC}">
              <c16:uniqueId val="{00000009-B373-4D0E-ACF9-9FAFD945E58C}"/>
            </c:ext>
          </c:extLst>
        </c:ser>
        <c:ser>
          <c:idx val="10"/>
          <c:order val="10"/>
          <c:tx>
            <c:strRef>
              <c:f>'246'!$AA$34</c:f>
              <c:strCache>
                <c:ptCount val="1"/>
                <c:pt idx="0">
                  <c:v>Stg.4 Shroud Fwd#17</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'246'!$AA$36:$AA$59</c:f>
              <c:numCache>
                <c:formatCode>General</c:formatCode>
                <c:ptCount val="24"/>
                <c:pt idx="8" formatCode="0.000">
                  <c:v>417.65112666786388</c:v>
                </c:pt>
                <c:pt idx="9" formatCode="0.000">
                  <c:v>417.65112666786388</c:v>
                </c:pt>
              </c:numCache>
            </c:numRef>
          </c:val>
          <c:extLst>
            <c:ext xmlns:c16="http://schemas.microsoft.com/office/drawing/2014/chart" uri="{C3380CC4-5D6E-409C-BE32-E72D297353CC}">
              <c16:uniqueId val="{0000000A-B373-4D0E-ACF9-9FAFD945E58C}"/>
            </c:ext>
          </c:extLst>
        </c:ser>
        <c:ser>
          <c:idx val="11"/>
          <c:order val="11"/>
          <c:tx>
            <c:strRef>
              <c:f>'246'!$AB$34</c:f>
              <c:strCache>
                <c:ptCount val="1"/>
                <c:pt idx="0">
                  <c:v>Stg.4 Shroud Fwd#16</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'246'!$AB$36:$AB$59</c:f>
              <c:numCache>
                <c:formatCode>General</c:formatCode>
                <c:ptCount val="24"/>
                <c:pt idx="9" formatCode="0.000">
                  <c:v>417.65185600119719</c:v>
                </c:pt>
                <c:pt idx="10" formatCode="0.000">
                  <c:v>417.65185600119719</c:v>
                </c:pt>
              </c:numCache>
            </c:numRef>
          </c:val>
          <c:extLst>
            <c:ext xmlns:c16="http://schemas.microsoft.com/office/drawing/2014/chart" uri="{C3380CC4-5D6E-409C-BE32-E72D297353CC}">
              <c16:uniqueId val="{0000000B-B373-4D0E-ACF9-9FAFD945E58C}"/>
            </c:ext>
          </c:extLst>
        </c:ser>
        <c:ser>
          <c:idx val="12"/>
          <c:order val="12"/>
          <c:tx>
            <c:strRef>
              <c:f>'246'!$AC$34</c:f>
              <c:strCache>
                <c:ptCount val="1"/>
                <c:pt idx="0">
                  <c:v>Stg.4 Shroud Fwd#15</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'246'!$AC$36:$AC$59</c:f>
              <c:numCache>
                <c:formatCode>General</c:formatCode>
                <c:ptCount val="24"/>
                <c:pt idx="10" formatCode="0.000">
                  <c:v>417.64560533430063</c:v>
                </c:pt>
                <c:pt idx="11" formatCode="0.000">
                  <c:v>417.64560533430063</c:v>
                </c:pt>
              </c:numCache>
            </c:numRef>
          </c:val>
          <c:extLst>
            <c:ext xmlns:c16="http://schemas.microsoft.com/office/drawing/2014/chart" uri="{C3380CC4-5D6E-409C-BE32-E72D297353CC}">
              <c16:uniqueId val="{0000000C-B373-4D0E-ACF9-9FAFD945E58C}"/>
            </c:ext>
          </c:extLst>
        </c:ser>
        <c:ser>
          <c:idx val="13"/>
          <c:order val="13"/>
          <c:tx>
            <c:strRef>
              <c:f>'246'!$AD$34</c:f>
              <c:strCache>
                <c:ptCount val="1"/>
                <c:pt idx="0">
                  <c:v>Stg.4 Shroud Fwd#14</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'246'!$AD$36:$AD$59</c:f>
              <c:numCache>
                <c:formatCode>General</c:formatCode>
                <c:ptCount val="24"/>
                <c:pt idx="11" formatCode="0.000">
                  <c:v>417.64575466706572</c:v>
                </c:pt>
                <c:pt idx="12" formatCode="0.000">
                  <c:v>417.64575466706572</c:v>
                </c:pt>
              </c:numCache>
            </c:numRef>
          </c:val>
          <c:extLst>
            <c:ext xmlns:c16="http://schemas.microsoft.com/office/drawing/2014/chart" uri="{C3380CC4-5D6E-409C-BE32-E72D297353CC}">
              <c16:uniqueId val="{0000000D-B373-4D0E-ACF9-9FAFD945E58C}"/>
            </c:ext>
          </c:extLst>
        </c:ser>
        <c:ser>
          <c:idx val="14"/>
          <c:order val="14"/>
          <c:tx>
            <c:strRef>
              <c:f>'246'!$AE$34</c:f>
              <c:strCache>
                <c:ptCount val="1"/>
                <c:pt idx="0">
                  <c:v>Stg.4 Shroud Fwd#13</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'246'!$AE$36:$AE$59</c:f>
              <c:numCache>
                <c:formatCode>General</c:formatCode>
                <c:ptCount val="24"/>
                <c:pt idx="12" formatCode="0.000">
                  <c:v>417.63248800045972</c:v>
                </c:pt>
                <c:pt idx="13" formatCode="0.000">
                  <c:v>417.63248800045972</c:v>
                </c:pt>
              </c:numCache>
            </c:numRef>
          </c:val>
          <c:extLst>
            <c:ext xmlns:c16="http://schemas.microsoft.com/office/drawing/2014/chart" uri="{C3380CC4-5D6E-409C-BE32-E72D297353CC}">
              <c16:uniqueId val="{0000000E-B373-4D0E-ACF9-9FAFD945E58C}"/>
            </c:ext>
          </c:extLst>
        </c:ser>
        <c:ser>
          <c:idx val="15"/>
          <c:order val="15"/>
          <c:tx>
            <c:strRef>
              <c:f>'246'!$AF$34</c:f>
              <c:strCache>
                <c:ptCount val="1"/>
                <c:pt idx="0">
                  <c:v>Stg.4 Shroud Fwd#12</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'246'!$AF$36:$AF$59</c:f>
              <c:numCache>
                <c:formatCode>General</c:formatCode>
                <c:ptCount val="24"/>
                <c:pt idx="13" formatCode="0.000">
                  <c:v>417.60535737298483</c:v>
                </c:pt>
                <c:pt idx="14" formatCode="0.000">
                  <c:v>417.60535737298483</c:v>
                </c:pt>
              </c:numCache>
            </c:numRef>
          </c:val>
          <c:extLst>
            <c:ext xmlns:c16="http://schemas.microsoft.com/office/drawing/2014/chart" uri="{C3380CC4-5D6E-409C-BE32-E72D297353CC}">
              <c16:uniqueId val="{0000000F-B373-4D0E-ACF9-9FAFD945E58C}"/>
            </c:ext>
          </c:extLst>
        </c:ser>
        <c:ser>
          <c:idx val="16"/>
          <c:order val="16"/>
          <c:tx>
            <c:strRef>
              <c:f>'246'!$AG$34</c:f>
              <c:strCache>
                <c:ptCount val="1"/>
                <c:pt idx="0">
                  <c:v>Stg.4 Shroud Fwd#11</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'246'!$AG$36:$AG$59</c:f>
              <c:numCache>
                <c:formatCode>General</c:formatCode>
                <c:ptCount val="24"/>
                <c:pt idx="14" formatCode="0.000">
                  <c:v>417.58312280197299</c:v>
                </c:pt>
                <c:pt idx="15" formatCode="0.000">
                  <c:v>417.58312280197299</c:v>
                </c:pt>
              </c:numCache>
            </c:numRef>
          </c:val>
          <c:extLst>
            <c:ext xmlns:c16="http://schemas.microsoft.com/office/drawing/2014/chart" uri="{C3380CC4-5D6E-409C-BE32-E72D297353CC}">
              <c16:uniqueId val="{00000010-B373-4D0E-ACF9-9FAFD945E58C}"/>
            </c:ext>
          </c:extLst>
        </c:ser>
        <c:ser>
          <c:idx val="17"/>
          <c:order val="17"/>
          <c:tx>
            <c:strRef>
              <c:f>'246'!$AH$34</c:f>
              <c:strCache>
                <c:ptCount val="1"/>
                <c:pt idx="0">
                  <c:v>Stg.4 Shroud Fwd#10</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'246'!$AH$36:$AH$59</c:f>
              <c:numCache>
                <c:formatCode>General</c:formatCode>
                <c:ptCount val="24"/>
                <c:pt idx="15" formatCode="0.000">
                  <c:v>417.59135212511404</c:v>
                </c:pt>
                <c:pt idx="16" formatCode="0.000">
                  <c:v>417.59135212511404</c:v>
                </c:pt>
              </c:numCache>
            </c:numRef>
          </c:val>
          <c:extLst>
            <c:ext xmlns:c16="http://schemas.microsoft.com/office/drawing/2014/chart" uri="{C3380CC4-5D6E-409C-BE32-E72D297353CC}">
              <c16:uniqueId val="{00000011-B373-4D0E-ACF9-9FAFD945E58C}"/>
            </c:ext>
          </c:extLst>
        </c:ser>
        <c:ser>
          <c:idx val="18"/>
          <c:order val="18"/>
          <c:tx>
            <c:strRef>
              <c:f>'246'!$AI$34</c:f>
              <c:strCache>
                <c:ptCount val="1"/>
                <c:pt idx="0">
                  <c:v>Stg.4 Shroud Fwd#9</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'246'!$AI$36:$AI$59</c:f>
              <c:numCache>
                <c:formatCode>General</c:formatCode>
                <c:ptCount val="24"/>
                <c:pt idx="16" formatCode="0.000">
                  <c:v>417.63263736365116</c:v>
                </c:pt>
                <c:pt idx="17" formatCode="0.000">
                  <c:v>417.63263736365116</c:v>
                </c:pt>
              </c:numCache>
            </c:numRef>
          </c:val>
          <c:extLst>
            <c:ext xmlns:c16="http://schemas.microsoft.com/office/drawing/2014/chart" uri="{C3380CC4-5D6E-409C-BE32-E72D297353CC}">
              <c16:uniqueId val="{00000012-B373-4D0E-ACF9-9FAFD945E58C}"/>
            </c:ext>
          </c:extLst>
        </c:ser>
        <c:ser>
          <c:idx val="19"/>
          <c:order val="19"/>
          <c:tx>
            <c:strRef>
              <c:f>'246'!$AJ$34</c:f>
              <c:strCache>
                <c:ptCount val="1"/>
                <c:pt idx="0">
                  <c:v>Stg.4 Shroud Fwd#8</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'246'!$AJ$36:$AJ$59</c:f>
              <c:numCache>
                <c:formatCode>General</c:formatCode>
                <c:ptCount val="24"/>
                <c:pt idx="17" formatCode="0.000">
                  <c:v>417.68217867025783</c:v>
                </c:pt>
                <c:pt idx="18" formatCode="0.000">
                  <c:v>417.68217867025783</c:v>
                </c:pt>
              </c:numCache>
            </c:numRef>
          </c:val>
          <c:extLst>
            <c:ext xmlns:c16="http://schemas.microsoft.com/office/drawing/2014/chart" uri="{C3380CC4-5D6E-409C-BE32-E72D297353CC}">
              <c16:uniqueId val="{00000013-B373-4D0E-ACF9-9FAFD945E58C}"/>
            </c:ext>
          </c:extLst>
        </c:ser>
        <c:ser>
          <c:idx val="20"/>
          <c:order val="20"/>
          <c:tx>
            <c:strRef>
              <c:f>'246'!$AK$34</c:f>
              <c:strCache>
                <c:ptCount val="1"/>
                <c:pt idx="0">
                  <c:v>Stg.4 Shroud Fwd#7</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'246'!$AK$36:$AK$59</c:f>
              <c:numCache>
                <c:formatCode>General</c:formatCode>
                <c:ptCount val="24"/>
                <c:pt idx="18" formatCode="0.000">
                  <c:v>417.70876800340909</c:v>
                </c:pt>
                <c:pt idx="19" formatCode="0.000">
                  <c:v>417.70876800340909</c:v>
                </c:pt>
              </c:numCache>
            </c:numRef>
          </c:val>
          <c:extLst>
            <c:ext xmlns:c16="http://schemas.microsoft.com/office/drawing/2014/chart" uri="{C3380CC4-5D6E-409C-BE32-E72D297353CC}">
              <c16:uniqueId val="{00000014-B373-4D0E-ACF9-9FAFD945E58C}"/>
            </c:ext>
          </c:extLst>
        </c:ser>
        <c:ser>
          <c:idx val="21"/>
          <c:order val="21"/>
          <c:tx>
            <c:strRef>
              <c:f>'246'!$AL$34</c:f>
              <c:strCache>
                <c:ptCount val="1"/>
                <c:pt idx="0">
                  <c:v>Stg.4 Shroud Fwd#6</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'246'!$AL$36:$AL$59</c:f>
              <c:numCache>
                <c:formatCode>General</c:formatCode>
                <c:ptCount val="24"/>
                <c:pt idx="19" formatCode="0.000">
                  <c:v>417.69896533480801</c:v>
                </c:pt>
                <c:pt idx="20" formatCode="0.000">
                  <c:v>417.69896533480801</c:v>
                </c:pt>
              </c:numCache>
            </c:numRef>
          </c:val>
          <c:extLst>
            <c:ext xmlns:c16="http://schemas.microsoft.com/office/drawing/2014/chart" uri="{C3380CC4-5D6E-409C-BE32-E72D297353CC}">
              <c16:uniqueId val="{00000015-B373-4D0E-ACF9-9FAFD945E58C}"/>
            </c:ext>
          </c:extLst>
        </c:ser>
        <c:ser>
          <c:idx val="22"/>
          <c:order val="22"/>
          <c:tx>
            <c:strRef>
              <c:f>'246'!$AM$34</c:f>
              <c:strCache>
                <c:ptCount val="1"/>
                <c:pt idx="0">
                  <c:v>Stg.4 Shroud Fwd#5</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'246'!$AM$36:$AM$59</c:f>
              <c:numCache>
                <c:formatCode>General</c:formatCode>
                <c:ptCount val="24"/>
                <c:pt idx="20" formatCode="0.000">
                  <c:v>417.66886666706569</c:v>
                </c:pt>
                <c:pt idx="21" formatCode="0.000">
                  <c:v>417.66886666706569</c:v>
                </c:pt>
              </c:numCache>
            </c:numRef>
          </c:val>
          <c:extLst>
            <c:ext xmlns:c16="http://schemas.microsoft.com/office/drawing/2014/chart" uri="{C3380CC4-5D6E-409C-BE32-E72D297353CC}">
              <c16:uniqueId val="{00000016-B373-4D0E-ACF9-9FAFD945E58C}"/>
            </c:ext>
          </c:extLst>
        </c:ser>
        <c:ser>
          <c:idx val="23"/>
          <c:order val="23"/>
          <c:tx>
            <c:strRef>
              <c:f>'246'!$AN$34</c:f>
              <c:strCache>
                <c:ptCount val="1"/>
                <c:pt idx="0">
                  <c:v>Stg.4 Shroud Fwd#4</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'246'!$AN$36:$AN$59</c:f>
              <c:numCache>
                <c:formatCode>General</c:formatCode>
                <c:ptCount val="24"/>
                <c:pt idx="21" formatCode="0.000">
                  <c:v>417.61790400045982</c:v>
                </c:pt>
                <c:pt idx="22" formatCode="0.000">
                  <c:v>417.61790400045982</c:v>
                </c:pt>
              </c:numCache>
            </c:numRef>
          </c:val>
          <c:extLst>
            <c:ext xmlns:c16="http://schemas.microsoft.com/office/drawing/2014/chart" uri="{C3380CC4-5D6E-409C-BE32-E72D297353CC}">
              <c16:uniqueId val="{00000017-B373-4D0E-ACF9-9FAFD945E58C}"/>
            </c:ext>
          </c:extLst>
        </c:ser>
        <c:ser>
          <c:idx val="24"/>
          <c:order val="24"/>
          <c:tx>
            <c:strRef>
              <c:f>'246'!$AO$34</c:f>
              <c:strCache>
                <c:ptCount val="1"/>
                <c:pt idx="0">
                  <c:v>Stg.4 Shroud Fwd#3</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'246'!$AO$36:$AO$59</c:f>
              <c:numCache>
                <c:formatCode>General</c:formatCode>
                <c:ptCount val="24"/>
                <c:pt idx="22" formatCode="0.000">
                  <c:v>417.5732853362008</c:v>
                </c:pt>
                <c:pt idx="23" formatCode="0.000">
                  <c:v>417.5732853362008</c:v>
                </c:pt>
              </c:numCache>
            </c:numRef>
          </c:val>
          <c:extLst>
            <c:ext xmlns:c16="http://schemas.microsoft.com/office/drawing/2014/chart" uri="{C3380CC4-5D6E-409C-BE32-E72D297353CC}">
              <c16:uniqueId val="{00000018-B373-4D0E-ACF9-9FAFD945E58C}"/>
            </c:ext>
          </c:extLst>
        </c:ser>
        <c:ser>
          <c:idx val="25"/>
          <c:order val="25"/>
          <c:tx>
            <c:strRef>
              <c:f>'246'!$AP$34</c:f>
              <c:strCache>
                <c:ptCount val="1"/>
                <c:pt idx="0">
                  <c:v>Stg.4 Shroud Fwd#2</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'246'!$AP$36:$AP$59</c:f>
              <c:numCache>
                <c:formatCode>General</c:formatCode>
                <c:ptCount val="24"/>
                <c:pt idx="0" formatCode="0.000">
                  <c:v>417.57490667224192</c:v>
                </c:pt>
                <c:pt idx="23" formatCode="0.000">
                  <c:v>417.57490667224192</c:v>
                </c:pt>
              </c:numCache>
            </c:numRef>
          </c:val>
          <c:extLst>
            <c:ext xmlns:c16="http://schemas.microsoft.com/office/drawing/2014/chart" uri="{C3380CC4-5D6E-409C-BE32-E72D297353CC}">
              <c16:uniqueId val="{00000019-B373-4D0E-ACF9-9FAFD945E58C}"/>
            </c:ext>
          </c:extLst>
        </c:ser>
        <c:dLbls>
          <c:showLegendKey val="0"/>
          <c:showVal val="0"/>
          <c:showCatName val="0"/>
          <c:showSerName val="0"/>
          <c:showPercent val="0"/>
          <c:showBubbleSize val="0"/>
        </c:dLbls>
        <c:axId val="175029760"/>
        <c:axId val="175091072"/>
      </c:radarChart>
      <c:catAx>
        <c:axId val="1750297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5091072"/>
        <c:crosses val="autoZero"/>
        <c:auto val="1"/>
        <c:lblAlgn val="ctr"/>
        <c:lblOffset val="100"/>
        <c:noMultiLvlLbl val="0"/>
      </c:catAx>
      <c:valAx>
        <c:axId val="17509107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5029760"/>
        <c:crosses val="autoZero"/>
        <c:crossBetween val="between"/>
        <c:majorUnit val="5.000000000000001E-2"/>
      </c:valAx>
    </c:plotArea>
    <c:legend>
      <c:legendPos val="r"/>
      <c:layout>
        <c:manualLayout>
          <c:xMode val="edge"/>
          <c:yMode val="edge"/>
          <c:x val="0.75693150597950609"/>
          <c:y val="0"/>
          <c:w val="0.23186849496117629"/>
          <c:h val="1"/>
        </c:manualLayout>
      </c:layout>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'246'!$V$9</c:f>
              <c:strCache>
                <c:ptCount val="1"/>
                <c:pt idx="0">
                  <c:v>Front</c:v>
                </c:pt>
              </c:strCache>
            </c:strRef>
          </c:tx>
          <c:marker>
            <c:symbol val="none"/>
          </c:marker>
          <c:cat>
            <c:numRef>
              <c:f>'246'!$U$11:$U$26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'246'!$V$11:$V$26</c:f>
              <c:numCache>
                <c:formatCode>General</c:formatCode>
                <c:ptCount val="16"/>
                <c:pt idx="0">
                  <c:v>417.61400000478909</c:v>
                </c:pt>
                <c:pt idx="1">
                  <c:v>417.6530000011972</c:v>
                </c:pt>
                <c:pt idx="2">
                  <c:v>417.65500000478863</c:v>
                </c:pt>
                <c:pt idx="3">
                  <c:v>417.63100000119721</c:v>
                </c:pt>
                <c:pt idx="4">
                  <c:v>417.63600000119726</c:v>
                </c:pt>
                <c:pt idx="5">
                  <c:v>417.65000000119716</c:v>
                </c:pt>
                <c:pt idx="6">
                  <c:v>417.63400000000001</c:v>
                </c:pt>
                <c:pt idx="7">
                  <c:v>417.63900000478884</c:v>
                </c:pt>
                <c:pt idx="8">
                  <c:v>417.60100000478923</c:v>
                </c:pt>
                <c:pt idx="9">
                  <c:v>417.57100000119743</c:v>
                </c:pt>
                <c:pt idx="10">
                  <c:v>417.62000000119724</c:v>
                </c:pt>
                <c:pt idx="11">
                  <c:v>417.69500000119706</c:v>
                </c:pt>
                <c:pt idx="12">
                  <c:v>417.69800000119704</c:v>
                </c:pt>
                <c:pt idx="13">
                  <c:v>417.64499999999998</c:v>
                </c:pt>
                <c:pt idx="14">
                  <c:v>417.56100000119744</c:v>
                </c:pt>
                <c:pt idx="15">
                  <c:v>417.55500001915914</c:v>
                </c:pt>
              </c:numCache>
            </c:numRef>
          </c:val>
          <c:extLst>
            <c:ext xmlns:c16="http://schemas.microsoft.com/office/drawing/2014/chart" uri="{C3380CC4-5D6E-409C-BE32-E72D297353CC}">
              <c16:uniqueId val="{00000000-335B-4332-885F-028295E340DE}"/>
            </c:ext>
          </c:extLst>
        </c:ser>
        <c:ser>
          <c:idx val="1"/>
          <c:order val="1"/>
          <c:tx>
            <c:strRef>
              <c:f>'246'!$W$9</c:f>
              <c:strCache>
                <c:ptCount val="1"/>
                <c:pt idx="0">
                  <c:v>Rear</c:v>
                </c:pt>
              </c:strCache>
            </c:strRef>
          </c:tx>
          <c:marker>
            <c:symbol val="none"/>
          </c:marker>
          <c:cat>
            <c:numRef>
              <c:f>'246'!$U$11:$U$26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'246'!$W$11:$W$26</c:f>
              <c:numCache>
                <c:formatCode>General</c:formatCode>
                <c:ptCount val="16"/>
                <c:pt idx="0">
                  <c:v>417.62400000119732</c:v>
                </c:pt>
                <c:pt idx="1">
                  <c:v>417.6620000011971</c:v>
                </c:pt>
                <c:pt idx="2">
                  <c:v>417.66300000478856</c:v>
                </c:pt>
                <c:pt idx="3">
                  <c:v>417.63600001915546</c:v>
                </c:pt>
                <c:pt idx="4">
                  <c:v>417.63700000119724</c:v>
                </c:pt>
                <c:pt idx="5">
                  <c:v>417.65800000119714</c:v>
                </c:pt>
                <c:pt idx="6">
                  <c:v>417.64200000119718</c:v>
                </c:pt>
                <c:pt idx="7">
                  <c:v>417.649</c:v>
                </c:pt>
                <c:pt idx="8">
                  <c:v>417.60600000119729</c:v>
                </c:pt>
                <c:pt idx="9">
                  <c:v>417.57100020236084</c:v>
                </c:pt>
                <c:pt idx="10">
                  <c:v>417.62400000119732</c:v>
                </c:pt>
                <c:pt idx="11">
                  <c:v>417.70800000478806</c:v>
                </c:pt>
                <c:pt idx="12">
                  <c:v>417.71000000119699</c:v>
                </c:pt>
                <c:pt idx="13">
                  <c:v>417.654</c:v>
                </c:pt>
                <c:pt idx="14">
                  <c:v>417.56000000119747</c:v>
                </c:pt>
                <c:pt idx="15">
                  <c:v>417.56000001077689</c:v>
                </c:pt>
              </c:numCache>
            </c:numRef>
          </c:val>
          <c:extLst>
            <c:ext xmlns:c16="http://schemas.microsoft.com/office/drawing/2014/chart" uri="{C3380CC4-5D6E-409C-BE32-E72D297353CC}">
              <c16:uniqueId val="{00000001-335B-4332-885F-028295E340DE}"/>
            </c:ext>
          </c:extLst>
        </c:ser>
        <c:dLbls>
          <c:showLegendKey val="0"/>
          <c:showVal val="0"/>
          <c:showCatName val="0"/>
          <c:showSerName val="0"/>
          <c:showPercent val="0"/>
          <c:showBubbleSize val="0"/>
        </c:dLbls>
        <c:axId val="175482368"/>
        <c:axId val="172610624"/>
      </c:radarChart>
      <c:valAx>
        <c:axId val="172610624"/>
        <c:scaling>
          <c:orientation val="minMax"/>
        </c:scaling>
        <c:delete val="0"/>
        <c:axPos val="l"/>
        <c:majorGridlines/>
        <c:numFmt formatCode="General" sourceLinked="1"/>
        <c:majorTickMark val="out"/>
        <c:minorTickMark val="none"/>
        <c:tickLblPos val="nextTo"/>
        <c:txPr>
          <a:bodyPr/>
          <a:lstStyle/>
          <a:p>
            <a:pPr>
              <a:defRPr lang="ja-JP"/>
            </a:pPr>
            <a:endParaRPr lang="en-US"/>
          </a:p>
        </c:txPr>
        <c:crossAx val="175482368"/>
        <c:crosses val="max"/>
        <c:crossBetween val="between"/>
      </c:valAx>
      <c:catAx>
        <c:axId val="17548236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610624"/>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'246'!$X$9</c:f>
              <c:strCache>
                <c:ptCount val="1"/>
                <c:pt idx="0">
                  <c:v>Rear-Front</c:v>
                </c:pt>
              </c:strCache>
            </c:strRef>
          </c:tx>
          <c:marker>
            <c:symbol val="none"/>
          </c:marker>
          <c:cat>
            <c:numRef>
              <c:f>'246'!$U$11:$U$26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'246'!$X$11:$X$26</c:f>
              <c:numCache>
                <c:formatCode>General</c:formatCode>
                <c:ptCount val="16"/>
                <c:pt idx="0">
                  <c:v>9.9999964082257975E-3</c:v>
                </c:pt>
                <c:pt idx="1">
                  <c:v>8.9999999999008651E-3</c:v>
                </c:pt>
                <c:pt idx="2">
                  <c:v>7.9999999999245119E-3</c:v>
                </c:pt>
                <c:pt idx="3">
                  <c:v>5.0000179582525561E-3</c:v>
                </c:pt>
                <c:pt idx="4">
                  <c:v>9.9999999997635314E-4</c:v>
                </c:pt>
                <c:pt idx="5">
                  <c:v>7.9999999999813554E-3</c:v>
                </c:pt>
                <c:pt idx="6">
                  <c:v>8.0000011971606E-3</c:v>
                </c:pt>
                <c:pt idx="7">
                  <c:v>9.9999952111602397E-3</c:v>
                </c:pt>
                <c:pt idx="8">
                  <c:v>4.9999964080598147E-3</c:v>
                </c:pt>
                <c:pt idx="9">
                  <c:v>2.0116340238018893E-7</c:v>
                </c:pt>
                <c:pt idx="10">
                  <c:v>4.0000000000759428E-3</c:v>
                </c:pt>
                <c:pt idx="11">
                  <c:v>1.3000003591002951E-2</c:v>
                </c:pt>
                <c:pt idx="12">
                  <c:v>1.1999999999943611E-2</c:v>
                </c:pt>
                <c:pt idx="13">
                  <c:v>9.0000000000145519E-3</c:v>
                </c:pt>
                <c:pt idx="14">
                  <c:v>-9.9999999997635314E-4</c:v>
                </c:pt>
                <c:pt idx="15">
                  <c:v>4.9999916177512205E-3</c:v>
                </c:pt>
              </c:numCache>
            </c:numRef>
          </c:val>
          <c:extLst>
            <c:ext xmlns:c16="http://schemas.microsoft.com/office/drawing/2014/chart" uri="{C3380CC4-5D6E-409C-BE32-E72D297353CC}">
              <c16:uniqueId val="{00000000-3289-49E3-B430-F32C381D2BE2}"/>
            </c:ext>
          </c:extLst>
        </c:ser>
        <c:dLbls>
          <c:showLegendKey val="0"/>
          <c:showVal val="0"/>
          <c:showCatName val="0"/>
          <c:showSerName val="0"/>
          <c:showPercent val="0"/>
          <c:showBubbleSize val="0"/>
        </c:dLbls>
        <c:axId val="175482880"/>
        <c:axId val="172612928"/>
      </c:radarChart>
      <c:valAx>
        <c:axId val="172612928"/>
        <c:scaling>
          <c:orientation val="minMax"/>
          <c:max val="2.0000000000000004E-2"/>
          <c:min val="-2.0000000000000004E-2"/>
        </c:scaling>
        <c:delete val="0"/>
        <c:axPos val="l"/>
        <c:majorGridlines/>
        <c:numFmt formatCode="General" sourceLinked="1"/>
        <c:majorTickMark val="out"/>
        <c:minorTickMark val="none"/>
        <c:tickLblPos val="nextTo"/>
        <c:txPr>
          <a:bodyPr/>
          <a:lstStyle/>
          <a:p>
            <a:pPr>
              <a:defRPr lang="ja-JP"/>
            </a:pPr>
            <a:endParaRPr lang="en-US"/>
          </a:p>
        </c:txPr>
        <c:crossAx val="175482880"/>
        <c:crosses val="max"/>
        <c:crossBetween val="between"/>
      </c:valAx>
      <c:catAx>
        <c:axId val="17548288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612928"/>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'247'!$K$9</c:f>
              <c:strCache>
                <c:ptCount val="1"/>
                <c:pt idx="0">
                  <c:v>CMM</c:v>
                </c:pt>
              </c:strCache>
            </c:strRef>
          </c:tx>
          <c:marker>
            <c:symbol val="none"/>
          </c:marker>
          <c:cat>
            <c:numRef>
              <c:f>'247'!$J$11:$J$26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'247'!$K$11:$K$26</c:f>
              <c:numCache>
                <c:formatCode>General</c:formatCode>
                <c:ptCount val="16"/>
                <c:pt idx="0">
                  <c:v>419.32299999999998</c:v>
                </c:pt>
                <c:pt idx="1">
                  <c:v>419.36100000476915</c:v>
                </c:pt>
                <c:pt idx="2">
                  <c:v>419.3650000011923</c:v>
                </c:pt>
                <c:pt idx="3">
                  <c:v>419.33800000000002</c:v>
                </c:pt>
                <c:pt idx="4">
                  <c:v>419.34300000000002</c:v>
                </c:pt>
                <c:pt idx="5">
                  <c:v>419.36</c:v>
                </c:pt>
                <c:pt idx="6">
                  <c:v>419.3410000047694</c:v>
                </c:pt>
                <c:pt idx="7">
                  <c:v>419.34700001073099</c:v>
                </c:pt>
                <c:pt idx="8">
                  <c:v>419.30799999999999</c:v>
                </c:pt>
                <c:pt idx="9">
                  <c:v>419.27900000119251</c:v>
                </c:pt>
                <c:pt idx="10">
                  <c:v>419.32299999999998</c:v>
                </c:pt>
                <c:pt idx="11">
                  <c:v>419.40400000119217</c:v>
                </c:pt>
                <c:pt idx="12">
                  <c:v>419.41800000000001</c:v>
                </c:pt>
                <c:pt idx="13">
                  <c:v>419.35400000119233</c:v>
                </c:pt>
                <c:pt idx="14">
                  <c:v>419.27199999999999</c:v>
                </c:pt>
                <c:pt idx="15">
                  <c:v>419.26900000119258</c:v>
                </c:pt>
              </c:numCache>
            </c:numRef>
          </c:val>
          <c:extLst>
            <c:ext xmlns:c16="http://schemas.microsoft.com/office/drawing/2014/chart" uri="{C3380CC4-5D6E-409C-BE32-E72D297353CC}">
              <c16:uniqueId val="{00000000-DEE8-4EA0-9F69-90DBB668CCAF}"/>
            </c:ext>
          </c:extLst>
        </c:ser>
        <c:ser>
          <c:idx val="1"/>
          <c:order val="1"/>
          <c:tx>
            <c:strRef>
              <c:f>'247'!$L$9</c:f>
              <c:strCache>
                <c:ptCount val="1"/>
                <c:pt idx="0">
                  <c:v>Dwg Min</c:v>
                </c:pt>
              </c:strCache>
            </c:strRef>
          </c:tx>
          <c:spPr>
            <a:ln>
              <a:prstDash val="dash"/>
            </a:ln>
          </c:spPr>
          <c:marker>
            <c:symbol val="none"/>
          </c:marker>
          <c:val>
            <c:numRef>
              <c:f>'247'!$L$11:$L$26</c:f>
              <c:numCache>
                <c:formatCode>General</c:formatCode>
                <c:ptCount val="16"/>
                <c:pt idx="0">
                  <c:v>419.26000000000005</c:v>
                </c:pt>
                <c:pt idx="1">
                  <c:v>419.26000000000005</c:v>
                </c:pt>
                <c:pt idx="2">
                  <c:v>419.26000000000005</c:v>
                </c:pt>
                <c:pt idx="3">
                  <c:v>419.26000000000005</c:v>
                </c:pt>
                <c:pt idx="4">
                  <c:v>419.26000000000005</c:v>
                </c:pt>
                <c:pt idx="5">
                  <c:v>419.26000000000005</c:v>
                </c:pt>
                <c:pt idx="6">
                  <c:v>419.26000000000005</c:v>
                </c:pt>
                <c:pt idx="7">
                  <c:v>419.26000000000005</c:v>
                </c:pt>
                <c:pt idx="8">
                  <c:v>419.26000000000005</c:v>
                </c:pt>
                <c:pt idx="9">
                  <c:v>419.26000000000005</c:v>
                </c:pt>
                <c:pt idx="10">
                  <c:v>419.26000000000005</c:v>
                </c:pt>
                <c:pt idx="11">
                  <c:v>419.26000000000005</c:v>
                </c:pt>
                <c:pt idx="12">
                  <c:v>419.26000000000005</c:v>
                </c:pt>
                <c:pt idx="13">
                  <c:v>419.26000000000005</c:v>
                </c:pt>
                <c:pt idx="14">
                  <c:v>419.26000000000005</c:v>
                </c:pt>
                <c:pt idx="15">
                  <c:v>419.26000000000005</c:v>
                </c:pt>
              </c:numCache>
            </c:numRef>
          </c:val>
          <c:extLst>
            <c:ext xmlns:c16="http://schemas.microsoft.com/office/drawing/2014/chart" uri="{C3380CC4-5D6E-409C-BE32-E72D297353CC}">
              <c16:uniqueId val="{00000001-DEE8-4EA0-9F69-90DBB668CCAF}"/>
            </c:ext>
          </c:extLst>
        </c:ser>
        <c:ser>
          <c:idx val="2"/>
          <c:order val="2"/>
          <c:tx>
            <c:strRef>
              <c:f>'247'!$M$9</c:f>
              <c:strCache>
                <c:ptCount val="1"/>
                <c:pt idx="0">
                  <c:v>Dwg Max</c:v>
                </c:pt>
              </c:strCache>
            </c:strRef>
          </c:tx>
          <c:spPr>
            <a:ln>
              <a:prstDash val="dash"/>
            </a:ln>
          </c:spPr>
          <c:marker>
            <c:symbol val="none"/>
          </c:marker>
          <c:val>
            <c:numRef>
              <c:f>'247'!$M$11:$M$26</c:f>
              <c:numCache>
                <c:formatCode>General</c:formatCode>
                <c:ptCount val="16"/>
                <c:pt idx="0">
                  <c:v>419.44</c:v>
                </c:pt>
                <c:pt idx="1">
                  <c:v>419.44</c:v>
                </c:pt>
                <c:pt idx="2">
                  <c:v>419.44</c:v>
                </c:pt>
                <c:pt idx="3">
                  <c:v>419.44</c:v>
                </c:pt>
                <c:pt idx="4">
                  <c:v>419.44</c:v>
                </c:pt>
                <c:pt idx="5">
                  <c:v>419.44</c:v>
                </c:pt>
                <c:pt idx="6">
                  <c:v>419.44</c:v>
                </c:pt>
                <c:pt idx="7">
                  <c:v>419.44</c:v>
                </c:pt>
                <c:pt idx="8">
                  <c:v>419.44</c:v>
                </c:pt>
                <c:pt idx="9">
                  <c:v>419.44</c:v>
                </c:pt>
                <c:pt idx="10">
                  <c:v>419.44</c:v>
                </c:pt>
                <c:pt idx="11">
                  <c:v>419.44</c:v>
                </c:pt>
                <c:pt idx="12">
                  <c:v>419.44</c:v>
                </c:pt>
                <c:pt idx="13">
                  <c:v>419.44</c:v>
                </c:pt>
                <c:pt idx="14">
                  <c:v>419.44</c:v>
                </c:pt>
                <c:pt idx="15">
                  <c:v>419.44</c:v>
                </c:pt>
              </c:numCache>
            </c:numRef>
          </c:val>
          <c:extLst>
            <c:ext xmlns:c16="http://schemas.microsoft.com/office/drawing/2014/chart" uri="{C3380CC4-5D6E-409C-BE32-E72D297353CC}">
              <c16:uniqueId val="{00000002-DEE8-4EA0-9F69-90DBB668CCAF}"/>
            </c:ext>
          </c:extLst>
        </c:ser>
        <c:dLbls>
          <c:showLegendKey val="0"/>
          <c:showVal val="0"/>
          <c:showCatName val="0"/>
          <c:showSerName val="0"/>
          <c:showPercent val="0"/>
          <c:showBubbleSize val="0"/>
        </c:dLbls>
        <c:axId val="172913152"/>
        <c:axId val="172740544"/>
      </c:radarChart>
      <c:catAx>
        <c:axId val="17291315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740544"/>
        <c:crosses val="autoZero"/>
        <c:auto val="1"/>
        <c:lblAlgn val="ctr"/>
        <c:lblOffset val="100"/>
        <c:noMultiLvlLbl val="0"/>
      </c:catAx>
      <c:valAx>
        <c:axId val="17274054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2913152"/>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'247'!$AQ$34</c:f>
              <c:strCache>
                <c:ptCount val="1"/>
                <c:pt idx="0">
                  <c:v>LPT Case Hook R Min</c:v>
                </c:pt>
              </c:strCache>
            </c:strRef>
          </c:tx>
          <c:spPr>
            <a:ln w="28575">
              <a:prstDash val="dash"/>
            </a:ln>
          </c:spPr>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'247'!$AQ$36:$AQ$59</c:f>
              <c:numCache>
                <c:formatCode>General</c:formatCode>
                <c:ptCount val="24"/>
                <c:pt idx="0">
                  <c:v>419.31800000000004</c:v>
                </c:pt>
                <c:pt idx="1">
                  <c:v>419.31800000000004</c:v>
                </c:pt>
                <c:pt idx="2">
                  <c:v>419.31800000000004</c:v>
                </c:pt>
                <c:pt idx="3">
                  <c:v>419.31800000000004</c:v>
                </c:pt>
                <c:pt idx="4">
                  <c:v>419.31800000000004</c:v>
                </c:pt>
                <c:pt idx="5">
                  <c:v>419.31800000000004</c:v>
                </c:pt>
                <c:pt idx="6">
                  <c:v>419.31800000000004</c:v>
                </c:pt>
                <c:pt idx="7">
                  <c:v>419.31800000000004</c:v>
                </c:pt>
                <c:pt idx="8">
                  <c:v>419.31800000000004</c:v>
                </c:pt>
                <c:pt idx="9">
                  <c:v>419.31800000000004</c:v>
                </c:pt>
                <c:pt idx="10">
                  <c:v>419.31800000000004</c:v>
                </c:pt>
                <c:pt idx="11">
                  <c:v>419.31800000000004</c:v>
                </c:pt>
                <c:pt idx="12">
                  <c:v>419.31800000000004</c:v>
                </c:pt>
                <c:pt idx="13">
                  <c:v>419.31800000000004</c:v>
                </c:pt>
                <c:pt idx="14">
                  <c:v>419.31800000000004</c:v>
                </c:pt>
                <c:pt idx="15">
                  <c:v>419.31800000000004</c:v>
                </c:pt>
                <c:pt idx="16">
                  <c:v>419.31800000000004</c:v>
                </c:pt>
                <c:pt idx="17">
                  <c:v>419.31800000000004</c:v>
                </c:pt>
                <c:pt idx="18">
                  <c:v>419.31800000000004</c:v>
                </c:pt>
                <c:pt idx="19">
                  <c:v>419.31800000000004</c:v>
                </c:pt>
                <c:pt idx="20">
                  <c:v>419.31800000000004</c:v>
                </c:pt>
                <c:pt idx="21">
                  <c:v>419.31800000000004</c:v>
                </c:pt>
                <c:pt idx="22">
                  <c:v>419.31800000000004</c:v>
                </c:pt>
                <c:pt idx="23">
                  <c:v>419.31800000000004</c:v>
                </c:pt>
              </c:numCache>
            </c:numRef>
          </c:val>
          <c:extLst>
            <c:ext xmlns:c16="http://schemas.microsoft.com/office/drawing/2014/chart" uri="{C3380CC4-5D6E-409C-BE32-E72D297353CC}">
              <c16:uniqueId val="{00000000-6D2A-47EA-9786-CE998908C0A3}"/>
            </c:ext>
          </c:extLst>
        </c:ser>
        <c:ser>
          <c:idx val="1"/>
          <c:order val="1"/>
          <c:tx>
            <c:strRef>
              <c:f>'247'!$AR$34</c:f>
              <c:strCache>
                <c:ptCount val="1"/>
                <c:pt idx="0">
                  <c:v>LPT Case Hook R Max</c:v>
                </c:pt>
              </c:strCache>
            </c:strRef>
          </c:tx>
          <c:spPr>
            <a:ln w="28575">
              <a:prstDash val="dash"/>
            </a:ln>
          </c:spPr>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'247'!$AR$36:$AR$59</c:f>
              <c:numCache>
                <c:formatCode>General</c:formatCode>
                <c:ptCount val="24"/>
                <c:pt idx="0">
                  <c:v>419.38200000000001</c:v>
                </c:pt>
                <c:pt idx="1">
                  <c:v>419.38200000000001</c:v>
                </c:pt>
                <c:pt idx="2">
                  <c:v>419.38200000000001</c:v>
                </c:pt>
                <c:pt idx="3">
                  <c:v>419.38200000000001</c:v>
                </c:pt>
                <c:pt idx="4">
                  <c:v>419.38200000000001</c:v>
                </c:pt>
                <c:pt idx="5">
                  <c:v>419.38200000000001</c:v>
                </c:pt>
                <c:pt idx="6">
                  <c:v>419.38200000000001</c:v>
                </c:pt>
                <c:pt idx="7">
                  <c:v>419.38200000000001</c:v>
                </c:pt>
                <c:pt idx="8">
                  <c:v>419.38200000000001</c:v>
                </c:pt>
                <c:pt idx="9">
                  <c:v>419.38200000000001</c:v>
                </c:pt>
                <c:pt idx="10">
                  <c:v>419.38200000000001</c:v>
                </c:pt>
                <c:pt idx="11">
                  <c:v>419.38200000000001</c:v>
                </c:pt>
                <c:pt idx="12">
                  <c:v>419.38200000000001</c:v>
                </c:pt>
                <c:pt idx="13">
                  <c:v>419.38200000000001</c:v>
                </c:pt>
                <c:pt idx="14">
                  <c:v>419.38200000000001</c:v>
                </c:pt>
                <c:pt idx="15">
                  <c:v>419.38200000000001</c:v>
                </c:pt>
                <c:pt idx="16">
                  <c:v>419.38200000000001</c:v>
                </c:pt>
                <c:pt idx="17">
                  <c:v>419.38200000000001</c:v>
                </c:pt>
                <c:pt idx="18">
                  <c:v>419.38200000000001</c:v>
                </c:pt>
                <c:pt idx="19">
                  <c:v>419.38200000000001</c:v>
                </c:pt>
                <c:pt idx="20">
                  <c:v>419.38200000000001</c:v>
                </c:pt>
                <c:pt idx="21">
                  <c:v>419.38200000000001</c:v>
                </c:pt>
                <c:pt idx="22">
                  <c:v>419.38200000000001</c:v>
                </c:pt>
                <c:pt idx="23">
                  <c:v>419.38200000000001</c:v>
                </c:pt>
              </c:numCache>
            </c:numRef>
          </c:val>
          <c:extLst>
            <c:ext xmlns:c16="http://schemas.microsoft.com/office/drawing/2014/chart" uri="{C3380CC4-5D6E-409C-BE32-E72D297353CC}">
              <c16:uniqueId val="{00000001-6D2A-47EA-9786-CE998908C0A3}"/>
            </c:ext>
          </c:extLst>
        </c:ser>
        <c:ser>
          <c:idx val="2"/>
          <c:order val="2"/>
          <c:tx>
            <c:strRef>
              <c:f>'247'!$S$34</c:f>
              <c:strCache>
                <c:ptCount val="1"/>
                <c:pt idx="0">
                  <c:v>Stg.4 Nozzle Aft#1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'247'!$S$36:$S$59</c:f>
              <c:numCache>
                <c:formatCode>0.000</c:formatCode>
                <c:ptCount val="24"/>
                <c:pt idx="0">
                  <c:v>419.30733066715482</c:v>
                </c:pt>
                <c:pt idx="1">
                  <c:v>419.30733066715482</c:v>
                </c:pt>
              </c:numCache>
            </c:numRef>
          </c:val>
          <c:extLst>
            <c:ext xmlns:c16="http://schemas.microsoft.com/office/drawing/2014/chart" uri="{C3380CC4-5D6E-409C-BE32-E72D297353CC}">
              <c16:uniqueId val="{00000002-6D2A-47EA-9786-CE998908C0A3}"/>
            </c:ext>
          </c:extLst>
        </c:ser>
        <c:ser>
          <c:idx val="3"/>
          <c:order val="3"/>
          <c:tx>
            <c:strRef>
              <c:f>'247'!$T$34</c:f>
              <c:strCache>
                <c:ptCount val="1"/>
                <c:pt idx="0">
                  <c:v>Stg.4 Nozzle Aft#24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'247'!$T$36:$T$59</c:f>
              <c:numCache>
                <c:formatCode>0.000</c:formatCode>
                <c:ptCount val="24"/>
                <c:pt idx="1">
                  <c:v>419.33759200183135</c:v>
                </c:pt>
                <c:pt idx="2">
                  <c:v>419.33759200183135</c:v>
                </c:pt>
              </c:numCache>
            </c:numRef>
          </c:val>
          <c:extLst>
            <c:ext xmlns:c16="http://schemas.microsoft.com/office/drawing/2014/chart" uri="{C3380CC4-5D6E-409C-BE32-E72D297353CC}">
              <c16:uniqueId val="{00000003-6D2A-47EA-9786-CE998908C0A3}"/>
            </c:ext>
          </c:extLst>
        </c:ser>
        <c:ser>
          <c:idx val="4"/>
          <c:order val="4"/>
          <c:tx>
            <c:strRef>
              <c:f>'247'!$U$34</c:f>
              <c:strCache>
                <c:ptCount val="1"/>
                <c:pt idx="0">
                  <c:v>Stg.4 Nozzle Aft#23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'247'!$U$36:$U$59</c:f>
              <c:numCache>
                <c:formatCode>General</c:formatCode>
                <c:ptCount val="24"/>
                <c:pt idx="2" formatCode="0.000">
                  <c:v>419.35639733674168</c:v>
                </c:pt>
                <c:pt idx="3" formatCode="0.000">
                  <c:v>419.35639733674168</c:v>
                </c:pt>
              </c:numCache>
            </c:numRef>
          </c:val>
          <c:extLst>
            <c:ext xmlns:c16="http://schemas.microsoft.com/office/drawing/2014/chart" uri="{C3380CC4-5D6E-409C-BE32-E72D297353CC}">
              <c16:uniqueId val="{00000004-6D2A-47EA-9786-CE998908C0A3}"/>
            </c:ext>
          </c:extLst>
        </c:ser>
        <c:ser>
          <c:idx val="5"/>
          <c:order val="5"/>
          <c:tx>
            <c:strRef>
              <c:f>'247'!$V$34</c:f>
              <c:strCache>
                <c:ptCount val="1"/>
                <c:pt idx="0">
                  <c:v>Stg.4 Nozzle Aft#22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'247'!$V$36:$V$59</c:f>
              <c:numCache>
                <c:formatCode>General</c:formatCode>
                <c:ptCount val="24"/>
                <c:pt idx="3" formatCode="0.000">
                  <c:v>419.3630840022638</c:v>
                </c:pt>
                <c:pt idx="4" formatCode="0.000">
                  <c:v>419.3630840022638</c:v>
                </c:pt>
              </c:numCache>
            </c:numRef>
          </c:val>
          <c:extLst>
            <c:ext xmlns:c16="http://schemas.microsoft.com/office/drawing/2014/chart" uri="{C3380CC4-5D6E-409C-BE32-E72D297353CC}">
              <c16:uniqueId val="{00000005-6D2A-47EA-9786-CE998908C0A3}"/>
            </c:ext>
          </c:extLst>
        </c:ser>
        <c:ser>
          <c:idx val="6"/>
          <c:order val="6"/>
          <c:tx>
            <c:strRef>
              <c:f>'247'!$W$34</c:f>
              <c:strCache>
                <c:ptCount val="1"/>
                <c:pt idx="0">
                  <c:v>Stg.4 Nozzle Aft#21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'247'!$W$36:$W$59</c:f>
              <c:numCache>
                <c:formatCode>General</c:formatCode>
                <c:ptCount val="24"/>
                <c:pt idx="4" formatCode="0.000">
                  <c:v>419.35463200073445</c:v>
                </c:pt>
                <c:pt idx="5" formatCode="0.000">
                  <c:v>419.35463200073445</c:v>
                </c:pt>
              </c:numCache>
            </c:numRef>
          </c:val>
          <c:extLst>
            <c:ext xmlns:c16="http://schemas.microsoft.com/office/drawing/2014/chart" uri="{C3380CC4-5D6E-409C-BE32-E72D297353CC}">
              <c16:uniqueId val="{00000006-6D2A-47EA-9786-CE998908C0A3}"/>
            </c:ext>
          </c:extLst>
        </c:ser>
        <c:ser>
          <c:idx val="7"/>
          <c:order val="7"/>
          <c:tx>
            <c:strRef>
              <c:f>'247'!$X$34</c:f>
              <c:strCache>
                <c:ptCount val="1"/>
                <c:pt idx="0">
                  <c:v>Stg.4 Nozzle Aft#20</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'247'!$X$36:$X$59</c:f>
              <c:numCache>
                <c:formatCode>General</c:formatCode>
                <c:ptCount val="24"/>
                <c:pt idx="5" formatCode="0.000">
                  <c:v>419.34277600016856</c:v>
                </c:pt>
                <c:pt idx="6" formatCode="0.000">
                  <c:v>419.34277600016856</c:v>
                </c:pt>
              </c:numCache>
            </c:numRef>
          </c:val>
          <c:extLst>
            <c:ext xmlns:c16="http://schemas.microsoft.com/office/drawing/2014/chart" uri="{C3380CC4-5D6E-409C-BE32-E72D297353CC}">
              <c16:uniqueId val="{00000007-6D2A-47EA-9786-CE998908C0A3}"/>
            </c:ext>
          </c:extLst>
        </c:ser>
        <c:ser>
          <c:idx val="8"/>
          <c:order val="8"/>
          <c:tx>
            <c:strRef>
              <c:f>'247'!$Y$34</c:f>
              <c:strCache>
                <c:ptCount val="1"/>
                <c:pt idx="0">
                  <c:v>Stg.4 Nozzle Aft#19</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'247'!$Y$36:$Y$59</c:f>
              <c:numCache>
                <c:formatCode>General</c:formatCode>
                <c:ptCount val="24"/>
                <c:pt idx="6" formatCode="0.000">
                  <c:v>419.3418906666667</c:v>
                </c:pt>
                <c:pt idx="7" formatCode="0.000">
                  <c:v>419.3418906666667</c:v>
                </c:pt>
              </c:numCache>
            </c:numRef>
          </c:val>
          <c:extLst>
            <c:ext xmlns:c16="http://schemas.microsoft.com/office/drawing/2014/chart" uri="{C3380CC4-5D6E-409C-BE32-E72D297353CC}">
              <c16:uniqueId val="{00000008-6D2A-47EA-9786-CE998908C0A3}"/>
            </c:ext>
          </c:extLst>
        </c:ser>
        <c:ser>
          <c:idx val="9"/>
          <c:order val="9"/>
          <c:tx>
            <c:strRef>
              <c:f>'247'!$Z$34</c:f>
              <c:strCache>
                <c:ptCount val="1"/>
                <c:pt idx="0">
                  <c:v>Stg.4 Nozzle Aft#18</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'247'!$Z$36:$Z$59</c:f>
              <c:numCache>
                <c:formatCode>General</c:formatCode>
                <c:ptCount val="24"/>
                <c:pt idx="7" formatCode="0.000">
                  <c:v>419.34952800000002</c:v>
                </c:pt>
                <c:pt idx="8" formatCode="0.000">
                  <c:v>419.34952800000002</c:v>
                </c:pt>
              </c:numCache>
            </c:numRef>
          </c:val>
          <c:extLst>
            <c:ext xmlns:c16="http://schemas.microsoft.com/office/drawing/2014/chart" uri="{C3380CC4-5D6E-409C-BE32-E72D297353CC}">
              <c16:uniqueId val="{00000009-6D2A-47EA-9786-CE998908C0A3}"/>
            </c:ext>
          </c:extLst>
        </c:ser>
        <c:ser>
          <c:idx val="10"/>
          <c:order val="10"/>
          <c:tx>
            <c:strRef>
              <c:f>'247'!$AA$34</c:f>
              <c:strCache>
                <c:ptCount val="1"/>
                <c:pt idx="0">
                  <c:v>Stg.4 Nozzle Aft#17</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'247'!$AA$36:$AA$59</c:f>
              <c:numCache>
                <c:formatCode>General</c:formatCode>
                <c:ptCount val="24"/>
                <c:pt idx="8" formatCode="0.000">
                  <c:v>419.35394933424908</c:v>
                </c:pt>
                <c:pt idx="9" formatCode="0.000">
                  <c:v>419.35394933424908</c:v>
                </c:pt>
              </c:numCache>
            </c:numRef>
          </c:val>
          <c:extLst>
            <c:ext xmlns:c16="http://schemas.microsoft.com/office/drawing/2014/chart" uri="{C3380CC4-5D6E-409C-BE32-E72D297353CC}">
              <c16:uniqueId val="{0000000A-6D2A-47EA-9786-CE998908C0A3}"/>
            </c:ext>
          </c:extLst>
        </c:ser>
        <c:ser>
          <c:idx val="11"/>
          <c:order val="11"/>
          <c:tx>
            <c:strRef>
              <c:f>'247'!$AB$34</c:f>
              <c:strCache>
                <c:ptCount val="1"/>
                <c:pt idx="0">
                  <c:v>Stg.4 Nozzle Aft#16</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'247'!$AB$36:$AB$59</c:f>
              <c:numCache>
                <c:formatCode>General</c:formatCode>
                <c:ptCount val="24"/>
                <c:pt idx="9" formatCode="0.000">
                  <c:v>419.34700400345145</c:v>
                </c:pt>
                <c:pt idx="10" formatCode="0.000">
                  <c:v>419.34700400345145</c:v>
                </c:pt>
              </c:numCache>
            </c:numRef>
          </c:val>
          <c:extLst>
            <c:ext xmlns:c16="http://schemas.microsoft.com/office/drawing/2014/chart" uri="{C3380CC4-5D6E-409C-BE32-E72D297353CC}">
              <c16:uniqueId val="{0000000B-6D2A-47EA-9786-CE998908C0A3}"/>
            </c:ext>
          </c:extLst>
        </c:ser>
        <c:ser>
          <c:idx val="12"/>
          <c:order val="12"/>
          <c:tx>
            <c:strRef>
              <c:f>'247'!$AC$34</c:f>
              <c:strCache>
                <c:ptCount val="1"/>
                <c:pt idx="0">
                  <c:v>Stg.4 Nozzle Aft#15</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'247'!$AC$36:$AC$59</c:f>
              <c:numCache>
                <c:formatCode>General</c:formatCode>
                <c:ptCount val="24"/>
                <c:pt idx="10" formatCode="0.000">
                  <c:v>419.34330400705863</c:v>
                </c:pt>
                <c:pt idx="11" formatCode="0.000">
                  <c:v>419.34330400705863</c:v>
                </c:pt>
              </c:numCache>
            </c:numRef>
          </c:val>
          <c:extLst>
            <c:ext xmlns:c16="http://schemas.microsoft.com/office/drawing/2014/chart" uri="{C3380CC4-5D6E-409C-BE32-E72D297353CC}">
              <c16:uniqueId val="{0000000C-6D2A-47EA-9786-CE998908C0A3}"/>
            </c:ext>
          </c:extLst>
        </c:ser>
        <c:ser>
          <c:idx val="13"/>
          <c:order val="13"/>
          <c:tx>
            <c:strRef>
              <c:f>'247'!$AD$34</c:f>
              <c:strCache>
                <c:ptCount val="1"/>
                <c:pt idx="0">
                  <c:v>Stg.4 Nozzle Aft#14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'247'!$AD$36:$AD$59</c:f>
              <c:numCache>
                <c:formatCode>General</c:formatCode>
                <c:ptCount val="24"/>
                <c:pt idx="11" formatCode="0.000">
                  <c:v>419.33866400782807</c:v>
                </c:pt>
                <c:pt idx="12" formatCode="0.000">
                  <c:v>419.33866400782807</c:v>
                </c:pt>
              </c:numCache>
            </c:numRef>
          </c:val>
          <c:extLst>
            <c:ext xmlns:c16="http://schemas.microsoft.com/office/drawing/2014/chart" uri="{C3380CC4-5D6E-409C-BE32-E72D297353CC}">
              <c16:uniqueId val="{0000000D-6D2A-47EA-9786-CE998908C0A3}"/>
            </c:ext>
          </c:extLst>
        </c:ser>
        <c:ser>
          <c:idx val="14"/>
          <c:order val="14"/>
          <c:tx>
            <c:strRef>
              <c:f>'247'!$AE$34</c:f>
              <c:strCache>
                <c:ptCount val="1"/>
                <c:pt idx="0">
                  <c:v>Stg.4 Nozzle Aft#13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'247'!$AE$36:$AE$59</c:f>
              <c:numCache>
                <c:formatCode>General</c:formatCode>
                <c:ptCount val="24"/>
                <c:pt idx="12" formatCode="0.000">
                  <c:v>419.31927733666873</c:v>
                </c:pt>
                <c:pt idx="13" formatCode="0.000">
                  <c:v>419.31927733666873</c:v>
                </c:pt>
              </c:numCache>
            </c:numRef>
          </c:val>
          <c:extLst>
            <c:ext xmlns:c16="http://schemas.microsoft.com/office/drawing/2014/chart" uri="{C3380CC4-5D6E-409C-BE32-E72D297353CC}">
              <c16:uniqueId val="{0000000E-6D2A-47EA-9786-CE998908C0A3}"/>
            </c:ext>
          </c:extLst>
        </c:ser>
        <c:ser>
          <c:idx val="15"/>
          <c:order val="15"/>
          <c:tx>
            <c:strRef>
              <c:f>'247'!$AF$34</c:f>
              <c:strCache>
                <c:ptCount val="1"/>
                <c:pt idx="0">
                  <c:v>Stg.4 Nozzle Aft#12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'247'!$AF$36:$AF$59</c:f>
              <c:numCache>
                <c:formatCode>General</c:formatCode>
                <c:ptCount val="24"/>
                <c:pt idx="13" formatCode="0.000">
                  <c:v>419.29686400045796</c:v>
                </c:pt>
                <c:pt idx="14" formatCode="0.000">
                  <c:v>419.29686400045796</c:v>
                </c:pt>
              </c:numCache>
            </c:numRef>
          </c:val>
          <c:extLst>
            <c:ext xmlns:c16="http://schemas.microsoft.com/office/drawing/2014/chart" uri="{C3380CC4-5D6E-409C-BE32-E72D297353CC}">
              <c16:uniqueId val="{0000000F-6D2A-47EA-9786-CE998908C0A3}"/>
            </c:ext>
          </c:extLst>
        </c:ser>
        <c:ser>
          <c:idx val="16"/>
          <c:order val="16"/>
          <c:tx>
            <c:strRef>
              <c:f>'247'!$AG$34</c:f>
              <c:strCache>
                <c:ptCount val="1"/>
                <c:pt idx="0">
                  <c:v>Stg.4 Nozzle Aft#11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'247'!$AG$36:$AG$59</c:f>
              <c:numCache>
                <c:formatCode>General</c:formatCode>
                <c:ptCount val="24"/>
                <c:pt idx="14" formatCode="0.000">
                  <c:v>419.29154666746166</c:v>
                </c:pt>
                <c:pt idx="15" formatCode="0.000">
                  <c:v>419.29154666746166</c:v>
                </c:pt>
              </c:numCache>
            </c:numRef>
          </c:val>
          <c:extLst>
            <c:ext xmlns:c16="http://schemas.microsoft.com/office/drawing/2014/chart" uri="{C3380CC4-5D6E-409C-BE32-E72D297353CC}">
              <c16:uniqueId val="{00000010-6D2A-47EA-9786-CE998908C0A3}"/>
            </c:ext>
          </c:extLst>
        </c:ser>
        <c:ser>
          <c:idx val="17"/>
          <c:order val="17"/>
          <c:tx>
            <c:strRef>
              <c:f>'247'!$AH$34</c:f>
              <c:strCache>
                <c:ptCount val="1"/>
                <c:pt idx="0">
                  <c:v>Stg.4 Nozzle Aft#10</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'247'!$AH$36:$AH$59</c:f>
              <c:numCache>
                <c:formatCode>General</c:formatCode>
                <c:ptCount val="24"/>
                <c:pt idx="15" formatCode="0.000">
                  <c:v>419.31150000039747</c:v>
                </c:pt>
                <c:pt idx="16" formatCode="0.000">
                  <c:v>419.31150000039747</c:v>
                </c:pt>
              </c:numCache>
            </c:numRef>
          </c:val>
          <c:extLst>
            <c:ext xmlns:c16="http://schemas.microsoft.com/office/drawing/2014/chart" uri="{C3380CC4-5D6E-409C-BE32-E72D297353CC}">
              <c16:uniqueId val="{00000011-6D2A-47EA-9786-CE998908C0A3}"/>
            </c:ext>
          </c:extLst>
        </c:ser>
        <c:ser>
          <c:idx val="18"/>
          <c:order val="18"/>
          <c:tx>
            <c:strRef>
              <c:f>'247'!$AI$34</c:f>
              <c:strCache>
                <c:ptCount val="1"/>
                <c:pt idx="0">
                  <c:v>Stg.4 Nozzle Aft#9</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'247'!$AI$36:$AI$59</c:f>
              <c:numCache>
                <c:formatCode>General</c:formatCode>
                <c:ptCount val="24"/>
                <c:pt idx="16" formatCode="0.000">
                  <c:v>419.35410400045782</c:v>
                </c:pt>
                <c:pt idx="17" formatCode="0.000">
                  <c:v>419.35410400045782</c:v>
                </c:pt>
              </c:numCache>
            </c:numRef>
          </c:val>
          <c:extLst>
            <c:ext xmlns:c16="http://schemas.microsoft.com/office/drawing/2014/chart" uri="{C3380CC4-5D6E-409C-BE32-E72D297353CC}">
              <c16:uniqueId val="{00000012-6D2A-47EA-9786-CE998908C0A3}"/>
            </c:ext>
          </c:extLst>
        </c:ser>
        <c:ser>
          <c:idx val="19"/>
          <c:order val="19"/>
          <c:tx>
            <c:strRef>
              <c:f>'247'!$AJ$34</c:f>
              <c:strCache>
                <c:ptCount val="1"/>
                <c:pt idx="0">
                  <c:v>Stg.4 Nozzle Aft#8</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'247'!$AJ$36:$AJ$59</c:f>
              <c:numCache>
                <c:formatCode>General</c:formatCode>
                <c:ptCount val="24"/>
                <c:pt idx="17" formatCode="0.000">
                  <c:v>419.39524000079479</c:v>
                </c:pt>
                <c:pt idx="18" formatCode="0.000">
                  <c:v>419.39524000079479</c:v>
                </c:pt>
              </c:numCache>
            </c:numRef>
          </c:val>
          <c:extLst>
            <c:ext xmlns:c16="http://schemas.microsoft.com/office/drawing/2014/chart" uri="{C3380CC4-5D6E-409C-BE32-E72D297353CC}">
              <c16:uniqueId val="{00000013-6D2A-47EA-9786-CE998908C0A3}"/>
            </c:ext>
          </c:extLst>
        </c:ser>
        <c:ser>
          <c:idx val="20"/>
          <c:order val="20"/>
          <c:tx>
            <c:strRef>
              <c:f>'247'!$AK$34</c:f>
              <c:strCache>
                <c:ptCount val="1"/>
                <c:pt idx="0">
                  <c:v>Stg.4 Nozzle Aft#7</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'247'!$AK$36:$AK$59</c:f>
              <c:numCache>
                <c:formatCode>General</c:formatCode>
                <c:ptCount val="24"/>
                <c:pt idx="18" formatCode="0.000">
                  <c:v>419.4120666670641</c:v>
                </c:pt>
                <c:pt idx="19" formatCode="0.000">
                  <c:v>419.4120666670641</c:v>
                </c:pt>
              </c:numCache>
            </c:numRef>
          </c:val>
          <c:extLst>
            <c:ext xmlns:c16="http://schemas.microsoft.com/office/drawing/2014/chart" uri="{C3380CC4-5D6E-409C-BE32-E72D297353CC}">
              <c16:uniqueId val="{00000014-6D2A-47EA-9786-CE998908C0A3}"/>
            </c:ext>
          </c:extLst>
        </c:ser>
        <c:ser>
          <c:idx val="21"/>
          <c:order val="21"/>
          <c:tx>
            <c:strRef>
              <c:f>'247'!$AL$34</c:f>
              <c:strCache>
                <c:ptCount val="1"/>
                <c:pt idx="0">
                  <c:v>Stg.4 Nozzle Aft#6</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'247'!$AL$36:$AL$59</c:f>
              <c:numCache>
                <c:formatCode>General</c:formatCode>
                <c:ptCount val="24"/>
                <c:pt idx="19" formatCode="0.000">
                  <c:v>419.39342400045786</c:v>
                </c:pt>
                <c:pt idx="20" formatCode="0.000">
                  <c:v>419.39342400045786</c:v>
                </c:pt>
              </c:numCache>
            </c:numRef>
          </c:val>
          <c:extLst>
            <c:ext xmlns:c16="http://schemas.microsoft.com/office/drawing/2014/chart" uri="{C3380CC4-5D6E-409C-BE32-E72D297353CC}">
              <c16:uniqueId val="{00000015-6D2A-47EA-9786-CE998908C0A3}"/>
            </c:ext>
          </c:extLst>
        </c:ser>
        <c:ser>
          <c:idx val="22"/>
          <c:order val="22"/>
          <c:tx>
            <c:strRef>
              <c:f>'247'!$AM$34</c:f>
              <c:strCache>
                <c:ptCount val="1"/>
                <c:pt idx="0">
                  <c:v>Stg.4 Nozzle Aft#5</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'247'!$AM$36:$AM$59</c:f>
              <c:numCache>
                <c:formatCode>General</c:formatCode>
                <c:ptCount val="24"/>
                <c:pt idx="20" formatCode="0.000">
                  <c:v>419.34730133412825</c:v>
                </c:pt>
                <c:pt idx="21" formatCode="0.000">
                  <c:v>419.34730133412825</c:v>
                </c:pt>
              </c:numCache>
            </c:numRef>
          </c:val>
          <c:extLst>
            <c:ext xmlns:c16="http://schemas.microsoft.com/office/drawing/2014/chart" uri="{C3380CC4-5D6E-409C-BE32-E72D297353CC}">
              <c16:uniqueId val="{00000016-6D2A-47EA-9786-CE998908C0A3}"/>
            </c:ext>
          </c:extLst>
        </c:ser>
        <c:ser>
          <c:idx val="23"/>
          <c:order val="23"/>
          <c:tx>
            <c:strRef>
              <c:f>'247'!$AN$34</c:f>
              <c:strCache>
                <c:ptCount val="1"/>
                <c:pt idx="0">
                  <c:v>Stg.4 Nozzle Aft#4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'247'!$AN$36:$AN$59</c:f>
              <c:numCache>
                <c:formatCode>General</c:formatCode>
                <c:ptCount val="24"/>
                <c:pt idx="21" formatCode="0.000">
                  <c:v>419.29718000039747</c:v>
                </c:pt>
                <c:pt idx="22" formatCode="0.000">
                  <c:v>419.29718000039747</c:v>
                </c:pt>
              </c:numCache>
            </c:numRef>
          </c:val>
          <c:extLst>
            <c:ext xmlns:c16="http://schemas.microsoft.com/office/drawing/2014/chart" uri="{C3380CC4-5D6E-409C-BE32-E72D297353CC}">
              <c16:uniqueId val="{00000017-6D2A-47EA-9786-CE998908C0A3}"/>
            </c:ext>
          </c:extLst>
        </c:ser>
        <c:ser>
          <c:idx val="24"/>
          <c:order val="24"/>
          <c:tx>
            <c:strRef>
              <c:f>'247'!$AO$34</c:f>
              <c:strCache>
                <c:ptCount val="1"/>
                <c:pt idx="0">
                  <c:v>Stg.4 Nozzle Aft#3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'247'!$AO$36:$AO$59</c:f>
              <c:numCache>
                <c:formatCode>General</c:formatCode>
                <c:ptCount val="24"/>
                <c:pt idx="22" formatCode="0.000">
                  <c:v>419.27084800045793</c:v>
                </c:pt>
                <c:pt idx="23" formatCode="0.000">
                  <c:v>419.27084800045793</c:v>
                </c:pt>
              </c:numCache>
            </c:numRef>
          </c:val>
          <c:extLst>
            <c:ext xmlns:c16="http://schemas.microsoft.com/office/drawing/2014/chart" uri="{C3380CC4-5D6E-409C-BE32-E72D297353CC}">
              <c16:uniqueId val="{00000018-6D2A-47EA-9786-CE998908C0A3}"/>
            </c:ext>
          </c:extLst>
        </c:ser>
        <c:ser>
          <c:idx val="25"/>
          <c:order val="25"/>
          <c:tx>
            <c:strRef>
              <c:f>'247'!$AP$34</c:f>
              <c:strCache>
                <c:ptCount val="1"/>
                <c:pt idx="0">
                  <c:v>Stg.4 Nozzle Aft#2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'247'!$AP$36:$AP$59</c:f>
              <c:numCache>
                <c:formatCode>General</c:formatCode>
                <c:ptCount val="24"/>
                <c:pt idx="0" formatCode="0.000">
                  <c:v>419.28079200039753</c:v>
                </c:pt>
                <c:pt idx="23" formatCode="0.000">
                  <c:v>419.28079200039753</c:v>
                </c:pt>
              </c:numCache>
            </c:numRef>
          </c:val>
          <c:extLst>
            <c:ext xmlns:c16="http://schemas.microsoft.com/office/drawing/2014/chart" uri="{C3380CC4-5D6E-409C-BE32-E72D297353CC}">
              <c16:uniqueId val="{00000019-6D2A-47EA-9786-CE998908C0A3}"/>
            </c:ext>
          </c:extLst>
        </c:ser>
        <c:dLbls>
          <c:showLegendKey val="0"/>
          <c:showVal val="0"/>
          <c:showCatName val="0"/>
          <c:showSerName val="0"/>
          <c:showPercent val="0"/>
          <c:showBubbleSize val="0"/>
        </c:dLbls>
        <c:axId val="175281664"/>
        <c:axId val="175337984"/>
      </c:radarChart>
      <c:catAx>
        <c:axId val="17528166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5337984"/>
        <c:crosses val="autoZero"/>
        <c:auto val="1"/>
        <c:lblAlgn val="ctr"/>
        <c:lblOffset val="100"/>
        <c:noMultiLvlLbl val="0"/>
      </c:catAx>
      <c:valAx>
        <c:axId val="17533798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5281664"/>
        <c:crosses val="autoZero"/>
        <c:crossBetween val="between"/>
        <c:majorUnit val="5.000000000000001E-2"/>
      </c:valAx>
    </c:plotArea>
    <c:legend>
      <c:legendPos val="r"/>
      <c:layout>
        <c:manualLayout>
          <c:xMode val="edge"/>
          <c:yMode val="edge"/>
          <c:x val="0.75693147025290097"/>
          <c:y val="0"/>
          <c:w val="0.23186852904158714"/>
          <c:h val="1"/>
        </c:manualLayout>
      </c:layout>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'247'!$AQ$93</c:f>
              <c:strCache>
                <c:ptCount val="1"/>
                <c:pt idx="0">
                  <c:v>Step Min</c:v>
                </c:pt>
              </c:strCache>
            </c:strRef>
          </c:tx>
          <c:spPr>
            <a:ln w="28575">
              <a:prstDash val="dash"/>
            </a:ln>
          </c:spPr>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'247'!$AQ$95:$AQ$118</c:f>
              <c:numCache>
                <c:formatCode>General</c:formatCode>
                <c:ptCount val="24"/>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numCache>
            </c:numRef>
          </c:val>
          <c:extLst>
            <c:ext xmlns:c16="http://schemas.microsoft.com/office/drawing/2014/chart" uri="{C3380CC4-5D6E-409C-BE32-E72D297353CC}">
              <c16:uniqueId val="{00000000-E3E3-4E11-9F2D-B6578D9A3B7A}"/>
            </c:ext>
          </c:extLst>
        </c:ser>
        <c:ser>
          <c:idx val="1"/>
          <c:order val="1"/>
          <c:tx>
            <c:strRef>
              <c:f>'247'!$AR$93</c:f>
              <c:strCache>
                <c:ptCount val="1"/>
                <c:pt idx="0">
                  <c:v>Step Max</c:v>
                </c:pt>
              </c:strCache>
            </c:strRef>
          </c:tx>
          <c:spPr>
            <a:ln w="28575">
              <a:prstDash val="dash"/>
            </a:ln>
          </c:spPr>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'247'!$AR$95:$AR$118</c:f>
              <c:numCache>
                <c:formatCode>General</c:formatCode>
                <c:ptCount val="24"/>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numCache>
            </c:numRef>
          </c:val>
          <c:extLst>
            <c:ext xmlns:c16="http://schemas.microsoft.com/office/drawing/2014/chart" uri="{C3380CC4-5D6E-409C-BE32-E72D297353CC}">
              <c16:uniqueId val="{00000001-E3E3-4E11-9F2D-B6578D9A3B7A}"/>
            </c:ext>
          </c:extLst>
        </c:ser>
        <c:ser>
          <c:idx val="2"/>
          <c:order val="2"/>
          <c:tx>
            <c:strRef>
              <c:f>'247'!$S$93</c:f>
              <c:strCache>
                <c:ptCount val="1"/>
                <c:pt idx="0">
                  <c:v>Stg.4 Nozzle Step#1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'247'!$S$95:$S$118</c:f>
              <c:numCache>
                <c:formatCode>0.000_ </c:formatCode>
                <c:ptCount val="24"/>
                <c:pt idx="0">
                  <c:v>-5.8375999511838472E-2</c:v>
                </c:pt>
                <c:pt idx="1">
                  <c:v>-5.8375999511838472E-2</c:v>
                </c:pt>
              </c:numCache>
            </c:numRef>
          </c:val>
          <c:extLst>
            <c:ext xmlns:c16="http://schemas.microsoft.com/office/drawing/2014/chart" uri="{C3380CC4-5D6E-409C-BE32-E72D297353CC}">
              <c16:uniqueId val="{00000002-E3E3-4E11-9F2D-B6578D9A3B7A}"/>
            </c:ext>
          </c:extLst>
        </c:ser>
        <c:ser>
          <c:idx val="3"/>
          <c:order val="3"/>
          <c:tx>
            <c:strRef>
              <c:f>'247'!$T$93</c:f>
              <c:strCache>
                <c:ptCount val="1"/>
                <c:pt idx="0">
                  <c:v>Stg.4 Nozzle Step#24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'247'!$T$95:$T$118</c:f>
              <c:numCache>
                <c:formatCode>0.000_ </c:formatCode>
                <c:ptCount val="24"/>
                <c:pt idx="1">
                  <c:v>-2.6447998168634967E-2</c:v>
                </c:pt>
                <c:pt idx="2">
                  <c:v>-2.6447998168634967E-2</c:v>
                </c:pt>
              </c:numCache>
            </c:numRef>
          </c:val>
          <c:extLst>
            <c:ext xmlns:c16="http://schemas.microsoft.com/office/drawing/2014/chart" uri="{C3380CC4-5D6E-409C-BE32-E72D297353CC}">
              <c16:uniqueId val="{00000003-E3E3-4E11-9F2D-B6578D9A3B7A}"/>
            </c:ext>
          </c:extLst>
        </c:ser>
        <c:ser>
          <c:idx val="4"/>
          <c:order val="4"/>
          <c:tx>
            <c:strRef>
              <c:f>'247'!$U$93</c:f>
              <c:strCache>
                <c:ptCount val="1"/>
                <c:pt idx="0">
                  <c:v>Stg.4 Nozzle Step#23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'247'!$U$95:$U$118</c:f>
              <c:numCache>
                <c:formatCode>0.000_ </c:formatCode>
                <c:ptCount val="24"/>
                <c:pt idx="2">
                  <c:v>-5.9759965916441615E-3</c:v>
                </c:pt>
                <c:pt idx="3">
                  <c:v>-5.9759965916441615E-3</c:v>
                </c:pt>
              </c:numCache>
            </c:numRef>
          </c:val>
          <c:extLst>
            <c:ext xmlns:c16="http://schemas.microsoft.com/office/drawing/2014/chart" uri="{C3380CC4-5D6E-409C-BE32-E72D297353CC}">
              <c16:uniqueId val="{00000004-E3E3-4E11-9F2D-B6578D9A3B7A}"/>
            </c:ext>
          </c:extLst>
        </c:ser>
        <c:ser>
          <c:idx val="5"/>
          <c:order val="5"/>
          <c:tx>
            <c:strRef>
              <c:f>'247'!$V$93</c:f>
              <c:strCache>
                <c:ptCount val="1"/>
                <c:pt idx="0">
                  <c:v>Stg.4 Nozzle Step#22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'247'!$V$95:$V$118</c:f>
              <c:numCache>
                <c:formatCode>0.000_ </c:formatCode>
                <c:ptCount val="24"/>
                <c:pt idx="3">
                  <c:v>2.1873355971706587E-3</c:v>
                </c:pt>
                <c:pt idx="4">
                  <c:v>2.1873355971706587E-3</c:v>
                </c:pt>
              </c:numCache>
            </c:numRef>
          </c:val>
          <c:extLst>
            <c:ext xmlns:c16="http://schemas.microsoft.com/office/drawing/2014/chart" uri="{C3380CC4-5D6E-409C-BE32-E72D297353CC}">
              <c16:uniqueId val="{00000005-E3E3-4E11-9F2D-B6578D9A3B7A}"/>
            </c:ext>
          </c:extLst>
        </c:ser>
        <c:ser>
          <c:idx val="6"/>
          <c:order val="6"/>
          <c:tx>
            <c:strRef>
              <c:f>'247'!$W$93</c:f>
              <c:strCache>
                <c:ptCount val="1"/>
                <c:pt idx="0">
                  <c:v>Stg.4 Nozzle Step#21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'247'!$W$95:$W$118</c:f>
              <c:numCache>
                <c:formatCode>0.000_ </c:formatCode>
                <c:ptCount val="24"/>
                <c:pt idx="4">
                  <c:v>-7.2879992655430215E-3</c:v>
                </c:pt>
                <c:pt idx="5">
                  <c:v>-7.2879992655430215E-3</c:v>
                </c:pt>
              </c:numCache>
            </c:numRef>
          </c:val>
          <c:extLst>
            <c:ext xmlns:c16="http://schemas.microsoft.com/office/drawing/2014/chart" uri="{C3380CC4-5D6E-409C-BE32-E72D297353CC}">
              <c16:uniqueId val="{00000006-E3E3-4E11-9F2D-B6578D9A3B7A}"/>
            </c:ext>
          </c:extLst>
        </c:ser>
        <c:ser>
          <c:idx val="7"/>
          <c:order val="7"/>
          <c:tx>
            <c:strRef>
              <c:f>'247'!$X$93</c:f>
              <c:strCache>
                <c:ptCount val="1"/>
                <c:pt idx="0">
                  <c:v>Stg.4 Nozzle Step#20</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'247'!$X$95:$X$118</c:f>
              <c:numCache>
                <c:formatCode>0.000_ </c:formatCode>
                <c:ptCount val="24"/>
                <c:pt idx="5">
                  <c:v>-2.2477333164772517E-2</c:v>
                </c:pt>
                <c:pt idx="6">
                  <c:v>-2.2477333164772517E-2</c:v>
                </c:pt>
              </c:numCache>
            </c:numRef>
          </c:val>
          <c:extLst>
            <c:ext xmlns:c16="http://schemas.microsoft.com/office/drawing/2014/chart" uri="{C3380CC4-5D6E-409C-BE32-E72D297353CC}">
              <c16:uniqueId val="{00000007-E3E3-4E11-9F2D-B6578D9A3B7A}"/>
            </c:ext>
          </c:extLst>
        </c:ser>
        <c:ser>
          <c:idx val="8"/>
          <c:order val="8"/>
          <c:tx>
            <c:strRef>
              <c:f>'247'!$Y$93</c:f>
              <c:strCache>
                <c:ptCount val="1"/>
                <c:pt idx="0">
                  <c:v>Stg.4 Nozzle Step#19</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'247'!$Y$95:$Y$118</c:f>
              <c:numCache>
                <c:formatCode>0.000_ </c:formatCode>
                <c:ptCount val="24"/>
                <c:pt idx="6">
                  <c:v>-2.6569333333270606E-2</c:v>
                </c:pt>
                <c:pt idx="7">
                  <c:v>-2.6569333333270606E-2</c:v>
                </c:pt>
              </c:numCache>
            </c:numRef>
          </c:val>
          <c:extLst>
            <c:ext xmlns:c16="http://schemas.microsoft.com/office/drawing/2014/chart" uri="{C3380CC4-5D6E-409C-BE32-E72D297353CC}">
              <c16:uniqueId val="{00000008-E3E3-4E11-9F2D-B6578D9A3B7A}"/>
            </c:ext>
          </c:extLst>
        </c:ser>
        <c:ser>
          <c:idx val="9"/>
          <c:order val="9"/>
          <c:tx>
            <c:strRef>
              <c:f>'247'!$Z$93</c:f>
              <c:strCache>
                <c:ptCount val="1"/>
                <c:pt idx="0">
                  <c:v>Stg.4 Nozzle Step#18</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'247'!$Z$95:$Z$118</c:f>
              <c:numCache>
                <c:formatCode>0.000_ </c:formatCode>
                <c:ptCount val="24"/>
                <c:pt idx="7">
                  <c:v>-2.0471999999983836E-2</c:v>
                </c:pt>
                <c:pt idx="8">
                  <c:v>-2.0471999999983836E-2</c:v>
                </c:pt>
              </c:numCache>
            </c:numRef>
          </c:val>
          <c:extLst>
            <c:ext xmlns:c16="http://schemas.microsoft.com/office/drawing/2014/chart" uri="{C3380CC4-5D6E-409C-BE32-E72D297353CC}">
              <c16:uniqueId val="{00000009-E3E3-4E11-9F2D-B6578D9A3B7A}"/>
            </c:ext>
          </c:extLst>
        </c:ser>
        <c:ser>
          <c:idx val="10"/>
          <c:order val="10"/>
          <c:tx>
            <c:strRef>
              <c:f>'247'!$AA$93</c:f>
              <c:strCache>
                <c:ptCount val="1"/>
                <c:pt idx="0">
                  <c:v>Stg.4 Nozzle Step#17</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'247'!$AA$95:$AA$118</c:f>
              <c:numCache>
                <c:formatCode>0.000_ </c:formatCode>
                <c:ptCount val="24"/>
                <c:pt idx="8">
                  <c:v>-1.6050665750924509E-2</c:v>
                </c:pt>
                <c:pt idx="9">
                  <c:v>-1.6050665750924509E-2</c:v>
                </c:pt>
              </c:numCache>
            </c:numRef>
          </c:val>
          <c:extLst>
            <c:ext xmlns:c16="http://schemas.microsoft.com/office/drawing/2014/chart" uri="{C3380CC4-5D6E-409C-BE32-E72D297353CC}">
              <c16:uniqueId val="{0000000A-E3E3-4E11-9F2D-B6578D9A3B7A}"/>
            </c:ext>
          </c:extLst>
        </c:ser>
        <c:ser>
          <c:idx val="11"/>
          <c:order val="11"/>
          <c:tx>
            <c:strRef>
              <c:f>'247'!$AB$93</c:f>
              <c:strCache>
                <c:ptCount val="1"/>
                <c:pt idx="0">
                  <c:v>Stg.4 Nozzle Step#16</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'247'!$AB$95:$AB$118</c:f>
              <c:numCache>
                <c:formatCode>0.000_ </c:formatCode>
                <c:ptCount val="24"/>
                <c:pt idx="9">
                  <c:v>-2.2932663215215143E-2</c:v>
                </c:pt>
                <c:pt idx="10">
                  <c:v>-2.2932663215215143E-2</c:v>
                </c:pt>
              </c:numCache>
            </c:numRef>
          </c:val>
          <c:extLst>
            <c:ext xmlns:c16="http://schemas.microsoft.com/office/drawing/2014/chart" uri="{C3380CC4-5D6E-409C-BE32-E72D297353CC}">
              <c16:uniqueId val="{0000000B-E3E3-4E11-9F2D-B6578D9A3B7A}"/>
            </c:ext>
          </c:extLst>
        </c:ser>
        <c:ser>
          <c:idx val="12"/>
          <c:order val="12"/>
          <c:tx>
            <c:strRef>
              <c:f>'247'!$AC$93</c:f>
              <c:strCache>
                <c:ptCount val="1"/>
                <c:pt idx="0">
                  <c:v>Stg.4 Nozzle Step#15</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'247'!$AC$95:$AC$118</c:f>
              <c:numCache>
                <c:formatCode>0.000_ </c:formatCode>
                <c:ptCount val="24"/>
                <c:pt idx="10">
                  <c:v>-2.573599294134965E-2</c:v>
                </c:pt>
                <c:pt idx="11">
                  <c:v>-2.573599294134965E-2</c:v>
                </c:pt>
              </c:numCache>
            </c:numRef>
          </c:val>
          <c:extLst>
            <c:ext xmlns:c16="http://schemas.microsoft.com/office/drawing/2014/chart" uri="{C3380CC4-5D6E-409C-BE32-E72D297353CC}">
              <c16:uniqueId val="{0000000C-E3E3-4E11-9F2D-B6578D9A3B7A}"/>
            </c:ext>
          </c:extLst>
        </c:ser>
        <c:ser>
          <c:idx val="13"/>
          <c:order val="13"/>
          <c:tx>
            <c:strRef>
              <c:f>'247'!$AD$93</c:f>
              <c:strCache>
                <c:ptCount val="1"/>
                <c:pt idx="0">
                  <c:v>Stg.4 Nozzle Step#14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'247'!$AD$95:$AD$118</c:f>
              <c:numCache>
                <c:formatCode>0.000_ </c:formatCode>
                <c:ptCount val="24"/>
                <c:pt idx="11">
                  <c:v>-2.8709325505246852E-2</c:v>
                </c:pt>
                <c:pt idx="12">
                  <c:v>-2.8709325505246852E-2</c:v>
                </c:pt>
              </c:numCache>
            </c:numRef>
          </c:val>
          <c:extLst>
            <c:ext xmlns:c16="http://schemas.microsoft.com/office/drawing/2014/chart" uri="{C3380CC4-5D6E-409C-BE32-E72D297353CC}">
              <c16:uniqueId val="{0000000D-E3E3-4E11-9F2D-B6578D9A3B7A}"/>
            </c:ext>
          </c:extLst>
        </c:ser>
        <c:ser>
          <c:idx val="14"/>
          <c:order val="14"/>
          <c:tx>
            <c:strRef>
              <c:f>'247'!$AE$93</c:f>
              <c:strCache>
                <c:ptCount val="1"/>
                <c:pt idx="0">
                  <c:v>Stg.4 Nozzle Step#13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'247'!$AE$95:$AE$118</c:f>
              <c:numCache>
                <c:formatCode>0.000_ </c:formatCode>
                <c:ptCount val="24"/>
                <c:pt idx="12">
                  <c:v>-4.6429329997920377E-2</c:v>
                </c:pt>
                <c:pt idx="13">
                  <c:v>-4.6429329997920377E-2</c:v>
                </c:pt>
              </c:numCache>
            </c:numRef>
          </c:val>
          <c:extLst>
            <c:ext xmlns:c16="http://schemas.microsoft.com/office/drawing/2014/chart" uri="{C3380CC4-5D6E-409C-BE32-E72D297353CC}">
              <c16:uniqueId val="{0000000E-E3E3-4E11-9F2D-B6578D9A3B7A}"/>
            </c:ext>
          </c:extLst>
        </c:ser>
        <c:ser>
          <c:idx val="15"/>
          <c:order val="15"/>
          <c:tx>
            <c:strRef>
              <c:f>'247'!$AF$93</c:f>
              <c:strCache>
                <c:ptCount val="1"/>
                <c:pt idx="0">
                  <c:v>Stg.4 Nozzle Step#12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'247'!$AF$95:$AF$118</c:f>
              <c:numCache>
                <c:formatCode>0.000_ </c:formatCode>
                <c:ptCount val="24"/>
                <c:pt idx="13">
                  <c:v>-6.717599954203024E-2</c:v>
                </c:pt>
                <c:pt idx="14">
                  <c:v>-6.717599954203024E-2</c:v>
                </c:pt>
              </c:numCache>
            </c:numRef>
          </c:val>
          <c:extLst>
            <c:ext xmlns:c16="http://schemas.microsoft.com/office/drawing/2014/chart" uri="{C3380CC4-5D6E-409C-BE32-E72D297353CC}">
              <c16:uniqueId val="{0000000F-E3E3-4E11-9F2D-B6578D9A3B7A}"/>
            </c:ext>
          </c:extLst>
        </c:ser>
        <c:ser>
          <c:idx val="16"/>
          <c:order val="16"/>
          <c:tx>
            <c:strRef>
              <c:f>'247'!$AG$93</c:f>
              <c:strCache>
                <c:ptCount val="1"/>
                <c:pt idx="0">
                  <c:v>Stg.4 Nozzle Step#11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'247'!$AG$95:$AG$118</c:f>
              <c:numCache>
                <c:formatCode>0.000_ </c:formatCode>
                <c:ptCount val="24"/>
                <c:pt idx="14">
                  <c:v>-7.0826665871663863E-2</c:v>
                </c:pt>
                <c:pt idx="15">
                  <c:v>-7.0826665871663863E-2</c:v>
                </c:pt>
              </c:numCache>
            </c:numRef>
          </c:val>
          <c:extLst>
            <c:ext xmlns:c16="http://schemas.microsoft.com/office/drawing/2014/chart" uri="{C3380CC4-5D6E-409C-BE32-E72D297353CC}">
              <c16:uniqueId val="{00000010-E3E3-4E11-9F2D-B6578D9A3B7A}"/>
            </c:ext>
          </c:extLst>
        </c:ser>
        <c:ser>
          <c:idx val="17"/>
          <c:order val="17"/>
          <c:tx>
            <c:strRef>
              <c:f>'247'!$AH$93</c:f>
              <c:strCache>
                <c:ptCount val="1"/>
                <c:pt idx="0">
                  <c:v>Stg.4 Nozzle Step#10</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'247'!$AH$95:$AH$118</c:f>
              <c:numCache>
                <c:formatCode>0.000_ </c:formatCode>
                <c:ptCount val="24"/>
                <c:pt idx="15">
                  <c:v>-4.9396666269160505E-2</c:v>
                </c:pt>
                <c:pt idx="16">
                  <c:v>-4.9396666269160505E-2</c:v>
                </c:pt>
              </c:numCache>
            </c:numRef>
          </c:val>
          <c:extLst>
            <c:ext xmlns:c16="http://schemas.microsoft.com/office/drawing/2014/chart" uri="{C3380CC4-5D6E-409C-BE32-E72D297353CC}">
              <c16:uniqueId val="{00000011-E3E3-4E11-9F2D-B6578D9A3B7A}"/>
            </c:ext>
          </c:extLst>
        </c:ser>
        <c:ser>
          <c:idx val="18"/>
          <c:order val="18"/>
          <c:tx>
            <c:strRef>
              <c:f>'247'!$AI$93</c:f>
              <c:strCache>
                <c:ptCount val="1"/>
                <c:pt idx="0">
                  <c:v>Stg.4 Nozzle Step#9</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'247'!$AI$95:$AI$118</c:f>
              <c:numCache>
                <c:formatCode>0.000_ </c:formatCode>
                <c:ptCount val="24"/>
                <c:pt idx="16">
                  <c:v>-7.8159995421742678E-3</c:v>
                </c:pt>
                <c:pt idx="17">
                  <c:v>-7.8159995421742678E-3</c:v>
                </c:pt>
              </c:numCache>
            </c:numRef>
          </c:val>
          <c:extLst>
            <c:ext xmlns:c16="http://schemas.microsoft.com/office/drawing/2014/chart" uri="{C3380CC4-5D6E-409C-BE32-E72D297353CC}">
              <c16:uniqueId val="{00000012-E3E3-4E11-9F2D-B6578D9A3B7A}"/>
            </c:ext>
          </c:extLst>
        </c:ser>
        <c:ser>
          <c:idx val="19"/>
          <c:order val="19"/>
          <c:tx>
            <c:strRef>
              <c:f>'247'!$AJ$93</c:f>
              <c:strCache>
                <c:ptCount val="1"/>
                <c:pt idx="0">
                  <c:v>Stg.4 Nozzle Step#8</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'247'!$AJ$95:$AJ$118</c:f>
              <c:numCache>
                <c:formatCode>0.000_ </c:formatCode>
                <c:ptCount val="24"/>
                <c:pt idx="17">
                  <c:v>2.9986667461457728E-2</c:v>
                </c:pt>
                <c:pt idx="18">
                  <c:v>2.9986667461457728E-2</c:v>
                </c:pt>
              </c:numCache>
            </c:numRef>
          </c:val>
          <c:extLst>
            <c:ext xmlns:c16="http://schemas.microsoft.com/office/drawing/2014/chart" uri="{C3380CC4-5D6E-409C-BE32-E72D297353CC}">
              <c16:uniqueId val="{00000013-E3E3-4E11-9F2D-B6578D9A3B7A}"/>
            </c:ext>
          </c:extLst>
        </c:ser>
        <c:ser>
          <c:idx val="20"/>
          <c:order val="20"/>
          <c:tx>
            <c:strRef>
              <c:f>'247'!$AK$93</c:f>
              <c:strCache>
                <c:ptCount val="1"/>
                <c:pt idx="0">
                  <c:v>Stg.4 Nozzle Step#7</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'247'!$AK$95:$AK$118</c:f>
              <c:numCache>
                <c:formatCode>0.000_ </c:formatCode>
                <c:ptCount val="24"/>
                <c:pt idx="18">
                  <c:v>4.3606667064125304E-2</c:v>
                </c:pt>
                <c:pt idx="19">
                  <c:v>4.3606667064125304E-2</c:v>
                </c:pt>
              </c:numCache>
            </c:numRef>
          </c:val>
          <c:extLst>
            <c:ext xmlns:c16="http://schemas.microsoft.com/office/drawing/2014/chart" uri="{C3380CC4-5D6E-409C-BE32-E72D297353CC}">
              <c16:uniqueId val="{00000014-E3E3-4E11-9F2D-B6578D9A3B7A}"/>
            </c:ext>
          </c:extLst>
        </c:ser>
        <c:ser>
          <c:idx val="21"/>
          <c:order val="21"/>
          <c:tx>
            <c:strRef>
              <c:f>'247'!$AL$93</c:f>
              <c:strCache>
                <c:ptCount val="1"/>
                <c:pt idx="0">
                  <c:v>Stg.4 Nozzle Step#6</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'247'!$AL$95:$AL$118</c:f>
              <c:numCache>
                <c:formatCode>0.000_ </c:formatCode>
                <c:ptCount val="24"/>
                <c:pt idx="19">
                  <c:v>2.342400045785098E-2</c:v>
                </c:pt>
                <c:pt idx="20">
                  <c:v>2.342400045785098E-2</c:v>
                </c:pt>
              </c:numCache>
            </c:numRef>
          </c:val>
          <c:extLst>
            <c:ext xmlns:c16="http://schemas.microsoft.com/office/drawing/2014/chart" uri="{C3380CC4-5D6E-409C-BE32-E72D297353CC}">
              <c16:uniqueId val="{00000015-E3E3-4E11-9F2D-B6578D9A3B7A}"/>
            </c:ext>
          </c:extLst>
        </c:ser>
        <c:ser>
          <c:idx val="22"/>
          <c:order val="22"/>
          <c:tx>
            <c:strRef>
              <c:f>'247'!$AM$93</c:f>
              <c:strCache>
                <c:ptCount val="1"/>
                <c:pt idx="0">
                  <c:v>Stg.4 Nozzle Step#5</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'247'!$AM$95:$AM$118</c:f>
              <c:numCache>
                <c:formatCode>0.000_ </c:formatCode>
                <c:ptCount val="24"/>
                <c:pt idx="20">
                  <c:v>-2.2698665871757839E-2</c:v>
                </c:pt>
                <c:pt idx="21">
                  <c:v>-2.2698665871757839E-2</c:v>
                </c:pt>
              </c:numCache>
            </c:numRef>
          </c:val>
          <c:extLst>
            <c:ext xmlns:c16="http://schemas.microsoft.com/office/drawing/2014/chart" uri="{C3380CC4-5D6E-409C-BE32-E72D297353CC}">
              <c16:uniqueId val="{00000016-E3E3-4E11-9F2D-B6578D9A3B7A}"/>
            </c:ext>
          </c:extLst>
        </c:ser>
        <c:ser>
          <c:idx val="23"/>
          <c:order val="23"/>
          <c:tx>
            <c:strRef>
              <c:f>'247'!$AN$93</c:f>
              <c:strCache>
                <c:ptCount val="1"/>
                <c:pt idx="0">
                  <c:v>Stg.4 Nozzle Step#4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'247'!$AN$95:$AN$118</c:f>
              <c:numCache>
                <c:formatCode>0.000_ </c:formatCode>
                <c:ptCount val="24"/>
                <c:pt idx="21">
                  <c:v>-7.2756666269185644E-2</c:v>
                </c:pt>
                <c:pt idx="22">
                  <c:v>-7.2756666269185644E-2</c:v>
                </c:pt>
              </c:numCache>
            </c:numRef>
          </c:val>
          <c:extLst>
            <c:ext xmlns:c16="http://schemas.microsoft.com/office/drawing/2014/chart" uri="{C3380CC4-5D6E-409C-BE32-E72D297353CC}">
              <c16:uniqueId val="{00000017-E3E3-4E11-9F2D-B6578D9A3B7A}"/>
            </c:ext>
          </c:extLst>
        </c:ser>
        <c:ser>
          <c:idx val="24"/>
          <c:order val="24"/>
          <c:tx>
            <c:strRef>
              <c:f>'247'!$AO$93</c:f>
              <c:strCache>
                <c:ptCount val="1"/>
                <c:pt idx="0">
                  <c:v>Stg.4 Nozzle Step#3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'247'!$AO$95:$AO$118</c:f>
              <c:numCache>
                <c:formatCode>0.000_ </c:formatCode>
                <c:ptCount val="24"/>
                <c:pt idx="22">
                  <c:v>-9.8191999542052599E-2</c:v>
                </c:pt>
                <c:pt idx="23">
                  <c:v>-9.8191999542052599E-2</c:v>
                </c:pt>
              </c:numCache>
            </c:numRef>
          </c:val>
          <c:extLst>
            <c:ext xmlns:c16="http://schemas.microsoft.com/office/drawing/2014/chart" uri="{C3380CC4-5D6E-409C-BE32-E72D297353CC}">
              <c16:uniqueId val="{00000018-E3E3-4E11-9F2D-B6578D9A3B7A}"/>
            </c:ext>
          </c:extLst>
        </c:ser>
        <c:ser>
          <c:idx val="25"/>
          <c:order val="25"/>
          <c:tx>
            <c:strRef>
              <c:f>'247'!$AP$93</c:f>
              <c:strCache>
                <c:ptCount val="1"/>
                <c:pt idx="0">
                  <c:v>Stg.4 Nozzle Step#2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'247'!$AP$95:$AP$118</c:f>
              <c:numCache>
                <c:formatCode>0.000_ </c:formatCode>
                <c:ptCount val="24"/>
                <c:pt idx="0">
                  <c:v>-8.7414666269125973E-2</c:v>
                </c:pt>
                <c:pt idx="23">
                  <c:v>-8.7414666269125973E-2</c:v>
                </c:pt>
              </c:numCache>
            </c:numRef>
          </c:val>
          <c:extLst>
            <c:ext xmlns:c16="http://schemas.microsoft.com/office/drawing/2014/chart" uri="{C3380CC4-5D6E-409C-BE32-E72D297353CC}">
              <c16:uniqueId val="{00000019-E3E3-4E11-9F2D-B6578D9A3B7A}"/>
            </c:ext>
          </c:extLst>
        </c:ser>
        <c:dLbls>
          <c:showLegendKey val="0"/>
          <c:showVal val="0"/>
          <c:showCatName val="0"/>
          <c:showSerName val="0"/>
          <c:showPercent val="0"/>
          <c:showBubbleSize val="0"/>
        </c:dLbls>
        <c:axId val="175282688"/>
        <c:axId val="175339712"/>
      </c:radarChart>
      <c:catAx>
        <c:axId val="17528268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5339712"/>
        <c:crosses val="autoZero"/>
        <c:auto val="1"/>
        <c:lblAlgn val="ctr"/>
        <c:lblOffset val="100"/>
        <c:noMultiLvlLbl val="0"/>
      </c:catAx>
      <c:valAx>
        <c:axId val="175339712"/>
        <c:scaling>
          <c:orientation val="minMax"/>
          <c:min val="-0.1"/>
        </c:scaling>
        <c:delete val="0"/>
        <c:axPos val="l"/>
        <c:majorGridlines/>
        <c:numFmt formatCode="General" sourceLinked="1"/>
        <c:majorTickMark val="cross"/>
        <c:minorTickMark val="none"/>
        <c:tickLblPos val="nextTo"/>
        <c:txPr>
          <a:bodyPr/>
          <a:lstStyle/>
          <a:p>
            <a:pPr>
              <a:defRPr lang="ja-JP"/>
            </a:pPr>
            <a:endParaRPr lang="en-US"/>
          </a:p>
        </c:txPr>
        <c:crossAx val="175282688"/>
        <c:crosses val="autoZero"/>
        <c:crossBetween val="between"/>
        <c:majorUnit val="5.000000000000001E-2"/>
      </c:valAx>
    </c:plotArea>
    <c:legend>
      <c:legendPos val="r"/>
      <c:layout>
        <c:manualLayout>
          <c:xMode val="edge"/>
          <c:yMode val="edge"/>
          <c:x val="0.76020721474167241"/>
          <c:y val="0"/>
          <c:w val="0.22859278290662108"/>
          <c:h val="1"/>
        </c:manualLayout>
      </c:layout>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'248'!$K$9</c:f>
              <c:strCache>
                <c:ptCount val="1"/>
                <c:pt idx="0">
                  <c:v>CMM</c:v>
                </c:pt>
              </c:strCache>
            </c:strRef>
          </c:tx>
          <c:marker>
            <c:symbol val="none"/>
          </c:marker>
          <c:cat>
            <c:numRef>
              <c:f>'248'!$J$11:$J$26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'248'!$K$11:$K$26</c:f>
              <c:numCache>
                <c:formatCode>General</c:formatCode>
                <c:ptCount val="16"/>
                <c:pt idx="0">
                  <c:v>419.49600000119187</c:v>
                </c:pt>
                <c:pt idx="1">
                  <c:v>419.53400020141396</c:v>
                </c:pt>
                <c:pt idx="2">
                  <c:v>419.53800000000001</c:v>
                </c:pt>
                <c:pt idx="3">
                  <c:v>419.48200011919465</c:v>
                </c:pt>
                <c:pt idx="4">
                  <c:v>419.49400000000003</c:v>
                </c:pt>
                <c:pt idx="5">
                  <c:v>419.50900009654146</c:v>
                </c:pt>
                <c:pt idx="6">
                  <c:v>419.50400000119191</c:v>
                </c:pt>
                <c:pt idx="7">
                  <c:v>419.51400004290684</c:v>
                </c:pt>
                <c:pt idx="8">
                  <c:v>419.46600000000001</c:v>
                </c:pt>
                <c:pt idx="9">
                  <c:v>419.4230000429161</c:v>
                </c:pt>
                <c:pt idx="10">
                  <c:v>419.48899999999998</c:v>
                </c:pt>
                <c:pt idx="11">
                  <c:v>419.58</c:v>
                </c:pt>
                <c:pt idx="12">
                  <c:v>419.59800000119162</c:v>
                </c:pt>
                <c:pt idx="13">
                  <c:v>419.51100000476748</c:v>
                </c:pt>
                <c:pt idx="14">
                  <c:v>419.41500000000002</c:v>
                </c:pt>
                <c:pt idx="15">
                  <c:v>419.42800034451676</c:v>
                </c:pt>
              </c:numCache>
            </c:numRef>
          </c:val>
          <c:extLst>
            <c:ext xmlns:c16="http://schemas.microsoft.com/office/drawing/2014/chart" uri="{C3380CC4-5D6E-409C-BE32-E72D297353CC}">
              <c16:uniqueId val="{00000000-8F2A-4606-AC20-651D7E997A27}"/>
            </c:ext>
          </c:extLst>
        </c:ser>
        <c:ser>
          <c:idx val="1"/>
          <c:order val="1"/>
          <c:tx>
            <c:strRef>
              <c:f>'248'!$L$9</c:f>
              <c:strCache>
                <c:ptCount val="1"/>
                <c:pt idx="0">
                  <c:v>Dwg Min</c:v>
                </c:pt>
              </c:strCache>
            </c:strRef>
          </c:tx>
          <c:spPr>
            <a:ln>
              <a:prstDash val="dash"/>
            </a:ln>
          </c:spPr>
          <c:marker>
            <c:symbol val="none"/>
          </c:marker>
          <c:val>
            <c:numRef>
              <c:f>'248'!$L$11:$L$26</c:f>
              <c:numCache>
                <c:formatCode>General</c:formatCode>
                <c:ptCount val="16"/>
                <c:pt idx="0">
                  <c:v>419.41</c:v>
                </c:pt>
                <c:pt idx="1">
                  <c:v>419.41</c:v>
                </c:pt>
                <c:pt idx="2">
                  <c:v>419.41</c:v>
                </c:pt>
                <c:pt idx="3">
                  <c:v>419.41</c:v>
                </c:pt>
                <c:pt idx="4">
                  <c:v>419.41</c:v>
                </c:pt>
                <c:pt idx="5">
                  <c:v>419.41</c:v>
                </c:pt>
                <c:pt idx="6">
                  <c:v>419.41</c:v>
                </c:pt>
                <c:pt idx="7">
                  <c:v>419.41</c:v>
                </c:pt>
                <c:pt idx="8">
                  <c:v>419.41</c:v>
                </c:pt>
                <c:pt idx="9">
                  <c:v>419.41</c:v>
                </c:pt>
                <c:pt idx="10">
                  <c:v>419.41</c:v>
                </c:pt>
                <c:pt idx="11">
                  <c:v>419.41</c:v>
                </c:pt>
                <c:pt idx="12">
                  <c:v>419.41</c:v>
                </c:pt>
                <c:pt idx="13">
                  <c:v>419.41</c:v>
                </c:pt>
                <c:pt idx="14">
                  <c:v>419.41</c:v>
                </c:pt>
                <c:pt idx="15">
                  <c:v>419.41</c:v>
                </c:pt>
              </c:numCache>
            </c:numRef>
          </c:val>
          <c:extLst>
            <c:ext xmlns:c16="http://schemas.microsoft.com/office/drawing/2014/chart" uri="{C3380CC4-5D6E-409C-BE32-E72D297353CC}">
              <c16:uniqueId val="{00000001-8F2A-4606-AC20-651D7E997A27}"/>
            </c:ext>
          </c:extLst>
        </c:ser>
        <c:ser>
          <c:idx val="2"/>
          <c:order val="2"/>
          <c:tx>
            <c:strRef>
              <c:f>'248'!$M$9</c:f>
              <c:strCache>
                <c:ptCount val="1"/>
                <c:pt idx="0">
                  <c:v>Dwg Max</c:v>
                </c:pt>
              </c:strCache>
            </c:strRef>
          </c:tx>
          <c:spPr>
            <a:ln>
              <a:prstDash val="dash"/>
            </a:ln>
          </c:spPr>
          <c:marker>
            <c:symbol val="none"/>
          </c:marker>
          <c:val>
            <c:numRef>
              <c:f>'248'!$M$11:$M$26</c:f>
              <c:numCache>
                <c:formatCode>General</c:formatCode>
                <c:ptCount val="16"/>
                <c:pt idx="0">
                  <c:v>419.59</c:v>
                </c:pt>
                <c:pt idx="1">
                  <c:v>419.59</c:v>
                </c:pt>
                <c:pt idx="2">
                  <c:v>419.59</c:v>
                </c:pt>
                <c:pt idx="3">
                  <c:v>419.59</c:v>
                </c:pt>
                <c:pt idx="4">
                  <c:v>419.59</c:v>
                </c:pt>
                <c:pt idx="5">
                  <c:v>419.59</c:v>
                </c:pt>
                <c:pt idx="6">
                  <c:v>419.59</c:v>
                </c:pt>
                <c:pt idx="7">
                  <c:v>419.59</c:v>
                </c:pt>
                <c:pt idx="8">
                  <c:v>419.59</c:v>
                </c:pt>
                <c:pt idx="9">
                  <c:v>419.59</c:v>
                </c:pt>
                <c:pt idx="10">
                  <c:v>419.59</c:v>
                </c:pt>
                <c:pt idx="11">
                  <c:v>419.59</c:v>
                </c:pt>
                <c:pt idx="12">
                  <c:v>419.59</c:v>
                </c:pt>
                <c:pt idx="13">
                  <c:v>419.59</c:v>
                </c:pt>
                <c:pt idx="14">
                  <c:v>419.59</c:v>
                </c:pt>
                <c:pt idx="15">
                  <c:v>419.59</c:v>
                </c:pt>
              </c:numCache>
            </c:numRef>
          </c:val>
          <c:extLst>
            <c:ext xmlns:c16="http://schemas.microsoft.com/office/drawing/2014/chart" uri="{C3380CC4-5D6E-409C-BE32-E72D297353CC}">
              <c16:uniqueId val="{00000002-8F2A-4606-AC20-651D7E997A27}"/>
            </c:ext>
          </c:extLst>
        </c:ser>
        <c:dLbls>
          <c:showLegendKey val="0"/>
          <c:showVal val="0"/>
          <c:showCatName val="0"/>
          <c:showSerName val="0"/>
          <c:showPercent val="0"/>
          <c:showBubbleSize val="0"/>
        </c:dLbls>
        <c:axId val="175283712"/>
        <c:axId val="175340864"/>
      </c:radarChart>
      <c:catAx>
        <c:axId val="17528371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5340864"/>
        <c:crosses val="autoZero"/>
        <c:auto val="1"/>
        <c:lblAlgn val="ctr"/>
        <c:lblOffset val="100"/>
        <c:noMultiLvlLbl val="0"/>
      </c:catAx>
      <c:valAx>
        <c:axId val="1753408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5283712"/>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'248'!$AQ$34</c:f>
              <c:strCache>
                <c:ptCount val="1"/>
                <c:pt idx="0">
                  <c:v>LPT Case Hook R Min</c:v>
                </c:pt>
              </c:strCache>
            </c:strRef>
          </c:tx>
          <c:spPr>
            <a:ln w="28575">
              <a:prstDash val="dash"/>
            </a:ln>
          </c:spPr>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'248'!$AQ$36:$AQ$59</c:f>
              <c:numCache>
                <c:formatCode>General</c:formatCode>
                <c:ptCount val="24"/>
                <c:pt idx="0">
                  <c:v>419.46800000000002</c:v>
                </c:pt>
                <c:pt idx="1">
                  <c:v>419.46800000000002</c:v>
                </c:pt>
                <c:pt idx="2">
                  <c:v>419.46800000000002</c:v>
                </c:pt>
                <c:pt idx="3">
                  <c:v>419.46800000000002</c:v>
                </c:pt>
                <c:pt idx="4">
                  <c:v>419.46800000000002</c:v>
                </c:pt>
                <c:pt idx="5">
                  <c:v>419.46800000000002</c:v>
                </c:pt>
                <c:pt idx="6">
                  <c:v>419.46800000000002</c:v>
                </c:pt>
                <c:pt idx="7">
                  <c:v>419.46800000000002</c:v>
                </c:pt>
                <c:pt idx="8">
                  <c:v>419.46800000000002</c:v>
                </c:pt>
                <c:pt idx="9">
                  <c:v>419.46800000000002</c:v>
                </c:pt>
                <c:pt idx="10">
                  <c:v>419.46800000000002</c:v>
                </c:pt>
                <c:pt idx="11">
                  <c:v>419.46800000000002</c:v>
                </c:pt>
                <c:pt idx="12">
                  <c:v>419.46800000000002</c:v>
                </c:pt>
                <c:pt idx="13">
                  <c:v>419.46800000000002</c:v>
                </c:pt>
                <c:pt idx="14">
                  <c:v>419.46800000000002</c:v>
                </c:pt>
                <c:pt idx="15">
                  <c:v>419.46800000000002</c:v>
                </c:pt>
                <c:pt idx="16">
                  <c:v>419.46800000000002</c:v>
                </c:pt>
                <c:pt idx="17">
                  <c:v>419.46800000000002</c:v>
                </c:pt>
                <c:pt idx="18">
                  <c:v>419.46800000000002</c:v>
                </c:pt>
                <c:pt idx="19">
                  <c:v>419.46800000000002</c:v>
                </c:pt>
                <c:pt idx="20">
                  <c:v>419.46800000000002</c:v>
                </c:pt>
                <c:pt idx="21">
                  <c:v>419.46800000000002</c:v>
                </c:pt>
                <c:pt idx="22">
                  <c:v>419.46800000000002</c:v>
                </c:pt>
                <c:pt idx="23">
                  <c:v>419.46800000000002</c:v>
                </c:pt>
              </c:numCache>
            </c:numRef>
          </c:val>
          <c:extLst>
            <c:ext xmlns:c16="http://schemas.microsoft.com/office/drawing/2014/chart" uri="{C3380CC4-5D6E-409C-BE32-E72D297353CC}">
              <c16:uniqueId val="{00000000-013F-40D3-81DC-929CB458667F}"/>
            </c:ext>
          </c:extLst>
        </c:ser>
        <c:ser>
          <c:idx val="1"/>
          <c:order val="1"/>
          <c:tx>
            <c:strRef>
              <c:f>'248'!$AR$34</c:f>
              <c:strCache>
                <c:ptCount val="1"/>
                <c:pt idx="0">
                  <c:v>LPT Case Hook R Max</c:v>
                </c:pt>
              </c:strCache>
            </c:strRef>
          </c:tx>
          <c:spPr>
            <a:ln w="28575">
              <a:prstDash val="dash"/>
            </a:ln>
          </c:spPr>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'248'!$AR$36:$AR$59</c:f>
              <c:numCache>
                <c:formatCode>General</c:formatCode>
                <c:ptCount val="24"/>
                <c:pt idx="0">
                  <c:v>419.53199999999998</c:v>
                </c:pt>
                <c:pt idx="1">
                  <c:v>419.53199999999998</c:v>
                </c:pt>
                <c:pt idx="2">
                  <c:v>419.53199999999998</c:v>
                </c:pt>
                <c:pt idx="3">
                  <c:v>419.53199999999998</c:v>
                </c:pt>
                <c:pt idx="4">
                  <c:v>419.53199999999998</c:v>
                </c:pt>
                <c:pt idx="5">
                  <c:v>419.53199999999998</c:v>
                </c:pt>
                <c:pt idx="6">
                  <c:v>419.53199999999998</c:v>
                </c:pt>
                <c:pt idx="7">
                  <c:v>419.53199999999998</c:v>
                </c:pt>
                <c:pt idx="8">
                  <c:v>419.53199999999998</c:v>
                </c:pt>
                <c:pt idx="9">
                  <c:v>419.53199999999998</c:v>
                </c:pt>
                <c:pt idx="10">
                  <c:v>419.53199999999998</c:v>
                </c:pt>
                <c:pt idx="11">
                  <c:v>419.53199999999998</c:v>
                </c:pt>
                <c:pt idx="12">
                  <c:v>419.53199999999998</c:v>
                </c:pt>
                <c:pt idx="13">
                  <c:v>419.53199999999998</c:v>
                </c:pt>
                <c:pt idx="14">
                  <c:v>419.53199999999998</c:v>
                </c:pt>
                <c:pt idx="15">
                  <c:v>419.53199999999998</c:v>
                </c:pt>
                <c:pt idx="16">
                  <c:v>419.53199999999998</c:v>
                </c:pt>
                <c:pt idx="17">
                  <c:v>419.53199999999998</c:v>
                </c:pt>
                <c:pt idx="18">
                  <c:v>419.53199999999998</c:v>
                </c:pt>
                <c:pt idx="19">
                  <c:v>419.53199999999998</c:v>
                </c:pt>
                <c:pt idx="20">
                  <c:v>419.53199999999998</c:v>
                </c:pt>
                <c:pt idx="21">
                  <c:v>419.53199999999998</c:v>
                </c:pt>
                <c:pt idx="22">
                  <c:v>419.53199999999998</c:v>
                </c:pt>
                <c:pt idx="23">
                  <c:v>419.53199999999998</c:v>
                </c:pt>
              </c:numCache>
            </c:numRef>
          </c:val>
          <c:extLst>
            <c:ext xmlns:c16="http://schemas.microsoft.com/office/drawing/2014/chart" uri="{C3380CC4-5D6E-409C-BE32-E72D297353CC}">
              <c16:uniqueId val="{00000001-013F-40D3-81DC-929CB458667F}"/>
            </c:ext>
          </c:extLst>
        </c:ser>
        <c:ser>
          <c:idx val="2"/>
          <c:order val="2"/>
          <c:tx>
            <c:strRef>
              <c:f>'248'!$S$34</c:f>
              <c:strCache>
                <c:ptCount val="1"/>
                <c:pt idx="0">
                  <c:v>Stg.4 Shroud Aft#1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'248'!$S$36:$S$59</c:f>
              <c:numCache>
                <c:formatCode>0.000</c:formatCode>
                <c:ptCount val="24"/>
                <c:pt idx="0">
                  <c:v>419.45411221268</c:v>
                </c:pt>
                <c:pt idx="1">
                  <c:v>419.45411221268</c:v>
                </c:pt>
              </c:numCache>
            </c:numRef>
          </c:val>
          <c:extLst>
            <c:ext xmlns:c16="http://schemas.microsoft.com/office/drawing/2014/chart" uri="{C3380CC4-5D6E-409C-BE32-E72D297353CC}">
              <c16:uniqueId val="{00000002-013F-40D3-81DC-929CB458667F}"/>
            </c:ext>
          </c:extLst>
        </c:ser>
        <c:ser>
          <c:idx val="3"/>
          <c:order val="3"/>
          <c:tx>
            <c:strRef>
              <c:f>'248'!$T$34</c:f>
              <c:strCache>
                <c:ptCount val="1"/>
                <c:pt idx="0">
                  <c:v>Stg.4 Shroud Aft#24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'248'!$T$36:$T$59</c:f>
              <c:numCache>
                <c:formatCode>0.000</c:formatCode>
                <c:ptCount val="24"/>
                <c:pt idx="1">
                  <c:v>419.49368542149108</c:v>
                </c:pt>
                <c:pt idx="2">
                  <c:v>419.49368542149108</c:v>
                </c:pt>
              </c:numCache>
            </c:numRef>
          </c:val>
          <c:extLst>
            <c:ext xmlns:c16="http://schemas.microsoft.com/office/drawing/2014/chart" uri="{C3380CC4-5D6E-409C-BE32-E72D297353CC}">
              <c16:uniqueId val="{00000003-013F-40D3-81DC-929CB458667F}"/>
            </c:ext>
          </c:extLst>
        </c:ser>
        <c:ser>
          <c:idx val="4"/>
          <c:order val="4"/>
          <c:tx>
            <c:strRef>
              <c:f>'248'!$U$34</c:f>
              <c:strCache>
                <c:ptCount val="1"/>
                <c:pt idx="0">
                  <c:v>Stg.4 Shroud Aft#23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'248'!$U$36:$U$59</c:f>
              <c:numCache>
                <c:formatCode>General</c:formatCode>
                <c:ptCount val="24"/>
                <c:pt idx="2" formatCode="0.000">
                  <c:v>419.52239746797636</c:v>
                </c:pt>
                <c:pt idx="3" formatCode="0.000">
                  <c:v>419.52239746797636</c:v>
                </c:pt>
              </c:numCache>
            </c:numRef>
          </c:val>
          <c:extLst>
            <c:ext xmlns:c16="http://schemas.microsoft.com/office/drawing/2014/chart" uri="{C3380CC4-5D6E-409C-BE32-E72D297353CC}">
              <c16:uniqueId val="{00000004-013F-40D3-81DC-929CB458667F}"/>
            </c:ext>
          </c:extLst>
        </c:ser>
        <c:ser>
          <c:idx val="5"/>
          <c:order val="5"/>
          <c:tx>
            <c:strRef>
              <c:f>'248'!$V$34</c:f>
              <c:strCache>
                <c:ptCount val="1"/>
                <c:pt idx="0">
                  <c:v>Stg.4 Shroud Aft#22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'248'!$V$36:$V$59</c:f>
              <c:numCache>
                <c:formatCode>General</c:formatCode>
                <c:ptCount val="24"/>
                <c:pt idx="3" formatCode="0.000">
                  <c:v>419.53553612407097</c:v>
                </c:pt>
                <c:pt idx="4" formatCode="0.000">
                  <c:v>419.53553612407097</c:v>
                </c:pt>
              </c:numCache>
            </c:numRef>
          </c:val>
          <c:extLst>
            <c:ext xmlns:c16="http://schemas.microsoft.com/office/drawing/2014/chart" uri="{C3380CC4-5D6E-409C-BE32-E72D297353CC}">
              <c16:uniqueId val="{00000005-013F-40D3-81DC-929CB458667F}"/>
            </c:ext>
          </c:extLst>
        </c:ser>
        <c:ser>
          <c:idx val="6"/>
          <c:order val="6"/>
          <c:tx>
            <c:strRef>
              <c:f>'248'!$W$34</c:f>
              <c:strCache>
                <c:ptCount val="1"/>
                <c:pt idx="0">
                  <c:v>Stg.4 Shroud Aft#21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'248'!$W$36:$W$59</c:f>
              <c:numCache>
                <c:formatCode>General</c:formatCode>
                <c:ptCount val="24"/>
                <c:pt idx="4" formatCode="0.000">
                  <c:v>419.52668271801855</c:v>
                </c:pt>
                <c:pt idx="5" formatCode="0.000">
                  <c:v>419.52668271801855</c:v>
                </c:pt>
              </c:numCache>
            </c:numRef>
          </c:val>
          <c:extLst>
            <c:ext xmlns:c16="http://schemas.microsoft.com/office/drawing/2014/chart" uri="{C3380CC4-5D6E-409C-BE32-E72D297353CC}">
              <c16:uniqueId val="{00000006-013F-40D3-81DC-929CB458667F}"/>
            </c:ext>
          </c:extLst>
        </c:ser>
        <c:ser>
          <c:idx val="7"/>
          <c:order val="7"/>
          <c:tx>
            <c:strRef>
              <c:f>'248'!$X$34</c:f>
              <c:strCache>
                <c:ptCount val="1"/>
                <c:pt idx="0">
                  <c:v>Stg.4 Shroud Aft#20</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'248'!$X$36:$X$59</c:f>
              <c:numCache>
                <c:formatCode>General</c:formatCode>
                <c:ptCount val="24"/>
                <c:pt idx="5" formatCode="0.000">
                  <c:v>419.49955207946311</c:v>
                </c:pt>
                <c:pt idx="6" formatCode="0.000">
                  <c:v>419.49955207946311</c:v>
                </c:pt>
              </c:numCache>
            </c:numRef>
          </c:val>
          <c:extLst>
            <c:ext xmlns:c16="http://schemas.microsoft.com/office/drawing/2014/chart" uri="{C3380CC4-5D6E-409C-BE32-E72D297353CC}">
              <c16:uniqueId val="{00000007-013F-40D3-81DC-929CB458667F}"/>
            </c:ext>
          </c:extLst>
        </c:ser>
        <c:ser>
          <c:idx val="8"/>
          <c:order val="8"/>
          <c:tx>
            <c:strRef>
              <c:f>'248'!$Y$34</c:f>
              <c:strCache>
                <c:ptCount val="1"/>
                <c:pt idx="0">
                  <c:v>Stg.4 Shroud Aft#19</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'248'!$Y$36:$Y$59</c:f>
              <c:numCache>
                <c:formatCode>General</c:formatCode>
                <c:ptCount val="24"/>
                <c:pt idx="6" formatCode="0.000">
                  <c:v>419.48660807342389</c:v>
                </c:pt>
                <c:pt idx="7" formatCode="0.000">
                  <c:v>419.48660807342389</c:v>
                </c:pt>
              </c:numCache>
            </c:numRef>
          </c:val>
          <c:extLst>
            <c:ext xmlns:c16="http://schemas.microsoft.com/office/drawing/2014/chart" uri="{C3380CC4-5D6E-409C-BE32-E72D297353CC}">
              <c16:uniqueId val="{00000008-013F-40D3-81DC-929CB458667F}"/>
            </c:ext>
          </c:extLst>
        </c:ser>
        <c:ser>
          <c:idx val="9"/>
          <c:order val="9"/>
          <c:tx>
            <c:strRef>
              <c:f>'248'!$Z$34</c:f>
              <c:strCache>
                <c:ptCount val="1"/>
                <c:pt idx="0">
                  <c:v>Stg.4 Shroud Aft#18</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'248'!$Z$36:$Z$59</c:f>
              <c:numCache>
                <c:formatCode>General</c:formatCode>
                <c:ptCount val="24"/>
                <c:pt idx="7" formatCode="0.000">
                  <c:v>419.49518403538218</c:v>
                </c:pt>
                <c:pt idx="8" formatCode="0.000">
                  <c:v>419.49518403538218</c:v>
                </c:pt>
              </c:numCache>
            </c:numRef>
          </c:val>
          <c:extLst>
            <c:ext xmlns:c16="http://schemas.microsoft.com/office/drawing/2014/chart" uri="{C3380CC4-5D6E-409C-BE32-E72D297353CC}">
              <c16:uniqueId val="{00000009-013F-40D3-81DC-929CB458667F}"/>
            </c:ext>
          </c:extLst>
        </c:ser>
        <c:ser>
          <c:idx val="10"/>
          <c:order val="10"/>
          <c:tx>
            <c:strRef>
              <c:f>'248'!$AA$34</c:f>
              <c:strCache>
                <c:ptCount val="1"/>
                <c:pt idx="0">
                  <c:v>Stg.4 Shroud Aft#17</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'248'!$AA$36:$AA$59</c:f>
              <c:numCache>
                <c:formatCode>General</c:formatCode>
                <c:ptCount val="24"/>
                <c:pt idx="8" formatCode="0.000">
                  <c:v>419.50425339772448</c:v>
                </c:pt>
                <c:pt idx="9" formatCode="0.000">
                  <c:v>419.50425339772448</c:v>
                </c:pt>
              </c:numCache>
            </c:numRef>
          </c:val>
          <c:extLst>
            <c:ext xmlns:c16="http://schemas.microsoft.com/office/drawing/2014/chart" uri="{C3380CC4-5D6E-409C-BE32-E72D297353CC}">
              <c16:uniqueId val="{0000000A-013F-40D3-81DC-929CB458667F}"/>
            </c:ext>
          </c:extLst>
        </c:ser>
        <c:ser>
          <c:idx val="11"/>
          <c:order val="11"/>
          <c:tx>
            <c:strRef>
              <c:f>'248'!$AB$34</c:f>
              <c:strCache>
                <c:ptCount val="1"/>
                <c:pt idx="0">
                  <c:v>Stg.4 Shroud Aft#16</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'248'!$AB$36:$AB$59</c:f>
              <c:numCache>
                <c:formatCode>General</c:formatCode>
                <c:ptCount val="24"/>
                <c:pt idx="9" formatCode="0.000">
                  <c:v>419.50708005992726</c:v>
                </c:pt>
                <c:pt idx="10" formatCode="0.000">
                  <c:v>419.50708005992726</c:v>
                </c:pt>
              </c:numCache>
            </c:numRef>
          </c:val>
          <c:extLst>
            <c:ext xmlns:c16="http://schemas.microsoft.com/office/drawing/2014/chart" uri="{C3380CC4-5D6E-409C-BE32-E72D297353CC}">
              <c16:uniqueId val="{0000000B-013F-40D3-81DC-929CB458667F}"/>
            </c:ext>
          </c:extLst>
        </c:ser>
        <c:ser>
          <c:idx val="12"/>
          <c:order val="12"/>
          <c:tx>
            <c:strRef>
              <c:f>'248'!$AC$34</c:f>
              <c:strCache>
                <c:ptCount val="1"/>
                <c:pt idx="0">
                  <c:v>Stg.4 Shroud Aft#15</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'248'!$AC$36:$AC$59</c:f>
              <c:numCache>
                <c:formatCode>General</c:formatCode>
                <c:ptCount val="24"/>
                <c:pt idx="10" formatCode="0.000">
                  <c:v>419.50662668934393</c:v>
                </c:pt>
                <c:pt idx="11" formatCode="0.000">
                  <c:v>419.50662668934393</c:v>
                </c:pt>
              </c:numCache>
            </c:numRef>
          </c:val>
          <c:extLst>
            <c:ext xmlns:c16="http://schemas.microsoft.com/office/drawing/2014/chart" uri="{C3380CC4-5D6E-409C-BE32-E72D297353CC}">
              <c16:uniqueId val="{0000000C-013F-40D3-81DC-929CB458667F}"/>
            </c:ext>
          </c:extLst>
        </c:ser>
        <c:ser>
          <c:idx val="13"/>
          <c:order val="13"/>
          <c:tx>
            <c:strRef>
              <c:f>'248'!$AD$34</c:f>
              <c:strCache>
                <c:ptCount val="1"/>
                <c:pt idx="0">
                  <c:v>Stg.4 Shroud Aft#14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'248'!$AD$36:$AD$59</c:f>
              <c:numCache>
                <c:formatCode>General</c:formatCode>
                <c:ptCount val="24"/>
                <c:pt idx="11" formatCode="0.000">
                  <c:v>419.50970402897167</c:v>
                </c:pt>
                <c:pt idx="12" formatCode="0.000">
                  <c:v>419.50970402897167</c:v>
                </c:pt>
              </c:numCache>
            </c:numRef>
          </c:val>
          <c:extLst>
            <c:ext xmlns:c16="http://schemas.microsoft.com/office/drawing/2014/chart" uri="{C3380CC4-5D6E-409C-BE32-E72D297353CC}">
              <c16:uniqueId val="{0000000D-013F-40D3-81DC-929CB458667F}"/>
            </c:ext>
          </c:extLst>
        </c:ser>
        <c:ser>
          <c:idx val="14"/>
          <c:order val="14"/>
          <c:tx>
            <c:strRef>
              <c:f>'248'!$AE$34</c:f>
              <c:strCache>
                <c:ptCount val="1"/>
                <c:pt idx="0">
                  <c:v>Stg.4 Shroud Aft#13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'248'!$AE$36:$AE$59</c:f>
              <c:numCache>
                <c:formatCode>General</c:formatCode>
                <c:ptCount val="24"/>
                <c:pt idx="12" formatCode="0.000">
                  <c:v>419.49556802643065</c:v>
                </c:pt>
                <c:pt idx="13" formatCode="0.000">
                  <c:v>419.49556802643065</c:v>
                </c:pt>
              </c:numCache>
            </c:numRef>
          </c:val>
          <c:extLst>
            <c:ext xmlns:c16="http://schemas.microsoft.com/office/drawing/2014/chart" uri="{C3380CC4-5D6E-409C-BE32-E72D297353CC}">
              <c16:uniqueId val="{0000000E-013F-40D3-81DC-929CB458667F}"/>
            </c:ext>
          </c:extLst>
        </c:ser>
        <c:ser>
          <c:idx val="15"/>
          <c:order val="15"/>
          <c:tx>
            <c:strRef>
              <c:f>'248'!$AF$34</c:f>
              <c:strCache>
                <c:ptCount val="1"/>
                <c:pt idx="0">
                  <c:v>Stg.4 Shroud Aft#12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'248'!$AF$36:$AF$59</c:f>
              <c:numCache>
                <c:formatCode>General</c:formatCode>
                <c:ptCount val="24"/>
                <c:pt idx="13" formatCode="0.000">
                  <c:v>419.46452801430405</c:v>
                </c:pt>
                <c:pt idx="14" formatCode="0.000">
                  <c:v>419.46452801430405</c:v>
                </c:pt>
              </c:numCache>
            </c:numRef>
          </c:val>
          <c:extLst>
            <c:ext xmlns:c16="http://schemas.microsoft.com/office/drawing/2014/chart" uri="{C3380CC4-5D6E-409C-BE32-E72D297353CC}">
              <c16:uniqueId val="{0000000F-013F-40D3-81DC-929CB458667F}"/>
            </c:ext>
          </c:extLst>
        </c:ser>
        <c:ser>
          <c:idx val="16"/>
          <c:order val="16"/>
          <c:tx>
            <c:strRef>
              <c:f>'248'!$AG$34</c:f>
              <c:strCache>
                <c:ptCount val="1"/>
                <c:pt idx="0">
                  <c:v>Stg.4 Shroud Aft#11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'248'!$AG$36:$AG$59</c:f>
              <c:numCache>
                <c:formatCode>General</c:formatCode>
                <c:ptCount val="24"/>
                <c:pt idx="14" formatCode="0.000">
                  <c:v>419.43791602861074</c:v>
                </c:pt>
                <c:pt idx="15" formatCode="0.000">
                  <c:v>419.43791602861074</c:v>
                </c:pt>
              </c:numCache>
            </c:numRef>
          </c:val>
          <c:extLst>
            <c:ext xmlns:c16="http://schemas.microsoft.com/office/drawing/2014/chart" uri="{C3380CC4-5D6E-409C-BE32-E72D297353CC}">
              <c16:uniqueId val="{00000010-013F-40D3-81DC-929CB458667F}"/>
            </c:ext>
          </c:extLst>
        </c:ser>
        <c:ser>
          <c:idx val="17"/>
          <c:order val="17"/>
          <c:tx>
            <c:strRef>
              <c:f>'248'!$AH$34</c:f>
              <c:strCache>
                <c:ptCount val="1"/>
                <c:pt idx="0">
                  <c:v>Stg.4 Shroud Aft#10</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'248'!$AH$36:$AH$59</c:f>
              <c:numCache>
                <c:formatCode>General</c:formatCode>
                <c:ptCount val="24"/>
                <c:pt idx="15" formatCode="0.000">
                  <c:v>419.4483440264363</c:v>
                </c:pt>
                <c:pt idx="16" formatCode="0.000">
                  <c:v>419.4483440264363</c:v>
                </c:pt>
              </c:numCache>
            </c:numRef>
          </c:val>
          <c:extLst>
            <c:ext xmlns:c16="http://schemas.microsoft.com/office/drawing/2014/chart" uri="{C3380CC4-5D6E-409C-BE32-E72D297353CC}">
              <c16:uniqueId val="{00000011-013F-40D3-81DC-929CB458667F}"/>
            </c:ext>
          </c:extLst>
        </c:ser>
        <c:ser>
          <c:idx val="18"/>
          <c:order val="18"/>
          <c:tx>
            <c:strRef>
              <c:f>'248'!$AI$34</c:f>
              <c:strCache>
                <c:ptCount val="1"/>
                <c:pt idx="0">
                  <c:v>Stg.4 Shroud Aft#9</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'248'!$AI$36:$AI$59</c:f>
              <c:numCache>
                <c:formatCode>General</c:formatCode>
                <c:ptCount val="24"/>
                <c:pt idx="16" formatCode="0.000">
                  <c:v>419.49714400606547</c:v>
                </c:pt>
                <c:pt idx="17" formatCode="0.000">
                  <c:v>419.49714400606547</c:v>
                </c:pt>
              </c:numCache>
            </c:numRef>
          </c:val>
          <c:extLst>
            <c:ext xmlns:c16="http://schemas.microsoft.com/office/drawing/2014/chart" uri="{C3380CC4-5D6E-409C-BE32-E72D297353CC}">
              <c16:uniqueId val="{00000012-013F-40D3-81DC-929CB458667F}"/>
            </c:ext>
          </c:extLst>
        </c:ser>
        <c:ser>
          <c:idx val="19"/>
          <c:order val="19"/>
          <c:tx>
            <c:strRef>
              <c:f>'248'!$AJ$34</c:f>
              <c:strCache>
                <c:ptCount val="1"/>
                <c:pt idx="0">
                  <c:v>Stg.4 Shroud Aft#8</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'248'!$AJ$36:$AJ$59</c:f>
              <c:numCache>
                <c:formatCode>General</c:formatCode>
                <c:ptCount val="24"/>
                <c:pt idx="17" formatCode="0.000">
                  <c:v>419.5524280000302</c:v>
                </c:pt>
                <c:pt idx="18" formatCode="0.000">
                  <c:v>419.5524280000302</c:v>
                </c:pt>
              </c:numCache>
            </c:numRef>
          </c:val>
          <c:extLst>
            <c:ext xmlns:c16="http://schemas.microsoft.com/office/drawing/2014/chart" uri="{C3380CC4-5D6E-409C-BE32-E72D297353CC}">
              <c16:uniqueId val="{00000013-013F-40D3-81DC-929CB458667F}"/>
            </c:ext>
          </c:extLst>
        </c:ser>
        <c:ser>
          <c:idx val="20"/>
          <c:order val="20"/>
          <c:tx>
            <c:strRef>
              <c:f>'248'!$AK$34</c:f>
              <c:strCache>
                <c:ptCount val="1"/>
                <c:pt idx="0">
                  <c:v>Stg.4 Shroud Aft#7</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'248'!$AK$36:$AK$59</c:f>
              <c:numCache>
                <c:formatCode>General</c:formatCode>
                <c:ptCount val="24"/>
                <c:pt idx="18" formatCode="0.000">
                  <c:v>419.58691200045757</c:v>
                </c:pt>
                <c:pt idx="19" formatCode="0.000">
                  <c:v>419.58691200045757</c:v>
                </c:pt>
              </c:numCache>
            </c:numRef>
          </c:val>
          <c:extLst>
            <c:ext xmlns:c16="http://schemas.microsoft.com/office/drawing/2014/chart" uri="{C3380CC4-5D6E-409C-BE32-E72D297353CC}">
              <c16:uniqueId val="{00000014-013F-40D3-81DC-929CB458667F}"/>
            </c:ext>
          </c:extLst>
        </c:ser>
        <c:ser>
          <c:idx val="21"/>
          <c:order val="21"/>
          <c:tx>
            <c:strRef>
              <c:f>'248'!$AL$34</c:f>
              <c:strCache>
                <c:ptCount val="1"/>
                <c:pt idx="0">
                  <c:v>Stg.4 Shroud Aft#6</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'248'!$AL$36:$AL$59</c:f>
              <c:numCache>
                <c:formatCode>General</c:formatCode>
                <c:ptCount val="24"/>
                <c:pt idx="19" formatCode="0.000">
                  <c:v>419.57875200170974</c:v>
                </c:pt>
                <c:pt idx="20" formatCode="0.000">
                  <c:v>419.57875200170974</c:v>
                </c:pt>
              </c:numCache>
            </c:numRef>
          </c:val>
          <c:extLst>
            <c:ext xmlns:c16="http://schemas.microsoft.com/office/drawing/2014/chart" uri="{C3380CC4-5D6E-409C-BE32-E72D297353CC}">
              <c16:uniqueId val="{00000015-013F-40D3-81DC-929CB458667F}"/>
            </c:ext>
          </c:extLst>
        </c:ser>
        <c:ser>
          <c:idx val="22"/>
          <c:order val="22"/>
          <c:tx>
            <c:strRef>
              <c:f>'248'!$AM$34</c:f>
              <c:strCache>
                <c:ptCount val="1"/>
                <c:pt idx="0">
                  <c:v>Stg.4 Shroud Aft#5</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'248'!$AM$36:$AM$59</c:f>
              <c:numCache>
                <c:formatCode>General</c:formatCode>
                <c:ptCount val="24"/>
                <c:pt idx="20" formatCode="0.000">
                  <c:v>419.5353640035454</c:v>
                </c:pt>
                <c:pt idx="21" formatCode="0.000">
                  <c:v>419.5353640035454</c:v>
                </c:pt>
              </c:numCache>
            </c:numRef>
          </c:val>
          <c:extLst>
            <c:ext xmlns:c16="http://schemas.microsoft.com/office/drawing/2014/chart" uri="{C3380CC4-5D6E-409C-BE32-E72D297353CC}">
              <c16:uniqueId val="{00000016-013F-40D3-81DC-929CB458667F}"/>
            </c:ext>
          </c:extLst>
        </c:ser>
        <c:ser>
          <c:idx val="23"/>
          <c:order val="23"/>
          <c:tx>
            <c:strRef>
              <c:f>'248'!$AN$34</c:f>
              <c:strCache>
                <c:ptCount val="1"/>
                <c:pt idx="0">
                  <c:v>Stg.4 Shroud Aft#4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'248'!$AN$36:$AN$59</c:f>
              <c:numCache>
                <c:formatCode>General</c:formatCode>
                <c:ptCount val="24"/>
                <c:pt idx="21" formatCode="0.000">
                  <c:v>419.4741360029368</c:v>
                </c:pt>
                <c:pt idx="22" formatCode="0.000">
                  <c:v>419.4741360029368</c:v>
                </c:pt>
              </c:numCache>
            </c:numRef>
          </c:val>
          <c:extLst>
            <c:ext xmlns:c16="http://schemas.microsoft.com/office/drawing/2014/chart" uri="{C3380CC4-5D6E-409C-BE32-E72D297353CC}">
              <c16:uniqueId val="{00000017-013F-40D3-81DC-929CB458667F}"/>
            </c:ext>
          </c:extLst>
        </c:ser>
        <c:ser>
          <c:idx val="24"/>
          <c:order val="24"/>
          <c:tx>
            <c:strRef>
              <c:f>'248'!$AO$34</c:f>
              <c:strCache>
                <c:ptCount val="1"/>
                <c:pt idx="0">
                  <c:v>Stg.4 Shroud Aft#3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'248'!$AO$36:$AO$59</c:f>
              <c:numCache>
                <c:formatCode>General</c:formatCode>
                <c:ptCount val="24"/>
                <c:pt idx="22" formatCode="0.000">
                  <c:v>419.43106406682102</c:v>
                </c:pt>
                <c:pt idx="23" formatCode="0.000">
                  <c:v>419.43106406682102</c:v>
                </c:pt>
              </c:numCache>
            </c:numRef>
          </c:val>
          <c:extLst>
            <c:ext xmlns:c16="http://schemas.microsoft.com/office/drawing/2014/chart" uri="{C3380CC4-5D6E-409C-BE32-E72D297353CC}">
              <c16:uniqueId val="{00000018-013F-40D3-81DC-929CB458667F}"/>
            </c:ext>
          </c:extLst>
        </c:ser>
        <c:ser>
          <c:idx val="25"/>
          <c:order val="25"/>
          <c:tx>
            <c:strRef>
              <c:f>'248'!$AP$34</c:f>
              <c:strCache>
                <c:ptCount val="1"/>
                <c:pt idx="0">
                  <c:v>Stg.4 Shroud Aft#2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'248'!$AP$36:$AP$59</c:f>
              <c:numCache>
                <c:formatCode>General</c:formatCode>
                <c:ptCount val="24"/>
                <c:pt idx="0" formatCode="0.000">
                  <c:v>419.43679083090132</c:v>
                </c:pt>
                <c:pt idx="23" formatCode="0.000">
                  <c:v>419.43679083090132</c:v>
                </c:pt>
              </c:numCache>
            </c:numRef>
          </c:val>
          <c:extLst>
            <c:ext xmlns:c16="http://schemas.microsoft.com/office/drawing/2014/chart" uri="{C3380CC4-5D6E-409C-BE32-E72D297353CC}">
              <c16:uniqueId val="{00000019-013F-40D3-81DC-929CB458667F}"/>
            </c:ext>
          </c:extLst>
        </c:ser>
        <c:dLbls>
          <c:showLegendKey val="0"/>
          <c:showVal val="0"/>
          <c:showCatName val="0"/>
          <c:showSerName val="0"/>
          <c:showPercent val="0"/>
          <c:showBubbleSize val="0"/>
        </c:dLbls>
        <c:axId val="176120320"/>
        <c:axId val="176515328"/>
      </c:radarChart>
      <c:catAx>
        <c:axId val="17612032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6515328"/>
        <c:crosses val="autoZero"/>
        <c:auto val="1"/>
        <c:lblAlgn val="ctr"/>
        <c:lblOffset val="100"/>
        <c:noMultiLvlLbl val="0"/>
      </c:catAx>
      <c:valAx>
        <c:axId val="176515328"/>
        <c:scaling>
          <c:orientation val="minMax"/>
          <c:min val="419.35"/>
        </c:scaling>
        <c:delete val="0"/>
        <c:axPos val="l"/>
        <c:majorGridlines/>
        <c:numFmt formatCode="General" sourceLinked="1"/>
        <c:majorTickMark val="cross"/>
        <c:minorTickMark val="none"/>
        <c:tickLblPos val="nextTo"/>
        <c:txPr>
          <a:bodyPr/>
          <a:lstStyle/>
          <a:p>
            <a:pPr>
              <a:defRPr lang="ja-JP"/>
            </a:pPr>
            <a:endParaRPr lang="en-US"/>
          </a:p>
        </c:txPr>
        <c:crossAx val="176120320"/>
        <c:crosses val="autoZero"/>
        <c:crossBetween val="between"/>
        <c:majorUnit val="5.000000000000001E-2"/>
      </c:valAx>
    </c:plotArea>
    <c:legend>
      <c:legendPos val="r"/>
      <c:layout>
        <c:manualLayout>
          <c:xMode val="edge"/>
          <c:yMode val="edge"/>
          <c:x val="0.75693143452628542"/>
          <c:y val="0"/>
          <c:w val="0.23186856312200801"/>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'248'!$AQ$93</c:f>
              <c:strCache>
                <c:ptCount val="1"/>
                <c:pt idx="0">
                  <c:v>Step Min</c:v>
                </c:pt>
              </c:strCache>
            </c:strRef>
          </c:tx>
          <c:spPr>
            <a:ln w="28575">
              <a:prstDash val="dash"/>
            </a:ln>
          </c:spPr>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'248'!$AQ$95:$AQ$118</c:f>
              <c:numCache>
                <c:formatCode>General</c:formatCode>
                <c:ptCount val="24"/>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numCache>
            </c:numRef>
          </c:val>
          <c:extLst>
            <c:ext xmlns:c16="http://schemas.microsoft.com/office/drawing/2014/chart" uri="{C3380CC4-5D6E-409C-BE32-E72D297353CC}">
              <c16:uniqueId val="{00000000-BCDC-476A-A854-7CFC7EF1F064}"/>
            </c:ext>
          </c:extLst>
        </c:ser>
        <c:ser>
          <c:idx val="1"/>
          <c:order val="1"/>
          <c:tx>
            <c:strRef>
              <c:f>'248'!$AR$93</c:f>
              <c:strCache>
                <c:ptCount val="1"/>
                <c:pt idx="0">
                  <c:v>Step Max</c:v>
                </c:pt>
              </c:strCache>
            </c:strRef>
          </c:tx>
          <c:spPr>
            <a:ln w="28575">
              <a:prstDash val="dash"/>
            </a:ln>
          </c:spPr>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'248'!$AR$95:$AR$118</c:f>
              <c:numCache>
                <c:formatCode>General</c:formatCode>
                <c:ptCount val="24"/>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numCache>
            </c:numRef>
          </c:val>
          <c:extLst>
            <c:ext xmlns:c16="http://schemas.microsoft.com/office/drawing/2014/chart" uri="{C3380CC4-5D6E-409C-BE32-E72D297353CC}">
              <c16:uniqueId val="{00000001-BCDC-476A-A854-7CFC7EF1F064}"/>
            </c:ext>
          </c:extLst>
        </c:ser>
        <c:ser>
          <c:idx val="2"/>
          <c:order val="2"/>
          <c:tx>
            <c:strRef>
              <c:f>'248'!$S$93</c:f>
              <c:strCache>
                <c:ptCount val="1"/>
                <c:pt idx="0">
                  <c:v>Stg.4 Shroud Step#1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'248'!$S$95:$S$118</c:f>
              <c:numCache>
                <c:formatCode>0.000_ </c:formatCode>
                <c:ptCount val="24"/>
                <c:pt idx="0">
                  <c:v>1.9536205581630384E-2</c:v>
                </c:pt>
                <c:pt idx="1">
                  <c:v>1.9536205581630384E-2</c:v>
                </c:pt>
              </c:numCache>
            </c:numRef>
          </c:val>
          <c:extLst>
            <c:ext xmlns:c16="http://schemas.microsoft.com/office/drawing/2014/chart" uri="{C3380CC4-5D6E-409C-BE32-E72D297353CC}">
              <c16:uniqueId val="{00000002-BCDC-476A-A854-7CFC7EF1F064}"/>
            </c:ext>
          </c:extLst>
        </c:ser>
        <c:ser>
          <c:idx val="3"/>
          <c:order val="3"/>
          <c:tx>
            <c:strRef>
              <c:f>'248'!$T$93</c:f>
              <c:strCache>
                <c:ptCount val="1"/>
                <c:pt idx="0">
                  <c:v>Stg.4 Shroud Step#24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'248'!$T$95:$T$118</c:f>
              <c:numCache>
                <c:formatCode>0.000_ </c:formatCode>
                <c:ptCount val="24"/>
                <c:pt idx="1">
                  <c:v>2.1434752273194135E-2</c:v>
                </c:pt>
                <c:pt idx="2">
                  <c:v>2.1434752273194135E-2</c:v>
                </c:pt>
              </c:numCache>
            </c:numRef>
          </c:val>
          <c:extLst>
            <c:ext xmlns:c16="http://schemas.microsoft.com/office/drawing/2014/chart" uri="{C3380CC4-5D6E-409C-BE32-E72D297353CC}">
              <c16:uniqueId val="{00000003-BCDC-476A-A854-7CFC7EF1F064}"/>
            </c:ext>
          </c:extLst>
        </c:ser>
        <c:ser>
          <c:idx val="4"/>
          <c:order val="4"/>
          <c:tx>
            <c:strRef>
              <c:f>'248'!$U$93</c:f>
              <c:strCache>
                <c:ptCount val="1"/>
                <c:pt idx="0">
                  <c:v>Stg.4 Shroud Step#23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'248'!$U$95:$U$118</c:f>
              <c:numCache>
                <c:formatCode>0.000_ </c:formatCode>
                <c:ptCount val="24"/>
                <c:pt idx="2">
                  <c:v>2.207613335485803E-2</c:v>
                </c:pt>
                <c:pt idx="3">
                  <c:v>2.207613335485803E-2</c:v>
                </c:pt>
              </c:numCache>
            </c:numRef>
          </c:val>
          <c:extLst>
            <c:ext xmlns:c16="http://schemas.microsoft.com/office/drawing/2014/chart" uri="{C3380CC4-5D6E-409C-BE32-E72D297353CC}">
              <c16:uniqueId val="{00000004-BCDC-476A-A854-7CFC7EF1F064}"/>
            </c:ext>
          </c:extLst>
        </c:ser>
        <c:ser>
          <c:idx val="5"/>
          <c:order val="5"/>
          <c:tx>
            <c:strRef>
              <c:f>'248'!$V$93</c:f>
              <c:strCache>
                <c:ptCount val="1"/>
                <c:pt idx="0">
                  <c:v>Stg.4 Shroud Step#22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'248'!$V$95:$V$118</c:f>
              <c:numCache>
                <c:formatCode>0.000_ </c:formatCode>
                <c:ptCount val="24"/>
                <c:pt idx="3">
                  <c:v>2.3152121494717903E-2</c:v>
                </c:pt>
                <c:pt idx="4">
                  <c:v>2.3152121494717903E-2</c:v>
                </c:pt>
              </c:numCache>
            </c:numRef>
          </c:val>
          <c:extLst>
            <c:ext xmlns:c16="http://schemas.microsoft.com/office/drawing/2014/chart" uri="{C3380CC4-5D6E-409C-BE32-E72D297353CC}">
              <c16:uniqueId val="{00000005-BCDC-476A-A854-7CFC7EF1F064}"/>
            </c:ext>
          </c:extLst>
        </c:ser>
        <c:ser>
          <c:idx val="6"/>
          <c:order val="6"/>
          <c:tx>
            <c:strRef>
              <c:f>'248'!$W$93</c:f>
              <c:strCache>
                <c:ptCount val="1"/>
                <c:pt idx="0">
                  <c:v>Stg.4 Shroud Step#21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'248'!$W$95:$W$118</c:f>
              <c:numCache>
                <c:formatCode>0.000_ </c:formatCode>
                <c:ptCount val="24"/>
                <c:pt idx="4">
                  <c:v>1.9008044312442962E-2</c:v>
                </c:pt>
                <c:pt idx="5">
                  <c:v>1.9008044312442962E-2</c:v>
                </c:pt>
              </c:numCache>
            </c:numRef>
          </c:val>
          <c:extLst>
            <c:ext xmlns:c16="http://schemas.microsoft.com/office/drawing/2014/chart" uri="{C3380CC4-5D6E-409C-BE32-E72D297353CC}">
              <c16:uniqueId val="{00000006-BCDC-476A-A854-7CFC7EF1F064}"/>
            </c:ext>
          </c:extLst>
        </c:ser>
        <c:ser>
          <c:idx val="7"/>
          <c:order val="7"/>
          <c:tx>
            <c:strRef>
              <c:f>'248'!$X$93</c:f>
              <c:strCache>
                <c:ptCount val="1"/>
                <c:pt idx="0">
                  <c:v>Stg.4 Shroud Step#20</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'248'!$X$95:$X$118</c:f>
              <c:numCache>
                <c:formatCode>0.000_ </c:formatCode>
                <c:ptCount val="24"/>
                <c:pt idx="5">
                  <c:v>5.2107318542766734E-3</c:v>
                </c:pt>
                <c:pt idx="6">
                  <c:v>5.2107318542766734E-3</c:v>
                </c:pt>
              </c:numCache>
            </c:numRef>
          </c:val>
          <c:extLst>
            <c:ext xmlns:c16="http://schemas.microsoft.com/office/drawing/2014/chart" uri="{C3380CC4-5D6E-409C-BE32-E72D297353CC}">
              <c16:uniqueId val="{00000007-BCDC-476A-A854-7CFC7EF1F064}"/>
            </c:ext>
          </c:extLst>
        </c:ser>
        <c:ser>
          <c:idx val="8"/>
          <c:order val="8"/>
          <c:tx>
            <c:strRef>
              <c:f>'248'!$Y$93</c:f>
              <c:strCache>
                <c:ptCount val="1"/>
                <c:pt idx="0">
                  <c:v>Stg.4 Shroud Step#19</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'248'!$Y$95:$Y$118</c:f>
              <c:numCache>
                <c:formatCode>0.000_ </c:formatCode>
                <c:ptCount val="24"/>
                <c:pt idx="6">
                  <c:v>2.2406116437423407E-4</c:v>
                </c:pt>
                <c:pt idx="7">
                  <c:v>2.2406116437423407E-4</c:v>
                </c:pt>
              </c:numCache>
            </c:numRef>
          </c:val>
          <c:extLst>
            <c:ext xmlns:c16="http://schemas.microsoft.com/office/drawing/2014/chart" uri="{C3380CC4-5D6E-409C-BE32-E72D297353CC}">
              <c16:uniqueId val="{00000008-BCDC-476A-A854-7CFC7EF1F064}"/>
            </c:ext>
          </c:extLst>
        </c:ser>
        <c:ser>
          <c:idx val="9"/>
          <c:order val="9"/>
          <c:tx>
            <c:strRef>
              <c:f>'248'!$Z$93</c:f>
              <c:strCache>
                <c:ptCount val="1"/>
                <c:pt idx="0">
                  <c:v>Stg.4 Shroud Step#18</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'248'!$Z$95:$Z$118</c:f>
              <c:numCache>
                <c:formatCode>0.000_ </c:formatCode>
                <c:ptCount val="24"/>
                <c:pt idx="7">
                  <c:v>4.293364980185288E-3</c:v>
                </c:pt>
                <c:pt idx="8">
                  <c:v>4.293364980185288E-3</c:v>
                </c:pt>
              </c:numCache>
            </c:numRef>
          </c:val>
          <c:extLst>
            <c:ext xmlns:c16="http://schemas.microsoft.com/office/drawing/2014/chart" uri="{C3380CC4-5D6E-409C-BE32-E72D297353CC}">
              <c16:uniqueId val="{00000009-BCDC-476A-A854-7CFC7EF1F064}"/>
            </c:ext>
          </c:extLst>
        </c:ser>
        <c:ser>
          <c:idx val="10"/>
          <c:order val="10"/>
          <c:tx>
            <c:strRef>
              <c:f>'248'!$AA$93</c:f>
              <c:strCache>
                <c:ptCount val="1"/>
                <c:pt idx="0">
                  <c:v>Stg.4 Shroud Step#17</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'248'!$AA$95:$AA$118</c:f>
              <c:numCache>
                <c:formatCode>0.000_ </c:formatCode>
                <c:ptCount val="24"/>
                <c:pt idx="8">
                  <c:v>3.1267298605825999E-3</c:v>
                </c:pt>
                <c:pt idx="9">
                  <c:v>3.1267298605825999E-3</c:v>
                </c:pt>
              </c:numCache>
            </c:numRef>
          </c:val>
          <c:extLst>
            <c:ext xmlns:c16="http://schemas.microsoft.com/office/drawing/2014/chart" uri="{C3380CC4-5D6E-409C-BE32-E72D297353CC}">
              <c16:uniqueId val="{0000000A-BCDC-476A-A854-7CFC7EF1F064}"/>
            </c:ext>
          </c:extLst>
        </c:ser>
        <c:ser>
          <c:idx val="11"/>
          <c:order val="11"/>
          <c:tx>
            <c:strRef>
              <c:f>'248'!$AB$93</c:f>
              <c:strCache>
                <c:ptCount val="1"/>
                <c:pt idx="0">
                  <c:v>Stg.4 Shroud Step#16</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'248'!$AB$95:$AB$118</c:f>
              <c:numCache>
                <c:formatCode>0.000_ </c:formatCode>
                <c:ptCount val="24"/>
                <c:pt idx="9">
                  <c:v>5.2240587300502739E-3</c:v>
                </c:pt>
                <c:pt idx="10">
                  <c:v>5.2240587300502739E-3</c:v>
                </c:pt>
              </c:numCache>
            </c:numRef>
          </c:val>
          <c:extLst>
            <c:ext xmlns:c16="http://schemas.microsoft.com/office/drawing/2014/chart" uri="{C3380CC4-5D6E-409C-BE32-E72D297353CC}">
              <c16:uniqueId val="{0000000B-BCDC-476A-A854-7CFC7EF1F064}"/>
            </c:ext>
          </c:extLst>
        </c:ser>
        <c:ser>
          <c:idx val="12"/>
          <c:order val="12"/>
          <c:tx>
            <c:strRef>
              <c:f>'248'!$AC$93</c:f>
              <c:strCache>
                <c:ptCount val="1"/>
                <c:pt idx="0">
                  <c:v>Stg.4 Shroud Step#15</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'248'!$AC$95:$AC$118</c:f>
              <c:numCache>
                <c:formatCode>0.000_ </c:formatCode>
                <c:ptCount val="24"/>
                <c:pt idx="10">
                  <c:v>1.1021355043283165E-2</c:v>
                </c:pt>
                <c:pt idx="11">
                  <c:v>1.1021355043283165E-2</c:v>
                </c:pt>
              </c:numCache>
            </c:numRef>
          </c:val>
          <c:extLst>
            <c:ext xmlns:c16="http://schemas.microsoft.com/office/drawing/2014/chart" uri="{C3380CC4-5D6E-409C-BE32-E72D297353CC}">
              <c16:uniqueId val="{0000000C-BCDC-476A-A854-7CFC7EF1F064}"/>
            </c:ext>
          </c:extLst>
        </c:ser>
        <c:ser>
          <c:idx val="13"/>
          <c:order val="13"/>
          <c:tx>
            <c:strRef>
              <c:f>'248'!$AD$93</c:f>
              <c:strCache>
                <c:ptCount val="1"/>
                <c:pt idx="0">
                  <c:v>Stg.4 Shroud Step#14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'248'!$AD$95:$AD$118</c:f>
              <c:numCache>
                <c:formatCode>0.000_ </c:formatCode>
                <c:ptCount val="24"/>
                <c:pt idx="11">
                  <c:v>1.3949361905929436E-2</c:v>
                </c:pt>
                <c:pt idx="12">
                  <c:v>1.3949361905929436E-2</c:v>
                </c:pt>
              </c:numCache>
            </c:numRef>
          </c:val>
          <c:extLst>
            <c:ext xmlns:c16="http://schemas.microsoft.com/office/drawing/2014/chart" uri="{C3380CC4-5D6E-409C-BE32-E72D297353CC}">
              <c16:uniqueId val="{0000000D-BCDC-476A-A854-7CFC7EF1F064}"/>
            </c:ext>
          </c:extLst>
        </c:ser>
        <c:ser>
          <c:idx val="14"/>
          <c:order val="14"/>
          <c:tx>
            <c:strRef>
              <c:f>'248'!$AE$93</c:f>
              <c:strCache>
                <c:ptCount val="1"/>
                <c:pt idx="0">
                  <c:v>Stg.4 Shroud Step#13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'248'!$AE$95:$AE$118</c:f>
              <c:numCache>
                <c:formatCode>0.000_ </c:formatCode>
                <c:ptCount val="24"/>
                <c:pt idx="12">
                  <c:v>1.3080025970907627E-2</c:v>
                </c:pt>
                <c:pt idx="13">
                  <c:v>1.3080025970907627E-2</c:v>
                </c:pt>
              </c:numCache>
            </c:numRef>
          </c:val>
          <c:extLst>
            <c:ext xmlns:c16="http://schemas.microsoft.com/office/drawing/2014/chart" uri="{C3380CC4-5D6E-409C-BE32-E72D297353CC}">
              <c16:uniqueId val="{0000000E-BCDC-476A-A854-7CFC7EF1F064}"/>
            </c:ext>
          </c:extLst>
        </c:ser>
        <c:ser>
          <c:idx val="15"/>
          <c:order val="15"/>
          <c:tx>
            <c:strRef>
              <c:f>'248'!$AF$93</c:f>
              <c:strCache>
                <c:ptCount val="1"/>
                <c:pt idx="0">
                  <c:v>Stg.4 Shroud Step#12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'248'!$AF$95:$AF$118</c:f>
              <c:numCache>
                <c:formatCode>0.000_ </c:formatCode>
                <c:ptCount val="24"/>
                <c:pt idx="13">
                  <c:v>9.1706413192014224E-3</c:v>
                </c:pt>
                <c:pt idx="14">
                  <c:v>9.1706413192014224E-3</c:v>
                </c:pt>
              </c:numCache>
            </c:numRef>
          </c:val>
          <c:extLst>
            <c:ext xmlns:c16="http://schemas.microsoft.com/office/drawing/2014/chart" uri="{C3380CC4-5D6E-409C-BE32-E72D297353CC}">
              <c16:uniqueId val="{0000000F-BCDC-476A-A854-7CFC7EF1F064}"/>
            </c:ext>
          </c:extLst>
        </c:ser>
        <c:ser>
          <c:idx val="16"/>
          <c:order val="16"/>
          <c:tx>
            <c:strRef>
              <c:f>'248'!$AG$93</c:f>
              <c:strCache>
                <c:ptCount val="1"/>
                <c:pt idx="0">
                  <c:v>Stg.4 Shroud Step#11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'248'!$AG$95:$AG$118</c:f>
              <c:numCache>
                <c:formatCode>0.000_ </c:formatCode>
                <c:ptCount val="24"/>
                <c:pt idx="14">
                  <c:v>4.7932266377301858E-3</c:v>
                </c:pt>
                <c:pt idx="15">
                  <c:v>4.7932266377301858E-3</c:v>
                </c:pt>
              </c:numCache>
            </c:numRef>
          </c:val>
          <c:extLst>
            <c:ext xmlns:c16="http://schemas.microsoft.com/office/drawing/2014/chart" uri="{C3380CC4-5D6E-409C-BE32-E72D297353CC}">
              <c16:uniqueId val="{00000010-BCDC-476A-A854-7CFC7EF1F064}"/>
            </c:ext>
          </c:extLst>
        </c:ser>
        <c:ser>
          <c:idx val="17"/>
          <c:order val="17"/>
          <c:tx>
            <c:strRef>
              <c:f>'248'!$AH$93</c:f>
              <c:strCache>
                <c:ptCount val="1"/>
                <c:pt idx="0">
                  <c:v>Stg.4 Shroud Step#10</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'248'!$AH$95:$AH$118</c:f>
              <c:numCache>
                <c:formatCode>0.000_ </c:formatCode>
                <c:ptCount val="24"/>
                <c:pt idx="15">
                  <c:v>6.9919013222374815E-3</c:v>
                </c:pt>
                <c:pt idx="16">
                  <c:v>6.9919013222374815E-3</c:v>
                </c:pt>
              </c:numCache>
            </c:numRef>
          </c:val>
          <c:extLst>
            <c:ext xmlns:c16="http://schemas.microsoft.com/office/drawing/2014/chart" uri="{C3380CC4-5D6E-409C-BE32-E72D297353CC}">
              <c16:uniqueId val="{00000011-BCDC-476A-A854-7CFC7EF1F064}"/>
            </c:ext>
          </c:extLst>
        </c:ser>
        <c:ser>
          <c:idx val="18"/>
          <c:order val="18"/>
          <c:tx>
            <c:strRef>
              <c:f>'248'!$AI$93</c:f>
              <c:strCache>
                <c:ptCount val="1"/>
                <c:pt idx="0">
                  <c:v>Stg.4 Shroud Step#9</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'248'!$AI$95:$AI$118</c:f>
              <c:numCache>
                <c:formatCode>0.000_ </c:formatCode>
                <c:ptCount val="24"/>
                <c:pt idx="16">
                  <c:v>1.4506642414289672E-2</c:v>
                </c:pt>
                <c:pt idx="17">
                  <c:v>1.4506642414289672E-2</c:v>
                </c:pt>
              </c:numCache>
            </c:numRef>
          </c:val>
          <c:extLst>
            <c:ext xmlns:c16="http://schemas.microsoft.com/office/drawing/2014/chart" uri="{C3380CC4-5D6E-409C-BE32-E72D297353CC}">
              <c16:uniqueId val="{00000012-BCDC-476A-A854-7CFC7EF1F064}"/>
            </c:ext>
          </c:extLst>
        </c:ser>
        <c:ser>
          <c:idx val="19"/>
          <c:order val="19"/>
          <c:tx>
            <c:strRef>
              <c:f>'248'!$AJ$93</c:f>
              <c:strCache>
                <c:ptCount val="1"/>
                <c:pt idx="0">
                  <c:v>Stg.4 Shroud Step#8</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'248'!$AJ$95:$AJ$118</c:f>
              <c:numCache>
                <c:formatCode>0.000_ </c:formatCode>
                <c:ptCount val="24"/>
                <c:pt idx="17">
                  <c:v>2.024932977235494E-2</c:v>
                </c:pt>
                <c:pt idx="18">
                  <c:v>2.024932977235494E-2</c:v>
                </c:pt>
              </c:numCache>
            </c:numRef>
          </c:val>
          <c:extLst>
            <c:ext xmlns:c16="http://schemas.microsoft.com/office/drawing/2014/chart" uri="{C3380CC4-5D6E-409C-BE32-E72D297353CC}">
              <c16:uniqueId val="{00000013-BCDC-476A-A854-7CFC7EF1F064}"/>
            </c:ext>
          </c:extLst>
        </c:ser>
        <c:ser>
          <c:idx val="20"/>
          <c:order val="20"/>
          <c:tx>
            <c:strRef>
              <c:f>'248'!$AK$93</c:f>
              <c:strCache>
                <c:ptCount val="1"/>
                <c:pt idx="0">
                  <c:v>Stg.4 Shroud Step#7</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'248'!$AK$95:$AK$118</c:f>
              <c:numCache>
                <c:formatCode>0.000_ </c:formatCode>
                <c:ptCount val="24"/>
                <c:pt idx="18">
                  <c:v>2.8143997048459823E-2</c:v>
                </c:pt>
                <c:pt idx="19">
                  <c:v>2.8143997048459823E-2</c:v>
                </c:pt>
              </c:numCache>
            </c:numRef>
          </c:val>
          <c:extLst>
            <c:ext xmlns:c16="http://schemas.microsoft.com/office/drawing/2014/chart" uri="{C3380CC4-5D6E-409C-BE32-E72D297353CC}">
              <c16:uniqueId val="{00000014-BCDC-476A-A854-7CFC7EF1F064}"/>
            </c:ext>
          </c:extLst>
        </c:ser>
        <c:ser>
          <c:idx val="21"/>
          <c:order val="21"/>
          <c:tx>
            <c:strRef>
              <c:f>'248'!$AL$93</c:f>
              <c:strCache>
                <c:ptCount val="1"/>
                <c:pt idx="0">
                  <c:v>Stg.4 Shroud Step#6</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'248'!$AL$95:$AL$118</c:f>
              <c:numCache>
                <c:formatCode>0.000_ </c:formatCode>
                <c:ptCount val="24"/>
                <c:pt idx="19">
                  <c:v>2.9786666901713943E-2</c:v>
                </c:pt>
                <c:pt idx="20">
                  <c:v>2.9786666901713943E-2</c:v>
                </c:pt>
              </c:numCache>
            </c:numRef>
          </c:val>
          <c:extLst>
            <c:ext xmlns:c16="http://schemas.microsoft.com/office/drawing/2014/chart" uri="{C3380CC4-5D6E-409C-BE32-E72D297353CC}">
              <c16:uniqueId val="{00000015-BCDC-476A-A854-7CFC7EF1F064}"/>
            </c:ext>
          </c:extLst>
        </c:ser>
        <c:ser>
          <c:idx val="22"/>
          <c:order val="22"/>
          <c:tx>
            <c:strRef>
              <c:f>'248'!$AM$93</c:f>
              <c:strCache>
                <c:ptCount val="1"/>
                <c:pt idx="0">
                  <c:v>Stg.4 Shroud Step#5</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'248'!$AM$95:$AM$118</c:f>
              <c:numCache>
                <c:formatCode>0.000_ </c:formatCode>
                <c:ptCount val="24"/>
                <c:pt idx="20">
                  <c:v>1.6497336479687874E-2</c:v>
                </c:pt>
                <c:pt idx="21">
                  <c:v>1.6497336479687874E-2</c:v>
                </c:pt>
              </c:numCache>
            </c:numRef>
          </c:val>
          <c:extLst>
            <c:ext xmlns:c16="http://schemas.microsoft.com/office/drawing/2014/chart" uri="{C3380CC4-5D6E-409C-BE32-E72D297353CC}">
              <c16:uniqueId val="{00000016-BCDC-476A-A854-7CFC7EF1F064}"/>
            </c:ext>
          </c:extLst>
        </c:ser>
        <c:ser>
          <c:idx val="23"/>
          <c:order val="23"/>
          <c:tx>
            <c:strRef>
              <c:f>'248'!$AN$93</c:f>
              <c:strCache>
                <c:ptCount val="1"/>
                <c:pt idx="0">
                  <c:v>Stg.4 Shroud Step#4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'248'!$AN$95:$AN$118</c:f>
              <c:numCache>
                <c:formatCode>0.000_ </c:formatCode>
                <c:ptCount val="24"/>
                <c:pt idx="21">
                  <c:v>6.2320024769633164E-3</c:v>
                </c:pt>
                <c:pt idx="22">
                  <c:v>6.2320024769633164E-3</c:v>
                </c:pt>
              </c:numCache>
            </c:numRef>
          </c:val>
          <c:extLst>
            <c:ext xmlns:c16="http://schemas.microsoft.com/office/drawing/2014/chart" uri="{C3380CC4-5D6E-409C-BE32-E72D297353CC}">
              <c16:uniqueId val="{00000017-BCDC-476A-A854-7CFC7EF1F064}"/>
            </c:ext>
          </c:extLst>
        </c:ser>
        <c:ser>
          <c:idx val="24"/>
          <c:order val="24"/>
          <c:tx>
            <c:strRef>
              <c:f>'248'!$AO$93</c:f>
              <c:strCache>
                <c:ptCount val="1"/>
                <c:pt idx="0">
                  <c:v>Stg.4 Shroud Step#3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'248'!$AO$95:$AO$118</c:f>
              <c:numCache>
                <c:formatCode>0.000_ </c:formatCode>
                <c:ptCount val="24"/>
                <c:pt idx="22">
                  <c:v>7.778730620202623E-3</c:v>
                </c:pt>
                <c:pt idx="23">
                  <c:v>7.778730620202623E-3</c:v>
                </c:pt>
              </c:numCache>
            </c:numRef>
          </c:val>
          <c:extLst>
            <c:ext xmlns:c16="http://schemas.microsoft.com/office/drawing/2014/chart" uri="{C3380CC4-5D6E-409C-BE32-E72D297353CC}">
              <c16:uniqueId val="{00000018-BCDC-476A-A854-7CFC7EF1F064}"/>
            </c:ext>
          </c:extLst>
        </c:ser>
        <c:ser>
          <c:idx val="25"/>
          <c:order val="25"/>
          <c:tx>
            <c:strRef>
              <c:f>'248'!$AP$93</c:f>
              <c:strCache>
                <c:ptCount val="1"/>
                <c:pt idx="0">
                  <c:v>Stg.4 Shroud Step#2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'248'!$AP$95:$AP$118</c:f>
              <c:numCache>
                <c:formatCode>0.000_ </c:formatCode>
                <c:ptCount val="24"/>
                <c:pt idx="0">
                  <c:v>1.1884158659370314E-2</c:v>
                </c:pt>
                <c:pt idx="23">
                  <c:v>1.1884158659370314E-2</c:v>
                </c:pt>
              </c:numCache>
            </c:numRef>
          </c:val>
          <c:extLst>
            <c:ext xmlns:c16="http://schemas.microsoft.com/office/drawing/2014/chart" uri="{C3380CC4-5D6E-409C-BE32-E72D297353CC}">
              <c16:uniqueId val="{00000019-BCDC-476A-A854-7CFC7EF1F064}"/>
            </c:ext>
          </c:extLst>
        </c:ser>
        <c:dLbls>
          <c:showLegendKey val="0"/>
          <c:showVal val="0"/>
          <c:showCatName val="0"/>
          <c:showSerName val="0"/>
          <c:showPercent val="0"/>
          <c:showBubbleSize val="0"/>
        </c:dLbls>
        <c:axId val="176121344"/>
        <c:axId val="176517056"/>
      </c:radarChart>
      <c:catAx>
        <c:axId val="17612134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6517056"/>
        <c:crosses val="autoZero"/>
        <c:auto val="1"/>
        <c:lblAlgn val="ctr"/>
        <c:lblOffset val="100"/>
        <c:noMultiLvlLbl val="0"/>
      </c:catAx>
      <c:valAx>
        <c:axId val="17651705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6121344"/>
        <c:crosses val="autoZero"/>
        <c:crossBetween val="between"/>
        <c:majorUnit val="5.000000000000001E-2"/>
      </c:valAx>
    </c:plotArea>
    <c:legend>
      <c:legendPos val="r"/>
      <c:layout>
        <c:manualLayout>
          <c:xMode val="edge"/>
          <c:yMode val="edge"/>
          <c:x val="0.7560631385983716"/>
          <c:y val="0"/>
          <c:w val="0.23273686234231078"/>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'101'!$K$9</c:f>
              <c:strCache>
                <c:ptCount val="1"/>
                <c:pt idx="0">
                  <c:v>CMM</c:v>
                </c:pt>
              </c:strCache>
            </c:strRef>
          </c:tx>
          <c:marker>
            <c:symbol val="none"/>
          </c:marker>
          <c:cat>
            <c:numRef>
              <c:f>'101'!$J$11:$J$18</c:f>
              <c:numCache>
                <c:formatCode>General</c:formatCode>
                <c:ptCount val="8"/>
                <c:pt idx="0">
                  <c:v>1</c:v>
                </c:pt>
                <c:pt idx="1">
                  <c:v>8</c:v>
                </c:pt>
                <c:pt idx="2">
                  <c:v>7</c:v>
                </c:pt>
                <c:pt idx="3">
                  <c:v>6</c:v>
                </c:pt>
                <c:pt idx="4">
                  <c:v>5</c:v>
                </c:pt>
                <c:pt idx="5">
                  <c:v>4</c:v>
                </c:pt>
                <c:pt idx="6">
                  <c:v>3</c:v>
                </c:pt>
                <c:pt idx="7">
                  <c:v>2</c:v>
                </c:pt>
              </c:numCache>
            </c:numRef>
          </c:cat>
          <c:val>
            <c:numRef>
              <c:f>'101'!$K$11:$K$18</c:f>
              <c:numCache>
                <c:formatCode>General</c:formatCode>
                <c:ptCount val="8"/>
                <c:pt idx="0">
                  <c:v>422.40300000473485</c:v>
                </c:pt>
                <c:pt idx="1">
                  <c:v>422.41899999999998</c:v>
                </c:pt>
                <c:pt idx="2">
                  <c:v>422.38700000118376</c:v>
                </c:pt>
                <c:pt idx="3">
                  <c:v>422.47800000473399</c:v>
                </c:pt>
                <c:pt idx="4">
                  <c:v>422.51600000118344</c:v>
                </c:pt>
                <c:pt idx="5">
                  <c:v>422.58300000000003</c:v>
                </c:pt>
                <c:pt idx="6">
                  <c:v>422.66800000118297</c:v>
                </c:pt>
                <c:pt idx="7">
                  <c:v>422.4050000047348</c:v>
                </c:pt>
              </c:numCache>
            </c:numRef>
          </c:val>
          <c:extLst>
            <c:ext xmlns:c16="http://schemas.microsoft.com/office/drawing/2014/chart" uri="{C3380CC4-5D6E-409C-BE32-E72D297353CC}">
              <c16:uniqueId val="{00000000-D060-4156-BDED-1D6D3565AECF}"/>
            </c:ext>
          </c:extLst>
        </c:ser>
        <c:ser>
          <c:idx val="1"/>
          <c:order val="1"/>
          <c:tx>
            <c:strRef>
              <c:f>'101'!$L$9</c:f>
              <c:strCache>
                <c:ptCount val="1"/>
                <c:pt idx="0">
                  <c:v>Dwg Min</c:v>
                </c:pt>
              </c:strCache>
            </c:strRef>
          </c:tx>
          <c:spPr>
            <a:ln>
              <a:prstDash val="dash"/>
            </a:ln>
          </c:spPr>
          <c:marker>
            <c:symbol val="none"/>
          </c:marker>
          <c:val>
            <c:numRef>
              <c:f>'101'!$L$11:$L$18</c:f>
              <c:numCache>
                <c:formatCode>General</c:formatCode>
                <c:ptCount val="8"/>
                <c:pt idx="0">
                  <c:v>422.37799999999999</c:v>
                </c:pt>
                <c:pt idx="1">
                  <c:v>422.37799999999999</c:v>
                </c:pt>
                <c:pt idx="2">
                  <c:v>422.37799999999999</c:v>
                </c:pt>
                <c:pt idx="3">
                  <c:v>422.37799999999999</c:v>
                </c:pt>
                <c:pt idx="4">
                  <c:v>422.37799999999999</c:v>
                </c:pt>
                <c:pt idx="5">
                  <c:v>422.37799999999999</c:v>
                </c:pt>
                <c:pt idx="6">
                  <c:v>422.37799999999999</c:v>
                </c:pt>
                <c:pt idx="7">
                  <c:v>422.37799999999999</c:v>
                </c:pt>
              </c:numCache>
            </c:numRef>
          </c:val>
          <c:extLst>
            <c:ext xmlns:c16="http://schemas.microsoft.com/office/drawing/2014/chart" uri="{C3380CC4-5D6E-409C-BE32-E72D297353CC}">
              <c16:uniqueId val="{00000001-D060-4156-BDED-1D6D3565AECF}"/>
            </c:ext>
          </c:extLst>
        </c:ser>
        <c:ser>
          <c:idx val="2"/>
          <c:order val="2"/>
          <c:tx>
            <c:strRef>
              <c:f>'101'!$M$9</c:f>
              <c:strCache>
                <c:ptCount val="1"/>
                <c:pt idx="0">
                  <c:v>Dwg Max</c:v>
                </c:pt>
              </c:strCache>
            </c:strRef>
          </c:tx>
          <c:spPr>
            <a:ln>
              <a:prstDash val="dash"/>
            </a:ln>
          </c:spPr>
          <c:marker>
            <c:symbol val="none"/>
          </c:marker>
          <c:val>
            <c:numRef>
              <c:f>'101'!$M$11:$M$18</c:f>
              <c:numCache>
                <c:formatCode>General</c:formatCode>
                <c:ptCount val="8"/>
                <c:pt idx="0">
                  <c:v>422.55800000000005</c:v>
                </c:pt>
                <c:pt idx="1">
                  <c:v>422.55800000000005</c:v>
                </c:pt>
                <c:pt idx="2">
                  <c:v>422.55800000000005</c:v>
                </c:pt>
                <c:pt idx="3">
                  <c:v>422.55800000000005</c:v>
                </c:pt>
                <c:pt idx="4">
                  <c:v>422.55800000000005</c:v>
                </c:pt>
                <c:pt idx="5">
                  <c:v>422.55800000000005</c:v>
                </c:pt>
                <c:pt idx="6">
                  <c:v>422.55800000000005</c:v>
                </c:pt>
                <c:pt idx="7">
                  <c:v>422.55800000000005</c:v>
                </c:pt>
              </c:numCache>
            </c:numRef>
          </c:val>
          <c:extLst>
            <c:ext xmlns:c16="http://schemas.microsoft.com/office/drawing/2014/chart" uri="{C3380CC4-5D6E-409C-BE32-E72D297353CC}">
              <c16:uniqueId val="{00000002-D060-4156-BDED-1D6D3565AECF}"/>
            </c:ext>
          </c:extLst>
        </c:ser>
        <c:dLbls>
          <c:showLegendKey val="0"/>
          <c:showVal val="0"/>
          <c:showCatName val="0"/>
          <c:showSerName val="0"/>
          <c:showPercent val="0"/>
          <c:showBubbleSize val="0"/>
        </c:dLbls>
        <c:axId val="176823808"/>
        <c:axId val="174139648"/>
      </c:radarChart>
      <c:catAx>
        <c:axId val="17682380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4139648"/>
        <c:crosses val="autoZero"/>
        <c:auto val="1"/>
        <c:lblAlgn val="ctr"/>
        <c:lblOffset val="100"/>
        <c:noMultiLvlLbl val="0"/>
      </c:catAx>
      <c:valAx>
        <c:axId val="17413964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6823808"/>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'101'!$AQ$26</c:f>
              <c:strCache>
                <c:ptCount val="1"/>
                <c:pt idx="0">
                  <c:v>LPT Case Hook R Min</c:v>
                </c:pt>
              </c:strCache>
            </c:strRef>
          </c:tx>
          <c:spPr>
            <a:ln w="28575">
              <a:prstDash val="dash"/>
            </a:ln>
          </c:spPr>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'101'!$AQ$28:$AQ$51</c:f>
              <c:numCache>
                <c:formatCode>General</c:formatCode>
                <c:ptCount val="24"/>
                <c:pt idx="0">
                  <c:v>422.37799999999999</c:v>
                </c:pt>
                <c:pt idx="1">
                  <c:v>422.37799999999999</c:v>
                </c:pt>
                <c:pt idx="2">
                  <c:v>422.37799999999999</c:v>
                </c:pt>
                <c:pt idx="3">
                  <c:v>422.37799999999999</c:v>
                </c:pt>
                <c:pt idx="4">
                  <c:v>422.37799999999999</c:v>
                </c:pt>
                <c:pt idx="5">
                  <c:v>422.37799999999999</c:v>
                </c:pt>
                <c:pt idx="6">
                  <c:v>422.37799999999999</c:v>
                </c:pt>
                <c:pt idx="7">
                  <c:v>422.37799999999999</c:v>
                </c:pt>
                <c:pt idx="8">
                  <c:v>422.37799999999999</c:v>
                </c:pt>
                <c:pt idx="9">
                  <c:v>422.37799999999999</c:v>
                </c:pt>
                <c:pt idx="10">
                  <c:v>422.37799999999999</c:v>
                </c:pt>
                <c:pt idx="11">
                  <c:v>422.37799999999999</c:v>
                </c:pt>
                <c:pt idx="12">
                  <c:v>422.37799999999999</c:v>
                </c:pt>
                <c:pt idx="13">
                  <c:v>422.37799999999999</c:v>
                </c:pt>
                <c:pt idx="14">
                  <c:v>422.37799999999999</c:v>
                </c:pt>
                <c:pt idx="15">
                  <c:v>422.37799999999999</c:v>
                </c:pt>
                <c:pt idx="16">
                  <c:v>422.37799999999999</c:v>
                </c:pt>
                <c:pt idx="17">
                  <c:v>422.37799999999999</c:v>
                </c:pt>
                <c:pt idx="18">
                  <c:v>422.37799999999999</c:v>
                </c:pt>
                <c:pt idx="19">
                  <c:v>422.37799999999999</c:v>
                </c:pt>
                <c:pt idx="20">
                  <c:v>422.37799999999999</c:v>
                </c:pt>
                <c:pt idx="21">
                  <c:v>422.37799999999999</c:v>
                </c:pt>
                <c:pt idx="22">
                  <c:v>422.37799999999999</c:v>
                </c:pt>
                <c:pt idx="23">
                  <c:v>422.37799999999999</c:v>
                </c:pt>
              </c:numCache>
            </c:numRef>
          </c:val>
          <c:extLst>
            <c:ext xmlns:c16="http://schemas.microsoft.com/office/drawing/2014/chart" uri="{C3380CC4-5D6E-409C-BE32-E72D297353CC}">
              <c16:uniqueId val="{00000000-F7FC-4455-804B-C2B2AA604212}"/>
            </c:ext>
          </c:extLst>
        </c:ser>
        <c:ser>
          <c:idx val="1"/>
          <c:order val="1"/>
          <c:tx>
            <c:strRef>
              <c:f>'101'!$AR$26</c:f>
              <c:strCache>
                <c:ptCount val="1"/>
                <c:pt idx="0">
                  <c:v>LPT Case Hook R Max</c:v>
                </c:pt>
              </c:strCache>
            </c:strRef>
          </c:tx>
          <c:spPr>
            <a:ln w="28575">
              <a:prstDash val="dash"/>
            </a:ln>
          </c:spPr>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'101'!$AR$28:$AR$51</c:f>
              <c:numCache>
                <c:formatCode>General</c:formatCode>
                <c:ptCount val="24"/>
                <c:pt idx="0">
                  <c:v>422.55800000000005</c:v>
                </c:pt>
                <c:pt idx="1">
                  <c:v>422.55800000000005</c:v>
                </c:pt>
                <c:pt idx="2">
                  <c:v>422.55800000000005</c:v>
                </c:pt>
                <c:pt idx="3">
                  <c:v>422.55800000000005</c:v>
                </c:pt>
                <c:pt idx="4">
                  <c:v>422.55800000000005</c:v>
                </c:pt>
                <c:pt idx="5">
                  <c:v>422.55800000000005</c:v>
                </c:pt>
                <c:pt idx="6">
                  <c:v>422.55800000000005</c:v>
                </c:pt>
                <c:pt idx="7">
                  <c:v>422.55800000000005</c:v>
                </c:pt>
                <c:pt idx="8">
                  <c:v>422.55800000000005</c:v>
                </c:pt>
                <c:pt idx="9">
                  <c:v>422.55800000000005</c:v>
                </c:pt>
                <c:pt idx="10">
                  <c:v>422.55800000000005</c:v>
                </c:pt>
                <c:pt idx="11">
                  <c:v>422.55800000000005</c:v>
                </c:pt>
                <c:pt idx="12">
                  <c:v>422.55800000000005</c:v>
                </c:pt>
                <c:pt idx="13">
                  <c:v>422.55800000000005</c:v>
                </c:pt>
                <c:pt idx="14">
                  <c:v>422.55800000000005</c:v>
                </c:pt>
                <c:pt idx="15">
                  <c:v>422.55800000000005</c:v>
                </c:pt>
                <c:pt idx="16">
                  <c:v>422.55800000000005</c:v>
                </c:pt>
                <c:pt idx="17">
                  <c:v>422.55800000000005</c:v>
                </c:pt>
                <c:pt idx="18">
                  <c:v>422.55800000000005</c:v>
                </c:pt>
                <c:pt idx="19">
                  <c:v>422.55800000000005</c:v>
                </c:pt>
                <c:pt idx="20">
                  <c:v>422.55800000000005</c:v>
                </c:pt>
                <c:pt idx="21">
                  <c:v>422.55800000000005</c:v>
                </c:pt>
                <c:pt idx="22">
                  <c:v>422.55800000000005</c:v>
                </c:pt>
                <c:pt idx="23">
                  <c:v>422.55800000000005</c:v>
                </c:pt>
              </c:numCache>
            </c:numRef>
          </c:val>
          <c:extLst>
            <c:ext xmlns:c16="http://schemas.microsoft.com/office/drawing/2014/chart" uri="{C3380CC4-5D6E-409C-BE32-E72D297353CC}">
              <c16:uniqueId val="{00000001-F7FC-4455-804B-C2B2AA604212}"/>
            </c:ext>
          </c:extLst>
        </c:ser>
        <c:ser>
          <c:idx val="2"/>
          <c:order val="2"/>
          <c:tx>
            <c:strRef>
              <c:f>'101'!$S$26</c:f>
              <c:strCache>
                <c:ptCount val="1"/>
                <c:pt idx="0">
                  <c:v>Stg.4 Shroud Aft#1</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'101'!$S$28:$S$51</c:f>
              <c:numCache>
                <c:formatCode>0.000</c:formatCode>
                <c:ptCount val="24"/>
                <c:pt idx="0">
                  <c:v>422.40361600473483</c:v>
                </c:pt>
                <c:pt idx="1">
                  <c:v>422.40361600473483</c:v>
                </c:pt>
              </c:numCache>
            </c:numRef>
          </c:val>
          <c:extLst>
            <c:ext xmlns:c16="http://schemas.microsoft.com/office/drawing/2014/chart" uri="{C3380CC4-5D6E-409C-BE32-E72D297353CC}">
              <c16:uniqueId val="{00000002-F7FC-4455-804B-C2B2AA604212}"/>
            </c:ext>
          </c:extLst>
        </c:ser>
        <c:ser>
          <c:idx val="3"/>
          <c:order val="3"/>
          <c:tx>
            <c:strRef>
              <c:f>'101'!$T$26</c:f>
              <c:strCache>
                <c:ptCount val="1"/>
                <c:pt idx="0">
                  <c:v>Stg.4 Shroud Aft#24</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'101'!$T$28:$T$51</c:f>
              <c:numCache>
                <c:formatCode>0.000</c:formatCode>
                <c:ptCount val="24"/>
                <c:pt idx="1">
                  <c:v>422.40467733761363</c:v>
                </c:pt>
                <c:pt idx="2">
                  <c:v>422.40467733761363</c:v>
                </c:pt>
              </c:numCache>
            </c:numRef>
          </c:val>
          <c:extLst>
            <c:ext xmlns:c16="http://schemas.microsoft.com/office/drawing/2014/chart" uri="{C3380CC4-5D6E-409C-BE32-E72D297353CC}">
              <c16:uniqueId val="{00000003-F7FC-4455-804B-C2B2AA604212}"/>
            </c:ext>
          </c:extLst>
        </c:ser>
        <c:ser>
          <c:idx val="4"/>
          <c:order val="4"/>
          <c:tx>
            <c:strRef>
              <c:f>'101'!$U$26</c:f>
              <c:strCache>
                <c:ptCount val="1"/>
                <c:pt idx="0">
                  <c:v>Stg.4 Shroud Aft#23</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'101'!$U$28:$U$51</c:f>
              <c:numCache>
                <c:formatCode>General</c:formatCode>
                <c:ptCount val="24"/>
                <c:pt idx="2" formatCode="0.000">
                  <c:v>422.40873866970327</c:v>
                </c:pt>
                <c:pt idx="3" formatCode="0.000">
                  <c:v>422.40873866970327</c:v>
                </c:pt>
              </c:numCache>
            </c:numRef>
          </c:val>
          <c:extLst>
            <c:ext xmlns:c16="http://schemas.microsoft.com/office/drawing/2014/chart" uri="{C3380CC4-5D6E-409C-BE32-E72D297353CC}">
              <c16:uniqueId val="{00000004-F7FC-4455-804B-C2B2AA604212}"/>
            </c:ext>
          </c:extLst>
        </c:ser>
        <c:ser>
          <c:idx val="5"/>
          <c:order val="5"/>
          <c:tx>
            <c:strRef>
              <c:f>'101'!$V$26</c:f>
              <c:strCache>
                <c:ptCount val="1"/>
                <c:pt idx="0">
                  <c:v>Stg.4 Shroud Aft#22</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'101'!$V$28:$V$51</c:f>
              <c:numCache>
                <c:formatCode>General</c:formatCode>
                <c:ptCount val="24"/>
                <c:pt idx="3" formatCode="0.000">
                  <c:v>422.41407200145829</c:v>
                </c:pt>
                <c:pt idx="4" formatCode="0.000">
                  <c:v>422.41407200145829</c:v>
                </c:pt>
              </c:numCache>
            </c:numRef>
          </c:val>
          <c:extLst>
            <c:ext xmlns:c16="http://schemas.microsoft.com/office/drawing/2014/chart" uri="{C3380CC4-5D6E-409C-BE32-E72D297353CC}">
              <c16:uniqueId val="{00000005-F7FC-4455-804B-C2B2AA604212}"/>
            </c:ext>
          </c:extLst>
        </c:ser>
        <c:ser>
          <c:idx val="6"/>
          <c:order val="6"/>
          <c:tx>
            <c:strRef>
              <c:f>'101'!$W$26</c:f>
              <c:strCache>
                <c:ptCount val="1"/>
                <c:pt idx="0">
                  <c:v>Stg.4 Shroud Aft#21</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'101'!$W$28:$W$51</c:f>
              <c:numCache>
                <c:formatCode>General</c:formatCode>
                <c:ptCount val="24"/>
                <c:pt idx="4" formatCode="0.000">
                  <c:v>422.41479733378156</c:v>
                </c:pt>
                <c:pt idx="5" formatCode="0.000">
                  <c:v>422.41479733378156</c:v>
                </c:pt>
              </c:numCache>
            </c:numRef>
          </c:val>
          <c:extLst>
            <c:ext xmlns:c16="http://schemas.microsoft.com/office/drawing/2014/chart" uri="{C3380CC4-5D6E-409C-BE32-E72D297353CC}">
              <c16:uniqueId val="{00000006-F7FC-4455-804B-C2B2AA604212}"/>
            </c:ext>
          </c:extLst>
        </c:ser>
        <c:ser>
          <c:idx val="7"/>
          <c:order val="7"/>
          <c:tx>
            <c:strRef>
              <c:f>'101'!$X$26</c:f>
              <c:strCache>
                <c:ptCount val="1"/>
                <c:pt idx="0">
                  <c:v>Stg.4 Shroud Aft#20</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'101'!$X$28:$X$51</c:f>
              <c:numCache>
                <c:formatCode>General</c:formatCode>
                <c:ptCount val="24"/>
                <c:pt idx="5" formatCode="0.000">
                  <c:v>422.40752266709126</c:v>
                </c:pt>
                <c:pt idx="6" formatCode="0.000">
                  <c:v>422.40752266709126</c:v>
                </c:pt>
              </c:numCache>
            </c:numRef>
          </c:val>
          <c:extLst>
            <c:ext xmlns:c16="http://schemas.microsoft.com/office/drawing/2014/chart" uri="{C3380CC4-5D6E-409C-BE32-E72D297353CC}">
              <c16:uniqueId val="{00000007-F7FC-4455-804B-C2B2AA604212}"/>
            </c:ext>
          </c:extLst>
        </c:ser>
        <c:ser>
          <c:idx val="8"/>
          <c:order val="8"/>
          <c:tx>
            <c:strRef>
              <c:f>'101'!$Y$26</c:f>
              <c:strCache>
                <c:ptCount val="1"/>
                <c:pt idx="0">
                  <c:v>Stg.4 Shroud Aft#19</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'101'!$Y$28:$Y$51</c:f>
              <c:numCache>
                <c:formatCode>General</c:formatCode>
                <c:ptCount val="24"/>
                <c:pt idx="6" formatCode="0.000">
                  <c:v>422.39685600081918</c:v>
                </c:pt>
                <c:pt idx="7" formatCode="0.000">
                  <c:v>422.39685600081918</c:v>
                </c:pt>
              </c:numCache>
            </c:numRef>
          </c:val>
          <c:extLst>
            <c:ext xmlns:c16="http://schemas.microsoft.com/office/drawing/2014/chart" uri="{C3380CC4-5D6E-409C-BE32-E72D297353CC}">
              <c16:uniqueId val="{00000008-F7FC-4455-804B-C2B2AA604212}"/>
            </c:ext>
          </c:extLst>
        </c:ser>
        <c:ser>
          <c:idx val="9"/>
          <c:order val="9"/>
          <c:tx>
            <c:strRef>
              <c:f>'101'!$Z$26</c:f>
              <c:strCache>
                <c:ptCount val="1"/>
                <c:pt idx="0">
                  <c:v>Stg.4 Shroud Aft#18</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'101'!$Z$28:$Z$51</c:f>
              <c:numCache>
                <c:formatCode>General</c:formatCode>
                <c:ptCount val="24"/>
                <c:pt idx="7" formatCode="0.000">
                  <c:v>422.39799733477429</c:v>
                </c:pt>
                <c:pt idx="8" formatCode="0.000">
                  <c:v>422.39799733477429</c:v>
                </c:pt>
              </c:numCache>
            </c:numRef>
          </c:val>
          <c:extLst>
            <c:ext xmlns:c16="http://schemas.microsoft.com/office/drawing/2014/chart" uri="{C3380CC4-5D6E-409C-BE32-E72D297353CC}">
              <c16:uniqueId val="{00000009-F7FC-4455-804B-C2B2AA604212}"/>
            </c:ext>
          </c:extLst>
        </c:ser>
        <c:ser>
          <c:idx val="10"/>
          <c:order val="10"/>
          <c:tx>
            <c:strRef>
              <c:f>'101'!$AA$26</c:f>
              <c:strCache>
                <c:ptCount val="1"/>
                <c:pt idx="0">
                  <c:v>Stg.4 Shroud Aft#17</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'101'!$AA$28:$AA$51</c:f>
              <c:numCache>
                <c:formatCode>General</c:formatCode>
                <c:ptCount val="24"/>
                <c:pt idx="8" formatCode="0.000">
                  <c:v>422.4196386691238</c:v>
                </c:pt>
                <c:pt idx="9" formatCode="0.000">
                  <c:v>422.4196386691238</c:v>
                </c:pt>
              </c:numCache>
            </c:numRef>
          </c:val>
          <c:extLst>
            <c:ext xmlns:c16="http://schemas.microsoft.com/office/drawing/2014/chart" uri="{C3380CC4-5D6E-409C-BE32-E72D297353CC}">
              <c16:uniqueId val="{0000000A-F7FC-4455-804B-C2B2AA604212}"/>
            </c:ext>
          </c:extLst>
        </c:ser>
        <c:ser>
          <c:idx val="11"/>
          <c:order val="11"/>
          <c:tx>
            <c:strRef>
              <c:f>'101'!$AB$26</c:f>
              <c:strCache>
                <c:ptCount val="1"/>
                <c:pt idx="0">
                  <c:v>Stg.4 Shroud Aft#16</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'101'!$AB$28:$AB$51</c:f>
              <c:numCache>
                <c:formatCode>General</c:formatCode>
                <c:ptCount val="24"/>
                <c:pt idx="9" formatCode="0.000">
                  <c:v>422.44997200364054</c:v>
                </c:pt>
                <c:pt idx="10" formatCode="0.000">
                  <c:v>422.44997200364054</c:v>
                </c:pt>
              </c:numCache>
            </c:numRef>
          </c:val>
          <c:extLst>
            <c:ext xmlns:c16="http://schemas.microsoft.com/office/drawing/2014/chart" uri="{C3380CC4-5D6E-409C-BE32-E72D297353CC}">
              <c16:uniqueId val="{0000000B-F7FC-4455-804B-C2B2AA604212}"/>
            </c:ext>
          </c:extLst>
        </c:ser>
        <c:ser>
          <c:idx val="12"/>
          <c:order val="12"/>
          <c:tx>
            <c:strRef>
              <c:f>'101'!$AC$26</c:f>
              <c:strCache>
                <c:ptCount val="1"/>
                <c:pt idx="0">
                  <c:v>Stg.4 Shroud Aft#15</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'101'!$AC$28:$AC$51</c:f>
              <c:numCache>
                <c:formatCode>General</c:formatCode>
                <c:ptCount val="24"/>
                <c:pt idx="10" formatCode="0.000">
                  <c:v>422.47521733747556</c:v>
                </c:pt>
                <c:pt idx="11" formatCode="0.000">
                  <c:v>422.47521733747556</c:v>
                </c:pt>
              </c:numCache>
            </c:numRef>
          </c:val>
          <c:extLst>
            <c:ext xmlns:c16="http://schemas.microsoft.com/office/drawing/2014/chart" uri="{C3380CC4-5D6E-409C-BE32-E72D297353CC}">
              <c16:uniqueId val="{0000000C-F7FC-4455-804B-C2B2AA604212}"/>
            </c:ext>
          </c:extLst>
        </c:ser>
        <c:ser>
          <c:idx val="13"/>
          <c:order val="13"/>
          <c:tx>
            <c:strRef>
              <c:f>'101'!$AD$26</c:f>
              <c:strCache>
                <c:ptCount val="1"/>
                <c:pt idx="0">
                  <c:v>Stg.4 Shroud Aft#14</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'101'!$AD$28:$AD$51</c:f>
              <c:numCache>
                <c:formatCode>General</c:formatCode>
                <c:ptCount val="24"/>
                <c:pt idx="11" formatCode="0.000">
                  <c:v>422.49162933679384</c:v>
                </c:pt>
                <c:pt idx="12" formatCode="0.000">
                  <c:v>422.49162933679384</c:v>
                </c:pt>
              </c:numCache>
            </c:numRef>
          </c:val>
          <c:extLst>
            <c:ext xmlns:c16="http://schemas.microsoft.com/office/drawing/2014/chart" uri="{C3380CC4-5D6E-409C-BE32-E72D297353CC}">
              <c16:uniqueId val="{0000000D-F7FC-4455-804B-C2B2AA604212}"/>
            </c:ext>
          </c:extLst>
        </c:ser>
        <c:ser>
          <c:idx val="14"/>
          <c:order val="14"/>
          <c:tx>
            <c:strRef>
              <c:f>'101'!$AE$26</c:f>
              <c:strCache>
                <c:ptCount val="1"/>
                <c:pt idx="0">
                  <c:v>Stg.4 Shroud Aft#13</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'101'!$AE$28:$AE$51</c:f>
              <c:numCache>
                <c:formatCode>General</c:formatCode>
                <c:ptCount val="24"/>
                <c:pt idx="12" formatCode="0.000">
                  <c:v>422.50429600227699</c:v>
                </c:pt>
                <c:pt idx="13" formatCode="0.000">
                  <c:v>422.50429600227699</c:v>
                </c:pt>
              </c:numCache>
            </c:numRef>
          </c:val>
          <c:extLst>
            <c:ext xmlns:c16="http://schemas.microsoft.com/office/drawing/2014/chart" uri="{C3380CC4-5D6E-409C-BE32-E72D297353CC}">
              <c16:uniqueId val="{0000000E-F7FC-4455-804B-C2B2AA604212}"/>
            </c:ext>
          </c:extLst>
        </c:ser>
        <c:ser>
          <c:idx val="15"/>
          <c:order val="15"/>
          <c:tx>
            <c:strRef>
              <c:f>'101'!$AF$26</c:f>
              <c:strCache>
                <c:ptCount val="1"/>
                <c:pt idx="0">
                  <c:v>Stg.4 Shroud Aft#12</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'101'!$AF$28:$AF$51</c:f>
              <c:numCache>
                <c:formatCode>General</c:formatCode>
                <c:ptCount val="24"/>
                <c:pt idx="13" formatCode="0.000">
                  <c:v>422.51974666798742</c:v>
                </c:pt>
                <c:pt idx="14" formatCode="0.000">
                  <c:v>422.51974666798742</c:v>
                </c:pt>
              </c:numCache>
            </c:numRef>
          </c:val>
          <c:extLst>
            <c:ext xmlns:c16="http://schemas.microsoft.com/office/drawing/2014/chart" uri="{C3380CC4-5D6E-409C-BE32-E72D297353CC}">
              <c16:uniqueId val="{0000000F-F7FC-4455-804B-C2B2AA604212}"/>
            </c:ext>
          </c:extLst>
        </c:ser>
        <c:ser>
          <c:idx val="16"/>
          <c:order val="16"/>
          <c:tx>
            <c:strRef>
              <c:f>'101'!$AG$26</c:f>
              <c:strCache>
                <c:ptCount val="1"/>
                <c:pt idx="0">
                  <c:v>Stg.4 Shroud Aft#11</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'101'!$AG$28:$AG$51</c:f>
              <c:numCache>
                <c:formatCode>General</c:formatCode>
                <c:ptCount val="24"/>
                <c:pt idx="14" formatCode="0.000">
                  <c:v>422.54003066742564</c:v>
                </c:pt>
                <c:pt idx="15" formatCode="0.000">
                  <c:v>422.54003066742564</c:v>
                </c:pt>
              </c:numCache>
            </c:numRef>
          </c:val>
          <c:extLst>
            <c:ext xmlns:c16="http://schemas.microsoft.com/office/drawing/2014/chart" uri="{C3380CC4-5D6E-409C-BE32-E72D297353CC}">
              <c16:uniqueId val="{00000010-F7FC-4455-804B-C2B2AA604212}"/>
            </c:ext>
          </c:extLst>
        </c:ser>
        <c:ser>
          <c:idx val="17"/>
          <c:order val="17"/>
          <c:tx>
            <c:strRef>
              <c:f>'101'!$AH$26</c:f>
              <c:strCache>
                <c:ptCount val="1"/>
                <c:pt idx="0">
                  <c:v>Stg.4 Shroud Aft#10</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'101'!$AH$28:$AH$51</c:f>
              <c:numCache>
                <c:formatCode>General</c:formatCode>
                <c:ptCount val="24"/>
                <c:pt idx="15" formatCode="0.000">
                  <c:v>422.56236400036448</c:v>
                </c:pt>
                <c:pt idx="16" formatCode="0.000">
                  <c:v>422.56236400036448</c:v>
                </c:pt>
              </c:numCache>
            </c:numRef>
          </c:val>
          <c:extLst>
            <c:ext xmlns:c16="http://schemas.microsoft.com/office/drawing/2014/chart" uri="{C3380CC4-5D6E-409C-BE32-E72D297353CC}">
              <c16:uniqueId val="{00000011-F7FC-4455-804B-C2B2AA604212}"/>
            </c:ext>
          </c:extLst>
        </c:ser>
        <c:ser>
          <c:idx val="18"/>
          <c:order val="18"/>
          <c:tx>
            <c:strRef>
              <c:f>'101'!$AI$26</c:f>
              <c:strCache>
                <c:ptCount val="1"/>
                <c:pt idx="0">
                  <c:v>Stg.4 Shroud Aft#9</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'101'!$AI$28:$AI$51</c:f>
              <c:numCache>
                <c:formatCode>General</c:formatCode>
                <c:ptCount val="24"/>
                <c:pt idx="16" formatCode="0.000">
                  <c:v>422.58642533353054</c:v>
                </c:pt>
                <c:pt idx="17" formatCode="0.000">
                  <c:v>422.58642533353054</c:v>
                </c:pt>
              </c:numCache>
            </c:numRef>
          </c:val>
          <c:extLst>
            <c:ext xmlns:c16="http://schemas.microsoft.com/office/drawing/2014/chart" uri="{C3380CC4-5D6E-409C-BE32-E72D297353CC}">
              <c16:uniqueId val="{00000012-F7FC-4455-804B-C2B2AA604212}"/>
            </c:ext>
          </c:extLst>
        </c:ser>
        <c:ser>
          <c:idx val="19"/>
          <c:order val="19"/>
          <c:tx>
            <c:strRef>
              <c:f>'101'!$AJ$26</c:f>
              <c:strCache>
                <c:ptCount val="1"/>
                <c:pt idx="0">
                  <c:v>Stg.4 Shroud Aft#8</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'101'!$AJ$28:$AJ$51</c:f>
              <c:numCache>
                <c:formatCode>General</c:formatCode>
                <c:ptCount val="24"/>
                <c:pt idx="17" formatCode="0.000">
                  <c:v>422.61348666709102</c:v>
                </c:pt>
                <c:pt idx="18" formatCode="0.000">
                  <c:v>422.61348666709102</c:v>
                </c:pt>
              </c:numCache>
            </c:numRef>
          </c:val>
          <c:extLst>
            <c:ext xmlns:c16="http://schemas.microsoft.com/office/drawing/2014/chart" uri="{C3380CC4-5D6E-409C-BE32-E72D297353CC}">
              <c16:uniqueId val="{00000013-F7FC-4455-804B-C2B2AA604212}"/>
            </c:ext>
          </c:extLst>
        </c:ser>
        <c:ser>
          <c:idx val="20"/>
          <c:order val="20"/>
          <c:tx>
            <c:strRef>
              <c:f>'101'!$AK$26</c:f>
              <c:strCache>
                <c:ptCount val="1"/>
                <c:pt idx="0">
                  <c:v>Stg.4 Shroud Aft#7</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'101'!$AK$28:$AK$51</c:f>
              <c:numCache>
                <c:formatCode>General</c:formatCode>
                <c:ptCount val="24"/>
                <c:pt idx="18" formatCode="0.000">
                  <c:v>422.6418200008186</c:v>
                </c:pt>
                <c:pt idx="19" formatCode="0.000">
                  <c:v>422.6418200008186</c:v>
                </c:pt>
              </c:numCache>
            </c:numRef>
          </c:val>
          <c:extLst>
            <c:ext xmlns:c16="http://schemas.microsoft.com/office/drawing/2014/chart" uri="{C3380CC4-5D6E-409C-BE32-E72D297353CC}">
              <c16:uniqueId val="{00000014-F7FC-4455-804B-C2B2AA604212}"/>
            </c:ext>
          </c:extLst>
        </c:ser>
        <c:ser>
          <c:idx val="21"/>
          <c:order val="21"/>
          <c:tx>
            <c:strRef>
              <c:f>'101'!$AL$26</c:f>
              <c:strCache>
                <c:ptCount val="1"/>
                <c:pt idx="0">
                  <c:v>Stg.4 Shroud Aft#6</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'101'!$AL$28:$AL$51</c:f>
              <c:numCache>
                <c:formatCode>General</c:formatCode>
                <c:ptCount val="24"/>
                <c:pt idx="19" formatCode="0.000">
                  <c:v>422.63674533477365</c:v>
                </c:pt>
                <c:pt idx="20" formatCode="0.000">
                  <c:v>422.63674533477365</c:v>
                </c:pt>
              </c:numCache>
            </c:numRef>
          </c:val>
          <c:extLst>
            <c:ext xmlns:c16="http://schemas.microsoft.com/office/drawing/2014/chart" uri="{C3380CC4-5D6E-409C-BE32-E72D297353CC}">
              <c16:uniqueId val="{00000015-F7FC-4455-804B-C2B2AA604212}"/>
            </c:ext>
          </c:extLst>
        </c:ser>
        <c:ser>
          <c:idx val="22"/>
          <c:order val="22"/>
          <c:tx>
            <c:strRef>
              <c:f>'101'!$AM$26</c:f>
              <c:strCache>
                <c:ptCount val="1"/>
                <c:pt idx="0">
                  <c:v>Stg.4 Shroud Aft#5</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'101'!$AM$28:$AM$51</c:f>
              <c:numCache>
                <c:formatCode>General</c:formatCode>
                <c:ptCount val="24"/>
                <c:pt idx="20" formatCode="0.000">
                  <c:v>422.57367066912354</c:v>
                </c:pt>
                <c:pt idx="21" formatCode="0.000">
                  <c:v>422.57367066912354</c:v>
                </c:pt>
              </c:numCache>
            </c:numRef>
          </c:val>
          <c:extLst>
            <c:ext xmlns:c16="http://schemas.microsoft.com/office/drawing/2014/chart" uri="{C3380CC4-5D6E-409C-BE32-E72D297353CC}">
              <c16:uniqueId val="{00000016-F7FC-4455-804B-C2B2AA604212}"/>
            </c:ext>
          </c:extLst>
        </c:ser>
        <c:ser>
          <c:idx val="23"/>
          <c:order val="23"/>
          <c:tx>
            <c:strRef>
              <c:f>'101'!$AN$26</c:f>
              <c:strCache>
                <c:ptCount val="1"/>
                <c:pt idx="0">
                  <c:v>Stg.4 Shroud Aft#4</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'101'!$AN$28:$AN$51</c:f>
              <c:numCache>
                <c:formatCode>General</c:formatCode>
                <c:ptCount val="24"/>
                <c:pt idx="21" formatCode="0.000">
                  <c:v>422.48600400364086</c:v>
                </c:pt>
                <c:pt idx="22" formatCode="0.000">
                  <c:v>422.48600400364086</c:v>
                </c:pt>
              </c:numCache>
            </c:numRef>
          </c:val>
          <c:extLst>
            <c:ext xmlns:c16="http://schemas.microsoft.com/office/drawing/2014/chart" uri="{C3380CC4-5D6E-409C-BE32-E72D297353CC}">
              <c16:uniqueId val="{00000017-F7FC-4455-804B-C2B2AA604212}"/>
            </c:ext>
          </c:extLst>
        </c:ser>
        <c:ser>
          <c:idx val="24"/>
          <c:order val="24"/>
          <c:tx>
            <c:strRef>
              <c:f>'101'!$AO$26</c:f>
              <c:strCache>
                <c:ptCount val="1"/>
                <c:pt idx="0">
                  <c:v>Stg.4 Shroud Aft#3</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'101'!$AO$28:$AO$51</c:f>
              <c:numCache>
                <c:formatCode>General</c:formatCode>
                <c:ptCount val="24"/>
                <c:pt idx="22" formatCode="0.000">
                  <c:v>422.42339333781717</c:v>
                </c:pt>
                <c:pt idx="23" formatCode="0.000">
                  <c:v>422.42339333781717</c:v>
                </c:pt>
              </c:numCache>
            </c:numRef>
          </c:val>
          <c:extLst>
            <c:ext xmlns:c16="http://schemas.microsoft.com/office/drawing/2014/chart" uri="{C3380CC4-5D6E-409C-BE32-E72D297353CC}">
              <c16:uniqueId val="{00000018-F7FC-4455-804B-C2B2AA604212}"/>
            </c:ext>
          </c:extLst>
        </c:ser>
        <c:ser>
          <c:idx val="25"/>
          <c:order val="25"/>
          <c:tx>
            <c:strRef>
              <c:f>'101'!$AP$26</c:f>
              <c:strCache>
                <c:ptCount val="1"/>
                <c:pt idx="0">
                  <c:v>Stg.4 Shroud Aft#2</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'101'!$AP$28:$AP$51</c:f>
              <c:numCache>
                <c:formatCode>General</c:formatCode>
                <c:ptCount val="24"/>
                <c:pt idx="0" formatCode="0.000">
                  <c:v>422.42306000448383</c:v>
                </c:pt>
                <c:pt idx="23" formatCode="0.000">
                  <c:v>422.42306000448383</c:v>
                </c:pt>
              </c:numCache>
            </c:numRef>
          </c:val>
          <c:extLst>
            <c:ext xmlns:c16="http://schemas.microsoft.com/office/drawing/2014/chart" uri="{C3380CC4-5D6E-409C-BE32-E72D297353CC}">
              <c16:uniqueId val="{00000019-F7FC-4455-804B-C2B2AA604212}"/>
            </c:ext>
          </c:extLst>
        </c:ser>
        <c:dLbls>
          <c:showLegendKey val="0"/>
          <c:showVal val="0"/>
          <c:showCatName val="0"/>
          <c:showSerName val="0"/>
          <c:showPercent val="0"/>
          <c:showBubbleSize val="0"/>
        </c:dLbls>
        <c:axId val="178393600"/>
        <c:axId val="178340416"/>
      </c:radarChart>
      <c:catAx>
        <c:axId val="17839360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8340416"/>
        <c:crosses val="autoZero"/>
        <c:auto val="1"/>
        <c:lblAlgn val="ctr"/>
        <c:lblOffset val="100"/>
        <c:noMultiLvlLbl val="0"/>
      </c:catAx>
      <c:valAx>
        <c:axId val="17834041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8393600"/>
        <c:crosses val="autoZero"/>
        <c:crossBetween val="between"/>
        <c:majorUnit val="5.000000000000001E-2"/>
      </c:valAx>
    </c:plotArea>
    <c:legend>
      <c:legendPos val="r"/>
      <c:layout>
        <c:manualLayout>
          <c:xMode val="edge"/>
          <c:yMode val="edge"/>
          <c:x val="0.75693143452628542"/>
          <c:y val="0"/>
          <c:w val="0.23186856312200801"/>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'101'!$AQ$85</c:f>
              <c:strCache>
                <c:ptCount val="1"/>
                <c:pt idx="0">
                  <c:v>Step Min</c:v>
                </c:pt>
              </c:strCache>
            </c:strRef>
          </c:tx>
          <c:spPr>
            <a:ln w="28575">
              <a:prstDash val="dash"/>
            </a:ln>
          </c:spPr>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'101'!$AQ$87:$AQ$110</c:f>
              <c:numCache>
                <c:formatCode>General</c:formatCode>
                <c:ptCount val="24"/>
                <c:pt idx="0">
                  <c:v>-0.1220000000000141</c:v>
                </c:pt>
                <c:pt idx="1">
                  <c:v>-0.1220000000000141</c:v>
                </c:pt>
                <c:pt idx="2">
                  <c:v>-0.1220000000000141</c:v>
                </c:pt>
                <c:pt idx="3">
                  <c:v>-0.1220000000000141</c:v>
                </c:pt>
                <c:pt idx="4">
                  <c:v>-0.1220000000000141</c:v>
                </c:pt>
                <c:pt idx="5">
                  <c:v>-0.1220000000000141</c:v>
                </c:pt>
                <c:pt idx="6">
                  <c:v>-0.1220000000000141</c:v>
                </c:pt>
                <c:pt idx="7">
                  <c:v>-0.1220000000000141</c:v>
                </c:pt>
                <c:pt idx="8">
                  <c:v>-0.1220000000000141</c:v>
                </c:pt>
                <c:pt idx="9">
                  <c:v>-0.1220000000000141</c:v>
                </c:pt>
                <c:pt idx="10">
                  <c:v>-0.1220000000000141</c:v>
                </c:pt>
                <c:pt idx="11">
                  <c:v>-0.1220000000000141</c:v>
                </c:pt>
                <c:pt idx="12">
                  <c:v>-0.1220000000000141</c:v>
                </c:pt>
                <c:pt idx="13">
                  <c:v>-0.1220000000000141</c:v>
                </c:pt>
                <c:pt idx="14">
                  <c:v>-0.1220000000000141</c:v>
                </c:pt>
                <c:pt idx="15">
                  <c:v>-0.1220000000000141</c:v>
                </c:pt>
                <c:pt idx="16">
                  <c:v>-0.1220000000000141</c:v>
                </c:pt>
                <c:pt idx="17">
                  <c:v>-0.1220000000000141</c:v>
                </c:pt>
                <c:pt idx="18">
                  <c:v>-0.1220000000000141</c:v>
                </c:pt>
                <c:pt idx="19">
                  <c:v>-0.1220000000000141</c:v>
                </c:pt>
                <c:pt idx="20">
                  <c:v>-0.1220000000000141</c:v>
                </c:pt>
                <c:pt idx="21">
                  <c:v>-0.1220000000000141</c:v>
                </c:pt>
                <c:pt idx="22">
                  <c:v>-0.1220000000000141</c:v>
                </c:pt>
                <c:pt idx="23">
                  <c:v>-0.1220000000000141</c:v>
                </c:pt>
              </c:numCache>
            </c:numRef>
          </c:val>
          <c:extLst>
            <c:ext xmlns:c16="http://schemas.microsoft.com/office/drawing/2014/chart" uri="{C3380CC4-5D6E-409C-BE32-E72D297353CC}">
              <c16:uniqueId val="{00000000-1C52-4D14-979C-D4047D5FA522}"/>
            </c:ext>
          </c:extLst>
        </c:ser>
        <c:ser>
          <c:idx val="1"/>
          <c:order val="1"/>
          <c:tx>
            <c:strRef>
              <c:f>'101'!$AR$85</c:f>
              <c:strCache>
                <c:ptCount val="1"/>
                <c:pt idx="0">
                  <c:v>Step Max</c:v>
                </c:pt>
              </c:strCache>
            </c:strRef>
          </c:tx>
          <c:spPr>
            <a:ln w="28575">
              <a:prstDash val="dash"/>
            </a:ln>
          </c:spPr>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'101'!$AR$87:$AR$110</c:f>
              <c:numCache>
                <c:formatCode>General</c:formatCode>
                <c:ptCount val="24"/>
                <c:pt idx="0">
                  <c:v>0.1220000000000141</c:v>
                </c:pt>
                <c:pt idx="1">
                  <c:v>0.1220000000000141</c:v>
                </c:pt>
                <c:pt idx="2">
                  <c:v>0.1220000000000141</c:v>
                </c:pt>
                <c:pt idx="3">
                  <c:v>0.1220000000000141</c:v>
                </c:pt>
                <c:pt idx="4">
                  <c:v>0.1220000000000141</c:v>
                </c:pt>
                <c:pt idx="5">
                  <c:v>0.1220000000000141</c:v>
                </c:pt>
                <c:pt idx="6">
                  <c:v>0.1220000000000141</c:v>
                </c:pt>
                <c:pt idx="7">
                  <c:v>0.1220000000000141</c:v>
                </c:pt>
                <c:pt idx="8">
                  <c:v>0.1220000000000141</c:v>
                </c:pt>
                <c:pt idx="9">
                  <c:v>0.1220000000000141</c:v>
                </c:pt>
                <c:pt idx="10">
                  <c:v>0.1220000000000141</c:v>
                </c:pt>
                <c:pt idx="11">
                  <c:v>0.1220000000000141</c:v>
                </c:pt>
                <c:pt idx="12">
                  <c:v>0.1220000000000141</c:v>
                </c:pt>
                <c:pt idx="13">
                  <c:v>0.1220000000000141</c:v>
                </c:pt>
                <c:pt idx="14">
                  <c:v>0.1220000000000141</c:v>
                </c:pt>
                <c:pt idx="15">
                  <c:v>0.1220000000000141</c:v>
                </c:pt>
                <c:pt idx="16">
                  <c:v>0.1220000000000141</c:v>
                </c:pt>
                <c:pt idx="17">
                  <c:v>0.1220000000000141</c:v>
                </c:pt>
                <c:pt idx="18">
                  <c:v>0.1220000000000141</c:v>
                </c:pt>
                <c:pt idx="19">
                  <c:v>0.1220000000000141</c:v>
                </c:pt>
                <c:pt idx="20">
                  <c:v>0.1220000000000141</c:v>
                </c:pt>
                <c:pt idx="21">
                  <c:v>0.1220000000000141</c:v>
                </c:pt>
                <c:pt idx="22">
                  <c:v>0.1220000000000141</c:v>
                </c:pt>
                <c:pt idx="23">
                  <c:v>0.1220000000000141</c:v>
                </c:pt>
              </c:numCache>
            </c:numRef>
          </c:val>
          <c:extLst>
            <c:ext xmlns:c16="http://schemas.microsoft.com/office/drawing/2014/chart" uri="{C3380CC4-5D6E-409C-BE32-E72D297353CC}">
              <c16:uniqueId val="{00000001-1C52-4D14-979C-D4047D5FA522}"/>
            </c:ext>
          </c:extLst>
        </c:ser>
        <c:ser>
          <c:idx val="2"/>
          <c:order val="2"/>
          <c:tx>
            <c:strRef>
              <c:f>'101'!$S$85</c:f>
              <c:strCache>
                <c:ptCount val="1"/>
                <c:pt idx="0">
                  <c:v>Stg.4 Shroud Step#1</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'101'!$S$87:$S$110</c:f>
              <c:numCache>
                <c:formatCode>0.000_ </c:formatCode>
                <c:ptCount val="24"/>
                <c:pt idx="0">
                  <c:v>1.0399976364396935E-3</c:v>
                </c:pt>
                <c:pt idx="1">
                  <c:v>1.0399976364396935E-3</c:v>
                </c:pt>
              </c:numCache>
            </c:numRef>
          </c:val>
          <c:extLst>
            <c:ext xmlns:c16="http://schemas.microsoft.com/office/drawing/2014/chart" uri="{C3380CC4-5D6E-409C-BE32-E72D297353CC}">
              <c16:uniqueId val="{00000002-1C52-4D14-979C-D4047D5FA522}"/>
            </c:ext>
          </c:extLst>
        </c:ser>
        <c:ser>
          <c:idx val="3"/>
          <c:order val="3"/>
          <c:tx>
            <c:strRef>
              <c:f>'101'!$T$85</c:f>
              <c:strCache>
                <c:ptCount val="1"/>
                <c:pt idx="0">
                  <c:v>Stg.4 Shroud Step#24</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'101'!$T$87:$T$110</c:f>
              <c:numCache>
                <c:formatCode>0.000_ </c:formatCode>
                <c:ptCount val="24"/>
                <c:pt idx="1">
                  <c:v>-3.5573331604268787E-2</c:v>
                </c:pt>
                <c:pt idx="2">
                  <c:v>-3.5573331604268787E-2</c:v>
                </c:pt>
              </c:numCache>
            </c:numRef>
          </c:val>
          <c:extLst>
            <c:ext xmlns:c16="http://schemas.microsoft.com/office/drawing/2014/chart" uri="{C3380CC4-5D6E-409C-BE32-E72D297353CC}">
              <c16:uniqueId val="{00000003-1C52-4D14-979C-D4047D5FA522}"/>
            </c:ext>
          </c:extLst>
        </c:ser>
        <c:ser>
          <c:idx val="4"/>
          <c:order val="4"/>
          <c:tx>
            <c:strRef>
              <c:f>'101'!$U$85</c:f>
              <c:strCache>
                <c:ptCount val="1"/>
                <c:pt idx="0">
                  <c:v>Stg.4 Shroud Step#23</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'101'!$U$87:$U$110</c:f>
              <c:numCache>
                <c:formatCode>0.000_ </c:formatCode>
                <c:ptCount val="24"/>
                <c:pt idx="2">
                  <c:v>-5.9582664918252704E-2</c:v>
                </c:pt>
                <c:pt idx="3">
                  <c:v>-5.9582664918252704E-2</c:v>
                </c:pt>
              </c:numCache>
            </c:numRef>
          </c:val>
          <c:extLst>
            <c:ext xmlns:c16="http://schemas.microsoft.com/office/drawing/2014/chart" uri="{C3380CC4-5D6E-409C-BE32-E72D297353CC}">
              <c16:uniqueId val="{00000004-1C52-4D14-979C-D4047D5FA522}"/>
            </c:ext>
          </c:extLst>
        </c:ser>
        <c:ser>
          <c:idx val="5"/>
          <c:order val="5"/>
          <c:tx>
            <c:strRef>
              <c:f>'101'!$V$85</c:f>
              <c:strCache>
                <c:ptCount val="1"/>
                <c:pt idx="0">
                  <c:v>Stg.4 Shroud Step#22</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'101'!$V$87:$V$110</c:f>
              <c:numCache>
                <c:formatCode>0.000_ </c:formatCode>
                <c:ptCount val="24"/>
                <c:pt idx="3">
                  <c:v>-6.6312001117978525E-2</c:v>
                </c:pt>
                <c:pt idx="4">
                  <c:v>-6.6312001117978525E-2</c:v>
                </c:pt>
              </c:numCache>
            </c:numRef>
          </c:val>
          <c:extLst>
            <c:ext xmlns:c16="http://schemas.microsoft.com/office/drawing/2014/chart" uri="{C3380CC4-5D6E-409C-BE32-E72D297353CC}">
              <c16:uniqueId val="{00000005-1C52-4D14-979C-D4047D5FA522}"/>
            </c:ext>
          </c:extLst>
        </c:ser>
        <c:ser>
          <c:idx val="6"/>
          <c:order val="6"/>
          <c:tx>
            <c:strRef>
              <c:f>'101'!$W$85</c:f>
              <c:strCache>
                <c:ptCount val="1"/>
                <c:pt idx="0">
                  <c:v>Stg.4 Shroud Step#21</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'101'!$W$87:$W$110</c:f>
              <c:numCache>
                <c:formatCode>0.000_ </c:formatCode>
                <c:ptCount val="24"/>
                <c:pt idx="4">
                  <c:v>-6.0877339924559237E-2</c:v>
                </c:pt>
                <c:pt idx="5">
                  <c:v>-6.0877339924559237E-2</c:v>
                </c:pt>
              </c:numCache>
            </c:numRef>
          </c:val>
          <c:extLst>
            <c:ext xmlns:c16="http://schemas.microsoft.com/office/drawing/2014/chart" uri="{C3380CC4-5D6E-409C-BE32-E72D297353CC}">
              <c16:uniqueId val="{00000006-1C52-4D14-979C-D4047D5FA522}"/>
            </c:ext>
          </c:extLst>
        </c:ser>
        <c:ser>
          <c:idx val="7"/>
          <c:order val="7"/>
          <c:tx>
            <c:strRef>
              <c:f>'101'!$X$85</c:f>
              <c:strCache>
                <c:ptCount val="1"/>
                <c:pt idx="0">
                  <c:v>Stg.4 Shroud Step#20</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'101'!$X$87:$X$110</c:f>
              <c:numCache>
                <c:formatCode>0.000_ </c:formatCode>
                <c:ptCount val="24"/>
                <c:pt idx="5">
                  <c:v>-5.481868051759875E-2</c:v>
                </c:pt>
                <c:pt idx="6">
                  <c:v>-5.481868051759875E-2</c:v>
                </c:pt>
              </c:numCache>
            </c:numRef>
          </c:val>
          <c:extLst>
            <c:ext xmlns:c16="http://schemas.microsoft.com/office/drawing/2014/chart" uri="{C3380CC4-5D6E-409C-BE32-E72D297353CC}">
              <c16:uniqueId val="{00000007-1C52-4D14-979C-D4047D5FA522}"/>
            </c:ext>
          </c:extLst>
        </c:ser>
        <c:ser>
          <c:idx val="8"/>
          <c:order val="8"/>
          <c:tx>
            <c:strRef>
              <c:f>'101'!$Y$85</c:f>
              <c:strCache>
                <c:ptCount val="1"/>
                <c:pt idx="0">
                  <c:v>Stg.4 Shroud Step#19</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'101'!$Y$87:$Y$110</c:f>
              <c:numCache>
                <c:formatCode>0.000_ </c:formatCode>
                <c:ptCount val="24"/>
                <c:pt idx="6">
                  <c:v>-5.7528011440354021E-2</c:v>
                </c:pt>
                <c:pt idx="7">
                  <c:v>-5.7528011440354021E-2</c:v>
                </c:pt>
              </c:numCache>
            </c:numRef>
          </c:val>
          <c:extLst>
            <c:ext xmlns:c16="http://schemas.microsoft.com/office/drawing/2014/chart" uri="{C3380CC4-5D6E-409C-BE32-E72D297353CC}">
              <c16:uniqueId val="{00000008-1C52-4D14-979C-D4047D5FA522}"/>
            </c:ext>
          </c:extLst>
        </c:ser>
        <c:ser>
          <c:idx val="9"/>
          <c:order val="9"/>
          <c:tx>
            <c:strRef>
              <c:f>'101'!$Z$85</c:f>
              <c:strCache>
                <c:ptCount val="1"/>
                <c:pt idx="0">
                  <c:v>Stg.4 Shroud Step#18</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'101'!$Z$87:$Z$110</c:f>
              <c:numCache>
                <c:formatCode>0.000_ </c:formatCode>
                <c:ptCount val="24"/>
                <c:pt idx="7">
                  <c:v>-6.0893335627724809E-2</c:v>
                </c:pt>
                <c:pt idx="8">
                  <c:v>-6.0893335627724809E-2</c:v>
                </c:pt>
              </c:numCache>
            </c:numRef>
          </c:val>
          <c:extLst>
            <c:ext xmlns:c16="http://schemas.microsoft.com/office/drawing/2014/chart" uri="{C3380CC4-5D6E-409C-BE32-E72D297353CC}">
              <c16:uniqueId val="{00000009-1C52-4D14-979C-D4047D5FA522}"/>
            </c:ext>
          </c:extLst>
        </c:ser>
        <c:ser>
          <c:idx val="10"/>
          <c:order val="10"/>
          <c:tx>
            <c:strRef>
              <c:f>'101'!$AA$85</c:f>
              <c:strCache>
                <c:ptCount val="1"/>
                <c:pt idx="0">
                  <c:v>Stg.4 Shroud Step#17</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'101'!$AA$87:$AA$110</c:f>
              <c:numCache>
                <c:formatCode>0.000_ </c:formatCode>
                <c:ptCount val="24"/>
                <c:pt idx="8">
                  <c:v>-4.948799874011911E-2</c:v>
                </c:pt>
                <c:pt idx="9">
                  <c:v>-4.948799874011911E-2</c:v>
                </c:pt>
              </c:numCache>
            </c:numRef>
          </c:val>
          <c:extLst>
            <c:ext xmlns:c16="http://schemas.microsoft.com/office/drawing/2014/chart" uri="{C3380CC4-5D6E-409C-BE32-E72D297353CC}">
              <c16:uniqueId val="{0000000A-1C52-4D14-979C-D4047D5FA522}"/>
            </c:ext>
          </c:extLst>
        </c:ser>
        <c:ser>
          <c:idx val="11"/>
          <c:order val="11"/>
          <c:tx>
            <c:strRef>
              <c:f>'101'!$AB$85</c:f>
              <c:strCache>
                <c:ptCount val="1"/>
                <c:pt idx="0">
                  <c:v>Stg.4 Shroud Step#16</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'101'!$AB$87:$AB$110</c:f>
              <c:numCache>
                <c:formatCode>0.000_ </c:formatCode>
                <c:ptCount val="24"/>
                <c:pt idx="9">
                  <c:v>-1.9883997556689792E-2</c:v>
                </c:pt>
                <c:pt idx="10">
                  <c:v>-1.9883997556689792E-2</c:v>
                </c:pt>
              </c:numCache>
            </c:numRef>
          </c:val>
          <c:extLst>
            <c:ext xmlns:c16="http://schemas.microsoft.com/office/drawing/2014/chart" uri="{C3380CC4-5D6E-409C-BE32-E72D297353CC}">
              <c16:uniqueId val="{0000000B-1C52-4D14-979C-D4047D5FA522}"/>
            </c:ext>
          </c:extLst>
        </c:ser>
        <c:ser>
          <c:idx val="12"/>
          <c:order val="12"/>
          <c:tx>
            <c:strRef>
              <c:f>'101'!$AC$85</c:f>
              <c:strCache>
                <c:ptCount val="1"/>
                <c:pt idx="0">
                  <c:v>Stg.4 Shroud Step#15</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'101'!$AC$87:$AC$110</c:f>
              <c:numCache>
                <c:formatCode>0.000_ </c:formatCode>
                <c:ptCount val="24"/>
                <c:pt idx="10">
                  <c:v>1.1612003174889196E-2</c:v>
                </c:pt>
                <c:pt idx="11">
                  <c:v>1.1612003174889196E-2</c:v>
                </c:pt>
              </c:numCache>
            </c:numRef>
          </c:val>
          <c:extLst>
            <c:ext xmlns:c16="http://schemas.microsoft.com/office/drawing/2014/chart" uri="{C3380CC4-5D6E-409C-BE32-E72D297353CC}">
              <c16:uniqueId val="{0000000C-1C52-4D14-979C-D4047D5FA522}"/>
            </c:ext>
          </c:extLst>
        </c:ser>
        <c:ser>
          <c:idx val="13"/>
          <c:order val="13"/>
          <c:tx>
            <c:strRef>
              <c:f>'101'!$AD$85</c:f>
              <c:strCache>
                <c:ptCount val="1"/>
                <c:pt idx="0">
                  <c:v>Stg.4 Shroud Step#14</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'101'!$AD$87:$AD$110</c:f>
              <c:numCache>
                <c:formatCode>0.000_ </c:formatCode>
                <c:ptCount val="24"/>
                <c:pt idx="11">
                  <c:v>2.7874669728078061E-2</c:v>
                </c:pt>
                <c:pt idx="12">
                  <c:v>2.7874669728078061E-2</c:v>
                </c:pt>
              </c:numCache>
            </c:numRef>
          </c:val>
          <c:extLst>
            <c:ext xmlns:c16="http://schemas.microsoft.com/office/drawing/2014/chart" uri="{C3380CC4-5D6E-409C-BE32-E72D297353CC}">
              <c16:uniqueId val="{0000000D-1C52-4D14-979C-D4047D5FA522}"/>
            </c:ext>
          </c:extLst>
        </c:ser>
        <c:ser>
          <c:idx val="14"/>
          <c:order val="14"/>
          <c:tx>
            <c:strRef>
              <c:f>'101'!$AE$85</c:f>
              <c:strCache>
                <c:ptCount val="1"/>
                <c:pt idx="0">
                  <c:v>Stg.4 Shroud Step#13</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'101'!$AE$87:$AE$110</c:f>
              <c:numCache>
                <c:formatCode>0.000_ </c:formatCode>
                <c:ptCount val="24"/>
                <c:pt idx="12">
                  <c:v>5.3808001817230888E-2</c:v>
                </c:pt>
                <c:pt idx="13">
                  <c:v>5.3808001817230888E-2</c:v>
                </c:pt>
              </c:numCache>
            </c:numRef>
          </c:val>
          <c:extLst>
            <c:ext xmlns:c16="http://schemas.microsoft.com/office/drawing/2014/chart" uri="{C3380CC4-5D6E-409C-BE32-E72D297353CC}">
              <c16:uniqueId val="{0000000E-1C52-4D14-979C-D4047D5FA522}"/>
            </c:ext>
          </c:extLst>
        </c:ser>
        <c:ser>
          <c:idx val="15"/>
          <c:order val="15"/>
          <c:tx>
            <c:strRef>
              <c:f>'101'!$AF$85</c:f>
              <c:strCache>
                <c:ptCount val="1"/>
                <c:pt idx="0">
                  <c:v>Stg.4 Shroud Step#12</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'101'!$AF$87:$AF$110</c:f>
              <c:numCache>
                <c:formatCode>0.000_ </c:formatCode>
                <c:ptCount val="24"/>
                <c:pt idx="13">
                  <c:v>9.6389295002552444E-2</c:v>
                </c:pt>
                <c:pt idx="14">
                  <c:v>9.6389295002552444E-2</c:v>
                </c:pt>
              </c:numCache>
            </c:numRef>
          </c:val>
          <c:extLst>
            <c:ext xmlns:c16="http://schemas.microsoft.com/office/drawing/2014/chart" uri="{C3380CC4-5D6E-409C-BE32-E72D297353CC}">
              <c16:uniqueId val="{0000000F-1C52-4D14-979C-D4047D5FA522}"/>
            </c:ext>
          </c:extLst>
        </c:ser>
        <c:ser>
          <c:idx val="16"/>
          <c:order val="16"/>
          <c:tx>
            <c:strRef>
              <c:f>'101'!$AG$85</c:f>
              <c:strCache>
                <c:ptCount val="1"/>
                <c:pt idx="0">
                  <c:v>Stg.4 Shroud Step#11</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'101'!$AG$87:$AG$110</c:f>
              <c:numCache>
                <c:formatCode>0.000_ </c:formatCode>
                <c:ptCount val="24"/>
                <c:pt idx="14">
                  <c:v>0.1389078654526088</c:v>
                </c:pt>
                <c:pt idx="15">
                  <c:v>0.1389078654526088</c:v>
                </c:pt>
              </c:numCache>
            </c:numRef>
          </c:val>
          <c:extLst>
            <c:ext xmlns:c16="http://schemas.microsoft.com/office/drawing/2014/chart" uri="{C3380CC4-5D6E-409C-BE32-E72D297353CC}">
              <c16:uniqueId val="{00000010-1C52-4D14-979C-D4047D5FA522}"/>
            </c:ext>
          </c:extLst>
        </c:ser>
        <c:ser>
          <c:idx val="17"/>
          <c:order val="17"/>
          <c:tx>
            <c:strRef>
              <c:f>'101'!$AH$85</c:f>
              <c:strCache>
                <c:ptCount val="1"/>
                <c:pt idx="0">
                  <c:v>Stg.4 Shroud Step#10</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'101'!$AH$87:$AH$110</c:f>
              <c:numCache>
                <c:formatCode>0.000_ </c:formatCode>
                <c:ptCount val="24"/>
                <c:pt idx="15">
                  <c:v>0.1530118752503995</c:v>
                </c:pt>
                <c:pt idx="16">
                  <c:v>0.1530118752503995</c:v>
                </c:pt>
              </c:numCache>
            </c:numRef>
          </c:val>
          <c:extLst>
            <c:ext xmlns:c16="http://schemas.microsoft.com/office/drawing/2014/chart" uri="{C3380CC4-5D6E-409C-BE32-E72D297353CC}">
              <c16:uniqueId val="{00000011-1C52-4D14-979C-D4047D5FA522}"/>
            </c:ext>
          </c:extLst>
        </c:ser>
        <c:ser>
          <c:idx val="18"/>
          <c:order val="18"/>
          <c:tx>
            <c:strRef>
              <c:f>'101'!$AI$85</c:f>
              <c:strCache>
                <c:ptCount val="1"/>
                <c:pt idx="0">
                  <c:v>Stg.4 Shroud Step#9</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'101'!$AI$87:$AI$110</c:f>
              <c:numCache>
                <c:formatCode>0.000_ </c:formatCode>
                <c:ptCount val="24"/>
                <c:pt idx="16">
                  <c:v>0.13578796987934538</c:v>
                </c:pt>
                <c:pt idx="17">
                  <c:v>0.13578796987934538</c:v>
                </c:pt>
              </c:numCache>
            </c:numRef>
          </c:val>
          <c:extLst>
            <c:ext xmlns:c16="http://schemas.microsoft.com/office/drawing/2014/chart" uri="{C3380CC4-5D6E-409C-BE32-E72D297353CC}">
              <c16:uniqueId val="{00000012-1C52-4D14-979C-D4047D5FA522}"/>
            </c:ext>
          </c:extLst>
        </c:ser>
        <c:ser>
          <c:idx val="19"/>
          <c:order val="19"/>
          <c:tx>
            <c:strRef>
              <c:f>'101'!$AJ$85</c:f>
              <c:strCache>
                <c:ptCount val="1"/>
                <c:pt idx="0">
                  <c:v>Stg.4 Shroud Step#8</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'101'!$AJ$87:$AJ$110</c:f>
              <c:numCache>
                <c:formatCode>0.000_ </c:formatCode>
                <c:ptCount val="24"/>
                <c:pt idx="17">
                  <c:v>0.11330799683315718</c:v>
                </c:pt>
                <c:pt idx="18">
                  <c:v>0.11330799683315718</c:v>
                </c:pt>
              </c:numCache>
            </c:numRef>
          </c:val>
          <c:extLst>
            <c:ext xmlns:c16="http://schemas.microsoft.com/office/drawing/2014/chart" uri="{C3380CC4-5D6E-409C-BE32-E72D297353CC}">
              <c16:uniqueId val="{00000013-1C52-4D14-979C-D4047D5FA522}"/>
            </c:ext>
          </c:extLst>
        </c:ser>
        <c:ser>
          <c:idx val="20"/>
          <c:order val="20"/>
          <c:tx>
            <c:strRef>
              <c:f>'101'!$AK$85</c:f>
              <c:strCache>
                <c:ptCount val="1"/>
                <c:pt idx="0">
                  <c:v>Stg.4 Shroud Step#7</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'101'!$AK$87:$AK$110</c:f>
              <c:numCache>
                <c:formatCode>0.000_ </c:formatCode>
                <c:ptCount val="24"/>
                <c:pt idx="18">
                  <c:v>0.11505199740946637</c:v>
                </c:pt>
                <c:pt idx="19">
                  <c:v>0.11505199740946637</c:v>
                </c:pt>
              </c:numCache>
            </c:numRef>
          </c:val>
          <c:extLst>
            <c:ext xmlns:c16="http://schemas.microsoft.com/office/drawing/2014/chart" uri="{C3380CC4-5D6E-409C-BE32-E72D297353CC}">
              <c16:uniqueId val="{00000014-1C52-4D14-979C-D4047D5FA522}"/>
            </c:ext>
          </c:extLst>
        </c:ser>
        <c:ser>
          <c:idx val="21"/>
          <c:order val="21"/>
          <c:tx>
            <c:strRef>
              <c:f>'101'!$AL$85</c:f>
              <c:strCache>
                <c:ptCount val="1"/>
                <c:pt idx="0">
                  <c:v>Stg.4 Shroud Step#6</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'101'!$AL$87:$AL$110</c:f>
              <c:numCache>
                <c:formatCode>0.000_ </c:formatCode>
                <c:ptCount val="24"/>
                <c:pt idx="19">
                  <c:v>0.11977999996560129</c:v>
                </c:pt>
                <c:pt idx="20">
                  <c:v>0.11977999996560129</c:v>
                </c:pt>
              </c:numCache>
            </c:numRef>
          </c:val>
          <c:extLst>
            <c:ext xmlns:c16="http://schemas.microsoft.com/office/drawing/2014/chart" uri="{C3380CC4-5D6E-409C-BE32-E72D297353CC}">
              <c16:uniqueId val="{00000015-1C52-4D14-979C-D4047D5FA522}"/>
            </c:ext>
          </c:extLst>
        </c:ser>
        <c:ser>
          <c:idx val="22"/>
          <c:order val="22"/>
          <c:tx>
            <c:strRef>
              <c:f>'101'!$AM$85</c:f>
              <c:strCache>
                <c:ptCount val="1"/>
                <c:pt idx="0">
                  <c:v>Stg.4 Shroud Step#5</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'101'!$AM$87:$AM$110</c:f>
              <c:numCache>
                <c:formatCode>0.000_ </c:formatCode>
                <c:ptCount val="24"/>
                <c:pt idx="20">
                  <c:v>8.6804002057817797E-2</c:v>
                </c:pt>
                <c:pt idx="21">
                  <c:v>8.6804002057817797E-2</c:v>
                </c:pt>
              </c:numCache>
            </c:numRef>
          </c:val>
          <c:extLst>
            <c:ext xmlns:c16="http://schemas.microsoft.com/office/drawing/2014/chart" uri="{C3380CC4-5D6E-409C-BE32-E72D297353CC}">
              <c16:uniqueId val="{00000016-1C52-4D14-979C-D4047D5FA522}"/>
            </c:ext>
          </c:extLst>
        </c:ser>
        <c:ser>
          <c:idx val="23"/>
          <c:order val="23"/>
          <c:tx>
            <c:strRef>
              <c:f>'101'!$AN$85</c:f>
              <c:strCache>
                <c:ptCount val="1"/>
                <c:pt idx="0">
                  <c:v>Stg.4 Shroud Step#4</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'101'!$AN$87:$AN$110</c:f>
              <c:numCache>
                <c:formatCode>0.000_ </c:formatCode>
                <c:ptCount val="24"/>
                <c:pt idx="21">
                  <c:v>5.0100003181000829E-2</c:v>
                </c:pt>
                <c:pt idx="22">
                  <c:v>5.0100003181000829E-2</c:v>
                </c:pt>
              </c:numCache>
            </c:numRef>
          </c:val>
          <c:extLst>
            <c:ext xmlns:c16="http://schemas.microsoft.com/office/drawing/2014/chart" uri="{C3380CC4-5D6E-409C-BE32-E72D297353CC}">
              <c16:uniqueId val="{00000017-1C52-4D14-979C-D4047D5FA522}"/>
            </c:ext>
          </c:extLst>
        </c:ser>
        <c:ser>
          <c:idx val="24"/>
          <c:order val="24"/>
          <c:tx>
            <c:strRef>
              <c:f>'101'!$AO$85</c:f>
              <c:strCache>
                <c:ptCount val="1"/>
                <c:pt idx="0">
                  <c:v>Stg.4 Shroud Step#3</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'101'!$AO$87:$AO$110</c:f>
              <c:numCache>
                <c:formatCode>0.000_ </c:formatCode>
                <c:ptCount val="24"/>
                <c:pt idx="22">
                  <c:v>3.2108001616336423E-2</c:v>
                </c:pt>
                <c:pt idx="23">
                  <c:v>3.2108001616336423E-2</c:v>
                </c:pt>
              </c:numCache>
            </c:numRef>
          </c:val>
          <c:extLst>
            <c:ext xmlns:c16="http://schemas.microsoft.com/office/drawing/2014/chart" uri="{C3380CC4-5D6E-409C-BE32-E72D297353CC}">
              <c16:uniqueId val="{00000018-1C52-4D14-979C-D4047D5FA522}"/>
            </c:ext>
          </c:extLst>
        </c:ser>
        <c:ser>
          <c:idx val="25"/>
          <c:order val="25"/>
          <c:tx>
            <c:strRef>
              <c:f>'101'!$AP$85</c:f>
              <c:strCache>
                <c:ptCount val="1"/>
                <c:pt idx="0">
                  <c:v>Stg.4 Shroud Step#2</c:v>
                </c:pt>
              </c:strCache>
            </c:strRef>
          </c:tx>
          <c:marker>
            <c:symbol val="none"/>
          </c:marker>
          <c:cat>
            <c:numRef>
              <c:f>'101'!$J$28:$J$51</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'101'!$AP$87:$AP$110</c:f>
              <c:numCache>
                <c:formatCode>0.000_ </c:formatCode>
                <c:ptCount val="24"/>
                <c:pt idx="0">
                  <c:v>3.0153332241866337E-2</c:v>
                </c:pt>
                <c:pt idx="23">
                  <c:v>3.0153332241866337E-2</c:v>
                </c:pt>
              </c:numCache>
            </c:numRef>
          </c:val>
          <c:extLst>
            <c:ext xmlns:c16="http://schemas.microsoft.com/office/drawing/2014/chart" uri="{C3380CC4-5D6E-409C-BE32-E72D297353CC}">
              <c16:uniqueId val="{00000019-1C52-4D14-979C-D4047D5FA522}"/>
            </c:ext>
          </c:extLst>
        </c:ser>
        <c:dLbls>
          <c:showLegendKey val="0"/>
          <c:showVal val="0"/>
          <c:showCatName val="0"/>
          <c:showSerName val="0"/>
          <c:showPercent val="0"/>
          <c:showBubbleSize val="0"/>
        </c:dLbls>
        <c:axId val="178394624"/>
        <c:axId val="178340992"/>
      </c:radarChart>
      <c:catAx>
        <c:axId val="17839462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8340992"/>
        <c:crosses val="autoZero"/>
        <c:auto val="1"/>
        <c:lblAlgn val="ctr"/>
        <c:lblOffset val="100"/>
        <c:noMultiLvlLbl val="0"/>
      </c:catAx>
      <c:valAx>
        <c:axId val="17834099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8394624"/>
        <c:crosses val="autoZero"/>
        <c:crossBetween val="between"/>
      </c:valAx>
    </c:plotArea>
    <c:legend>
      <c:legendPos val="r"/>
      <c:layout>
        <c:manualLayout>
          <c:xMode val="edge"/>
          <c:yMode val="edge"/>
          <c:x val="0.7560631385983716"/>
          <c:y val="0"/>
          <c:w val="0.23273686234231078"/>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'201'!$K$9</c:f>
              <c:strCache>
                <c:ptCount val="1"/>
                <c:pt idx="0">
                  <c:v>CMM</c:v>
                </c:pt>
              </c:strCache>
            </c:strRef>
          </c:tx>
          <c:marker>
            <c:symbol val="none"/>
          </c:marker>
          <c:cat>
            <c:numRef>
              <c:f>'201'!$J$11:$J$26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'201'!$K$11:$K$26</c:f>
              <c:numCache>
                <c:formatCode>General</c:formatCode>
                <c:ptCount val="16"/>
                <c:pt idx="0">
                  <c:v>422.52100000000002</c:v>
                </c:pt>
                <c:pt idx="1">
                  <c:v>422.59000000118317</c:v>
                </c:pt>
                <c:pt idx="2">
                  <c:v>422.53200000473333</c:v>
                </c:pt>
                <c:pt idx="3">
                  <c:v>422.41899999999998</c:v>
                </c:pt>
                <c:pt idx="4">
                  <c:v>422.42200000000003</c:v>
                </c:pt>
                <c:pt idx="5">
                  <c:v>422.476</c:v>
                </c:pt>
                <c:pt idx="6">
                  <c:v>422.505</c:v>
                </c:pt>
                <c:pt idx="7">
                  <c:v>422.51300001065056</c:v>
                </c:pt>
                <c:pt idx="8">
                  <c:v>422.43700000000001</c:v>
                </c:pt>
                <c:pt idx="9">
                  <c:v>422.39200001893977</c:v>
                </c:pt>
                <c:pt idx="10">
                  <c:v>422.48100000118347</c:v>
                </c:pt>
                <c:pt idx="11">
                  <c:v>422.56900000118327</c:v>
                </c:pt>
                <c:pt idx="12">
                  <c:v>422.56000000118325</c:v>
                </c:pt>
                <c:pt idx="13">
                  <c:v>422.44500001065228</c:v>
                </c:pt>
                <c:pt idx="14">
                  <c:v>422.35800000473529</c:v>
                </c:pt>
                <c:pt idx="15">
                  <c:v>422.40800000000002</c:v>
                </c:pt>
              </c:numCache>
            </c:numRef>
          </c:val>
          <c:extLst>
            <c:ext xmlns:c16="http://schemas.microsoft.com/office/drawing/2014/chart" uri="{C3380CC4-5D6E-409C-BE32-E72D297353CC}">
              <c16:uniqueId val="{00000000-AE23-4F22-94ED-92C32DC80B2A}"/>
            </c:ext>
          </c:extLst>
        </c:ser>
        <c:ser>
          <c:idx val="1"/>
          <c:order val="1"/>
          <c:tx>
            <c:strRef>
              <c:f>'201'!$L$9</c:f>
              <c:strCache>
                <c:ptCount val="1"/>
                <c:pt idx="0">
                  <c:v>Dwg Min</c:v>
                </c:pt>
              </c:strCache>
            </c:strRef>
          </c:tx>
          <c:spPr>
            <a:ln>
              <a:prstDash val="dash"/>
            </a:ln>
          </c:spPr>
          <c:marker>
            <c:symbol val="none"/>
          </c:marker>
          <c:val>
            <c:numRef>
              <c:f>'201'!$L$11:$L$26</c:f>
              <c:numCache>
                <c:formatCode>General</c:formatCode>
                <c:ptCount val="16"/>
                <c:pt idx="0">
                  <c:v>422.4425</c:v>
                </c:pt>
                <c:pt idx="1">
                  <c:v>422.4425</c:v>
                </c:pt>
                <c:pt idx="2">
                  <c:v>422.4425</c:v>
                </c:pt>
                <c:pt idx="3">
                  <c:v>422.4425</c:v>
                </c:pt>
                <c:pt idx="4">
                  <c:v>422.4425</c:v>
                </c:pt>
                <c:pt idx="5">
                  <c:v>422.4425</c:v>
                </c:pt>
                <c:pt idx="6">
                  <c:v>422.4425</c:v>
                </c:pt>
                <c:pt idx="7">
                  <c:v>422.4425</c:v>
                </c:pt>
                <c:pt idx="8">
                  <c:v>422.4425</c:v>
                </c:pt>
                <c:pt idx="9">
                  <c:v>422.4425</c:v>
                </c:pt>
                <c:pt idx="10">
                  <c:v>422.4425</c:v>
                </c:pt>
                <c:pt idx="11">
                  <c:v>422.4425</c:v>
                </c:pt>
                <c:pt idx="12">
                  <c:v>422.4425</c:v>
                </c:pt>
                <c:pt idx="13">
                  <c:v>422.4425</c:v>
                </c:pt>
                <c:pt idx="14">
                  <c:v>422.4425</c:v>
                </c:pt>
                <c:pt idx="15">
                  <c:v>422.4425</c:v>
                </c:pt>
              </c:numCache>
            </c:numRef>
          </c:val>
          <c:extLst>
            <c:ext xmlns:c16="http://schemas.microsoft.com/office/drawing/2014/chart" uri="{C3380CC4-5D6E-409C-BE32-E72D297353CC}">
              <c16:uniqueId val="{00000001-AE23-4F22-94ED-92C32DC80B2A}"/>
            </c:ext>
          </c:extLst>
        </c:ser>
        <c:ser>
          <c:idx val="2"/>
          <c:order val="2"/>
          <c:tx>
            <c:strRef>
              <c:f>'201'!$M$9</c:f>
              <c:strCache>
                <c:ptCount val="1"/>
                <c:pt idx="0">
                  <c:v>Dwg Max</c:v>
                </c:pt>
              </c:strCache>
            </c:strRef>
          </c:tx>
          <c:spPr>
            <a:ln>
              <a:prstDash val="dash"/>
            </a:ln>
          </c:spPr>
          <c:marker>
            <c:symbol val="none"/>
          </c:marker>
          <c:val>
            <c:numRef>
              <c:f>'201'!$M$11:$M$26</c:f>
              <c:numCache>
                <c:formatCode>General</c:formatCode>
                <c:ptCount val="16"/>
                <c:pt idx="0">
                  <c:v>422.49350000000004</c:v>
                </c:pt>
                <c:pt idx="1">
                  <c:v>422.49350000000004</c:v>
                </c:pt>
                <c:pt idx="2">
                  <c:v>422.49350000000004</c:v>
                </c:pt>
                <c:pt idx="3">
                  <c:v>422.49350000000004</c:v>
                </c:pt>
                <c:pt idx="4">
                  <c:v>422.49350000000004</c:v>
                </c:pt>
                <c:pt idx="5">
                  <c:v>422.49350000000004</c:v>
                </c:pt>
                <c:pt idx="6">
                  <c:v>422.49350000000004</c:v>
                </c:pt>
                <c:pt idx="7">
                  <c:v>422.49350000000004</c:v>
                </c:pt>
                <c:pt idx="8">
                  <c:v>422.49350000000004</c:v>
                </c:pt>
                <c:pt idx="9">
                  <c:v>422.49350000000004</c:v>
                </c:pt>
                <c:pt idx="10">
                  <c:v>422.49350000000004</c:v>
                </c:pt>
                <c:pt idx="11">
                  <c:v>422.49350000000004</c:v>
                </c:pt>
                <c:pt idx="12">
                  <c:v>422.49350000000004</c:v>
                </c:pt>
                <c:pt idx="13">
                  <c:v>422.49350000000004</c:v>
                </c:pt>
                <c:pt idx="14">
                  <c:v>422.49350000000004</c:v>
                </c:pt>
                <c:pt idx="15">
                  <c:v>422.49350000000004</c:v>
                </c:pt>
              </c:numCache>
            </c:numRef>
          </c:val>
          <c:extLst>
            <c:ext xmlns:c16="http://schemas.microsoft.com/office/drawing/2014/chart" uri="{C3380CC4-5D6E-409C-BE32-E72D297353CC}">
              <c16:uniqueId val="{00000002-AE23-4F22-94ED-92C32DC80B2A}"/>
            </c:ext>
          </c:extLst>
        </c:ser>
        <c:dLbls>
          <c:showLegendKey val="0"/>
          <c:showVal val="0"/>
          <c:showCatName val="0"/>
          <c:showSerName val="0"/>
          <c:showPercent val="0"/>
          <c:showBubbleSize val="0"/>
        </c:dLbls>
        <c:axId val="176823808"/>
        <c:axId val="174139648"/>
      </c:radarChart>
      <c:catAx>
        <c:axId val="17682380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4139648"/>
        <c:crosses val="autoZero"/>
        <c:auto val="1"/>
        <c:lblAlgn val="ctr"/>
        <c:lblOffset val="100"/>
        <c:noMultiLvlLbl val="0"/>
      </c:catAx>
      <c:valAx>
        <c:axId val="17413964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6823808"/>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'201'!$AQ$34</c:f>
              <c:strCache>
                <c:ptCount val="1"/>
                <c:pt idx="0">
                  <c:v>LPT Case Hook R Min</c:v>
                </c:pt>
              </c:strCache>
            </c:strRef>
          </c:tx>
          <c:spPr>
            <a:ln w="28575">
              <a:prstDash val="dash"/>
            </a:ln>
          </c:spPr>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'201'!$AQ$36:$AQ$59</c:f>
              <c:numCache>
                <c:formatCode>General</c:formatCode>
                <c:ptCount val="24"/>
                <c:pt idx="0">
                  <c:v>422.4425</c:v>
                </c:pt>
                <c:pt idx="1">
                  <c:v>422.4425</c:v>
                </c:pt>
                <c:pt idx="2">
                  <c:v>422.4425</c:v>
                </c:pt>
                <c:pt idx="3">
                  <c:v>422.4425</c:v>
                </c:pt>
                <c:pt idx="4">
                  <c:v>422.4425</c:v>
                </c:pt>
                <c:pt idx="5">
                  <c:v>422.4425</c:v>
                </c:pt>
                <c:pt idx="6">
                  <c:v>422.4425</c:v>
                </c:pt>
                <c:pt idx="7">
                  <c:v>422.4425</c:v>
                </c:pt>
                <c:pt idx="8">
                  <c:v>422.4425</c:v>
                </c:pt>
                <c:pt idx="9">
                  <c:v>422.4425</c:v>
                </c:pt>
                <c:pt idx="10">
                  <c:v>422.4425</c:v>
                </c:pt>
                <c:pt idx="11">
                  <c:v>422.4425</c:v>
                </c:pt>
                <c:pt idx="12">
                  <c:v>422.4425</c:v>
                </c:pt>
                <c:pt idx="13">
                  <c:v>422.4425</c:v>
                </c:pt>
                <c:pt idx="14">
                  <c:v>422.4425</c:v>
                </c:pt>
                <c:pt idx="15">
                  <c:v>422.4425</c:v>
                </c:pt>
                <c:pt idx="16">
                  <c:v>422.4425</c:v>
                </c:pt>
                <c:pt idx="17">
                  <c:v>422.4425</c:v>
                </c:pt>
                <c:pt idx="18">
                  <c:v>422.4425</c:v>
                </c:pt>
                <c:pt idx="19">
                  <c:v>422.4425</c:v>
                </c:pt>
                <c:pt idx="20">
                  <c:v>422.4425</c:v>
                </c:pt>
                <c:pt idx="21">
                  <c:v>422.4425</c:v>
                </c:pt>
                <c:pt idx="22">
                  <c:v>422.4425</c:v>
                </c:pt>
                <c:pt idx="23">
                  <c:v>422.4425</c:v>
                </c:pt>
              </c:numCache>
            </c:numRef>
          </c:val>
          <c:extLst>
            <c:ext xmlns:c16="http://schemas.microsoft.com/office/drawing/2014/chart" uri="{C3380CC4-5D6E-409C-BE32-E72D297353CC}">
              <c16:uniqueId val="{00000000-261D-4ECB-9CE1-A2ADF8F7AB52}"/>
            </c:ext>
          </c:extLst>
        </c:ser>
        <c:ser>
          <c:idx val="1"/>
          <c:order val="1"/>
          <c:tx>
            <c:strRef>
              <c:f>'201'!$AR$34</c:f>
              <c:strCache>
                <c:ptCount val="1"/>
                <c:pt idx="0">
                  <c:v>LPT Case Hook R Max</c:v>
                </c:pt>
              </c:strCache>
            </c:strRef>
          </c:tx>
          <c:spPr>
            <a:ln w="28575">
              <a:prstDash val="dash"/>
            </a:ln>
          </c:spPr>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'201'!$AR$36:$AR$59</c:f>
              <c:numCache>
                <c:formatCode>General</c:formatCode>
                <c:ptCount val="24"/>
                <c:pt idx="0">
                  <c:v>422.49350000000004</c:v>
                </c:pt>
                <c:pt idx="1">
                  <c:v>422.49350000000004</c:v>
                </c:pt>
                <c:pt idx="2">
                  <c:v>422.49350000000004</c:v>
                </c:pt>
                <c:pt idx="3">
                  <c:v>422.49350000000004</c:v>
                </c:pt>
                <c:pt idx="4">
                  <c:v>422.49350000000004</c:v>
                </c:pt>
                <c:pt idx="5">
                  <c:v>422.49350000000004</c:v>
                </c:pt>
                <c:pt idx="6">
                  <c:v>422.49350000000004</c:v>
                </c:pt>
                <c:pt idx="7">
                  <c:v>422.49350000000004</c:v>
                </c:pt>
                <c:pt idx="8">
                  <c:v>422.49350000000004</c:v>
                </c:pt>
                <c:pt idx="9">
                  <c:v>422.49350000000004</c:v>
                </c:pt>
                <c:pt idx="10">
                  <c:v>422.49350000000004</c:v>
                </c:pt>
                <c:pt idx="11">
                  <c:v>422.49350000000004</c:v>
                </c:pt>
                <c:pt idx="12">
                  <c:v>422.49350000000004</c:v>
                </c:pt>
                <c:pt idx="13">
                  <c:v>422.49350000000004</c:v>
                </c:pt>
                <c:pt idx="14">
                  <c:v>422.49350000000004</c:v>
                </c:pt>
                <c:pt idx="15">
                  <c:v>422.49350000000004</c:v>
                </c:pt>
                <c:pt idx="16">
                  <c:v>422.49350000000004</c:v>
                </c:pt>
                <c:pt idx="17">
                  <c:v>422.49350000000004</c:v>
                </c:pt>
                <c:pt idx="18">
                  <c:v>422.49350000000004</c:v>
                </c:pt>
                <c:pt idx="19">
                  <c:v>422.49350000000004</c:v>
                </c:pt>
                <c:pt idx="20">
                  <c:v>422.49350000000004</c:v>
                </c:pt>
                <c:pt idx="21">
                  <c:v>422.49350000000004</c:v>
                </c:pt>
                <c:pt idx="22">
                  <c:v>422.49350000000004</c:v>
                </c:pt>
                <c:pt idx="23">
                  <c:v>422.49350000000004</c:v>
                </c:pt>
              </c:numCache>
            </c:numRef>
          </c:val>
          <c:extLst>
            <c:ext xmlns:c16="http://schemas.microsoft.com/office/drawing/2014/chart" uri="{C3380CC4-5D6E-409C-BE32-E72D297353CC}">
              <c16:uniqueId val="{00000001-261D-4ECB-9CE1-A2ADF8F7AB52}"/>
            </c:ext>
          </c:extLst>
        </c:ser>
        <c:ser>
          <c:idx val="2"/>
          <c:order val="2"/>
          <c:tx>
            <c:strRef>
              <c:f>'201'!$S$34</c:f>
              <c:strCache>
                <c:ptCount val="1"/>
                <c:pt idx="0">
                  <c:v>Stg.4 Shroud Aft#1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'201'!$S$36:$S$59</c:f>
              <c:numCache>
                <c:formatCode>0.000</c:formatCode>
                <c:ptCount val="24"/>
                <c:pt idx="0">
                  <c:v>422.451392</c:v>
                </c:pt>
                <c:pt idx="1">
                  <c:v>422.451392</c:v>
                </c:pt>
              </c:numCache>
            </c:numRef>
          </c:val>
          <c:extLst>
            <c:ext xmlns:c16="http://schemas.microsoft.com/office/drawing/2014/chart" uri="{C3380CC4-5D6E-409C-BE32-E72D297353CC}">
              <c16:uniqueId val="{00000002-261D-4ECB-9CE1-A2ADF8F7AB52}"/>
            </c:ext>
          </c:extLst>
        </c:ser>
        <c:ser>
          <c:idx val="3"/>
          <c:order val="3"/>
          <c:tx>
            <c:strRef>
              <c:f>'201'!$T$34</c:f>
              <c:strCache>
                <c:ptCount val="1"/>
                <c:pt idx="0">
                  <c:v>Stg.4 Shroud Aft#24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'201'!$T$36:$T$59</c:f>
              <c:numCache>
                <c:formatCode>0.000</c:formatCode>
                <c:ptCount val="24"/>
                <c:pt idx="1">
                  <c:v>422.51827733356049</c:v>
                </c:pt>
                <c:pt idx="2">
                  <c:v>422.51827733356049</c:v>
                </c:pt>
              </c:numCache>
            </c:numRef>
          </c:val>
          <c:extLst>
            <c:ext xmlns:c16="http://schemas.microsoft.com/office/drawing/2014/chart" uri="{C3380CC4-5D6E-409C-BE32-E72D297353CC}">
              <c16:uniqueId val="{00000003-261D-4ECB-9CE1-A2ADF8F7AB52}"/>
            </c:ext>
          </c:extLst>
        </c:ser>
        <c:ser>
          <c:idx val="4"/>
          <c:order val="4"/>
          <c:tx>
            <c:strRef>
              <c:f>'201'!$U$34</c:f>
              <c:strCache>
                <c:ptCount val="1"/>
                <c:pt idx="0">
                  <c:v>Stg.4 Shroud Aft#23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'201'!$U$36:$U$59</c:f>
              <c:numCache>
                <c:formatCode>General</c:formatCode>
                <c:ptCount val="24"/>
                <c:pt idx="2" formatCode="0.000">
                  <c:v>422.56727866757535</c:v>
                </c:pt>
                <c:pt idx="3" formatCode="0.000">
                  <c:v>422.56727866757535</c:v>
                </c:pt>
              </c:numCache>
            </c:numRef>
          </c:val>
          <c:extLst>
            <c:ext xmlns:c16="http://schemas.microsoft.com/office/drawing/2014/chart" uri="{C3380CC4-5D6E-409C-BE32-E72D297353CC}">
              <c16:uniqueId val="{00000004-261D-4ECB-9CE1-A2ADF8F7AB52}"/>
            </c:ext>
          </c:extLst>
        </c:ser>
        <c:ser>
          <c:idx val="5"/>
          <c:order val="5"/>
          <c:tx>
            <c:strRef>
              <c:f>'201'!$V$34</c:f>
              <c:strCache>
                <c:ptCount val="1"/>
                <c:pt idx="0">
                  <c:v>Stg.4 Shroud Aft#22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'201'!$V$36:$V$59</c:f>
              <c:numCache>
                <c:formatCode>General</c:formatCode>
                <c:ptCount val="24"/>
                <c:pt idx="3" formatCode="0.000">
                  <c:v>422.56772800254646</c:v>
                </c:pt>
                <c:pt idx="4" formatCode="0.000">
                  <c:v>422.56772800254646</c:v>
                </c:pt>
              </c:numCache>
            </c:numRef>
          </c:val>
          <c:extLst>
            <c:ext xmlns:c16="http://schemas.microsoft.com/office/drawing/2014/chart" uri="{C3380CC4-5D6E-409C-BE32-E72D297353CC}">
              <c16:uniqueId val="{00000005-261D-4ECB-9CE1-A2ADF8F7AB52}"/>
            </c:ext>
          </c:extLst>
        </c:ser>
        <c:ser>
          <c:idx val="6"/>
          <c:order val="6"/>
          <c:tx>
            <c:strRef>
              <c:f>'201'!$W$34</c:f>
              <c:strCache>
                <c:ptCount val="1"/>
                <c:pt idx="0">
                  <c:v>Stg.4 Shroud Aft#21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'201'!$W$36:$W$59</c:f>
              <c:numCache>
                <c:formatCode>General</c:formatCode>
                <c:ptCount val="24"/>
                <c:pt idx="4" formatCode="0.000">
                  <c:v>422.51850133665607</c:v>
                </c:pt>
                <c:pt idx="5" formatCode="0.000">
                  <c:v>422.51850133665607</c:v>
                </c:pt>
              </c:numCache>
            </c:numRef>
          </c:val>
          <c:extLst>
            <c:ext xmlns:c16="http://schemas.microsoft.com/office/drawing/2014/chart" uri="{C3380CC4-5D6E-409C-BE32-E72D297353CC}">
              <c16:uniqueId val="{00000006-261D-4ECB-9CE1-A2ADF8F7AB52}"/>
            </c:ext>
          </c:extLst>
        </c:ser>
        <c:ser>
          <c:idx val="7"/>
          <c:order val="7"/>
          <c:tx>
            <c:strRef>
              <c:f>'201'!$X$34</c:f>
              <c:strCache>
                <c:ptCount val="1"/>
                <c:pt idx="0">
                  <c:v>Stg.4 Shroud Aft#20</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'201'!$X$36:$X$59</c:f>
              <c:numCache>
                <c:formatCode>General</c:formatCode>
                <c:ptCount val="24"/>
                <c:pt idx="5" formatCode="0.000">
                  <c:v>422.45388000145783</c:v>
                </c:pt>
                <c:pt idx="6" formatCode="0.000">
                  <c:v>422.45388000145783</c:v>
                </c:pt>
              </c:numCache>
            </c:numRef>
          </c:val>
          <c:extLst>
            <c:ext xmlns:c16="http://schemas.microsoft.com/office/drawing/2014/chart" uri="{C3380CC4-5D6E-409C-BE32-E72D297353CC}">
              <c16:uniqueId val="{00000007-261D-4ECB-9CE1-A2ADF8F7AB52}"/>
            </c:ext>
          </c:extLst>
        </c:ser>
        <c:ser>
          <c:idx val="8"/>
          <c:order val="8"/>
          <c:tx>
            <c:strRef>
              <c:f>'201'!$Y$34</c:f>
              <c:strCache>
                <c:ptCount val="1"/>
                <c:pt idx="0">
                  <c:v>Stg.4 Shroud Aft#19</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'201'!$Y$36:$Y$59</c:f>
              <c:numCache>
                <c:formatCode>General</c:formatCode>
                <c:ptCount val="24"/>
                <c:pt idx="6" formatCode="0.000">
                  <c:v>422.42015200000003</c:v>
                </c:pt>
                <c:pt idx="7" formatCode="0.000">
                  <c:v>422.42015200000003</c:v>
                </c:pt>
              </c:numCache>
            </c:numRef>
          </c:val>
          <c:extLst>
            <c:ext xmlns:c16="http://schemas.microsoft.com/office/drawing/2014/chart" uri="{C3380CC4-5D6E-409C-BE32-E72D297353CC}">
              <c16:uniqueId val="{00000008-261D-4ECB-9CE1-A2ADF8F7AB52}"/>
            </c:ext>
          </c:extLst>
        </c:ser>
        <c:ser>
          <c:idx val="9"/>
          <c:order val="9"/>
          <c:tx>
            <c:strRef>
              <c:f>'201'!$Z$34</c:f>
              <c:strCache>
                <c:ptCount val="1"/>
                <c:pt idx="0">
                  <c:v>Stg.4 Shroud Aft#18</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'201'!$Z$36:$Z$59</c:f>
              <c:numCache>
                <c:formatCode>General</c:formatCode>
                <c:ptCount val="24"/>
                <c:pt idx="7" formatCode="0.000">
                  <c:v>422.43194400000004</c:v>
                </c:pt>
                <c:pt idx="8" formatCode="0.000">
                  <c:v>422.43194400000004</c:v>
                </c:pt>
              </c:numCache>
            </c:numRef>
          </c:val>
          <c:extLst>
            <c:ext xmlns:c16="http://schemas.microsoft.com/office/drawing/2014/chart" uri="{C3380CC4-5D6E-409C-BE32-E72D297353CC}">
              <c16:uniqueId val="{00000009-261D-4ECB-9CE1-A2ADF8F7AB52}"/>
            </c:ext>
          </c:extLst>
        </c:ser>
        <c:ser>
          <c:idx val="10"/>
          <c:order val="10"/>
          <c:tx>
            <c:strRef>
              <c:f>'201'!$AA$34</c:f>
              <c:strCache>
                <c:ptCount val="1"/>
                <c:pt idx="0">
                  <c:v>Stg.4 Shroud Aft#17</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'201'!$AA$36:$AA$59</c:f>
              <c:numCache>
                <c:formatCode>General</c:formatCode>
                <c:ptCount val="24"/>
                <c:pt idx="8" formatCode="0.000">
                  <c:v>422.46010266666667</c:v>
                </c:pt>
                <c:pt idx="9" formatCode="0.000">
                  <c:v>422.46010266666667</c:v>
                </c:pt>
              </c:numCache>
            </c:numRef>
          </c:val>
          <c:extLst>
            <c:ext xmlns:c16="http://schemas.microsoft.com/office/drawing/2014/chart" uri="{C3380CC4-5D6E-409C-BE32-E72D297353CC}">
              <c16:uniqueId val="{0000000A-261D-4ECB-9CE1-A2ADF8F7AB52}"/>
            </c:ext>
          </c:extLst>
        </c:ser>
        <c:ser>
          <c:idx val="11"/>
          <c:order val="11"/>
          <c:tx>
            <c:strRef>
              <c:f>'201'!$AB$34</c:f>
              <c:strCache>
                <c:ptCount val="1"/>
                <c:pt idx="0">
                  <c:v>Stg.4 Shroud Aft#16</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'201'!$AB$36:$AB$59</c:f>
              <c:numCache>
                <c:formatCode>General</c:formatCode>
                <c:ptCount val="24"/>
                <c:pt idx="9" formatCode="0.000">
                  <c:v>422.48713599999996</c:v>
                </c:pt>
                <c:pt idx="10" formatCode="0.000">
                  <c:v>422.48713599999996</c:v>
                </c:pt>
              </c:numCache>
            </c:numRef>
          </c:val>
          <c:extLst>
            <c:ext xmlns:c16="http://schemas.microsoft.com/office/drawing/2014/chart" uri="{C3380CC4-5D6E-409C-BE32-E72D297353CC}">
              <c16:uniqueId val="{0000000B-261D-4ECB-9CE1-A2ADF8F7AB52}"/>
            </c:ext>
          </c:extLst>
        </c:ser>
        <c:ser>
          <c:idx val="12"/>
          <c:order val="12"/>
          <c:tx>
            <c:strRef>
              <c:f>'201'!$AC$34</c:f>
              <c:strCache>
                <c:ptCount val="1"/>
                <c:pt idx="0">
                  <c:v>Stg.4 Shroud Aft#15</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'201'!$AC$36:$AC$59</c:f>
              <c:numCache>
                <c:formatCode>General</c:formatCode>
                <c:ptCount val="24"/>
                <c:pt idx="10" formatCode="0.000">
                  <c:v>422.5024373353782</c:v>
                </c:pt>
                <c:pt idx="11" formatCode="0.000">
                  <c:v>422.5024373353782</c:v>
                </c:pt>
              </c:numCache>
            </c:numRef>
          </c:val>
          <c:extLst>
            <c:ext xmlns:c16="http://schemas.microsoft.com/office/drawing/2014/chart" uri="{C3380CC4-5D6E-409C-BE32-E72D297353CC}">
              <c16:uniqueId val="{0000000C-261D-4ECB-9CE1-A2ADF8F7AB52}"/>
            </c:ext>
          </c:extLst>
        </c:ser>
        <c:ser>
          <c:idx val="13"/>
          <c:order val="13"/>
          <c:tx>
            <c:strRef>
              <c:f>'201'!$AD$34</c:f>
              <c:strCache>
                <c:ptCount val="1"/>
                <c:pt idx="0">
                  <c:v>Stg.4 Shroud Aft#14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'201'!$AD$36:$AD$59</c:f>
              <c:numCache>
                <c:formatCode>General</c:formatCode>
                <c:ptCount val="24"/>
                <c:pt idx="11" formatCode="0.000">
                  <c:v>422.50861067376707</c:v>
                </c:pt>
                <c:pt idx="12" formatCode="0.000">
                  <c:v>422.50861067376707</c:v>
                </c:pt>
              </c:numCache>
            </c:numRef>
          </c:val>
          <c:extLst>
            <c:ext xmlns:c16="http://schemas.microsoft.com/office/drawing/2014/chart" uri="{C3380CC4-5D6E-409C-BE32-E72D297353CC}">
              <c16:uniqueId val="{0000000D-261D-4ECB-9CE1-A2ADF8F7AB52}"/>
            </c:ext>
          </c:extLst>
        </c:ser>
        <c:ser>
          <c:idx val="14"/>
          <c:order val="14"/>
          <c:tx>
            <c:strRef>
              <c:f>'201'!$AE$34</c:f>
              <c:strCache>
                <c:ptCount val="1"/>
                <c:pt idx="0">
                  <c:v>Stg.4 Shroud Aft#13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'201'!$AE$36:$AE$59</c:f>
              <c:numCache>
                <c:formatCode>General</c:formatCode>
                <c:ptCount val="24"/>
                <c:pt idx="12" formatCode="0.000">
                  <c:v>422.48381600656074</c:v>
                </c:pt>
                <c:pt idx="13" formatCode="0.000">
                  <c:v>422.48381600656074</c:v>
                </c:pt>
              </c:numCache>
            </c:numRef>
          </c:val>
          <c:extLst>
            <c:ext xmlns:c16="http://schemas.microsoft.com/office/drawing/2014/chart" uri="{C3380CC4-5D6E-409C-BE32-E72D297353CC}">
              <c16:uniqueId val="{0000000E-261D-4ECB-9CE1-A2ADF8F7AB52}"/>
            </c:ext>
          </c:extLst>
        </c:ser>
        <c:ser>
          <c:idx val="15"/>
          <c:order val="15"/>
          <c:tx>
            <c:strRef>
              <c:f>'201'!$AF$34</c:f>
              <c:strCache>
                <c:ptCount val="1"/>
                <c:pt idx="0">
                  <c:v>Stg.4 Shroud Aft#12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'201'!$AF$36:$AF$59</c:f>
              <c:numCache>
                <c:formatCode>General</c:formatCode>
                <c:ptCount val="24"/>
                <c:pt idx="13" formatCode="0.000">
                  <c:v>422.43910133847504</c:v>
                </c:pt>
                <c:pt idx="14" formatCode="0.000">
                  <c:v>422.43910133847504</c:v>
                </c:pt>
              </c:numCache>
            </c:numRef>
          </c:val>
          <c:extLst>
            <c:ext xmlns:c16="http://schemas.microsoft.com/office/drawing/2014/chart" uri="{C3380CC4-5D6E-409C-BE32-E72D297353CC}">
              <c16:uniqueId val="{0000000F-261D-4ECB-9CE1-A2ADF8F7AB52}"/>
            </c:ext>
          </c:extLst>
        </c:ser>
        <c:ser>
          <c:idx val="16"/>
          <c:order val="16"/>
          <c:tx>
            <c:strRef>
              <c:f>'201'!$AG$34</c:f>
              <c:strCache>
                <c:ptCount val="1"/>
                <c:pt idx="0">
                  <c:v>Stg.4 Shroud Aft#11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'201'!$AG$36:$AG$59</c:f>
              <c:numCache>
                <c:formatCode>General</c:formatCode>
                <c:ptCount val="24"/>
                <c:pt idx="14" formatCode="0.000">
                  <c:v>422.40811467932315</c:v>
                </c:pt>
                <c:pt idx="15" formatCode="0.000">
                  <c:v>422.40811467932315</c:v>
                </c:pt>
              </c:numCache>
            </c:numRef>
          </c:val>
          <c:extLst>
            <c:ext xmlns:c16="http://schemas.microsoft.com/office/drawing/2014/chart" uri="{C3380CC4-5D6E-409C-BE32-E72D297353CC}">
              <c16:uniqueId val="{00000010-261D-4ECB-9CE1-A2ADF8F7AB52}"/>
            </c:ext>
          </c:extLst>
        </c:ser>
        <c:ser>
          <c:idx val="17"/>
          <c:order val="17"/>
          <c:tx>
            <c:strRef>
              <c:f>'201'!$AH$34</c:f>
              <c:strCache>
                <c:ptCount val="1"/>
                <c:pt idx="0">
                  <c:v>Stg.4 Shroud Aft#10</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'201'!$AH$36:$AH$59</c:f>
              <c:numCache>
                <c:formatCode>General</c:formatCode>
                <c:ptCount val="24"/>
                <c:pt idx="15" formatCode="0.000">
                  <c:v>422.42617601212135</c:v>
                </c:pt>
                <c:pt idx="16" formatCode="0.000">
                  <c:v>422.42617601212135</c:v>
                </c:pt>
              </c:numCache>
            </c:numRef>
          </c:val>
          <c:extLst>
            <c:ext xmlns:c16="http://schemas.microsoft.com/office/drawing/2014/chart" uri="{C3380CC4-5D6E-409C-BE32-E72D297353CC}">
              <c16:uniqueId val="{00000011-261D-4ECB-9CE1-A2ADF8F7AB52}"/>
            </c:ext>
          </c:extLst>
        </c:ser>
        <c:ser>
          <c:idx val="18"/>
          <c:order val="18"/>
          <c:tx>
            <c:strRef>
              <c:f>'201'!$AI$34</c:f>
              <c:strCache>
                <c:ptCount val="1"/>
                <c:pt idx="0">
                  <c:v>Stg.4 Shroud Aft#9</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'201'!$AI$36:$AI$59</c:f>
              <c:numCache>
                <c:formatCode>General</c:formatCode>
                <c:ptCount val="24"/>
                <c:pt idx="16" formatCode="0.000">
                  <c:v>422.48531733702634</c:v>
                </c:pt>
                <c:pt idx="17" formatCode="0.000">
                  <c:v>422.48531733702634</c:v>
                </c:pt>
              </c:numCache>
            </c:numRef>
          </c:val>
          <c:extLst>
            <c:ext xmlns:c16="http://schemas.microsoft.com/office/drawing/2014/chart" uri="{C3380CC4-5D6E-409C-BE32-E72D297353CC}">
              <c16:uniqueId val="{00000012-261D-4ECB-9CE1-A2ADF8F7AB52}"/>
            </c:ext>
          </c:extLst>
        </c:ser>
        <c:ser>
          <c:idx val="19"/>
          <c:order val="19"/>
          <c:tx>
            <c:strRef>
              <c:f>'201'!$AJ$34</c:f>
              <c:strCache>
                <c:ptCount val="1"/>
                <c:pt idx="0">
                  <c:v>Stg.4 Shroud Aft#8</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'201'!$AJ$36:$AJ$59</c:f>
              <c:numCache>
                <c:formatCode>General</c:formatCode>
                <c:ptCount val="24"/>
                <c:pt idx="17" formatCode="0.000">
                  <c:v>422.54166800118333</c:v>
                </c:pt>
                <c:pt idx="18" formatCode="0.000">
                  <c:v>422.54166800118333</c:v>
                </c:pt>
              </c:numCache>
            </c:numRef>
          </c:val>
          <c:extLst>
            <c:ext xmlns:c16="http://schemas.microsoft.com/office/drawing/2014/chart" uri="{C3380CC4-5D6E-409C-BE32-E72D297353CC}">
              <c16:uniqueId val="{00000013-261D-4ECB-9CE1-A2ADF8F7AB52}"/>
            </c:ext>
          </c:extLst>
        </c:ser>
        <c:ser>
          <c:idx val="20"/>
          <c:order val="20"/>
          <c:tx>
            <c:strRef>
              <c:f>'201'!$AK$34</c:f>
              <c:strCache>
                <c:ptCount val="1"/>
                <c:pt idx="0">
                  <c:v>Stg.4 Shroud Aft#7</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'201'!$AK$36:$AK$59</c:f>
              <c:numCache>
                <c:formatCode>General</c:formatCode>
                <c:ptCount val="24"/>
                <c:pt idx="18" formatCode="0.000">
                  <c:v>422.5655440011833</c:v>
                </c:pt>
                <c:pt idx="19" formatCode="0.000">
                  <c:v>422.5655440011833</c:v>
                </c:pt>
              </c:numCache>
            </c:numRef>
          </c:val>
          <c:extLst>
            <c:ext xmlns:c16="http://schemas.microsoft.com/office/drawing/2014/chart" uri="{C3380CC4-5D6E-409C-BE32-E72D297353CC}">
              <c16:uniqueId val="{00000014-261D-4ECB-9CE1-A2ADF8F7AB52}"/>
            </c:ext>
          </c:extLst>
        </c:ser>
        <c:ser>
          <c:idx val="21"/>
          <c:order val="21"/>
          <c:tx>
            <c:strRef>
              <c:f>'201'!$AL$34</c:f>
              <c:strCache>
                <c:ptCount val="1"/>
                <c:pt idx="0">
                  <c:v>Stg.4 Shroud Aft#6</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'201'!$AL$36:$AL$59</c:f>
              <c:numCache>
                <c:formatCode>General</c:formatCode>
                <c:ptCount val="24"/>
                <c:pt idx="19" formatCode="0.000">
                  <c:v>422.53919200300129</c:v>
                </c:pt>
                <c:pt idx="20" formatCode="0.000">
                  <c:v>422.53919200300129</c:v>
                </c:pt>
              </c:numCache>
            </c:numRef>
          </c:val>
          <c:extLst>
            <c:ext xmlns:c16="http://schemas.microsoft.com/office/drawing/2014/chart" uri="{C3380CC4-5D6E-409C-BE32-E72D297353CC}">
              <c16:uniqueId val="{00000015-261D-4ECB-9CE1-A2ADF8F7AB52}"/>
            </c:ext>
          </c:extLst>
        </c:ser>
        <c:ser>
          <c:idx val="22"/>
          <c:order val="22"/>
          <c:tx>
            <c:strRef>
              <c:f>'201'!$AM$34</c:f>
              <c:strCache>
                <c:ptCount val="1"/>
                <c:pt idx="0">
                  <c:v>Stg.4 Shroud Aft#5</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'201'!$AM$36:$AM$59</c:f>
              <c:numCache>
                <c:formatCode>General</c:formatCode>
                <c:ptCount val="24"/>
                <c:pt idx="20" formatCode="0.000">
                  <c:v>422.47821600758596</c:v>
                </c:pt>
                <c:pt idx="21" formatCode="0.000">
                  <c:v>422.47821600758596</c:v>
                </c:pt>
              </c:numCache>
            </c:numRef>
          </c:val>
          <c:extLst>
            <c:ext xmlns:c16="http://schemas.microsoft.com/office/drawing/2014/chart" uri="{C3380CC4-5D6E-409C-BE32-E72D297353CC}">
              <c16:uniqueId val="{00000016-261D-4ECB-9CE1-A2ADF8F7AB52}"/>
            </c:ext>
          </c:extLst>
        </c:ser>
        <c:ser>
          <c:idx val="23"/>
          <c:order val="23"/>
          <c:tx>
            <c:strRef>
              <c:f>'201'!$AN$34</c:f>
              <c:strCache>
                <c:ptCount val="1"/>
                <c:pt idx="0">
                  <c:v>Stg.4 Shroud Aft#4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'201'!$AN$36:$AN$59</c:f>
              <c:numCache>
                <c:formatCode>General</c:formatCode>
                <c:ptCount val="24"/>
                <c:pt idx="21" formatCode="0.000">
                  <c:v>422.41159200838013</c:v>
                </c:pt>
                <c:pt idx="22" formatCode="0.000">
                  <c:v>422.41159200838013</c:v>
                </c:pt>
              </c:numCache>
            </c:numRef>
          </c:val>
          <c:extLst>
            <c:ext xmlns:c16="http://schemas.microsoft.com/office/drawing/2014/chart" uri="{C3380CC4-5D6E-409C-BE32-E72D297353CC}">
              <c16:uniqueId val="{00000017-261D-4ECB-9CE1-A2ADF8F7AB52}"/>
            </c:ext>
          </c:extLst>
        </c:ser>
        <c:ser>
          <c:idx val="24"/>
          <c:order val="24"/>
          <c:tx>
            <c:strRef>
              <c:f>'201'!$AO$34</c:f>
              <c:strCache>
                <c:ptCount val="1"/>
                <c:pt idx="0">
                  <c:v>Stg.4 Shroud Aft#3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'201'!$AO$36:$AO$59</c:f>
              <c:numCache>
                <c:formatCode>General</c:formatCode>
                <c:ptCount val="24"/>
                <c:pt idx="22" formatCode="0.000">
                  <c:v>422.37989600466238</c:v>
                </c:pt>
                <c:pt idx="23" formatCode="0.000">
                  <c:v>422.37989600466238</c:v>
                </c:pt>
              </c:numCache>
            </c:numRef>
          </c:val>
          <c:extLst>
            <c:ext xmlns:c16="http://schemas.microsoft.com/office/drawing/2014/chart" uri="{C3380CC4-5D6E-409C-BE32-E72D297353CC}">
              <c16:uniqueId val="{00000018-261D-4ECB-9CE1-A2ADF8F7AB52}"/>
            </c:ext>
          </c:extLst>
        </c:ser>
        <c:ser>
          <c:idx val="25"/>
          <c:order val="25"/>
          <c:tx>
            <c:strRef>
              <c:f>'201'!$AP$34</c:f>
              <c:strCache>
                <c:ptCount val="1"/>
                <c:pt idx="0">
                  <c:v>Stg.4 Shroud Aft#2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'201'!$AP$36:$AP$59</c:f>
              <c:numCache>
                <c:formatCode>General</c:formatCode>
                <c:ptCount val="24"/>
                <c:pt idx="0" formatCode="0.000">
                  <c:v>422.39815866987055</c:v>
                </c:pt>
                <c:pt idx="23" formatCode="0.000">
                  <c:v>422.39815866987055</c:v>
                </c:pt>
              </c:numCache>
            </c:numRef>
          </c:val>
          <c:extLst>
            <c:ext xmlns:c16="http://schemas.microsoft.com/office/drawing/2014/chart" uri="{C3380CC4-5D6E-409C-BE32-E72D297353CC}">
              <c16:uniqueId val="{00000019-261D-4ECB-9CE1-A2ADF8F7AB52}"/>
            </c:ext>
          </c:extLst>
        </c:ser>
        <c:dLbls>
          <c:showLegendKey val="0"/>
          <c:showVal val="0"/>
          <c:showCatName val="0"/>
          <c:showSerName val="0"/>
          <c:showPercent val="0"/>
          <c:showBubbleSize val="0"/>
        </c:dLbls>
        <c:axId val="178393600"/>
        <c:axId val="178340416"/>
      </c:radarChart>
      <c:catAx>
        <c:axId val="17839360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8340416"/>
        <c:crosses val="autoZero"/>
        <c:auto val="1"/>
        <c:lblAlgn val="ctr"/>
        <c:lblOffset val="100"/>
        <c:noMultiLvlLbl val="0"/>
      </c:catAx>
      <c:valAx>
        <c:axId val="17834041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8393600"/>
        <c:crosses val="autoZero"/>
        <c:crossBetween val="between"/>
        <c:majorUnit val="5.000000000000001E-2"/>
      </c:valAx>
    </c:plotArea>
    <c:legend>
      <c:legendPos val="r"/>
      <c:layout>
        <c:manualLayout>
          <c:xMode val="edge"/>
          <c:yMode val="edge"/>
          <c:x val="0.75693143452628542"/>
          <c:y val="0"/>
          <c:w val="0.23186856312200801"/>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'201'!$AQ$93</c:f>
              <c:strCache>
                <c:ptCount val="1"/>
                <c:pt idx="0">
                  <c:v>Step Min</c:v>
                </c:pt>
              </c:strCache>
            </c:strRef>
          </c:tx>
          <c:spPr>
            <a:ln w="28575">
              <a:prstDash val="dash"/>
            </a:ln>
          </c:spPr>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'201'!$AQ$95:$AQ$118</c:f>
              <c:numCache>
                <c:formatCode>General</c:formatCode>
                <c:ptCount val="24"/>
                <c:pt idx="0">
                  <c:v>-5.7500000000004547E-2</c:v>
                </c:pt>
                <c:pt idx="1">
                  <c:v>-5.7500000000004547E-2</c:v>
                </c:pt>
                <c:pt idx="2">
                  <c:v>-5.7500000000004547E-2</c:v>
                </c:pt>
                <c:pt idx="3">
                  <c:v>-5.7500000000004547E-2</c:v>
                </c:pt>
                <c:pt idx="4">
                  <c:v>-5.7500000000004547E-2</c:v>
                </c:pt>
                <c:pt idx="5">
                  <c:v>-5.7500000000004547E-2</c:v>
                </c:pt>
                <c:pt idx="6">
                  <c:v>-5.7500000000004547E-2</c:v>
                </c:pt>
                <c:pt idx="7">
                  <c:v>-5.7500000000004547E-2</c:v>
                </c:pt>
                <c:pt idx="8">
                  <c:v>-5.7500000000004547E-2</c:v>
                </c:pt>
                <c:pt idx="9">
                  <c:v>-5.7500000000004547E-2</c:v>
                </c:pt>
                <c:pt idx="10">
                  <c:v>-5.7500000000004547E-2</c:v>
                </c:pt>
                <c:pt idx="11">
                  <c:v>-5.7500000000004547E-2</c:v>
                </c:pt>
                <c:pt idx="12">
                  <c:v>-5.7500000000004547E-2</c:v>
                </c:pt>
                <c:pt idx="13">
                  <c:v>-5.7500000000004547E-2</c:v>
                </c:pt>
                <c:pt idx="14">
                  <c:v>-5.7500000000004547E-2</c:v>
                </c:pt>
                <c:pt idx="15">
                  <c:v>-5.7500000000004547E-2</c:v>
                </c:pt>
                <c:pt idx="16">
                  <c:v>-5.7500000000004547E-2</c:v>
                </c:pt>
                <c:pt idx="17">
                  <c:v>-5.7500000000004547E-2</c:v>
                </c:pt>
                <c:pt idx="18">
                  <c:v>-5.7500000000004547E-2</c:v>
                </c:pt>
                <c:pt idx="19">
                  <c:v>-5.7500000000004547E-2</c:v>
                </c:pt>
                <c:pt idx="20">
                  <c:v>-5.7500000000004547E-2</c:v>
                </c:pt>
                <c:pt idx="21">
                  <c:v>-5.7500000000004547E-2</c:v>
                </c:pt>
                <c:pt idx="22">
                  <c:v>-5.7500000000004547E-2</c:v>
                </c:pt>
                <c:pt idx="23">
                  <c:v>-5.7500000000004547E-2</c:v>
                </c:pt>
              </c:numCache>
            </c:numRef>
          </c:val>
          <c:extLst>
            <c:ext xmlns:c16="http://schemas.microsoft.com/office/drawing/2014/chart" uri="{C3380CC4-5D6E-409C-BE32-E72D297353CC}">
              <c16:uniqueId val="{00000000-13CC-48B8-BE60-9F98779ED030}"/>
            </c:ext>
          </c:extLst>
        </c:ser>
        <c:ser>
          <c:idx val="1"/>
          <c:order val="1"/>
          <c:tx>
            <c:strRef>
              <c:f>'201'!$AR$93</c:f>
              <c:strCache>
                <c:ptCount val="1"/>
                <c:pt idx="0">
                  <c:v>Step Max</c:v>
                </c:pt>
              </c:strCache>
            </c:strRef>
          </c:tx>
          <c:spPr>
            <a:ln w="28575">
              <a:prstDash val="dash"/>
            </a:ln>
          </c:spPr>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'201'!$AR$95:$AR$118</c:f>
              <c:numCache>
                <c:formatCode>General</c:formatCode>
                <c:ptCount val="24"/>
                <c:pt idx="0">
                  <c:v>5.7500000000004547E-2</c:v>
                </c:pt>
                <c:pt idx="1">
                  <c:v>5.7500000000004547E-2</c:v>
                </c:pt>
                <c:pt idx="2">
                  <c:v>5.7500000000004547E-2</c:v>
                </c:pt>
                <c:pt idx="3">
                  <c:v>5.7500000000004547E-2</c:v>
                </c:pt>
                <c:pt idx="4">
                  <c:v>5.7500000000004547E-2</c:v>
                </c:pt>
                <c:pt idx="5">
                  <c:v>5.7500000000004547E-2</c:v>
                </c:pt>
                <c:pt idx="6">
                  <c:v>5.7500000000004547E-2</c:v>
                </c:pt>
                <c:pt idx="7">
                  <c:v>5.7500000000004547E-2</c:v>
                </c:pt>
                <c:pt idx="8">
                  <c:v>5.7500000000004547E-2</c:v>
                </c:pt>
                <c:pt idx="9">
                  <c:v>5.7500000000004547E-2</c:v>
                </c:pt>
                <c:pt idx="10">
                  <c:v>5.7500000000004547E-2</c:v>
                </c:pt>
                <c:pt idx="11">
                  <c:v>5.7500000000004547E-2</c:v>
                </c:pt>
                <c:pt idx="12">
                  <c:v>5.7500000000004547E-2</c:v>
                </c:pt>
                <c:pt idx="13">
                  <c:v>5.7500000000004547E-2</c:v>
                </c:pt>
                <c:pt idx="14">
                  <c:v>5.7500000000004547E-2</c:v>
                </c:pt>
                <c:pt idx="15">
                  <c:v>5.7500000000004547E-2</c:v>
                </c:pt>
                <c:pt idx="16">
                  <c:v>5.7500000000004547E-2</c:v>
                </c:pt>
                <c:pt idx="17">
                  <c:v>5.7500000000004547E-2</c:v>
                </c:pt>
                <c:pt idx="18">
                  <c:v>5.7500000000004547E-2</c:v>
                </c:pt>
                <c:pt idx="19">
                  <c:v>5.7500000000004547E-2</c:v>
                </c:pt>
                <c:pt idx="20">
                  <c:v>5.7500000000004547E-2</c:v>
                </c:pt>
                <c:pt idx="21">
                  <c:v>5.7500000000004547E-2</c:v>
                </c:pt>
                <c:pt idx="22">
                  <c:v>5.7500000000004547E-2</c:v>
                </c:pt>
                <c:pt idx="23">
                  <c:v>5.7500000000004547E-2</c:v>
                </c:pt>
              </c:numCache>
            </c:numRef>
          </c:val>
          <c:extLst>
            <c:ext xmlns:c16="http://schemas.microsoft.com/office/drawing/2014/chart" uri="{C3380CC4-5D6E-409C-BE32-E72D297353CC}">
              <c16:uniqueId val="{00000001-13CC-48B8-BE60-9F98779ED030}"/>
            </c:ext>
          </c:extLst>
        </c:ser>
        <c:ser>
          <c:idx val="2"/>
          <c:order val="2"/>
          <c:tx>
            <c:strRef>
              <c:f>'201'!$S$93</c:f>
              <c:strCache>
                <c:ptCount val="1"/>
                <c:pt idx="0">
                  <c:v>Stg.4 Shroud Step#1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'201'!$S$95:$S$118</c:f>
              <c:numCache>
                <c:formatCode>0.000_ </c:formatCode>
                <c:ptCount val="24"/>
                <c:pt idx="0">
                  <c:v>4.8815992901609206E-2</c:v>
                </c:pt>
                <c:pt idx="1">
                  <c:v>4.8815992901609206E-2</c:v>
                </c:pt>
              </c:numCache>
            </c:numRef>
          </c:val>
          <c:extLst>
            <c:ext xmlns:c16="http://schemas.microsoft.com/office/drawing/2014/chart" uri="{C3380CC4-5D6E-409C-BE32-E72D297353CC}">
              <c16:uniqueId val="{00000002-13CC-48B8-BE60-9F98779ED030}"/>
            </c:ext>
          </c:extLst>
        </c:ser>
        <c:ser>
          <c:idx val="3"/>
          <c:order val="3"/>
          <c:tx>
            <c:strRef>
              <c:f>'201'!$T$93</c:f>
              <c:strCache>
                <c:ptCount val="1"/>
                <c:pt idx="0">
                  <c:v>Stg.4 Shroud Step#24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'201'!$T$95:$T$118</c:f>
              <c:numCache>
                <c:formatCode>0.000_ </c:formatCode>
                <c:ptCount val="24"/>
                <c:pt idx="1">
                  <c:v>7.8026664342587537E-2</c:v>
                </c:pt>
                <c:pt idx="2">
                  <c:v>7.8026664342587537E-2</c:v>
                </c:pt>
              </c:numCache>
            </c:numRef>
          </c:val>
          <c:extLst>
            <c:ext xmlns:c16="http://schemas.microsoft.com/office/drawing/2014/chart" uri="{C3380CC4-5D6E-409C-BE32-E72D297353CC}">
              <c16:uniqueId val="{00000003-13CC-48B8-BE60-9F98779ED030}"/>
            </c:ext>
          </c:extLst>
        </c:ser>
        <c:ser>
          <c:idx val="4"/>
          <c:order val="4"/>
          <c:tx>
            <c:strRef>
              <c:f>'201'!$U$93</c:f>
              <c:strCache>
                <c:ptCount val="1"/>
                <c:pt idx="0">
                  <c:v>Stg.4 Shroud Step#23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'201'!$U$95:$U$118</c:f>
              <c:numCache>
                <c:formatCode>0.000_ </c:formatCode>
                <c:ptCount val="24"/>
                <c:pt idx="2">
                  <c:v>9.8957332953830246E-2</c:v>
                </c:pt>
                <c:pt idx="3">
                  <c:v>9.8957332953830246E-2</c:v>
                </c:pt>
              </c:numCache>
            </c:numRef>
          </c:val>
          <c:extLst>
            <c:ext xmlns:c16="http://schemas.microsoft.com/office/drawing/2014/chart" uri="{C3380CC4-5D6E-409C-BE32-E72D297353CC}">
              <c16:uniqueId val="{00000004-13CC-48B8-BE60-9F98779ED030}"/>
            </c:ext>
          </c:extLst>
        </c:ser>
        <c:ser>
          <c:idx val="5"/>
          <c:order val="5"/>
          <c:tx>
            <c:strRef>
              <c:f>'201'!$V$93</c:f>
              <c:strCache>
                <c:ptCount val="1"/>
                <c:pt idx="0">
                  <c:v>Stg.4 Shroud Step#22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'201'!$V$95:$V$118</c:f>
              <c:numCache>
                <c:formatCode>0.000_ </c:formatCode>
                <c:ptCount val="24"/>
                <c:pt idx="3">
                  <c:v>8.7343999970187269E-2</c:v>
                </c:pt>
                <c:pt idx="4">
                  <c:v>8.7343999970187269E-2</c:v>
                </c:pt>
              </c:numCache>
            </c:numRef>
          </c:val>
          <c:extLst>
            <c:ext xmlns:c16="http://schemas.microsoft.com/office/drawing/2014/chart" uri="{C3380CC4-5D6E-409C-BE32-E72D297353CC}">
              <c16:uniqueId val="{00000005-13CC-48B8-BE60-9F98779ED030}"/>
            </c:ext>
          </c:extLst>
        </c:ser>
        <c:ser>
          <c:idx val="6"/>
          <c:order val="6"/>
          <c:tx>
            <c:strRef>
              <c:f>'201'!$W$93</c:f>
              <c:strCache>
                <c:ptCount val="1"/>
                <c:pt idx="0">
                  <c:v>Stg.4 Shroud Step#21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'201'!$W$95:$W$118</c:f>
              <c:numCache>
                <c:formatCode>0.000_ </c:formatCode>
                <c:ptCount val="24"/>
                <c:pt idx="4">
                  <c:v>4.2826662949948968E-2</c:v>
                </c:pt>
                <c:pt idx="5">
                  <c:v>4.2826662949948968E-2</c:v>
                </c:pt>
              </c:numCache>
            </c:numRef>
          </c:val>
          <c:extLst>
            <c:ext xmlns:c16="http://schemas.microsoft.com/office/drawing/2014/chart" uri="{C3380CC4-5D6E-409C-BE32-E72D297353CC}">
              <c16:uniqueId val="{00000006-13CC-48B8-BE60-9F98779ED030}"/>
            </c:ext>
          </c:extLst>
        </c:ser>
        <c:ser>
          <c:idx val="7"/>
          <c:order val="7"/>
          <c:tx>
            <c:strRef>
              <c:f>'201'!$X$93</c:f>
              <c:strCache>
                <c:ptCount val="1"/>
                <c:pt idx="0">
                  <c:v>Stg.4 Shroud Step#20</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'201'!$X$95:$X$118</c:f>
              <c:numCache>
                <c:formatCode>0.000_ </c:formatCode>
                <c:ptCount val="24"/>
                <c:pt idx="5">
                  <c:v>-8.4613461510230081E-3</c:v>
                </c:pt>
                <c:pt idx="6">
                  <c:v>-8.4613461510230081E-3</c:v>
                </c:pt>
              </c:numCache>
            </c:numRef>
          </c:val>
          <c:extLst>
            <c:ext xmlns:c16="http://schemas.microsoft.com/office/drawing/2014/chart" uri="{C3380CC4-5D6E-409C-BE32-E72D297353CC}">
              <c16:uniqueId val="{00000007-13CC-48B8-BE60-9F98779ED030}"/>
            </c:ext>
          </c:extLst>
        </c:ser>
        <c:ser>
          <c:idx val="8"/>
          <c:order val="8"/>
          <c:tx>
            <c:strRef>
              <c:f>'201'!$Y$93</c:f>
              <c:strCache>
                <c:ptCount val="1"/>
                <c:pt idx="0">
                  <c:v>Stg.4 Shroud Step#19</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'201'!$Y$95:$Y$118</c:f>
              <c:numCache>
                <c:formatCode>0.000_ </c:formatCode>
                <c:ptCount val="24"/>
                <c:pt idx="6">
                  <c:v>-3.4232012259508338E-2</c:v>
                </c:pt>
                <c:pt idx="7">
                  <c:v>-3.4232012259508338E-2</c:v>
                </c:pt>
              </c:numCache>
            </c:numRef>
          </c:val>
          <c:extLst>
            <c:ext xmlns:c16="http://schemas.microsoft.com/office/drawing/2014/chart" uri="{C3380CC4-5D6E-409C-BE32-E72D297353CC}">
              <c16:uniqueId val="{00000008-13CC-48B8-BE60-9F98779ED030}"/>
            </c:ext>
          </c:extLst>
        </c:ser>
        <c:ser>
          <c:idx val="9"/>
          <c:order val="9"/>
          <c:tx>
            <c:strRef>
              <c:f>'201'!$Z$93</c:f>
              <c:strCache>
                <c:ptCount val="1"/>
                <c:pt idx="0">
                  <c:v>Stg.4 Shroud Step#18</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'201'!$Z$95:$Z$118</c:f>
              <c:numCache>
                <c:formatCode>0.000_ </c:formatCode>
                <c:ptCount val="24"/>
                <c:pt idx="7">
                  <c:v>-2.6946670401969186E-2</c:v>
                </c:pt>
                <c:pt idx="8">
                  <c:v>-2.6946670401969186E-2</c:v>
                </c:pt>
              </c:numCache>
            </c:numRef>
          </c:val>
          <c:extLst>
            <c:ext xmlns:c16="http://schemas.microsoft.com/office/drawing/2014/chart" uri="{C3380CC4-5D6E-409C-BE32-E72D297353CC}">
              <c16:uniqueId val="{00000009-13CC-48B8-BE60-9F98779ED030}"/>
            </c:ext>
          </c:extLst>
        </c:ser>
        <c:ser>
          <c:idx val="10"/>
          <c:order val="10"/>
          <c:tx>
            <c:strRef>
              <c:f>'201'!$AA$93</c:f>
              <c:strCache>
                <c:ptCount val="1"/>
                <c:pt idx="0">
                  <c:v>Stg.4 Shroud Step#17</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'201'!$AA$95:$AA$118</c:f>
              <c:numCache>
                <c:formatCode>0.000_ </c:formatCode>
                <c:ptCount val="24"/>
                <c:pt idx="8">
                  <c:v>-9.0240011972468892E-3</c:v>
                </c:pt>
                <c:pt idx="9">
                  <c:v>-9.0240011972468892E-3</c:v>
                </c:pt>
              </c:numCache>
            </c:numRef>
          </c:val>
          <c:extLst>
            <c:ext xmlns:c16="http://schemas.microsoft.com/office/drawing/2014/chart" uri="{C3380CC4-5D6E-409C-BE32-E72D297353CC}">
              <c16:uniqueId val="{0000000A-13CC-48B8-BE60-9F98779ED030}"/>
            </c:ext>
          </c:extLst>
        </c:ser>
        <c:ser>
          <c:idx val="11"/>
          <c:order val="11"/>
          <c:tx>
            <c:strRef>
              <c:f>'201'!$AB$93</c:f>
              <c:strCache>
                <c:ptCount val="1"/>
                <c:pt idx="0">
                  <c:v>Stg.4 Shroud Step#16</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'201'!$AB$95:$AB$118</c:f>
              <c:numCache>
                <c:formatCode>0.000_ </c:formatCode>
                <c:ptCount val="24"/>
                <c:pt idx="9">
                  <c:v>1.7279998802735008E-2</c:v>
                </c:pt>
                <c:pt idx="10">
                  <c:v>1.7279998802735008E-2</c:v>
                </c:pt>
              </c:numCache>
            </c:numRef>
          </c:val>
          <c:extLst>
            <c:ext xmlns:c16="http://schemas.microsoft.com/office/drawing/2014/chart" uri="{C3380CC4-5D6E-409C-BE32-E72D297353CC}">
              <c16:uniqueId val="{0000000B-13CC-48B8-BE60-9F98779ED030}"/>
            </c:ext>
          </c:extLst>
        </c:ser>
        <c:ser>
          <c:idx val="12"/>
          <c:order val="12"/>
          <c:tx>
            <c:strRef>
              <c:f>'201'!$AC$93</c:f>
              <c:strCache>
                <c:ptCount val="1"/>
                <c:pt idx="0">
                  <c:v>Stg.4 Shroud Step#15</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'201'!$AC$95:$AC$118</c:f>
              <c:numCache>
                <c:formatCode>0.000_ </c:formatCode>
                <c:ptCount val="24"/>
                <c:pt idx="10">
                  <c:v>3.883200107753737E-2</c:v>
                </c:pt>
                <c:pt idx="11">
                  <c:v>3.883200107753737E-2</c:v>
                </c:pt>
              </c:numCache>
            </c:numRef>
          </c:val>
          <c:extLst>
            <c:ext xmlns:c16="http://schemas.microsoft.com/office/drawing/2014/chart" uri="{C3380CC4-5D6E-409C-BE32-E72D297353CC}">
              <c16:uniqueId val="{0000000C-13CC-48B8-BE60-9F98779ED030}"/>
            </c:ext>
          </c:extLst>
        </c:ser>
        <c:ser>
          <c:idx val="13"/>
          <c:order val="13"/>
          <c:tx>
            <c:strRef>
              <c:f>'201'!$AD$93</c:f>
              <c:strCache>
                <c:ptCount val="1"/>
                <c:pt idx="0">
                  <c:v>Stg.4 Shroud Step#14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'201'!$AD$95:$AD$118</c:f>
              <c:numCache>
                <c:formatCode>0.000_ </c:formatCode>
                <c:ptCount val="24"/>
                <c:pt idx="11">
                  <c:v>4.485600670130907E-2</c:v>
                </c:pt>
                <c:pt idx="12">
                  <c:v>4.485600670130907E-2</c:v>
                </c:pt>
              </c:numCache>
            </c:numRef>
          </c:val>
          <c:extLst>
            <c:ext xmlns:c16="http://schemas.microsoft.com/office/drawing/2014/chart" uri="{C3380CC4-5D6E-409C-BE32-E72D297353CC}">
              <c16:uniqueId val="{0000000D-13CC-48B8-BE60-9F98779ED030}"/>
            </c:ext>
          </c:extLst>
        </c:ser>
        <c:ser>
          <c:idx val="14"/>
          <c:order val="14"/>
          <c:tx>
            <c:strRef>
              <c:f>'201'!$AE$93</c:f>
              <c:strCache>
                <c:ptCount val="1"/>
                <c:pt idx="0">
                  <c:v>Stg.4 Shroud Step#13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'201'!$AE$95:$AE$118</c:f>
              <c:numCache>
                <c:formatCode>0.000_ </c:formatCode>
                <c:ptCount val="24"/>
                <c:pt idx="12">
                  <c:v>3.3328006100987295E-2</c:v>
                </c:pt>
                <c:pt idx="13">
                  <c:v>3.3328006100987295E-2</c:v>
                </c:pt>
              </c:numCache>
            </c:numRef>
          </c:val>
          <c:extLst>
            <c:ext xmlns:c16="http://schemas.microsoft.com/office/drawing/2014/chart" uri="{C3380CC4-5D6E-409C-BE32-E72D297353CC}">
              <c16:uniqueId val="{0000000E-13CC-48B8-BE60-9F98779ED030}"/>
            </c:ext>
          </c:extLst>
        </c:ser>
        <c:ser>
          <c:idx val="15"/>
          <c:order val="15"/>
          <c:tx>
            <c:strRef>
              <c:f>'201'!$AF$93</c:f>
              <c:strCache>
                <c:ptCount val="1"/>
                <c:pt idx="0">
                  <c:v>Stg.4 Shroud Step#12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'201'!$AF$95:$AF$118</c:f>
              <c:numCache>
                <c:formatCode>0.000_ </c:formatCode>
                <c:ptCount val="24"/>
                <c:pt idx="13">
                  <c:v>1.574396549017365E-2</c:v>
                </c:pt>
                <c:pt idx="14">
                  <c:v>1.574396549017365E-2</c:v>
                </c:pt>
              </c:numCache>
            </c:numRef>
          </c:val>
          <c:extLst>
            <c:ext xmlns:c16="http://schemas.microsoft.com/office/drawing/2014/chart" uri="{C3380CC4-5D6E-409C-BE32-E72D297353CC}">
              <c16:uniqueId val="{0000000F-13CC-48B8-BE60-9F98779ED030}"/>
            </c:ext>
          </c:extLst>
        </c:ser>
        <c:ser>
          <c:idx val="16"/>
          <c:order val="16"/>
          <c:tx>
            <c:strRef>
              <c:f>'201'!$AG$93</c:f>
              <c:strCache>
                <c:ptCount val="1"/>
                <c:pt idx="0">
                  <c:v>Stg.4 Shroud Step#11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'201'!$AG$95:$AG$118</c:f>
              <c:numCache>
                <c:formatCode>0.000_ </c:formatCode>
                <c:ptCount val="24"/>
                <c:pt idx="14">
                  <c:v>6.9918773501171927E-3</c:v>
                </c:pt>
                <c:pt idx="15">
                  <c:v>6.9918773501171927E-3</c:v>
                </c:pt>
              </c:numCache>
            </c:numRef>
          </c:val>
          <c:extLst>
            <c:ext xmlns:c16="http://schemas.microsoft.com/office/drawing/2014/chart" uri="{C3380CC4-5D6E-409C-BE32-E72D297353CC}">
              <c16:uniqueId val="{00000010-13CC-48B8-BE60-9F98779ED030}"/>
            </c:ext>
          </c:extLst>
        </c:ser>
        <c:ser>
          <c:idx val="17"/>
          <c:order val="17"/>
          <c:tx>
            <c:strRef>
              <c:f>'201'!$AH$93</c:f>
              <c:strCache>
                <c:ptCount val="1"/>
                <c:pt idx="0">
                  <c:v>Stg.4 Shroud Step#10</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'201'!$AH$95:$AH$118</c:f>
              <c:numCache>
                <c:formatCode>0.000_ </c:formatCode>
                <c:ptCount val="24"/>
                <c:pt idx="15">
                  <c:v>1.6823887007262783E-2</c:v>
                </c:pt>
                <c:pt idx="16">
                  <c:v>1.6823887007262783E-2</c:v>
                </c:pt>
              </c:numCache>
            </c:numRef>
          </c:val>
          <c:extLst>
            <c:ext xmlns:c16="http://schemas.microsoft.com/office/drawing/2014/chart" uri="{C3380CC4-5D6E-409C-BE32-E72D297353CC}">
              <c16:uniqueId val="{00000011-13CC-48B8-BE60-9F98779ED030}"/>
            </c:ext>
          </c:extLst>
        </c:ser>
        <c:ser>
          <c:idx val="18"/>
          <c:order val="18"/>
          <c:tx>
            <c:strRef>
              <c:f>'201'!$AI$93</c:f>
              <c:strCache>
                <c:ptCount val="1"/>
                <c:pt idx="0">
                  <c:v>Stg.4 Shroud Step#9</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'201'!$AI$95:$AI$118</c:f>
              <c:numCache>
                <c:formatCode>0.000_ </c:formatCode>
                <c:ptCount val="24"/>
                <c:pt idx="16">
                  <c:v>3.4679973375148165E-2</c:v>
                </c:pt>
                <c:pt idx="17">
                  <c:v>3.4679973375148165E-2</c:v>
                </c:pt>
              </c:numCache>
            </c:numRef>
          </c:val>
          <c:extLst>
            <c:ext xmlns:c16="http://schemas.microsoft.com/office/drawing/2014/chart" uri="{C3380CC4-5D6E-409C-BE32-E72D297353CC}">
              <c16:uniqueId val="{00000012-13CC-48B8-BE60-9F98779ED030}"/>
            </c:ext>
          </c:extLst>
        </c:ser>
        <c:ser>
          <c:idx val="19"/>
          <c:order val="19"/>
          <c:tx>
            <c:strRef>
              <c:f>'201'!$AJ$93</c:f>
              <c:strCache>
                <c:ptCount val="1"/>
                <c:pt idx="0">
                  <c:v>Stg.4 Shroud Step#8</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'201'!$AJ$95:$AJ$118</c:f>
              <c:numCache>
                <c:formatCode>0.000_ </c:formatCode>
                <c:ptCount val="24"/>
                <c:pt idx="17">
                  <c:v>4.1489330925458034E-2</c:v>
                </c:pt>
                <c:pt idx="18">
                  <c:v>4.1489330925458034E-2</c:v>
                </c:pt>
              </c:numCache>
            </c:numRef>
          </c:val>
          <c:extLst>
            <c:ext xmlns:c16="http://schemas.microsoft.com/office/drawing/2014/chart" uri="{C3380CC4-5D6E-409C-BE32-E72D297353CC}">
              <c16:uniqueId val="{00000013-13CC-48B8-BE60-9F98779ED030}"/>
            </c:ext>
          </c:extLst>
        </c:ser>
        <c:ser>
          <c:idx val="20"/>
          <c:order val="20"/>
          <c:tx>
            <c:strRef>
              <c:f>'201'!$AK$93</c:f>
              <c:strCache>
                <c:ptCount val="1"/>
                <c:pt idx="0">
                  <c:v>Stg.4 Shroud Step#7</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'201'!$AK$95:$AK$118</c:f>
              <c:numCache>
                <c:formatCode>0.000_ </c:formatCode>
                <c:ptCount val="24"/>
                <c:pt idx="18">
                  <c:v>3.8775997774166626E-2</c:v>
                </c:pt>
                <c:pt idx="19">
                  <c:v>3.8775997774166626E-2</c:v>
                </c:pt>
              </c:numCache>
            </c:numRef>
          </c:val>
          <c:extLst>
            <c:ext xmlns:c16="http://schemas.microsoft.com/office/drawing/2014/chart" uri="{C3380CC4-5D6E-409C-BE32-E72D297353CC}">
              <c16:uniqueId val="{00000014-13CC-48B8-BE60-9F98779ED030}"/>
            </c:ext>
          </c:extLst>
        </c:ser>
        <c:ser>
          <c:idx val="21"/>
          <c:order val="21"/>
          <c:tx>
            <c:strRef>
              <c:f>'201'!$AL$93</c:f>
              <c:strCache>
                <c:ptCount val="1"/>
                <c:pt idx="0">
                  <c:v>Stg.4 Shroud Step#6</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'201'!$AL$95:$AL$118</c:f>
              <c:numCache>
                <c:formatCode>0.000_ </c:formatCode>
                <c:ptCount val="24"/>
                <c:pt idx="19">
                  <c:v>2.2226668193241039E-2</c:v>
                </c:pt>
                <c:pt idx="20">
                  <c:v>2.2226668193241039E-2</c:v>
                </c:pt>
              </c:numCache>
            </c:numRef>
          </c:val>
          <c:extLst>
            <c:ext xmlns:c16="http://schemas.microsoft.com/office/drawing/2014/chart" uri="{C3380CC4-5D6E-409C-BE32-E72D297353CC}">
              <c16:uniqueId val="{00000015-13CC-48B8-BE60-9F98779ED030}"/>
            </c:ext>
          </c:extLst>
        </c:ser>
        <c:ser>
          <c:idx val="22"/>
          <c:order val="22"/>
          <c:tx>
            <c:strRef>
              <c:f>'201'!$AM$93</c:f>
              <c:strCache>
                <c:ptCount val="1"/>
                <c:pt idx="0">
                  <c:v>Stg.4 Shroud Step#5</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'201'!$AM$95:$AM$118</c:f>
              <c:numCache>
                <c:formatCode>0.000_ </c:formatCode>
                <c:ptCount val="24"/>
                <c:pt idx="20">
                  <c:v>-8.6506594797697289E-3</c:v>
                </c:pt>
                <c:pt idx="21">
                  <c:v>-8.6506594797697289E-3</c:v>
                </c:pt>
              </c:numCache>
            </c:numRef>
          </c:val>
          <c:extLst>
            <c:ext xmlns:c16="http://schemas.microsoft.com/office/drawing/2014/chart" uri="{C3380CC4-5D6E-409C-BE32-E72D297353CC}">
              <c16:uniqueId val="{00000016-13CC-48B8-BE60-9F98779ED030}"/>
            </c:ext>
          </c:extLst>
        </c:ser>
        <c:ser>
          <c:idx val="23"/>
          <c:order val="23"/>
          <c:tx>
            <c:strRef>
              <c:f>'201'!$AN$93</c:f>
              <c:strCache>
                <c:ptCount val="1"/>
                <c:pt idx="0">
                  <c:v>Stg.4 Shroud Step#4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'201'!$AN$95:$AN$118</c:f>
              <c:numCache>
                <c:formatCode>0.000_ </c:formatCode>
                <c:ptCount val="24"/>
                <c:pt idx="21">
                  <c:v>-2.4311992079731226E-2</c:v>
                </c:pt>
                <c:pt idx="22">
                  <c:v>-2.4311992079731226E-2</c:v>
                </c:pt>
              </c:numCache>
            </c:numRef>
          </c:val>
          <c:extLst>
            <c:ext xmlns:c16="http://schemas.microsoft.com/office/drawing/2014/chart" uri="{C3380CC4-5D6E-409C-BE32-E72D297353CC}">
              <c16:uniqueId val="{00000017-13CC-48B8-BE60-9F98779ED030}"/>
            </c:ext>
          </c:extLst>
        </c:ser>
        <c:ser>
          <c:idx val="24"/>
          <c:order val="24"/>
          <c:tx>
            <c:strRef>
              <c:f>'201'!$AO$93</c:f>
              <c:strCache>
                <c:ptCount val="1"/>
                <c:pt idx="0">
                  <c:v>Stg.4 Shroud Step#3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'201'!$AO$95:$AO$118</c:f>
              <c:numCache>
                <c:formatCode>0.000_ </c:formatCode>
                <c:ptCount val="24"/>
                <c:pt idx="22">
                  <c:v>-1.1389331538453007E-2</c:v>
                </c:pt>
                <c:pt idx="23">
                  <c:v>-1.1389331538453007E-2</c:v>
                </c:pt>
              </c:numCache>
            </c:numRef>
          </c:val>
          <c:extLst>
            <c:ext xmlns:c16="http://schemas.microsoft.com/office/drawing/2014/chart" uri="{C3380CC4-5D6E-409C-BE32-E72D297353CC}">
              <c16:uniqueId val="{00000018-13CC-48B8-BE60-9F98779ED030}"/>
            </c:ext>
          </c:extLst>
        </c:ser>
        <c:ser>
          <c:idx val="25"/>
          <c:order val="25"/>
          <c:tx>
            <c:strRef>
              <c:f>'201'!$AP$93</c:f>
              <c:strCache>
                <c:ptCount val="1"/>
                <c:pt idx="0">
                  <c:v>Stg.4 Shroud Step#2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'201'!$AP$95:$AP$118</c:f>
              <c:numCache>
                <c:formatCode>0.000_ </c:formatCode>
                <c:ptCount val="24"/>
                <c:pt idx="0">
                  <c:v>5.2519976285907433E-3</c:v>
                </c:pt>
                <c:pt idx="23">
                  <c:v>5.2519976285907433E-3</c:v>
                </c:pt>
              </c:numCache>
            </c:numRef>
          </c:val>
          <c:extLst>
            <c:ext xmlns:c16="http://schemas.microsoft.com/office/drawing/2014/chart" uri="{C3380CC4-5D6E-409C-BE32-E72D297353CC}">
              <c16:uniqueId val="{00000019-13CC-48B8-BE60-9F98779ED030}"/>
            </c:ext>
          </c:extLst>
        </c:ser>
        <c:dLbls>
          <c:showLegendKey val="0"/>
          <c:showVal val="0"/>
          <c:showCatName val="0"/>
          <c:showSerName val="0"/>
          <c:showPercent val="0"/>
          <c:showBubbleSize val="0"/>
        </c:dLbls>
        <c:axId val="178394624"/>
        <c:axId val="178340992"/>
      </c:radarChart>
      <c:catAx>
        <c:axId val="17839462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8340992"/>
        <c:crosses val="autoZero"/>
        <c:auto val="1"/>
        <c:lblAlgn val="ctr"/>
        <c:lblOffset val="100"/>
        <c:noMultiLvlLbl val="0"/>
      </c:catAx>
      <c:valAx>
        <c:axId val="178340992"/>
        <c:scaling>
          <c:orientation val="minMax"/>
          <c:max val="0.1"/>
          <c:min val="-0.1"/>
        </c:scaling>
        <c:delete val="0"/>
        <c:axPos val="l"/>
        <c:majorGridlines/>
        <c:numFmt formatCode="General" sourceLinked="1"/>
        <c:majorTickMark val="cross"/>
        <c:minorTickMark val="none"/>
        <c:tickLblPos val="nextTo"/>
        <c:txPr>
          <a:bodyPr/>
          <a:lstStyle/>
          <a:p>
            <a:pPr>
              <a:defRPr lang="ja-JP"/>
            </a:pPr>
            <a:endParaRPr lang="en-US"/>
          </a:p>
        </c:txPr>
        <c:crossAx val="178394624"/>
        <c:crosses val="autoZero"/>
        <c:crossBetween val="between"/>
      </c:valAx>
    </c:plotArea>
    <c:legend>
      <c:legendPos val="r"/>
      <c:layout>
        <c:manualLayout>
          <c:xMode val="edge"/>
          <c:yMode val="edge"/>
          <c:x val="0.7560631385983716"/>
          <c:y val="0"/>
          <c:w val="0.23273686234231078"/>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'246+avg2.03'!$K$9</c:f>
              <c:strCache>
                <c:ptCount val="1"/>
                <c:pt idx="0">
                  <c:v>CMM</c:v>
                </c:pt>
              </c:strCache>
            </c:strRef>
          </c:tx>
          <c:marker>
            <c:symbol val="none"/>
          </c:marker>
          <c:cat>
            <c:numRef>
              <c:f>'246+avg2.03'!$J$11:$J$26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'246+avg2.03'!$K$11:$K$26</c:f>
              <c:numCache>
                <c:formatCode>General</c:formatCode>
                <c:ptCount val="16"/>
                <c:pt idx="0">
                  <c:v>419.65400000119729</c:v>
                </c:pt>
                <c:pt idx="1">
                  <c:v>419.69200000119707</c:v>
                </c:pt>
                <c:pt idx="2">
                  <c:v>419.69300000478853</c:v>
                </c:pt>
                <c:pt idx="3">
                  <c:v>419.66600001915543</c:v>
                </c:pt>
                <c:pt idx="4">
                  <c:v>419.66700000119721</c:v>
                </c:pt>
                <c:pt idx="5">
                  <c:v>419.68800000119711</c:v>
                </c:pt>
                <c:pt idx="6">
                  <c:v>419.67200000119715</c:v>
                </c:pt>
                <c:pt idx="7">
                  <c:v>419.67899999999997</c:v>
                </c:pt>
                <c:pt idx="8">
                  <c:v>419.63600000119726</c:v>
                </c:pt>
                <c:pt idx="9">
                  <c:v>419.60100020236081</c:v>
                </c:pt>
                <c:pt idx="10">
                  <c:v>419.65400000119729</c:v>
                </c:pt>
                <c:pt idx="11">
                  <c:v>419.73800000478803</c:v>
                </c:pt>
                <c:pt idx="12">
                  <c:v>419.74000000119696</c:v>
                </c:pt>
                <c:pt idx="13">
                  <c:v>419.68399999999997</c:v>
                </c:pt>
                <c:pt idx="14">
                  <c:v>419.59000000119744</c:v>
                </c:pt>
                <c:pt idx="15">
                  <c:v>419.59000001077686</c:v>
                </c:pt>
              </c:numCache>
            </c:numRef>
          </c:val>
          <c:extLst>
            <c:ext xmlns:c16="http://schemas.microsoft.com/office/drawing/2014/chart" uri="{C3380CC4-5D6E-409C-BE32-E72D297353CC}">
              <c16:uniqueId val="{00000000-0220-4433-B520-6503EA9511DF}"/>
            </c:ext>
          </c:extLst>
        </c:ser>
        <c:ser>
          <c:idx val="1"/>
          <c:order val="1"/>
          <c:tx>
            <c:strRef>
              <c:f>'246+avg2.03'!$L$9</c:f>
              <c:strCache>
                <c:ptCount val="1"/>
                <c:pt idx="0">
                  <c:v>Dwg Min</c:v>
                </c:pt>
              </c:strCache>
            </c:strRef>
          </c:tx>
          <c:spPr>
            <a:ln>
              <a:prstDash val="dash"/>
            </a:ln>
          </c:spPr>
          <c:marker>
            <c:symbol val="none"/>
          </c:marker>
          <c:val>
            <c:numRef>
              <c:f>'246+avg2.03'!$L$11:$L$26</c:f>
              <c:numCache>
                <c:formatCode>General</c:formatCode>
                <c:ptCount val="16"/>
                <c:pt idx="0">
                  <c:v>419.488</c:v>
                </c:pt>
                <c:pt idx="1">
                  <c:v>419.488</c:v>
                </c:pt>
                <c:pt idx="2">
                  <c:v>419.488</c:v>
                </c:pt>
                <c:pt idx="3">
                  <c:v>419.488</c:v>
                </c:pt>
                <c:pt idx="4">
                  <c:v>419.488</c:v>
                </c:pt>
                <c:pt idx="5">
                  <c:v>419.488</c:v>
                </c:pt>
                <c:pt idx="6">
                  <c:v>419.488</c:v>
                </c:pt>
                <c:pt idx="7">
                  <c:v>419.488</c:v>
                </c:pt>
                <c:pt idx="8">
                  <c:v>419.488</c:v>
                </c:pt>
                <c:pt idx="9">
                  <c:v>419.488</c:v>
                </c:pt>
                <c:pt idx="10">
                  <c:v>419.488</c:v>
                </c:pt>
                <c:pt idx="11">
                  <c:v>419.488</c:v>
                </c:pt>
                <c:pt idx="12">
                  <c:v>419.488</c:v>
                </c:pt>
                <c:pt idx="13">
                  <c:v>419.488</c:v>
                </c:pt>
                <c:pt idx="14">
                  <c:v>419.488</c:v>
                </c:pt>
                <c:pt idx="15">
                  <c:v>419.488</c:v>
                </c:pt>
              </c:numCache>
            </c:numRef>
          </c:val>
          <c:extLst>
            <c:ext xmlns:c16="http://schemas.microsoft.com/office/drawing/2014/chart" uri="{C3380CC4-5D6E-409C-BE32-E72D297353CC}">
              <c16:uniqueId val="{00000001-0220-4433-B520-6503EA9511DF}"/>
            </c:ext>
          </c:extLst>
        </c:ser>
        <c:ser>
          <c:idx val="2"/>
          <c:order val="2"/>
          <c:tx>
            <c:strRef>
              <c:f>'246+avg2.03'!$M$9</c:f>
              <c:strCache>
                <c:ptCount val="1"/>
                <c:pt idx="0">
                  <c:v>Dwg Max</c:v>
                </c:pt>
              </c:strCache>
            </c:strRef>
          </c:tx>
          <c:spPr>
            <a:ln>
              <a:prstDash val="dash"/>
            </a:ln>
          </c:spPr>
          <c:marker>
            <c:symbol val="none"/>
          </c:marker>
          <c:val>
            <c:numRef>
              <c:f>'246+avg2.03'!$M$11:$M$26</c:f>
              <c:numCache>
                <c:formatCode>General</c:formatCode>
                <c:ptCount val="16"/>
                <c:pt idx="0">
                  <c:v>419.81199999999995</c:v>
                </c:pt>
                <c:pt idx="1">
                  <c:v>419.81199999999995</c:v>
                </c:pt>
                <c:pt idx="2">
                  <c:v>419.81199999999995</c:v>
                </c:pt>
                <c:pt idx="3">
                  <c:v>419.81199999999995</c:v>
                </c:pt>
                <c:pt idx="4">
                  <c:v>419.81199999999995</c:v>
                </c:pt>
                <c:pt idx="5">
                  <c:v>419.81199999999995</c:v>
                </c:pt>
                <c:pt idx="6">
                  <c:v>419.81199999999995</c:v>
                </c:pt>
                <c:pt idx="7">
                  <c:v>419.81199999999995</c:v>
                </c:pt>
                <c:pt idx="8">
                  <c:v>419.81199999999995</c:v>
                </c:pt>
                <c:pt idx="9">
                  <c:v>419.81199999999995</c:v>
                </c:pt>
                <c:pt idx="10">
                  <c:v>419.81199999999995</c:v>
                </c:pt>
                <c:pt idx="11">
                  <c:v>419.81199999999995</c:v>
                </c:pt>
                <c:pt idx="12">
                  <c:v>419.81199999999995</c:v>
                </c:pt>
                <c:pt idx="13">
                  <c:v>419.81199999999995</c:v>
                </c:pt>
                <c:pt idx="14">
                  <c:v>419.81199999999995</c:v>
                </c:pt>
                <c:pt idx="15">
                  <c:v>419.81199999999995</c:v>
                </c:pt>
              </c:numCache>
            </c:numRef>
          </c:val>
          <c:extLst>
            <c:ext xmlns:c16="http://schemas.microsoft.com/office/drawing/2014/chart" uri="{C3380CC4-5D6E-409C-BE32-E72D297353CC}">
              <c16:uniqueId val="{00000002-0220-4433-B520-6503EA9511DF}"/>
            </c:ext>
          </c:extLst>
        </c:ser>
        <c:dLbls>
          <c:showLegendKey val="0"/>
          <c:showVal val="0"/>
          <c:showCatName val="0"/>
          <c:showSerName val="0"/>
          <c:showPercent val="0"/>
          <c:showBubbleSize val="0"/>
        </c:dLbls>
        <c:axId val="171047168"/>
        <c:axId val="171586688"/>
      </c:radarChart>
      <c:catAx>
        <c:axId val="17104716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1586688"/>
        <c:crosses val="autoZero"/>
        <c:auto val="1"/>
        <c:lblAlgn val="ctr"/>
        <c:lblOffset val="100"/>
        <c:noMultiLvlLbl val="0"/>
      </c:catAx>
      <c:valAx>
        <c:axId val="17158668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047168"/>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'246+avg2.03'!$AQ$34</c:f>
              <c:strCache>
                <c:ptCount val="1"/>
                <c:pt idx="0">
                  <c:v>LPT Case Hook R Min</c:v>
                </c:pt>
              </c:strCache>
            </c:strRef>
          </c:tx>
          <c:spPr>
            <a:ln w="28575">
              <a:prstDash val="dash"/>
            </a:ln>
          </c:spPr>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'246+avg2.03'!$AQ$36:$AQ$59</c:f>
              <c:numCache>
                <c:formatCode>General</c:formatCode>
                <c:ptCount val="24"/>
                <c:pt idx="0">
                  <c:v>419.488</c:v>
                </c:pt>
                <c:pt idx="1">
                  <c:v>419.488</c:v>
                </c:pt>
                <c:pt idx="2">
                  <c:v>419.488</c:v>
                </c:pt>
                <c:pt idx="3">
                  <c:v>419.488</c:v>
                </c:pt>
                <c:pt idx="4">
                  <c:v>419.488</c:v>
                </c:pt>
                <c:pt idx="5">
                  <c:v>419.488</c:v>
                </c:pt>
                <c:pt idx="6">
                  <c:v>419.488</c:v>
                </c:pt>
                <c:pt idx="7">
                  <c:v>419.488</c:v>
                </c:pt>
                <c:pt idx="8">
                  <c:v>419.488</c:v>
                </c:pt>
                <c:pt idx="9">
                  <c:v>419.488</c:v>
                </c:pt>
                <c:pt idx="10">
                  <c:v>419.488</c:v>
                </c:pt>
                <c:pt idx="11">
                  <c:v>419.488</c:v>
                </c:pt>
                <c:pt idx="12">
                  <c:v>419.488</c:v>
                </c:pt>
                <c:pt idx="13">
                  <c:v>419.488</c:v>
                </c:pt>
                <c:pt idx="14">
                  <c:v>419.488</c:v>
                </c:pt>
                <c:pt idx="15">
                  <c:v>419.488</c:v>
                </c:pt>
                <c:pt idx="16">
                  <c:v>419.488</c:v>
                </c:pt>
                <c:pt idx="17">
                  <c:v>419.488</c:v>
                </c:pt>
                <c:pt idx="18">
                  <c:v>419.488</c:v>
                </c:pt>
                <c:pt idx="19">
                  <c:v>419.488</c:v>
                </c:pt>
                <c:pt idx="20">
                  <c:v>419.488</c:v>
                </c:pt>
                <c:pt idx="21">
                  <c:v>419.488</c:v>
                </c:pt>
                <c:pt idx="22">
                  <c:v>419.488</c:v>
                </c:pt>
                <c:pt idx="23">
                  <c:v>419.488</c:v>
                </c:pt>
              </c:numCache>
            </c:numRef>
          </c:val>
          <c:extLst>
            <c:ext xmlns:c16="http://schemas.microsoft.com/office/drawing/2014/chart" uri="{C3380CC4-5D6E-409C-BE32-E72D297353CC}">
              <c16:uniqueId val="{00000000-BB04-477D-96C3-29C0AC73B8B7}"/>
            </c:ext>
          </c:extLst>
        </c:ser>
        <c:ser>
          <c:idx val="1"/>
          <c:order val="1"/>
          <c:tx>
            <c:strRef>
              <c:f>'246+avg2.03'!$AR$34</c:f>
              <c:strCache>
                <c:ptCount val="1"/>
                <c:pt idx="0">
                  <c:v>LPT Case Hook R Max</c:v>
                </c:pt>
              </c:strCache>
            </c:strRef>
          </c:tx>
          <c:spPr>
            <a:ln w="28575">
              <a:prstDash val="dash"/>
            </a:ln>
          </c:spPr>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'246+avg2.03'!$AR$36:$AR$59</c:f>
              <c:numCache>
                <c:formatCode>General</c:formatCode>
                <c:ptCount val="24"/>
                <c:pt idx="0">
                  <c:v>419.81199999999995</c:v>
                </c:pt>
                <c:pt idx="1">
                  <c:v>419.81199999999995</c:v>
                </c:pt>
                <c:pt idx="2">
                  <c:v>419.81199999999995</c:v>
                </c:pt>
                <c:pt idx="3">
                  <c:v>419.81199999999995</c:v>
                </c:pt>
                <c:pt idx="4">
                  <c:v>419.81199999999995</c:v>
                </c:pt>
                <c:pt idx="5">
                  <c:v>419.81199999999995</c:v>
                </c:pt>
                <c:pt idx="6">
                  <c:v>419.81199999999995</c:v>
                </c:pt>
                <c:pt idx="7">
                  <c:v>419.81199999999995</c:v>
                </c:pt>
                <c:pt idx="8">
                  <c:v>419.81199999999995</c:v>
                </c:pt>
                <c:pt idx="9">
                  <c:v>419.81199999999995</c:v>
                </c:pt>
                <c:pt idx="10">
                  <c:v>419.81199999999995</c:v>
                </c:pt>
                <c:pt idx="11">
                  <c:v>419.81199999999995</c:v>
                </c:pt>
                <c:pt idx="12">
                  <c:v>419.81199999999995</c:v>
                </c:pt>
                <c:pt idx="13">
                  <c:v>419.81199999999995</c:v>
                </c:pt>
                <c:pt idx="14">
                  <c:v>419.81199999999995</c:v>
                </c:pt>
                <c:pt idx="15">
                  <c:v>419.81199999999995</c:v>
                </c:pt>
                <c:pt idx="16">
                  <c:v>419.81199999999995</c:v>
                </c:pt>
                <c:pt idx="17">
                  <c:v>419.81199999999995</c:v>
                </c:pt>
                <c:pt idx="18">
                  <c:v>419.81199999999995</c:v>
                </c:pt>
                <c:pt idx="19">
                  <c:v>419.81199999999995</c:v>
                </c:pt>
                <c:pt idx="20">
                  <c:v>419.81199999999995</c:v>
                </c:pt>
                <c:pt idx="21">
                  <c:v>419.81199999999995</c:v>
                </c:pt>
                <c:pt idx="22">
                  <c:v>419.81199999999995</c:v>
                </c:pt>
                <c:pt idx="23">
                  <c:v>419.81199999999995</c:v>
                </c:pt>
              </c:numCache>
            </c:numRef>
          </c:val>
          <c:extLst>
            <c:ext xmlns:c16="http://schemas.microsoft.com/office/drawing/2014/chart" uri="{C3380CC4-5D6E-409C-BE32-E72D297353CC}">
              <c16:uniqueId val="{00000001-BB04-477D-96C3-29C0AC73B8B7}"/>
            </c:ext>
          </c:extLst>
        </c:ser>
        <c:ser>
          <c:idx val="2"/>
          <c:order val="2"/>
          <c:tx>
            <c:strRef>
              <c:f>'246+avg2.03'!$S$34</c:f>
              <c:strCache>
                <c:ptCount val="1"/>
                <c:pt idx="0">
                  <c:v>Stg.4 Shroud Fwd#1</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'246+avg2.03'!$S$36:$S$59</c:f>
              <c:numCache>
                <c:formatCode>0.000</c:formatCode>
                <c:ptCount val="24"/>
                <c:pt idx="0">
                  <c:v>419.61457600709832</c:v>
                </c:pt>
                <c:pt idx="1">
                  <c:v>419.61457600709832</c:v>
                </c:pt>
              </c:numCache>
            </c:numRef>
          </c:val>
          <c:extLst>
            <c:ext xmlns:c16="http://schemas.microsoft.com/office/drawing/2014/chart" uri="{C3380CC4-5D6E-409C-BE32-E72D297353CC}">
              <c16:uniqueId val="{00000002-BB04-477D-96C3-29C0AC73B8B7}"/>
            </c:ext>
          </c:extLst>
        </c:ser>
        <c:ser>
          <c:idx val="3"/>
          <c:order val="3"/>
          <c:tx>
            <c:strRef>
              <c:f>'246+avg2.03'!$T$34</c:f>
              <c:strCache>
                <c:ptCount val="1"/>
                <c:pt idx="0">
                  <c:v>Stg.4 Shroud Fwd#24</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'246+avg2.03'!$T$36:$T$59</c:f>
              <c:numCache>
                <c:formatCode>0.000</c:formatCode>
                <c:ptCount val="24"/>
                <c:pt idx="1">
                  <c:v>419.65225066921784</c:v>
                </c:pt>
                <c:pt idx="2">
                  <c:v>419.65225066921784</c:v>
                </c:pt>
              </c:numCache>
            </c:numRef>
          </c:val>
          <c:extLst>
            <c:ext xmlns:c16="http://schemas.microsoft.com/office/drawing/2014/chart" uri="{C3380CC4-5D6E-409C-BE32-E72D297353CC}">
              <c16:uniqueId val="{00000003-BB04-477D-96C3-29C0AC73B8B7}"/>
            </c:ext>
          </c:extLst>
        </c:ser>
        <c:ser>
          <c:idx val="4"/>
          <c:order val="4"/>
          <c:tx>
            <c:strRef>
              <c:f>'246+avg2.03'!$U$34</c:f>
              <c:strCache>
                <c:ptCount val="1"/>
                <c:pt idx="0">
                  <c:v>Stg.4 Shroud Fwd#23</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'246+avg2.03'!$U$36:$U$59</c:f>
              <c:numCache>
                <c:formatCode>General</c:formatCode>
                <c:ptCount val="24"/>
                <c:pt idx="2" formatCode="0.000">
                  <c:v>419.68032133462145</c:v>
                </c:pt>
                <c:pt idx="3" formatCode="0.000">
                  <c:v>419.68032133462145</c:v>
                </c:pt>
              </c:numCache>
            </c:numRef>
          </c:val>
          <c:extLst>
            <c:ext xmlns:c16="http://schemas.microsoft.com/office/drawing/2014/chart" uri="{C3380CC4-5D6E-409C-BE32-E72D297353CC}">
              <c16:uniqueId val="{00000004-BB04-477D-96C3-29C0AC73B8B7}"/>
            </c:ext>
          </c:extLst>
        </c:ser>
        <c:ser>
          <c:idx val="5"/>
          <c:order val="5"/>
          <c:tx>
            <c:strRef>
              <c:f>'246+avg2.03'!$V$34</c:f>
              <c:strCache>
                <c:ptCount val="1"/>
                <c:pt idx="0">
                  <c:v>Stg.4 Shroud Fwd#22</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'246+avg2.03'!$V$36:$V$59</c:f>
              <c:numCache>
                <c:formatCode>General</c:formatCode>
                <c:ptCount val="24"/>
                <c:pt idx="3" formatCode="0.000">
                  <c:v>419.6923840025762</c:v>
                </c:pt>
                <c:pt idx="4" formatCode="0.000">
                  <c:v>419.6923840025762</c:v>
                </c:pt>
              </c:numCache>
            </c:numRef>
          </c:val>
          <c:extLst>
            <c:ext xmlns:c16="http://schemas.microsoft.com/office/drawing/2014/chart" uri="{C3380CC4-5D6E-409C-BE32-E72D297353CC}">
              <c16:uniqueId val="{00000005-BB04-477D-96C3-29C0AC73B8B7}"/>
            </c:ext>
          </c:extLst>
        </c:ser>
        <c:ser>
          <c:idx val="6"/>
          <c:order val="6"/>
          <c:tx>
            <c:strRef>
              <c:f>'246+avg2.03'!$W$34</c:f>
              <c:strCache>
                <c:ptCount val="1"/>
                <c:pt idx="0">
                  <c:v>Stg.4 Shroud Fwd#21</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'246+avg2.03'!$W$36:$W$59</c:f>
              <c:numCache>
                <c:formatCode>General</c:formatCode>
                <c:ptCount val="24"/>
                <c:pt idx="4" formatCode="0.000">
                  <c:v>419.68767467370606</c:v>
                </c:pt>
                <c:pt idx="5" formatCode="0.000">
                  <c:v>419.68767467370606</c:v>
                </c:pt>
              </c:numCache>
            </c:numRef>
          </c:val>
          <c:extLst>
            <c:ext xmlns:c16="http://schemas.microsoft.com/office/drawing/2014/chart" uri="{C3380CC4-5D6E-409C-BE32-E72D297353CC}">
              <c16:uniqueId val="{00000006-BB04-477D-96C3-29C0AC73B8B7}"/>
            </c:ext>
          </c:extLst>
        </c:ser>
        <c:ser>
          <c:idx val="7"/>
          <c:order val="7"/>
          <c:tx>
            <c:strRef>
              <c:f>'246+avg2.03'!$X$34</c:f>
              <c:strCache>
                <c:ptCount val="1"/>
                <c:pt idx="0">
                  <c:v>Stg.4 Shroud Fwd#20</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'246+avg2.03'!$X$36:$X$59</c:f>
              <c:numCache>
                <c:formatCode>General</c:formatCode>
                <c:ptCount val="24"/>
                <c:pt idx="5" formatCode="0.000">
                  <c:v>419.67434134760879</c:v>
                </c:pt>
                <c:pt idx="6" formatCode="0.000">
                  <c:v>419.67434134760879</c:v>
                </c:pt>
              </c:numCache>
            </c:numRef>
          </c:val>
          <c:extLst>
            <c:ext xmlns:c16="http://schemas.microsoft.com/office/drawing/2014/chart" uri="{C3380CC4-5D6E-409C-BE32-E72D297353CC}">
              <c16:uniqueId val="{00000007-BB04-477D-96C3-29C0AC73B8B7}"/>
            </c:ext>
          </c:extLst>
        </c:ser>
        <c:ser>
          <c:idx val="8"/>
          <c:order val="8"/>
          <c:tx>
            <c:strRef>
              <c:f>'246+avg2.03'!$Y$34</c:f>
              <c:strCache>
                <c:ptCount val="1"/>
                <c:pt idx="0">
                  <c:v>Stg.4 Shroud Fwd#19</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'246+avg2.03'!$Y$36:$Y$59</c:f>
              <c:numCache>
                <c:formatCode>General</c:formatCode>
                <c:ptCount val="24"/>
                <c:pt idx="6" formatCode="0.000">
                  <c:v>419.66638401225947</c:v>
                </c:pt>
                <c:pt idx="7" formatCode="0.000">
                  <c:v>419.66638401225947</c:v>
                </c:pt>
              </c:numCache>
            </c:numRef>
          </c:val>
          <c:extLst>
            <c:ext xmlns:c16="http://schemas.microsoft.com/office/drawing/2014/chart" uri="{C3380CC4-5D6E-409C-BE32-E72D297353CC}">
              <c16:uniqueId val="{00000008-BB04-477D-96C3-29C0AC73B8B7}"/>
            </c:ext>
          </c:extLst>
        </c:ser>
        <c:ser>
          <c:idx val="9"/>
          <c:order val="9"/>
          <c:tx>
            <c:strRef>
              <c:f>'246+avg2.03'!$Z$34</c:f>
              <c:strCache>
                <c:ptCount val="1"/>
                <c:pt idx="0">
                  <c:v>Stg.4 Shroud Fwd#18</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'246+avg2.03'!$Z$36:$Z$59</c:f>
              <c:numCache>
                <c:formatCode>General</c:formatCode>
                <c:ptCount val="24"/>
                <c:pt idx="7" formatCode="0.000">
                  <c:v>419.67089067040195</c:v>
                </c:pt>
                <c:pt idx="8" formatCode="0.000">
                  <c:v>419.67089067040195</c:v>
                </c:pt>
              </c:numCache>
            </c:numRef>
          </c:val>
          <c:extLst>
            <c:ext xmlns:c16="http://schemas.microsoft.com/office/drawing/2014/chart" uri="{C3380CC4-5D6E-409C-BE32-E72D297353CC}">
              <c16:uniqueId val="{00000009-BB04-477D-96C3-29C0AC73B8B7}"/>
            </c:ext>
          </c:extLst>
        </c:ser>
        <c:ser>
          <c:idx val="10"/>
          <c:order val="10"/>
          <c:tx>
            <c:strRef>
              <c:f>'246+avg2.03'!$AA$34</c:f>
              <c:strCache>
                <c:ptCount val="1"/>
                <c:pt idx="0">
                  <c:v>Stg.4 Shroud Fwd#17</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'246+avg2.03'!$AA$36:$AA$59</c:f>
              <c:numCache>
                <c:formatCode>General</c:formatCode>
                <c:ptCount val="24"/>
                <c:pt idx="8" formatCode="0.000">
                  <c:v>419.68112666786385</c:v>
                </c:pt>
                <c:pt idx="9" formatCode="0.000">
                  <c:v>419.68112666786385</c:v>
                </c:pt>
              </c:numCache>
            </c:numRef>
          </c:val>
          <c:extLst>
            <c:ext xmlns:c16="http://schemas.microsoft.com/office/drawing/2014/chart" uri="{C3380CC4-5D6E-409C-BE32-E72D297353CC}">
              <c16:uniqueId val="{0000000A-BB04-477D-96C3-29C0AC73B8B7}"/>
            </c:ext>
          </c:extLst>
        </c:ser>
        <c:ser>
          <c:idx val="11"/>
          <c:order val="11"/>
          <c:tx>
            <c:strRef>
              <c:f>'246+avg2.03'!$AB$34</c:f>
              <c:strCache>
                <c:ptCount val="1"/>
                <c:pt idx="0">
                  <c:v>Stg.4 Shroud Fwd#16</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'246+avg2.03'!$AB$36:$AB$59</c:f>
              <c:numCache>
                <c:formatCode>General</c:formatCode>
                <c:ptCount val="24"/>
                <c:pt idx="9" formatCode="0.000">
                  <c:v>419.68185600119716</c:v>
                </c:pt>
                <c:pt idx="10" formatCode="0.000">
                  <c:v>419.68185600119716</c:v>
                </c:pt>
              </c:numCache>
            </c:numRef>
          </c:val>
          <c:extLst>
            <c:ext xmlns:c16="http://schemas.microsoft.com/office/drawing/2014/chart" uri="{C3380CC4-5D6E-409C-BE32-E72D297353CC}">
              <c16:uniqueId val="{0000000B-BB04-477D-96C3-29C0AC73B8B7}"/>
            </c:ext>
          </c:extLst>
        </c:ser>
        <c:ser>
          <c:idx val="12"/>
          <c:order val="12"/>
          <c:tx>
            <c:strRef>
              <c:f>'246+avg2.03'!$AC$34</c:f>
              <c:strCache>
                <c:ptCount val="1"/>
                <c:pt idx="0">
                  <c:v>Stg.4 Shroud Fwd#15</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'246+avg2.03'!$AC$36:$AC$59</c:f>
              <c:numCache>
                <c:formatCode>General</c:formatCode>
                <c:ptCount val="24"/>
                <c:pt idx="10" formatCode="0.000">
                  <c:v>419.6756053343006</c:v>
                </c:pt>
                <c:pt idx="11" formatCode="0.000">
                  <c:v>419.6756053343006</c:v>
                </c:pt>
              </c:numCache>
            </c:numRef>
          </c:val>
          <c:extLst>
            <c:ext xmlns:c16="http://schemas.microsoft.com/office/drawing/2014/chart" uri="{C3380CC4-5D6E-409C-BE32-E72D297353CC}">
              <c16:uniqueId val="{0000000C-BB04-477D-96C3-29C0AC73B8B7}"/>
            </c:ext>
          </c:extLst>
        </c:ser>
        <c:ser>
          <c:idx val="13"/>
          <c:order val="13"/>
          <c:tx>
            <c:strRef>
              <c:f>'246+avg2.03'!$AD$34</c:f>
              <c:strCache>
                <c:ptCount val="1"/>
                <c:pt idx="0">
                  <c:v>Stg.4 Shroud Fwd#14</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'246+avg2.03'!$AD$36:$AD$59</c:f>
              <c:numCache>
                <c:formatCode>General</c:formatCode>
                <c:ptCount val="24"/>
                <c:pt idx="11" formatCode="0.000">
                  <c:v>419.67575466706569</c:v>
                </c:pt>
                <c:pt idx="12" formatCode="0.000">
                  <c:v>419.67575466706569</c:v>
                </c:pt>
              </c:numCache>
            </c:numRef>
          </c:val>
          <c:extLst>
            <c:ext xmlns:c16="http://schemas.microsoft.com/office/drawing/2014/chart" uri="{C3380CC4-5D6E-409C-BE32-E72D297353CC}">
              <c16:uniqueId val="{0000000D-BB04-477D-96C3-29C0AC73B8B7}"/>
            </c:ext>
          </c:extLst>
        </c:ser>
        <c:ser>
          <c:idx val="14"/>
          <c:order val="14"/>
          <c:tx>
            <c:strRef>
              <c:f>'246+avg2.03'!$AE$34</c:f>
              <c:strCache>
                <c:ptCount val="1"/>
                <c:pt idx="0">
                  <c:v>Stg.4 Shroud Fwd#13</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'246+avg2.03'!$AE$36:$AE$59</c:f>
              <c:numCache>
                <c:formatCode>General</c:formatCode>
                <c:ptCount val="24"/>
                <c:pt idx="12" formatCode="0.000">
                  <c:v>419.66248800045969</c:v>
                </c:pt>
                <c:pt idx="13" formatCode="0.000">
                  <c:v>419.66248800045969</c:v>
                </c:pt>
              </c:numCache>
            </c:numRef>
          </c:val>
          <c:extLst>
            <c:ext xmlns:c16="http://schemas.microsoft.com/office/drawing/2014/chart" uri="{C3380CC4-5D6E-409C-BE32-E72D297353CC}">
              <c16:uniqueId val="{0000000E-BB04-477D-96C3-29C0AC73B8B7}"/>
            </c:ext>
          </c:extLst>
        </c:ser>
        <c:ser>
          <c:idx val="15"/>
          <c:order val="15"/>
          <c:tx>
            <c:strRef>
              <c:f>'246+avg2.03'!$AF$34</c:f>
              <c:strCache>
                <c:ptCount val="1"/>
                <c:pt idx="0">
                  <c:v>Stg.4 Shroud Fwd#12</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'246+avg2.03'!$AF$36:$AF$59</c:f>
              <c:numCache>
                <c:formatCode>General</c:formatCode>
                <c:ptCount val="24"/>
                <c:pt idx="13" formatCode="0.000">
                  <c:v>419.6353573729848</c:v>
                </c:pt>
                <c:pt idx="14" formatCode="0.000">
                  <c:v>419.6353573729848</c:v>
                </c:pt>
              </c:numCache>
            </c:numRef>
          </c:val>
          <c:extLst>
            <c:ext xmlns:c16="http://schemas.microsoft.com/office/drawing/2014/chart" uri="{C3380CC4-5D6E-409C-BE32-E72D297353CC}">
              <c16:uniqueId val="{0000000F-BB04-477D-96C3-29C0AC73B8B7}"/>
            </c:ext>
          </c:extLst>
        </c:ser>
        <c:ser>
          <c:idx val="16"/>
          <c:order val="16"/>
          <c:tx>
            <c:strRef>
              <c:f>'246+avg2.03'!$AG$34</c:f>
              <c:strCache>
                <c:ptCount val="1"/>
                <c:pt idx="0">
                  <c:v>Stg.4 Shroud Fwd#11</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'246+avg2.03'!$AG$36:$AG$59</c:f>
              <c:numCache>
                <c:formatCode>General</c:formatCode>
                <c:ptCount val="24"/>
                <c:pt idx="14" formatCode="0.000">
                  <c:v>419.61312280197296</c:v>
                </c:pt>
                <c:pt idx="15" formatCode="0.000">
                  <c:v>419.61312280197296</c:v>
                </c:pt>
              </c:numCache>
            </c:numRef>
          </c:val>
          <c:extLst>
            <c:ext xmlns:c16="http://schemas.microsoft.com/office/drawing/2014/chart" uri="{C3380CC4-5D6E-409C-BE32-E72D297353CC}">
              <c16:uniqueId val="{00000010-BB04-477D-96C3-29C0AC73B8B7}"/>
            </c:ext>
          </c:extLst>
        </c:ser>
        <c:ser>
          <c:idx val="17"/>
          <c:order val="17"/>
          <c:tx>
            <c:strRef>
              <c:f>'246+avg2.03'!$AH$34</c:f>
              <c:strCache>
                <c:ptCount val="1"/>
                <c:pt idx="0">
                  <c:v>Stg.4 Shroud Fwd#10</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'246+avg2.03'!$AH$36:$AH$59</c:f>
              <c:numCache>
                <c:formatCode>General</c:formatCode>
                <c:ptCount val="24"/>
                <c:pt idx="15" formatCode="0.000">
                  <c:v>419.62135212511402</c:v>
                </c:pt>
                <c:pt idx="16" formatCode="0.000">
                  <c:v>419.62135212511402</c:v>
                </c:pt>
              </c:numCache>
            </c:numRef>
          </c:val>
          <c:extLst>
            <c:ext xmlns:c16="http://schemas.microsoft.com/office/drawing/2014/chart" uri="{C3380CC4-5D6E-409C-BE32-E72D297353CC}">
              <c16:uniqueId val="{00000011-BB04-477D-96C3-29C0AC73B8B7}"/>
            </c:ext>
          </c:extLst>
        </c:ser>
        <c:ser>
          <c:idx val="18"/>
          <c:order val="18"/>
          <c:tx>
            <c:strRef>
              <c:f>'246+avg2.03'!$AI$34</c:f>
              <c:strCache>
                <c:ptCount val="1"/>
                <c:pt idx="0">
                  <c:v>Stg.4 Shroud Fwd#9</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'246+avg2.03'!$AI$36:$AI$59</c:f>
              <c:numCache>
                <c:formatCode>General</c:formatCode>
                <c:ptCount val="24"/>
                <c:pt idx="16" formatCode="0.000">
                  <c:v>419.66263736365113</c:v>
                </c:pt>
                <c:pt idx="17" formatCode="0.000">
                  <c:v>419.66263736365113</c:v>
                </c:pt>
              </c:numCache>
            </c:numRef>
          </c:val>
          <c:extLst>
            <c:ext xmlns:c16="http://schemas.microsoft.com/office/drawing/2014/chart" uri="{C3380CC4-5D6E-409C-BE32-E72D297353CC}">
              <c16:uniqueId val="{00000012-BB04-477D-96C3-29C0AC73B8B7}"/>
            </c:ext>
          </c:extLst>
        </c:ser>
        <c:ser>
          <c:idx val="19"/>
          <c:order val="19"/>
          <c:tx>
            <c:strRef>
              <c:f>'246+avg2.03'!$AJ$34</c:f>
              <c:strCache>
                <c:ptCount val="1"/>
                <c:pt idx="0">
                  <c:v>Stg.4 Shroud Fwd#8</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'246+avg2.03'!$AJ$36:$AJ$59</c:f>
              <c:numCache>
                <c:formatCode>General</c:formatCode>
                <c:ptCount val="24"/>
                <c:pt idx="17" formatCode="0.000">
                  <c:v>419.7121786702578</c:v>
                </c:pt>
                <c:pt idx="18" formatCode="0.000">
                  <c:v>419.7121786702578</c:v>
                </c:pt>
              </c:numCache>
            </c:numRef>
          </c:val>
          <c:extLst>
            <c:ext xmlns:c16="http://schemas.microsoft.com/office/drawing/2014/chart" uri="{C3380CC4-5D6E-409C-BE32-E72D297353CC}">
              <c16:uniqueId val="{00000013-BB04-477D-96C3-29C0AC73B8B7}"/>
            </c:ext>
          </c:extLst>
        </c:ser>
        <c:ser>
          <c:idx val="20"/>
          <c:order val="20"/>
          <c:tx>
            <c:strRef>
              <c:f>'246+avg2.03'!$AK$34</c:f>
              <c:strCache>
                <c:ptCount val="1"/>
                <c:pt idx="0">
                  <c:v>Stg.4 Shroud Fwd#7</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'246+avg2.03'!$AK$36:$AK$59</c:f>
              <c:numCache>
                <c:formatCode>General</c:formatCode>
                <c:ptCount val="24"/>
                <c:pt idx="18" formatCode="0.000">
                  <c:v>419.73876800340906</c:v>
                </c:pt>
                <c:pt idx="19" formatCode="0.000">
                  <c:v>419.73876800340906</c:v>
                </c:pt>
              </c:numCache>
            </c:numRef>
          </c:val>
          <c:extLst>
            <c:ext xmlns:c16="http://schemas.microsoft.com/office/drawing/2014/chart" uri="{C3380CC4-5D6E-409C-BE32-E72D297353CC}">
              <c16:uniqueId val="{00000014-BB04-477D-96C3-29C0AC73B8B7}"/>
            </c:ext>
          </c:extLst>
        </c:ser>
        <c:ser>
          <c:idx val="21"/>
          <c:order val="21"/>
          <c:tx>
            <c:strRef>
              <c:f>'246+avg2.03'!$AL$34</c:f>
              <c:strCache>
                <c:ptCount val="1"/>
                <c:pt idx="0">
                  <c:v>Stg.4 Shroud Fwd#6</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'246+avg2.03'!$AL$36:$AL$59</c:f>
              <c:numCache>
                <c:formatCode>General</c:formatCode>
                <c:ptCount val="24"/>
                <c:pt idx="19" formatCode="0.000">
                  <c:v>419.72896533480798</c:v>
                </c:pt>
                <c:pt idx="20" formatCode="0.000">
                  <c:v>419.72896533480798</c:v>
                </c:pt>
              </c:numCache>
            </c:numRef>
          </c:val>
          <c:extLst>
            <c:ext xmlns:c16="http://schemas.microsoft.com/office/drawing/2014/chart" uri="{C3380CC4-5D6E-409C-BE32-E72D297353CC}">
              <c16:uniqueId val="{00000015-BB04-477D-96C3-29C0AC73B8B7}"/>
            </c:ext>
          </c:extLst>
        </c:ser>
        <c:ser>
          <c:idx val="22"/>
          <c:order val="22"/>
          <c:tx>
            <c:strRef>
              <c:f>'246+avg2.03'!$AM$34</c:f>
              <c:strCache>
                <c:ptCount val="1"/>
                <c:pt idx="0">
                  <c:v>Stg.4 Shroud Fwd#5</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'246+avg2.03'!$AM$36:$AM$59</c:f>
              <c:numCache>
                <c:formatCode>General</c:formatCode>
                <c:ptCount val="24"/>
                <c:pt idx="20" formatCode="0.000">
                  <c:v>419.69886666706566</c:v>
                </c:pt>
                <c:pt idx="21" formatCode="0.000">
                  <c:v>419.69886666706566</c:v>
                </c:pt>
              </c:numCache>
            </c:numRef>
          </c:val>
          <c:extLst>
            <c:ext xmlns:c16="http://schemas.microsoft.com/office/drawing/2014/chart" uri="{C3380CC4-5D6E-409C-BE32-E72D297353CC}">
              <c16:uniqueId val="{00000016-BB04-477D-96C3-29C0AC73B8B7}"/>
            </c:ext>
          </c:extLst>
        </c:ser>
        <c:ser>
          <c:idx val="23"/>
          <c:order val="23"/>
          <c:tx>
            <c:strRef>
              <c:f>'246+avg2.03'!$AN$34</c:f>
              <c:strCache>
                <c:ptCount val="1"/>
                <c:pt idx="0">
                  <c:v>Stg.4 Shroud Fwd#4</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'246+avg2.03'!$AN$36:$AN$59</c:f>
              <c:numCache>
                <c:formatCode>General</c:formatCode>
                <c:ptCount val="24"/>
                <c:pt idx="21" formatCode="0.000">
                  <c:v>419.64790400045979</c:v>
                </c:pt>
                <c:pt idx="22" formatCode="0.000">
                  <c:v>419.64790400045979</c:v>
                </c:pt>
              </c:numCache>
            </c:numRef>
          </c:val>
          <c:extLst>
            <c:ext xmlns:c16="http://schemas.microsoft.com/office/drawing/2014/chart" uri="{C3380CC4-5D6E-409C-BE32-E72D297353CC}">
              <c16:uniqueId val="{00000017-BB04-477D-96C3-29C0AC73B8B7}"/>
            </c:ext>
          </c:extLst>
        </c:ser>
        <c:ser>
          <c:idx val="24"/>
          <c:order val="24"/>
          <c:tx>
            <c:strRef>
              <c:f>'246+avg2.03'!$AO$34</c:f>
              <c:strCache>
                <c:ptCount val="1"/>
                <c:pt idx="0">
                  <c:v>Stg.4 Shroud Fwd#3</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'246+avg2.03'!$AO$36:$AO$59</c:f>
              <c:numCache>
                <c:formatCode>General</c:formatCode>
                <c:ptCount val="24"/>
                <c:pt idx="22" formatCode="0.000">
                  <c:v>419.60328533620077</c:v>
                </c:pt>
                <c:pt idx="23" formatCode="0.000">
                  <c:v>419.60328533620077</c:v>
                </c:pt>
              </c:numCache>
            </c:numRef>
          </c:val>
          <c:extLst>
            <c:ext xmlns:c16="http://schemas.microsoft.com/office/drawing/2014/chart" uri="{C3380CC4-5D6E-409C-BE32-E72D297353CC}">
              <c16:uniqueId val="{00000018-BB04-477D-96C3-29C0AC73B8B7}"/>
            </c:ext>
          </c:extLst>
        </c:ser>
        <c:ser>
          <c:idx val="25"/>
          <c:order val="25"/>
          <c:tx>
            <c:strRef>
              <c:f>'246+avg2.03'!$AP$34</c:f>
              <c:strCache>
                <c:ptCount val="1"/>
                <c:pt idx="0">
                  <c:v>Stg.4 Shroud Fwd#2</c:v>
                </c:pt>
              </c:strCache>
            </c:strRef>
          </c:tx>
          <c:marker>
            <c:symbol val="none"/>
          </c:marker>
          <c:cat>
            <c:numRef>
              <c:f>'246+avg2.03'!$J$36:$J$59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'246+avg2.03'!$AP$36:$AP$59</c:f>
              <c:numCache>
                <c:formatCode>General</c:formatCode>
                <c:ptCount val="24"/>
                <c:pt idx="0" formatCode="0.000">
                  <c:v>419.6049066722419</c:v>
                </c:pt>
                <c:pt idx="23" formatCode="0.000">
                  <c:v>419.6049066722419</c:v>
                </c:pt>
              </c:numCache>
            </c:numRef>
          </c:val>
          <c:extLst>
            <c:ext xmlns:c16="http://schemas.microsoft.com/office/drawing/2014/chart" uri="{C3380CC4-5D6E-409C-BE32-E72D297353CC}">
              <c16:uniqueId val="{00000019-BB04-477D-96C3-29C0AC73B8B7}"/>
            </c:ext>
          </c:extLst>
        </c:ser>
        <c:dLbls>
          <c:showLegendKey val="0"/>
          <c:showVal val="0"/>
          <c:showCatName val="0"/>
          <c:showSerName val="0"/>
          <c:showPercent val="0"/>
          <c:showBubbleSize val="0"/>
        </c:dLbls>
        <c:axId val="171146624"/>
        <c:axId val="171160704"/>
      </c:radarChart>
      <c:catAx>
        <c:axId val="17114662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1160704"/>
        <c:crosses val="autoZero"/>
        <c:auto val="1"/>
        <c:lblAlgn val="ctr"/>
        <c:lblOffset val="100"/>
        <c:noMultiLvlLbl val="0"/>
      </c:catAx>
      <c:valAx>
        <c:axId val="17116070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146624"/>
        <c:crosses val="autoZero"/>
        <c:crossBetween val="between"/>
        <c:majorUnit val="5.000000000000001E-2"/>
      </c:valAx>
    </c:plotArea>
    <c:legend>
      <c:legendPos val="r"/>
      <c:layout>
        <c:manualLayout>
          <c:xMode val="edge"/>
          <c:yMode val="edge"/>
          <c:x val="0.75693150597950609"/>
          <c:y val="0"/>
          <c:w val="0.23186849496117629"/>
          <c:h val="1"/>
        </c:manualLayout>
      </c:layout>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'246+avg2.03'!$V$9</c:f>
              <c:strCache>
                <c:ptCount val="1"/>
                <c:pt idx="0">
                  <c:v>Front</c:v>
                </c:pt>
              </c:strCache>
            </c:strRef>
          </c:tx>
          <c:marker>
            <c:symbol val="none"/>
          </c:marker>
          <c:cat>
            <c:numRef>
              <c:f>'246+avg2.03'!$U$11:$U$26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'246+avg2.03'!$V$11:$V$26</c:f>
              <c:numCache>
                <c:formatCode>General</c:formatCode>
                <c:ptCount val="16"/>
                <c:pt idx="0">
                  <c:v>419.65400000119729</c:v>
                </c:pt>
                <c:pt idx="1">
                  <c:v>419.69200000119707</c:v>
                </c:pt>
                <c:pt idx="2">
                  <c:v>419.69300000478853</c:v>
                </c:pt>
                <c:pt idx="3">
                  <c:v>419.66600001915543</c:v>
                </c:pt>
                <c:pt idx="4">
                  <c:v>419.66700000119721</c:v>
                </c:pt>
                <c:pt idx="5">
                  <c:v>419.68800000119711</c:v>
                </c:pt>
                <c:pt idx="6">
                  <c:v>419.67200000119715</c:v>
                </c:pt>
                <c:pt idx="7">
                  <c:v>419.67899999999997</c:v>
                </c:pt>
                <c:pt idx="8">
                  <c:v>419.63600000119726</c:v>
                </c:pt>
                <c:pt idx="9">
                  <c:v>419.60100020236081</c:v>
                </c:pt>
                <c:pt idx="10">
                  <c:v>419.65400000119729</c:v>
                </c:pt>
                <c:pt idx="11">
                  <c:v>419.73800000478803</c:v>
                </c:pt>
                <c:pt idx="12">
                  <c:v>419.74000000119696</c:v>
                </c:pt>
                <c:pt idx="13">
                  <c:v>419.68399999999997</c:v>
                </c:pt>
                <c:pt idx="14">
                  <c:v>419.59000000119744</c:v>
                </c:pt>
                <c:pt idx="15">
                  <c:v>419.59000001077686</c:v>
                </c:pt>
              </c:numCache>
            </c:numRef>
          </c:val>
          <c:extLst>
            <c:ext xmlns:c16="http://schemas.microsoft.com/office/drawing/2014/chart" uri="{C3380CC4-5D6E-409C-BE32-E72D297353CC}">
              <c16:uniqueId val="{00000000-A16B-49DB-A19C-FBB4EDED5B99}"/>
            </c:ext>
          </c:extLst>
        </c:ser>
        <c:ser>
          <c:idx val="1"/>
          <c:order val="1"/>
          <c:tx>
            <c:strRef>
              <c:f>'246+avg2.03'!$W$9</c:f>
              <c:strCache>
                <c:ptCount val="1"/>
                <c:pt idx="0">
                  <c:v>Rear</c:v>
                </c:pt>
              </c:strCache>
            </c:strRef>
          </c:tx>
          <c:marker>
            <c:symbol val="none"/>
          </c:marker>
          <c:cat>
            <c:numRef>
              <c:f>'246+avg2.03'!$U$11:$U$26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'246+avg2.03'!$W$11:$W$26</c:f>
              <c:numCache>
                <c:formatCode>General</c:formatCode>
                <c:ptCount val="16"/>
                <c:pt idx="0">
                  <c:v>419.65400000119729</c:v>
                </c:pt>
                <c:pt idx="1">
                  <c:v>419.69200000119707</c:v>
                </c:pt>
                <c:pt idx="2">
                  <c:v>419.69300000478853</c:v>
                </c:pt>
                <c:pt idx="3">
                  <c:v>419.66600001915543</c:v>
                </c:pt>
                <c:pt idx="4">
                  <c:v>419.66700000119721</c:v>
                </c:pt>
                <c:pt idx="5">
                  <c:v>419.68800000119711</c:v>
                </c:pt>
                <c:pt idx="6">
                  <c:v>419.67200000119715</c:v>
                </c:pt>
                <c:pt idx="7">
                  <c:v>419.67899999999997</c:v>
                </c:pt>
                <c:pt idx="8">
                  <c:v>419.63600000119726</c:v>
                </c:pt>
                <c:pt idx="9">
                  <c:v>419.60100020236081</c:v>
                </c:pt>
                <c:pt idx="10">
                  <c:v>419.65400000119729</c:v>
                </c:pt>
                <c:pt idx="11">
                  <c:v>419.73800000478803</c:v>
                </c:pt>
                <c:pt idx="12">
                  <c:v>419.74000000119696</c:v>
                </c:pt>
                <c:pt idx="13">
                  <c:v>419.68399999999997</c:v>
                </c:pt>
                <c:pt idx="14">
                  <c:v>419.59000000119744</c:v>
                </c:pt>
                <c:pt idx="15">
                  <c:v>419.59000001077686</c:v>
                </c:pt>
              </c:numCache>
            </c:numRef>
          </c:val>
          <c:extLst>
            <c:ext xmlns:c16="http://schemas.microsoft.com/office/drawing/2014/chart" uri="{C3380CC4-5D6E-409C-BE32-E72D297353CC}">
              <c16:uniqueId val="{00000001-A16B-49DB-A19C-FBB4EDED5B99}"/>
            </c:ext>
          </c:extLst>
        </c:ser>
        <c:dLbls>
          <c:showLegendKey val="0"/>
          <c:showVal val="0"/>
          <c:showCatName val="0"/>
          <c:showSerName val="0"/>
          <c:showPercent val="0"/>
          <c:showBubbleSize val="0"/>
        </c:dLbls>
        <c:axId val="171317504"/>
        <c:axId val="171315968"/>
      </c:radarChart>
      <c:valAx>
        <c:axId val="171315968"/>
        <c:scaling>
          <c:orientation val="minMax"/>
        </c:scaling>
        <c:delete val="0"/>
        <c:axPos val="l"/>
        <c:majorGridlines/>
        <c:numFmt formatCode="General" sourceLinked="1"/>
        <c:majorTickMark val="out"/>
        <c:minorTickMark val="none"/>
        <c:tickLblPos val="nextTo"/>
        <c:txPr>
          <a:bodyPr/>
          <a:lstStyle/>
          <a:p>
            <a:pPr>
              <a:defRPr lang="ja-JP"/>
            </a:pPr>
            <a:endParaRPr lang="en-US"/>
          </a:p>
        </c:txPr>
        <c:crossAx val="171317504"/>
        <c:crosses val="max"/>
        <c:crossBetween val="between"/>
      </c:valAx>
      <c:catAx>
        <c:axId val="17131750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1315968"/>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'246+avg2.03'!$X$9</c:f>
              <c:strCache>
                <c:ptCount val="1"/>
                <c:pt idx="0">
                  <c:v>Rear-Front</c:v>
                </c:pt>
              </c:strCache>
            </c:strRef>
          </c:tx>
          <c:marker>
            <c:symbol val="none"/>
          </c:marker>
          <c:cat>
            <c:numRef>
              <c:f>'246+avg2.03'!$U$11:$U$26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'246+avg2.03'!$X$11:$X$26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3C24-4F87-9F2C-AC2421D66242}"/>
            </c:ext>
          </c:extLst>
        </c:ser>
        <c:dLbls>
          <c:showLegendKey val="0"/>
          <c:showVal val="0"/>
          <c:showCatName val="0"/>
          <c:showSerName val="0"/>
          <c:showPercent val="0"/>
          <c:showBubbleSize val="0"/>
        </c:dLbls>
        <c:axId val="171339136"/>
        <c:axId val="171337600"/>
      </c:radarChart>
      <c:valAx>
        <c:axId val="171337600"/>
        <c:scaling>
          <c:orientation val="minMax"/>
          <c:max val="2.0000000000000004E-2"/>
          <c:min val="-2.0000000000000004E-2"/>
        </c:scaling>
        <c:delete val="0"/>
        <c:axPos val="l"/>
        <c:majorGridlines/>
        <c:numFmt formatCode="General" sourceLinked="1"/>
        <c:majorTickMark val="out"/>
        <c:minorTickMark val="none"/>
        <c:tickLblPos val="nextTo"/>
        <c:txPr>
          <a:bodyPr/>
          <a:lstStyle/>
          <a:p>
            <a:pPr>
              <a:defRPr lang="ja-JP"/>
            </a:pPr>
            <a:endParaRPr lang="en-US"/>
          </a:p>
        </c:txPr>
        <c:crossAx val="171339136"/>
        <c:crosses val="max"/>
        <c:crossBetween val="between"/>
      </c:valAx>
      <c:catAx>
        <c:axId val="17133913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1337600"/>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'201-Tool_max'!$K$9</c:f>
              <c:strCache>
                <c:ptCount val="1"/>
                <c:pt idx="0">
                  <c:v>CMM</c:v>
                </c:pt>
              </c:strCache>
            </c:strRef>
          </c:tx>
          <c:marker>
            <c:symbol val="none"/>
          </c:marker>
          <c:cat>
            <c:numRef>
              <c:f>'201-Tool_max'!$J$11:$J$26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'201-Tool_max'!$K$11:$K$26</c:f>
              <c:numCache>
                <c:formatCode>General</c:formatCode>
                <c:ptCount val="16"/>
                <c:pt idx="0">
                  <c:v>420.99100000000004</c:v>
                </c:pt>
                <c:pt idx="1">
                  <c:v>421.0600000011832</c:v>
                </c:pt>
                <c:pt idx="2">
                  <c:v>421.00200000473336</c:v>
                </c:pt>
                <c:pt idx="3">
                  <c:v>420.88900000000001</c:v>
                </c:pt>
                <c:pt idx="4">
                  <c:v>420.89200000000005</c:v>
                </c:pt>
                <c:pt idx="5">
                  <c:v>420.94600000000003</c:v>
                </c:pt>
                <c:pt idx="6">
                  <c:v>420.97500000000002</c:v>
                </c:pt>
                <c:pt idx="7">
                  <c:v>420.98300001065058</c:v>
                </c:pt>
                <c:pt idx="8">
                  <c:v>420.90700000000004</c:v>
                </c:pt>
                <c:pt idx="9">
                  <c:v>420.8620000189398</c:v>
                </c:pt>
                <c:pt idx="10">
                  <c:v>420.9510000011835</c:v>
                </c:pt>
                <c:pt idx="11">
                  <c:v>421.0390000011833</c:v>
                </c:pt>
                <c:pt idx="12">
                  <c:v>421.03000000118328</c:v>
                </c:pt>
                <c:pt idx="13">
                  <c:v>420.91500001065231</c:v>
                </c:pt>
                <c:pt idx="14">
                  <c:v>420.82800000473532</c:v>
                </c:pt>
                <c:pt idx="15">
                  <c:v>420.87800000000004</c:v>
                </c:pt>
              </c:numCache>
            </c:numRef>
          </c:val>
          <c:extLst>
            <c:ext xmlns:c16="http://schemas.microsoft.com/office/drawing/2014/chart" uri="{C3380CC4-5D6E-409C-BE32-E72D297353CC}">
              <c16:uniqueId val="{00000000-A042-4839-9D4D-48DA43583544}"/>
            </c:ext>
          </c:extLst>
        </c:ser>
        <c:ser>
          <c:idx val="1"/>
          <c:order val="1"/>
          <c:tx>
            <c:strRef>
              <c:f>'201-Tool_max'!$L$9</c:f>
              <c:strCache>
                <c:ptCount val="1"/>
                <c:pt idx="0">
                  <c:v>Dwg Min</c:v>
                </c:pt>
              </c:strCache>
            </c:strRef>
          </c:tx>
          <c:spPr>
            <a:ln>
              <a:prstDash val="dash"/>
            </a:ln>
          </c:spPr>
          <c:marker>
            <c:symbol val="none"/>
          </c:marker>
          <c:val>
            <c:numRef>
              <c:f>'201-Tool_max'!$L$11:$L$26</c:f>
              <c:numCache>
                <c:formatCode>General</c:formatCode>
                <c:ptCount val="16"/>
                <c:pt idx="0">
                  <c:v>420.89250000000004</c:v>
                </c:pt>
                <c:pt idx="1">
                  <c:v>420.89250000000004</c:v>
                </c:pt>
                <c:pt idx="2">
                  <c:v>420.89250000000004</c:v>
                </c:pt>
                <c:pt idx="3">
                  <c:v>420.89250000000004</c:v>
                </c:pt>
                <c:pt idx="4">
                  <c:v>420.89250000000004</c:v>
                </c:pt>
                <c:pt idx="5">
                  <c:v>420.89250000000004</c:v>
                </c:pt>
                <c:pt idx="6">
                  <c:v>420.89250000000004</c:v>
                </c:pt>
                <c:pt idx="7">
                  <c:v>420.89250000000004</c:v>
                </c:pt>
                <c:pt idx="8">
                  <c:v>420.89250000000004</c:v>
                </c:pt>
                <c:pt idx="9">
                  <c:v>420.89250000000004</c:v>
                </c:pt>
                <c:pt idx="10">
                  <c:v>420.89250000000004</c:v>
                </c:pt>
                <c:pt idx="11">
                  <c:v>420.89250000000004</c:v>
                </c:pt>
                <c:pt idx="12">
                  <c:v>420.89250000000004</c:v>
                </c:pt>
                <c:pt idx="13">
                  <c:v>420.89250000000004</c:v>
                </c:pt>
                <c:pt idx="14">
                  <c:v>420.89250000000004</c:v>
                </c:pt>
                <c:pt idx="15">
                  <c:v>420.89250000000004</c:v>
                </c:pt>
              </c:numCache>
            </c:numRef>
          </c:val>
          <c:extLst>
            <c:ext xmlns:c16="http://schemas.microsoft.com/office/drawing/2014/chart" uri="{C3380CC4-5D6E-409C-BE32-E72D297353CC}">
              <c16:uniqueId val="{00000001-A042-4839-9D4D-48DA43583544}"/>
            </c:ext>
          </c:extLst>
        </c:ser>
        <c:ser>
          <c:idx val="2"/>
          <c:order val="2"/>
          <c:tx>
            <c:strRef>
              <c:f>'201-Tool_max'!$M$9</c:f>
              <c:strCache>
                <c:ptCount val="1"/>
                <c:pt idx="0">
                  <c:v>Dwg Max</c:v>
                </c:pt>
              </c:strCache>
            </c:strRef>
          </c:tx>
          <c:spPr>
            <a:ln>
              <a:prstDash val="dash"/>
            </a:ln>
          </c:spPr>
          <c:marker>
            <c:symbol val="none"/>
          </c:marker>
          <c:val>
            <c:numRef>
              <c:f>'201-Tool_max'!$M$11:$M$26</c:f>
              <c:numCache>
                <c:formatCode>General</c:formatCode>
                <c:ptCount val="16"/>
                <c:pt idx="0">
                  <c:v>421.04349999999999</c:v>
                </c:pt>
                <c:pt idx="1">
                  <c:v>421.04349999999999</c:v>
                </c:pt>
                <c:pt idx="2">
                  <c:v>421.04349999999999</c:v>
                </c:pt>
                <c:pt idx="3">
                  <c:v>421.04349999999999</c:v>
                </c:pt>
                <c:pt idx="4">
                  <c:v>421.04349999999999</c:v>
                </c:pt>
                <c:pt idx="5">
                  <c:v>421.04349999999999</c:v>
                </c:pt>
                <c:pt idx="6">
                  <c:v>421.04349999999999</c:v>
                </c:pt>
                <c:pt idx="7">
                  <c:v>421.04349999999999</c:v>
                </c:pt>
                <c:pt idx="8">
                  <c:v>421.04349999999999</c:v>
                </c:pt>
                <c:pt idx="9">
                  <c:v>421.04349999999999</c:v>
                </c:pt>
                <c:pt idx="10">
                  <c:v>421.04349999999999</c:v>
                </c:pt>
                <c:pt idx="11">
                  <c:v>421.04349999999999</c:v>
                </c:pt>
                <c:pt idx="12">
                  <c:v>421.04349999999999</c:v>
                </c:pt>
                <c:pt idx="13">
                  <c:v>421.04349999999999</c:v>
                </c:pt>
                <c:pt idx="14">
                  <c:v>421.04349999999999</c:v>
                </c:pt>
                <c:pt idx="15">
                  <c:v>421.04349999999999</c:v>
                </c:pt>
              </c:numCache>
            </c:numRef>
          </c:val>
          <c:extLst>
            <c:ext xmlns:c16="http://schemas.microsoft.com/office/drawing/2014/chart" uri="{C3380CC4-5D6E-409C-BE32-E72D297353CC}">
              <c16:uniqueId val="{00000002-A042-4839-9D4D-48DA43583544}"/>
            </c:ext>
          </c:extLst>
        </c:ser>
        <c:dLbls>
          <c:showLegendKey val="0"/>
          <c:showVal val="0"/>
          <c:showCatName val="0"/>
          <c:showSerName val="0"/>
          <c:showPercent val="0"/>
          <c:showBubbleSize val="0"/>
        </c:dLbls>
        <c:axId val="171873792"/>
        <c:axId val="171875328"/>
      </c:radarChart>
      <c:catAx>
        <c:axId val="17187379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1875328"/>
        <c:crosses val="autoZero"/>
        <c:auto val="1"/>
        <c:lblAlgn val="ctr"/>
        <c:lblOffset val="100"/>
        <c:noMultiLvlLbl val="0"/>
      </c:catAx>
      <c:valAx>
        <c:axId val="17187532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873792"/>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'201-Tool_max'!$AQ$34</c:f>
              <c:strCache>
                <c:ptCount val="1"/>
                <c:pt idx="0">
                  <c:v>LPT Case Hook R Min</c:v>
                </c:pt>
              </c:strCache>
            </c:strRef>
          </c:tx>
          <c:spPr>
            <a:ln w="28575">
              <a:prstDash val="dash"/>
            </a:ln>
          </c:spPr>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'201-Tool_max'!$AQ$36:$AQ$59</c:f>
              <c:numCache>
                <c:formatCode>General</c:formatCode>
                <c:ptCount val="24"/>
                <c:pt idx="0">
                  <c:v>420.89250000000004</c:v>
                </c:pt>
                <c:pt idx="1">
                  <c:v>420.89250000000004</c:v>
                </c:pt>
                <c:pt idx="2">
                  <c:v>420.89250000000004</c:v>
                </c:pt>
                <c:pt idx="3">
                  <c:v>420.89250000000004</c:v>
                </c:pt>
                <c:pt idx="4">
                  <c:v>420.89250000000004</c:v>
                </c:pt>
                <c:pt idx="5">
                  <c:v>420.89250000000004</c:v>
                </c:pt>
                <c:pt idx="6">
                  <c:v>420.89250000000004</c:v>
                </c:pt>
                <c:pt idx="7">
                  <c:v>420.89250000000004</c:v>
                </c:pt>
                <c:pt idx="8">
                  <c:v>420.89250000000004</c:v>
                </c:pt>
                <c:pt idx="9">
                  <c:v>420.89250000000004</c:v>
                </c:pt>
                <c:pt idx="10">
                  <c:v>420.89250000000004</c:v>
                </c:pt>
                <c:pt idx="11">
                  <c:v>420.89250000000004</c:v>
                </c:pt>
                <c:pt idx="12">
                  <c:v>420.89250000000004</c:v>
                </c:pt>
                <c:pt idx="13">
                  <c:v>420.89250000000004</c:v>
                </c:pt>
                <c:pt idx="14">
                  <c:v>420.89250000000004</c:v>
                </c:pt>
                <c:pt idx="15">
                  <c:v>420.89250000000004</c:v>
                </c:pt>
                <c:pt idx="16">
                  <c:v>420.89250000000004</c:v>
                </c:pt>
                <c:pt idx="17">
                  <c:v>420.89250000000004</c:v>
                </c:pt>
                <c:pt idx="18">
                  <c:v>420.89250000000004</c:v>
                </c:pt>
                <c:pt idx="19">
                  <c:v>420.89250000000004</c:v>
                </c:pt>
                <c:pt idx="20">
                  <c:v>420.89250000000004</c:v>
                </c:pt>
                <c:pt idx="21">
                  <c:v>420.89250000000004</c:v>
                </c:pt>
                <c:pt idx="22">
                  <c:v>420.89250000000004</c:v>
                </c:pt>
                <c:pt idx="23">
                  <c:v>420.89250000000004</c:v>
                </c:pt>
              </c:numCache>
            </c:numRef>
          </c:val>
          <c:extLst>
            <c:ext xmlns:c16="http://schemas.microsoft.com/office/drawing/2014/chart" uri="{C3380CC4-5D6E-409C-BE32-E72D297353CC}">
              <c16:uniqueId val="{00000000-2AAB-4267-83F2-2D558FBBC392}"/>
            </c:ext>
          </c:extLst>
        </c:ser>
        <c:ser>
          <c:idx val="1"/>
          <c:order val="1"/>
          <c:tx>
            <c:strRef>
              <c:f>'201-Tool_max'!$AR$34</c:f>
              <c:strCache>
                <c:ptCount val="1"/>
                <c:pt idx="0">
                  <c:v>LPT Case Hook R Max</c:v>
                </c:pt>
              </c:strCache>
            </c:strRef>
          </c:tx>
          <c:spPr>
            <a:ln w="28575">
              <a:prstDash val="dash"/>
            </a:ln>
          </c:spPr>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'201-Tool_max'!$AR$36:$AR$59</c:f>
              <c:numCache>
                <c:formatCode>General</c:formatCode>
                <c:ptCount val="24"/>
                <c:pt idx="0">
                  <c:v>421.04349999999999</c:v>
                </c:pt>
                <c:pt idx="1">
                  <c:v>421.04349999999999</c:v>
                </c:pt>
                <c:pt idx="2">
                  <c:v>421.04349999999999</c:v>
                </c:pt>
                <c:pt idx="3">
                  <c:v>421.04349999999999</c:v>
                </c:pt>
                <c:pt idx="4">
                  <c:v>421.04349999999999</c:v>
                </c:pt>
                <c:pt idx="5">
                  <c:v>421.04349999999999</c:v>
                </c:pt>
                <c:pt idx="6">
                  <c:v>421.04349999999999</c:v>
                </c:pt>
                <c:pt idx="7">
                  <c:v>421.04349999999999</c:v>
                </c:pt>
                <c:pt idx="8">
                  <c:v>421.04349999999999</c:v>
                </c:pt>
                <c:pt idx="9">
                  <c:v>421.04349999999999</c:v>
                </c:pt>
                <c:pt idx="10">
                  <c:v>421.04349999999999</c:v>
                </c:pt>
                <c:pt idx="11">
                  <c:v>421.04349999999999</c:v>
                </c:pt>
                <c:pt idx="12">
                  <c:v>421.04349999999999</c:v>
                </c:pt>
                <c:pt idx="13">
                  <c:v>421.04349999999999</c:v>
                </c:pt>
                <c:pt idx="14">
                  <c:v>421.04349999999999</c:v>
                </c:pt>
                <c:pt idx="15">
                  <c:v>421.04349999999999</c:v>
                </c:pt>
                <c:pt idx="16">
                  <c:v>421.04349999999999</c:v>
                </c:pt>
                <c:pt idx="17">
                  <c:v>421.04349999999999</c:v>
                </c:pt>
                <c:pt idx="18">
                  <c:v>421.04349999999999</c:v>
                </c:pt>
                <c:pt idx="19">
                  <c:v>421.04349999999999</c:v>
                </c:pt>
                <c:pt idx="20">
                  <c:v>421.04349999999999</c:v>
                </c:pt>
                <c:pt idx="21">
                  <c:v>421.04349999999999</c:v>
                </c:pt>
                <c:pt idx="22">
                  <c:v>421.04349999999999</c:v>
                </c:pt>
                <c:pt idx="23">
                  <c:v>421.04349999999999</c:v>
                </c:pt>
              </c:numCache>
            </c:numRef>
          </c:val>
          <c:extLst>
            <c:ext xmlns:c16="http://schemas.microsoft.com/office/drawing/2014/chart" uri="{C3380CC4-5D6E-409C-BE32-E72D297353CC}">
              <c16:uniqueId val="{00000001-2AAB-4267-83F2-2D558FBBC392}"/>
            </c:ext>
          </c:extLst>
        </c:ser>
        <c:ser>
          <c:idx val="2"/>
          <c:order val="2"/>
          <c:tx>
            <c:strRef>
              <c:f>'201-Tool_max'!$S$34</c:f>
              <c:strCache>
                <c:ptCount val="1"/>
                <c:pt idx="0">
                  <c:v>Stg.4 Shroud Aft#1</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'201-Tool_max'!$S$36:$S$59</c:f>
              <c:numCache>
                <c:formatCode>0.000</c:formatCode>
                <c:ptCount val="24"/>
                <c:pt idx="0">
                  <c:v>420.92139200000003</c:v>
                </c:pt>
                <c:pt idx="1">
                  <c:v>420.92139200000003</c:v>
                </c:pt>
              </c:numCache>
            </c:numRef>
          </c:val>
          <c:extLst>
            <c:ext xmlns:c16="http://schemas.microsoft.com/office/drawing/2014/chart" uri="{C3380CC4-5D6E-409C-BE32-E72D297353CC}">
              <c16:uniqueId val="{00000002-2AAB-4267-83F2-2D558FBBC392}"/>
            </c:ext>
          </c:extLst>
        </c:ser>
        <c:ser>
          <c:idx val="3"/>
          <c:order val="3"/>
          <c:tx>
            <c:strRef>
              <c:f>'201-Tool_max'!$T$34</c:f>
              <c:strCache>
                <c:ptCount val="1"/>
                <c:pt idx="0">
                  <c:v>Stg.4 Shroud Aft#24</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'201-Tool_max'!$T$36:$T$59</c:f>
              <c:numCache>
                <c:formatCode>0.000</c:formatCode>
                <c:ptCount val="24"/>
                <c:pt idx="1">
                  <c:v>420.98827733356052</c:v>
                </c:pt>
                <c:pt idx="2">
                  <c:v>420.98827733356052</c:v>
                </c:pt>
              </c:numCache>
            </c:numRef>
          </c:val>
          <c:extLst>
            <c:ext xmlns:c16="http://schemas.microsoft.com/office/drawing/2014/chart" uri="{C3380CC4-5D6E-409C-BE32-E72D297353CC}">
              <c16:uniqueId val="{00000003-2AAB-4267-83F2-2D558FBBC392}"/>
            </c:ext>
          </c:extLst>
        </c:ser>
        <c:ser>
          <c:idx val="4"/>
          <c:order val="4"/>
          <c:tx>
            <c:strRef>
              <c:f>'201-Tool_max'!$U$34</c:f>
              <c:strCache>
                <c:ptCount val="1"/>
                <c:pt idx="0">
                  <c:v>Stg.4 Shroud Aft#23</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'201-Tool_max'!$U$36:$U$59</c:f>
              <c:numCache>
                <c:formatCode>General</c:formatCode>
                <c:ptCount val="24"/>
                <c:pt idx="2" formatCode="0.000">
                  <c:v>421.03727866757538</c:v>
                </c:pt>
                <c:pt idx="3" formatCode="0.000">
                  <c:v>421.03727866757538</c:v>
                </c:pt>
              </c:numCache>
            </c:numRef>
          </c:val>
          <c:extLst>
            <c:ext xmlns:c16="http://schemas.microsoft.com/office/drawing/2014/chart" uri="{C3380CC4-5D6E-409C-BE32-E72D297353CC}">
              <c16:uniqueId val="{00000004-2AAB-4267-83F2-2D558FBBC392}"/>
            </c:ext>
          </c:extLst>
        </c:ser>
        <c:ser>
          <c:idx val="5"/>
          <c:order val="5"/>
          <c:tx>
            <c:strRef>
              <c:f>'201-Tool_max'!$V$34</c:f>
              <c:strCache>
                <c:ptCount val="1"/>
                <c:pt idx="0">
                  <c:v>Stg.4 Shroud Aft#22</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'201-Tool_max'!$V$36:$V$59</c:f>
              <c:numCache>
                <c:formatCode>General</c:formatCode>
                <c:ptCount val="24"/>
                <c:pt idx="3" formatCode="0.000">
                  <c:v>421.03772800254649</c:v>
                </c:pt>
                <c:pt idx="4" formatCode="0.000">
                  <c:v>421.03772800254649</c:v>
                </c:pt>
              </c:numCache>
            </c:numRef>
          </c:val>
          <c:extLst>
            <c:ext xmlns:c16="http://schemas.microsoft.com/office/drawing/2014/chart" uri="{C3380CC4-5D6E-409C-BE32-E72D297353CC}">
              <c16:uniqueId val="{00000005-2AAB-4267-83F2-2D558FBBC392}"/>
            </c:ext>
          </c:extLst>
        </c:ser>
        <c:ser>
          <c:idx val="6"/>
          <c:order val="6"/>
          <c:tx>
            <c:strRef>
              <c:f>'201-Tool_max'!$W$34</c:f>
              <c:strCache>
                <c:ptCount val="1"/>
                <c:pt idx="0">
                  <c:v>Stg.4 Shroud Aft#21</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'201-Tool_max'!$W$36:$W$59</c:f>
              <c:numCache>
                <c:formatCode>General</c:formatCode>
                <c:ptCount val="24"/>
                <c:pt idx="4" formatCode="0.000">
                  <c:v>420.9885013366561</c:v>
                </c:pt>
                <c:pt idx="5" formatCode="0.000">
                  <c:v>420.9885013366561</c:v>
                </c:pt>
              </c:numCache>
            </c:numRef>
          </c:val>
          <c:extLst>
            <c:ext xmlns:c16="http://schemas.microsoft.com/office/drawing/2014/chart" uri="{C3380CC4-5D6E-409C-BE32-E72D297353CC}">
              <c16:uniqueId val="{00000006-2AAB-4267-83F2-2D558FBBC392}"/>
            </c:ext>
          </c:extLst>
        </c:ser>
        <c:ser>
          <c:idx val="7"/>
          <c:order val="7"/>
          <c:tx>
            <c:strRef>
              <c:f>'201-Tool_max'!$X$34</c:f>
              <c:strCache>
                <c:ptCount val="1"/>
                <c:pt idx="0">
                  <c:v>Stg.4 Shroud Aft#20</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'201-Tool_max'!$X$36:$X$59</c:f>
              <c:numCache>
                <c:formatCode>General</c:formatCode>
                <c:ptCount val="24"/>
                <c:pt idx="5" formatCode="0.000">
                  <c:v>420.92388000145786</c:v>
                </c:pt>
                <c:pt idx="6" formatCode="0.000">
                  <c:v>420.92388000145786</c:v>
                </c:pt>
              </c:numCache>
            </c:numRef>
          </c:val>
          <c:extLst>
            <c:ext xmlns:c16="http://schemas.microsoft.com/office/drawing/2014/chart" uri="{C3380CC4-5D6E-409C-BE32-E72D297353CC}">
              <c16:uniqueId val="{00000007-2AAB-4267-83F2-2D558FBBC392}"/>
            </c:ext>
          </c:extLst>
        </c:ser>
        <c:ser>
          <c:idx val="8"/>
          <c:order val="8"/>
          <c:tx>
            <c:strRef>
              <c:f>'201-Tool_max'!$Y$34</c:f>
              <c:strCache>
                <c:ptCount val="1"/>
                <c:pt idx="0">
                  <c:v>Stg.4 Shroud Aft#19</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'201-Tool_max'!$Y$36:$Y$59</c:f>
              <c:numCache>
                <c:formatCode>General</c:formatCode>
                <c:ptCount val="24"/>
                <c:pt idx="6" formatCode="0.000">
                  <c:v>420.89015200000006</c:v>
                </c:pt>
                <c:pt idx="7" formatCode="0.000">
                  <c:v>420.89015200000006</c:v>
                </c:pt>
              </c:numCache>
            </c:numRef>
          </c:val>
          <c:extLst>
            <c:ext xmlns:c16="http://schemas.microsoft.com/office/drawing/2014/chart" uri="{C3380CC4-5D6E-409C-BE32-E72D297353CC}">
              <c16:uniqueId val="{00000008-2AAB-4267-83F2-2D558FBBC392}"/>
            </c:ext>
          </c:extLst>
        </c:ser>
        <c:ser>
          <c:idx val="9"/>
          <c:order val="9"/>
          <c:tx>
            <c:strRef>
              <c:f>'201-Tool_max'!$Z$34</c:f>
              <c:strCache>
                <c:ptCount val="1"/>
                <c:pt idx="0">
                  <c:v>Stg.4 Shroud Aft#18</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'201-Tool_max'!$Z$36:$Z$59</c:f>
              <c:numCache>
                <c:formatCode>General</c:formatCode>
                <c:ptCount val="24"/>
                <c:pt idx="7" formatCode="0.000">
                  <c:v>420.90194400000007</c:v>
                </c:pt>
                <c:pt idx="8" formatCode="0.000">
                  <c:v>420.90194400000007</c:v>
                </c:pt>
              </c:numCache>
            </c:numRef>
          </c:val>
          <c:extLst>
            <c:ext xmlns:c16="http://schemas.microsoft.com/office/drawing/2014/chart" uri="{C3380CC4-5D6E-409C-BE32-E72D297353CC}">
              <c16:uniqueId val="{00000009-2AAB-4267-83F2-2D558FBBC392}"/>
            </c:ext>
          </c:extLst>
        </c:ser>
        <c:ser>
          <c:idx val="10"/>
          <c:order val="10"/>
          <c:tx>
            <c:strRef>
              <c:f>'201-Tool_max'!$AA$34</c:f>
              <c:strCache>
                <c:ptCount val="1"/>
                <c:pt idx="0">
                  <c:v>Stg.4 Shroud Aft#17</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'201-Tool_max'!$AA$36:$AA$59</c:f>
              <c:numCache>
                <c:formatCode>General</c:formatCode>
                <c:ptCount val="24"/>
                <c:pt idx="8" formatCode="0.000">
                  <c:v>420.9301026666667</c:v>
                </c:pt>
                <c:pt idx="9" formatCode="0.000">
                  <c:v>420.9301026666667</c:v>
                </c:pt>
              </c:numCache>
            </c:numRef>
          </c:val>
          <c:extLst>
            <c:ext xmlns:c16="http://schemas.microsoft.com/office/drawing/2014/chart" uri="{C3380CC4-5D6E-409C-BE32-E72D297353CC}">
              <c16:uniqueId val="{0000000A-2AAB-4267-83F2-2D558FBBC392}"/>
            </c:ext>
          </c:extLst>
        </c:ser>
        <c:ser>
          <c:idx val="11"/>
          <c:order val="11"/>
          <c:tx>
            <c:strRef>
              <c:f>'201-Tool_max'!$AB$34</c:f>
              <c:strCache>
                <c:ptCount val="1"/>
                <c:pt idx="0">
                  <c:v>Stg.4 Shroud Aft#16</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'201-Tool_max'!$AB$36:$AB$59</c:f>
              <c:numCache>
                <c:formatCode>General</c:formatCode>
                <c:ptCount val="24"/>
                <c:pt idx="9" formatCode="0.000">
                  <c:v>420.95713599999999</c:v>
                </c:pt>
                <c:pt idx="10" formatCode="0.000">
                  <c:v>420.95713599999999</c:v>
                </c:pt>
              </c:numCache>
            </c:numRef>
          </c:val>
          <c:extLst>
            <c:ext xmlns:c16="http://schemas.microsoft.com/office/drawing/2014/chart" uri="{C3380CC4-5D6E-409C-BE32-E72D297353CC}">
              <c16:uniqueId val="{0000000B-2AAB-4267-83F2-2D558FBBC392}"/>
            </c:ext>
          </c:extLst>
        </c:ser>
        <c:ser>
          <c:idx val="12"/>
          <c:order val="12"/>
          <c:tx>
            <c:strRef>
              <c:f>'201-Tool_max'!$AC$34</c:f>
              <c:strCache>
                <c:ptCount val="1"/>
                <c:pt idx="0">
                  <c:v>Stg.4 Shroud Aft#15</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'201-Tool_max'!$AC$36:$AC$59</c:f>
              <c:numCache>
                <c:formatCode>General</c:formatCode>
                <c:ptCount val="24"/>
                <c:pt idx="10" formatCode="0.000">
                  <c:v>420.97243733537823</c:v>
                </c:pt>
                <c:pt idx="11" formatCode="0.000">
                  <c:v>420.97243733537823</c:v>
                </c:pt>
              </c:numCache>
            </c:numRef>
          </c:val>
          <c:extLst>
            <c:ext xmlns:c16="http://schemas.microsoft.com/office/drawing/2014/chart" uri="{C3380CC4-5D6E-409C-BE32-E72D297353CC}">
              <c16:uniqueId val="{0000000C-2AAB-4267-83F2-2D558FBBC392}"/>
            </c:ext>
          </c:extLst>
        </c:ser>
        <c:ser>
          <c:idx val="13"/>
          <c:order val="13"/>
          <c:tx>
            <c:strRef>
              <c:f>'201-Tool_max'!$AD$34</c:f>
              <c:strCache>
                <c:ptCount val="1"/>
                <c:pt idx="0">
                  <c:v>Stg.4 Shroud Aft#14</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'201-Tool_max'!$AD$36:$AD$59</c:f>
              <c:numCache>
                <c:formatCode>General</c:formatCode>
                <c:ptCount val="24"/>
                <c:pt idx="11" formatCode="0.000">
                  <c:v>420.97861067376709</c:v>
                </c:pt>
                <c:pt idx="12" formatCode="0.000">
                  <c:v>420.97861067376709</c:v>
                </c:pt>
              </c:numCache>
            </c:numRef>
          </c:val>
          <c:extLst>
            <c:ext xmlns:c16="http://schemas.microsoft.com/office/drawing/2014/chart" uri="{C3380CC4-5D6E-409C-BE32-E72D297353CC}">
              <c16:uniqueId val="{0000000D-2AAB-4267-83F2-2D558FBBC392}"/>
            </c:ext>
          </c:extLst>
        </c:ser>
        <c:ser>
          <c:idx val="14"/>
          <c:order val="14"/>
          <c:tx>
            <c:strRef>
              <c:f>'201-Tool_max'!$AE$34</c:f>
              <c:strCache>
                <c:ptCount val="1"/>
                <c:pt idx="0">
                  <c:v>Stg.4 Shroud Aft#13</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'201-Tool_max'!$AE$36:$AE$59</c:f>
              <c:numCache>
                <c:formatCode>General</c:formatCode>
                <c:ptCount val="24"/>
                <c:pt idx="12" formatCode="0.000">
                  <c:v>420.95381600656077</c:v>
                </c:pt>
                <c:pt idx="13" formatCode="0.000">
                  <c:v>420.95381600656077</c:v>
                </c:pt>
              </c:numCache>
            </c:numRef>
          </c:val>
          <c:extLst>
            <c:ext xmlns:c16="http://schemas.microsoft.com/office/drawing/2014/chart" uri="{C3380CC4-5D6E-409C-BE32-E72D297353CC}">
              <c16:uniqueId val="{0000000E-2AAB-4267-83F2-2D558FBBC392}"/>
            </c:ext>
          </c:extLst>
        </c:ser>
        <c:ser>
          <c:idx val="15"/>
          <c:order val="15"/>
          <c:tx>
            <c:strRef>
              <c:f>'201-Tool_max'!$AF$34</c:f>
              <c:strCache>
                <c:ptCount val="1"/>
                <c:pt idx="0">
                  <c:v>Stg.4 Shroud Aft#12</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'201-Tool_max'!$AF$36:$AF$59</c:f>
              <c:numCache>
                <c:formatCode>General</c:formatCode>
                <c:ptCount val="24"/>
                <c:pt idx="13" formatCode="0.000">
                  <c:v>420.90910133847507</c:v>
                </c:pt>
                <c:pt idx="14" formatCode="0.000">
                  <c:v>420.90910133847507</c:v>
                </c:pt>
              </c:numCache>
            </c:numRef>
          </c:val>
          <c:extLst>
            <c:ext xmlns:c16="http://schemas.microsoft.com/office/drawing/2014/chart" uri="{C3380CC4-5D6E-409C-BE32-E72D297353CC}">
              <c16:uniqueId val="{0000000F-2AAB-4267-83F2-2D558FBBC392}"/>
            </c:ext>
          </c:extLst>
        </c:ser>
        <c:ser>
          <c:idx val="16"/>
          <c:order val="16"/>
          <c:tx>
            <c:strRef>
              <c:f>'201-Tool_max'!$AG$34</c:f>
              <c:strCache>
                <c:ptCount val="1"/>
                <c:pt idx="0">
                  <c:v>Stg.4 Shroud Aft#11</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'201-Tool_max'!$AG$36:$AG$59</c:f>
              <c:numCache>
                <c:formatCode>General</c:formatCode>
                <c:ptCount val="24"/>
                <c:pt idx="14" formatCode="0.000">
                  <c:v>420.87811467932318</c:v>
                </c:pt>
                <c:pt idx="15" formatCode="0.000">
                  <c:v>420.87811467932318</c:v>
                </c:pt>
              </c:numCache>
            </c:numRef>
          </c:val>
          <c:extLst>
            <c:ext xmlns:c16="http://schemas.microsoft.com/office/drawing/2014/chart" uri="{C3380CC4-5D6E-409C-BE32-E72D297353CC}">
              <c16:uniqueId val="{00000010-2AAB-4267-83F2-2D558FBBC392}"/>
            </c:ext>
          </c:extLst>
        </c:ser>
        <c:ser>
          <c:idx val="17"/>
          <c:order val="17"/>
          <c:tx>
            <c:strRef>
              <c:f>'201-Tool_max'!$AH$34</c:f>
              <c:strCache>
                <c:ptCount val="1"/>
                <c:pt idx="0">
                  <c:v>Stg.4 Shroud Aft#10</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'201-Tool_max'!$AH$36:$AH$59</c:f>
              <c:numCache>
                <c:formatCode>General</c:formatCode>
                <c:ptCount val="24"/>
                <c:pt idx="15" formatCode="0.000">
                  <c:v>420.89617601212137</c:v>
                </c:pt>
                <c:pt idx="16" formatCode="0.000">
                  <c:v>420.89617601212137</c:v>
                </c:pt>
              </c:numCache>
            </c:numRef>
          </c:val>
          <c:extLst>
            <c:ext xmlns:c16="http://schemas.microsoft.com/office/drawing/2014/chart" uri="{C3380CC4-5D6E-409C-BE32-E72D297353CC}">
              <c16:uniqueId val="{00000011-2AAB-4267-83F2-2D558FBBC392}"/>
            </c:ext>
          </c:extLst>
        </c:ser>
        <c:ser>
          <c:idx val="18"/>
          <c:order val="18"/>
          <c:tx>
            <c:strRef>
              <c:f>'201-Tool_max'!$AI$34</c:f>
              <c:strCache>
                <c:ptCount val="1"/>
                <c:pt idx="0">
                  <c:v>Stg.4 Shroud Aft#9</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'201-Tool_max'!$AI$36:$AI$59</c:f>
              <c:numCache>
                <c:formatCode>General</c:formatCode>
                <c:ptCount val="24"/>
                <c:pt idx="16" formatCode="0.000">
                  <c:v>420.95531733702637</c:v>
                </c:pt>
                <c:pt idx="17" formatCode="0.000">
                  <c:v>420.95531733702637</c:v>
                </c:pt>
              </c:numCache>
            </c:numRef>
          </c:val>
          <c:extLst>
            <c:ext xmlns:c16="http://schemas.microsoft.com/office/drawing/2014/chart" uri="{C3380CC4-5D6E-409C-BE32-E72D297353CC}">
              <c16:uniqueId val="{00000012-2AAB-4267-83F2-2D558FBBC392}"/>
            </c:ext>
          </c:extLst>
        </c:ser>
        <c:ser>
          <c:idx val="19"/>
          <c:order val="19"/>
          <c:tx>
            <c:strRef>
              <c:f>'201-Tool_max'!$AJ$34</c:f>
              <c:strCache>
                <c:ptCount val="1"/>
                <c:pt idx="0">
                  <c:v>Stg.4 Shroud Aft#8</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'201-Tool_max'!$AJ$36:$AJ$59</c:f>
              <c:numCache>
                <c:formatCode>General</c:formatCode>
                <c:ptCount val="24"/>
                <c:pt idx="17" formatCode="0.000">
                  <c:v>421.01166800118335</c:v>
                </c:pt>
                <c:pt idx="18" formatCode="0.000">
                  <c:v>421.01166800118335</c:v>
                </c:pt>
              </c:numCache>
            </c:numRef>
          </c:val>
          <c:extLst>
            <c:ext xmlns:c16="http://schemas.microsoft.com/office/drawing/2014/chart" uri="{C3380CC4-5D6E-409C-BE32-E72D297353CC}">
              <c16:uniqueId val="{00000013-2AAB-4267-83F2-2D558FBBC392}"/>
            </c:ext>
          </c:extLst>
        </c:ser>
        <c:ser>
          <c:idx val="20"/>
          <c:order val="20"/>
          <c:tx>
            <c:strRef>
              <c:f>'201-Tool_max'!$AK$34</c:f>
              <c:strCache>
                <c:ptCount val="1"/>
                <c:pt idx="0">
                  <c:v>Stg.4 Shroud Aft#7</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'201-Tool_max'!$AK$36:$AK$59</c:f>
              <c:numCache>
                <c:formatCode>General</c:formatCode>
                <c:ptCount val="24"/>
                <c:pt idx="18" formatCode="0.000">
                  <c:v>421.03554400118333</c:v>
                </c:pt>
                <c:pt idx="19" formatCode="0.000">
                  <c:v>421.03554400118333</c:v>
                </c:pt>
              </c:numCache>
            </c:numRef>
          </c:val>
          <c:extLst>
            <c:ext xmlns:c16="http://schemas.microsoft.com/office/drawing/2014/chart" uri="{C3380CC4-5D6E-409C-BE32-E72D297353CC}">
              <c16:uniqueId val="{00000014-2AAB-4267-83F2-2D558FBBC392}"/>
            </c:ext>
          </c:extLst>
        </c:ser>
        <c:ser>
          <c:idx val="21"/>
          <c:order val="21"/>
          <c:tx>
            <c:strRef>
              <c:f>'201-Tool_max'!$AL$34</c:f>
              <c:strCache>
                <c:ptCount val="1"/>
                <c:pt idx="0">
                  <c:v>Stg.4 Shroud Aft#6</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'201-Tool_max'!$AL$36:$AL$59</c:f>
              <c:numCache>
                <c:formatCode>General</c:formatCode>
                <c:ptCount val="24"/>
                <c:pt idx="19" formatCode="0.000">
                  <c:v>421.00919200300132</c:v>
                </c:pt>
                <c:pt idx="20" formatCode="0.000">
                  <c:v>421.00919200300132</c:v>
                </c:pt>
              </c:numCache>
            </c:numRef>
          </c:val>
          <c:extLst>
            <c:ext xmlns:c16="http://schemas.microsoft.com/office/drawing/2014/chart" uri="{C3380CC4-5D6E-409C-BE32-E72D297353CC}">
              <c16:uniqueId val="{00000015-2AAB-4267-83F2-2D558FBBC392}"/>
            </c:ext>
          </c:extLst>
        </c:ser>
        <c:ser>
          <c:idx val="22"/>
          <c:order val="22"/>
          <c:tx>
            <c:strRef>
              <c:f>'201-Tool_max'!$AM$34</c:f>
              <c:strCache>
                <c:ptCount val="1"/>
                <c:pt idx="0">
                  <c:v>Stg.4 Shroud Aft#5</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'201-Tool_max'!$AM$36:$AM$59</c:f>
              <c:numCache>
                <c:formatCode>General</c:formatCode>
                <c:ptCount val="24"/>
                <c:pt idx="20" formatCode="0.000">
                  <c:v>420.94821600758598</c:v>
                </c:pt>
                <c:pt idx="21" formatCode="0.000">
                  <c:v>420.94821600758598</c:v>
                </c:pt>
              </c:numCache>
            </c:numRef>
          </c:val>
          <c:extLst>
            <c:ext xmlns:c16="http://schemas.microsoft.com/office/drawing/2014/chart" uri="{C3380CC4-5D6E-409C-BE32-E72D297353CC}">
              <c16:uniqueId val="{00000016-2AAB-4267-83F2-2D558FBBC392}"/>
            </c:ext>
          </c:extLst>
        </c:ser>
        <c:ser>
          <c:idx val="23"/>
          <c:order val="23"/>
          <c:tx>
            <c:strRef>
              <c:f>'201-Tool_max'!$AN$34</c:f>
              <c:strCache>
                <c:ptCount val="1"/>
                <c:pt idx="0">
                  <c:v>Stg.4 Shroud Aft#4</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'201-Tool_max'!$AN$36:$AN$59</c:f>
              <c:numCache>
                <c:formatCode>General</c:formatCode>
                <c:ptCount val="24"/>
                <c:pt idx="21" formatCode="0.000">
                  <c:v>420.88159200838015</c:v>
                </c:pt>
                <c:pt idx="22" formatCode="0.000">
                  <c:v>420.88159200838015</c:v>
                </c:pt>
              </c:numCache>
            </c:numRef>
          </c:val>
          <c:extLst>
            <c:ext xmlns:c16="http://schemas.microsoft.com/office/drawing/2014/chart" uri="{C3380CC4-5D6E-409C-BE32-E72D297353CC}">
              <c16:uniqueId val="{00000017-2AAB-4267-83F2-2D558FBBC392}"/>
            </c:ext>
          </c:extLst>
        </c:ser>
        <c:ser>
          <c:idx val="24"/>
          <c:order val="24"/>
          <c:tx>
            <c:strRef>
              <c:f>'201-Tool_max'!$AO$34</c:f>
              <c:strCache>
                <c:ptCount val="1"/>
                <c:pt idx="0">
                  <c:v>Stg.4 Shroud Aft#3</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'201-Tool_max'!$AO$36:$AO$59</c:f>
              <c:numCache>
                <c:formatCode>General</c:formatCode>
                <c:ptCount val="24"/>
                <c:pt idx="22" formatCode="0.000">
                  <c:v>420.84989600466241</c:v>
                </c:pt>
                <c:pt idx="23" formatCode="0.000">
                  <c:v>420.84989600466241</c:v>
                </c:pt>
              </c:numCache>
            </c:numRef>
          </c:val>
          <c:extLst>
            <c:ext xmlns:c16="http://schemas.microsoft.com/office/drawing/2014/chart" uri="{C3380CC4-5D6E-409C-BE32-E72D297353CC}">
              <c16:uniqueId val="{00000018-2AAB-4267-83F2-2D558FBBC392}"/>
            </c:ext>
          </c:extLst>
        </c:ser>
        <c:ser>
          <c:idx val="25"/>
          <c:order val="25"/>
          <c:tx>
            <c:strRef>
              <c:f>'201-Tool_max'!$AP$34</c:f>
              <c:strCache>
                <c:ptCount val="1"/>
                <c:pt idx="0">
                  <c:v>Stg.4 Shroud Aft#2</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'201-Tool_max'!$AP$36:$AP$59</c:f>
              <c:numCache>
                <c:formatCode>General</c:formatCode>
                <c:ptCount val="24"/>
                <c:pt idx="0" formatCode="0.000">
                  <c:v>420.86815866987058</c:v>
                </c:pt>
                <c:pt idx="23" formatCode="0.000">
                  <c:v>420.86815866987058</c:v>
                </c:pt>
              </c:numCache>
            </c:numRef>
          </c:val>
          <c:extLst>
            <c:ext xmlns:c16="http://schemas.microsoft.com/office/drawing/2014/chart" uri="{C3380CC4-5D6E-409C-BE32-E72D297353CC}">
              <c16:uniqueId val="{00000019-2AAB-4267-83F2-2D558FBBC392}"/>
            </c:ext>
          </c:extLst>
        </c:ser>
        <c:dLbls>
          <c:showLegendKey val="0"/>
          <c:showVal val="0"/>
          <c:showCatName val="0"/>
          <c:showSerName val="0"/>
          <c:showPercent val="0"/>
          <c:showBubbleSize val="0"/>
        </c:dLbls>
        <c:axId val="171830656"/>
        <c:axId val="176624768"/>
      </c:radarChart>
      <c:catAx>
        <c:axId val="17183065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6624768"/>
        <c:crosses val="autoZero"/>
        <c:auto val="1"/>
        <c:lblAlgn val="ctr"/>
        <c:lblOffset val="100"/>
        <c:noMultiLvlLbl val="0"/>
      </c:catAx>
      <c:valAx>
        <c:axId val="17662476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830656"/>
        <c:crosses val="autoZero"/>
        <c:crossBetween val="between"/>
        <c:majorUnit val="5.000000000000001E-2"/>
      </c:valAx>
    </c:plotArea>
    <c:legend>
      <c:legendPos val="r"/>
      <c:layout>
        <c:manualLayout>
          <c:xMode val="edge"/>
          <c:yMode val="edge"/>
          <c:x val="0.75693143452628542"/>
          <c:y val="0"/>
          <c:w val="0.23186856312200801"/>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'201-Tool_max'!$AQ$93</c:f>
              <c:strCache>
                <c:ptCount val="1"/>
                <c:pt idx="0">
                  <c:v>Step Min</c:v>
                </c:pt>
              </c:strCache>
            </c:strRef>
          </c:tx>
          <c:spPr>
            <a:ln w="28575">
              <a:prstDash val="dash"/>
            </a:ln>
          </c:spPr>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'201-Tool_max'!$AQ$95:$AQ$118</c:f>
              <c:numCache>
                <c:formatCode>General</c:formatCode>
                <c:ptCount val="24"/>
                <c:pt idx="0">
                  <c:v>-0.23749999999995453</c:v>
                </c:pt>
                <c:pt idx="1">
                  <c:v>-0.23749999999995453</c:v>
                </c:pt>
                <c:pt idx="2">
                  <c:v>-0.23749999999995453</c:v>
                </c:pt>
                <c:pt idx="3">
                  <c:v>-0.23749999999995453</c:v>
                </c:pt>
                <c:pt idx="4">
                  <c:v>-0.23749999999995453</c:v>
                </c:pt>
                <c:pt idx="5">
                  <c:v>-0.23749999999995453</c:v>
                </c:pt>
                <c:pt idx="6">
                  <c:v>-0.23749999999995453</c:v>
                </c:pt>
                <c:pt idx="7">
                  <c:v>-0.23749999999995453</c:v>
                </c:pt>
                <c:pt idx="8">
                  <c:v>-0.23749999999995453</c:v>
                </c:pt>
                <c:pt idx="9">
                  <c:v>-0.23749999999995453</c:v>
                </c:pt>
                <c:pt idx="10">
                  <c:v>-0.23749999999995453</c:v>
                </c:pt>
                <c:pt idx="11">
                  <c:v>-0.23749999999995453</c:v>
                </c:pt>
                <c:pt idx="12">
                  <c:v>-0.23749999999995453</c:v>
                </c:pt>
                <c:pt idx="13">
                  <c:v>-0.23749999999995453</c:v>
                </c:pt>
                <c:pt idx="14">
                  <c:v>-0.23749999999995453</c:v>
                </c:pt>
                <c:pt idx="15">
                  <c:v>-0.23749999999995453</c:v>
                </c:pt>
                <c:pt idx="16">
                  <c:v>-0.23749999999995453</c:v>
                </c:pt>
                <c:pt idx="17">
                  <c:v>-0.23749999999995453</c:v>
                </c:pt>
                <c:pt idx="18">
                  <c:v>-0.23749999999995453</c:v>
                </c:pt>
                <c:pt idx="19">
                  <c:v>-0.23749999999995453</c:v>
                </c:pt>
                <c:pt idx="20">
                  <c:v>-0.23749999999995453</c:v>
                </c:pt>
                <c:pt idx="21">
                  <c:v>-0.23749999999995453</c:v>
                </c:pt>
                <c:pt idx="22">
                  <c:v>-0.23749999999995453</c:v>
                </c:pt>
                <c:pt idx="23">
                  <c:v>-0.23749999999995453</c:v>
                </c:pt>
              </c:numCache>
            </c:numRef>
          </c:val>
          <c:extLst>
            <c:ext xmlns:c16="http://schemas.microsoft.com/office/drawing/2014/chart" uri="{C3380CC4-5D6E-409C-BE32-E72D297353CC}">
              <c16:uniqueId val="{00000000-6D27-4ADA-8B26-1849EB05F52B}"/>
            </c:ext>
          </c:extLst>
        </c:ser>
        <c:ser>
          <c:idx val="1"/>
          <c:order val="1"/>
          <c:tx>
            <c:strRef>
              <c:f>'201-Tool_max'!$AR$93</c:f>
              <c:strCache>
                <c:ptCount val="1"/>
                <c:pt idx="0">
                  <c:v>Step Max</c:v>
                </c:pt>
              </c:strCache>
            </c:strRef>
          </c:tx>
          <c:spPr>
            <a:ln w="28575">
              <a:prstDash val="dash"/>
            </a:ln>
          </c:spPr>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'201-Tool_max'!$AR$95:$AR$118</c:f>
              <c:numCache>
                <c:formatCode>General</c:formatCode>
                <c:ptCount val="24"/>
                <c:pt idx="0">
                  <c:v>0.23749999999995453</c:v>
                </c:pt>
                <c:pt idx="1">
                  <c:v>0.23749999999995453</c:v>
                </c:pt>
                <c:pt idx="2">
                  <c:v>0.23749999999995453</c:v>
                </c:pt>
                <c:pt idx="3">
                  <c:v>0.23749999999995453</c:v>
                </c:pt>
                <c:pt idx="4">
                  <c:v>0.23749999999995453</c:v>
                </c:pt>
                <c:pt idx="5">
                  <c:v>0.23749999999995453</c:v>
                </c:pt>
                <c:pt idx="6">
                  <c:v>0.23749999999995453</c:v>
                </c:pt>
                <c:pt idx="7">
                  <c:v>0.23749999999995453</c:v>
                </c:pt>
                <c:pt idx="8">
                  <c:v>0.23749999999995453</c:v>
                </c:pt>
                <c:pt idx="9">
                  <c:v>0.23749999999995453</c:v>
                </c:pt>
                <c:pt idx="10">
                  <c:v>0.23749999999995453</c:v>
                </c:pt>
                <c:pt idx="11">
                  <c:v>0.23749999999995453</c:v>
                </c:pt>
                <c:pt idx="12">
                  <c:v>0.23749999999995453</c:v>
                </c:pt>
                <c:pt idx="13">
                  <c:v>0.23749999999995453</c:v>
                </c:pt>
                <c:pt idx="14">
                  <c:v>0.23749999999995453</c:v>
                </c:pt>
                <c:pt idx="15">
                  <c:v>0.23749999999995453</c:v>
                </c:pt>
                <c:pt idx="16">
                  <c:v>0.23749999999995453</c:v>
                </c:pt>
                <c:pt idx="17">
                  <c:v>0.23749999999995453</c:v>
                </c:pt>
                <c:pt idx="18">
                  <c:v>0.23749999999995453</c:v>
                </c:pt>
                <c:pt idx="19">
                  <c:v>0.23749999999995453</c:v>
                </c:pt>
                <c:pt idx="20">
                  <c:v>0.23749999999995453</c:v>
                </c:pt>
                <c:pt idx="21">
                  <c:v>0.23749999999995453</c:v>
                </c:pt>
                <c:pt idx="22">
                  <c:v>0.23749999999995453</c:v>
                </c:pt>
                <c:pt idx="23">
                  <c:v>0.23749999999995453</c:v>
                </c:pt>
              </c:numCache>
            </c:numRef>
          </c:val>
          <c:extLst>
            <c:ext xmlns:c16="http://schemas.microsoft.com/office/drawing/2014/chart" uri="{C3380CC4-5D6E-409C-BE32-E72D297353CC}">
              <c16:uniqueId val="{00000001-6D27-4ADA-8B26-1849EB05F52B}"/>
            </c:ext>
          </c:extLst>
        </c:ser>
        <c:ser>
          <c:idx val="2"/>
          <c:order val="2"/>
          <c:tx>
            <c:strRef>
              <c:f>'201-Tool_max'!$S$93</c:f>
              <c:strCache>
                <c:ptCount val="1"/>
                <c:pt idx="0">
                  <c:v>Stg.4 Shroud Step#1</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'201-Tool_max'!$S$95:$S$118</c:f>
              <c:numCache>
                <c:formatCode>0.000_ </c:formatCode>
                <c:ptCount val="24"/>
                <c:pt idx="0">
                  <c:v>-1.1184007098336224E-2</c:v>
                </c:pt>
                <c:pt idx="1">
                  <c:v>-1.1184007098336224E-2</c:v>
                </c:pt>
              </c:numCache>
            </c:numRef>
          </c:val>
          <c:extLst>
            <c:ext xmlns:c16="http://schemas.microsoft.com/office/drawing/2014/chart" uri="{C3380CC4-5D6E-409C-BE32-E72D297353CC}">
              <c16:uniqueId val="{00000002-6D27-4ADA-8B26-1849EB05F52B}"/>
            </c:ext>
          </c:extLst>
        </c:ser>
        <c:ser>
          <c:idx val="3"/>
          <c:order val="3"/>
          <c:tx>
            <c:strRef>
              <c:f>'201-Tool_max'!$T$93</c:f>
              <c:strCache>
                <c:ptCount val="1"/>
                <c:pt idx="0">
                  <c:v>Stg.4 Shroud Step#24</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'201-Tool_max'!$T$95:$T$118</c:f>
              <c:numCache>
                <c:formatCode>0.000_ </c:formatCode>
                <c:ptCount val="24"/>
                <c:pt idx="1">
                  <c:v>1.8026664342642107E-2</c:v>
                </c:pt>
                <c:pt idx="2">
                  <c:v>1.8026664342642107E-2</c:v>
                </c:pt>
              </c:numCache>
            </c:numRef>
          </c:val>
          <c:extLst>
            <c:ext xmlns:c16="http://schemas.microsoft.com/office/drawing/2014/chart" uri="{C3380CC4-5D6E-409C-BE32-E72D297353CC}">
              <c16:uniqueId val="{00000003-6D27-4ADA-8B26-1849EB05F52B}"/>
            </c:ext>
          </c:extLst>
        </c:ser>
        <c:ser>
          <c:idx val="4"/>
          <c:order val="4"/>
          <c:tx>
            <c:strRef>
              <c:f>'201-Tool_max'!$U$93</c:f>
              <c:strCache>
                <c:ptCount val="1"/>
                <c:pt idx="0">
                  <c:v>Stg.4 Shroud Step#23</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'201-Tool_max'!$U$95:$U$118</c:f>
              <c:numCache>
                <c:formatCode>0.000_ </c:formatCode>
                <c:ptCount val="24"/>
                <c:pt idx="2">
                  <c:v>3.8957332953884816E-2</c:v>
                </c:pt>
                <c:pt idx="3">
                  <c:v>3.8957332953884816E-2</c:v>
                </c:pt>
              </c:numCache>
            </c:numRef>
          </c:val>
          <c:extLst>
            <c:ext xmlns:c16="http://schemas.microsoft.com/office/drawing/2014/chart" uri="{C3380CC4-5D6E-409C-BE32-E72D297353CC}">
              <c16:uniqueId val="{00000004-6D27-4ADA-8B26-1849EB05F52B}"/>
            </c:ext>
          </c:extLst>
        </c:ser>
        <c:ser>
          <c:idx val="5"/>
          <c:order val="5"/>
          <c:tx>
            <c:strRef>
              <c:f>'201-Tool_max'!$V$93</c:f>
              <c:strCache>
                <c:ptCount val="1"/>
                <c:pt idx="0">
                  <c:v>Stg.4 Shroud Step#22</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'201-Tool_max'!$V$95:$V$118</c:f>
              <c:numCache>
                <c:formatCode>0.000_ </c:formatCode>
                <c:ptCount val="24"/>
                <c:pt idx="3">
                  <c:v>2.7343999970241839E-2</c:v>
                </c:pt>
                <c:pt idx="4">
                  <c:v>2.7343999970241839E-2</c:v>
                </c:pt>
              </c:numCache>
            </c:numRef>
          </c:val>
          <c:extLst>
            <c:ext xmlns:c16="http://schemas.microsoft.com/office/drawing/2014/chart" uri="{C3380CC4-5D6E-409C-BE32-E72D297353CC}">
              <c16:uniqueId val="{00000005-6D27-4ADA-8B26-1849EB05F52B}"/>
            </c:ext>
          </c:extLst>
        </c:ser>
        <c:ser>
          <c:idx val="6"/>
          <c:order val="6"/>
          <c:tx>
            <c:strRef>
              <c:f>'201-Tool_max'!$W$93</c:f>
              <c:strCache>
                <c:ptCount val="1"/>
                <c:pt idx="0">
                  <c:v>Stg.4 Shroud Step#21</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'201-Tool_max'!$W$95:$W$118</c:f>
              <c:numCache>
                <c:formatCode>0.000_ </c:formatCode>
                <c:ptCount val="24"/>
                <c:pt idx="4">
                  <c:v>-1.7173337049996462E-2</c:v>
                </c:pt>
                <c:pt idx="5">
                  <c:v>-1.7173337049996462E-2</c:v>
                </c:pt>
              </c:numCache>
            </c:numRef>
          </c:val>
          <c:extLst>
            <c:ext xmlns:c16="http://schemas.microsoft.com/office/drawing/2014/chart" uri="{C3380CC4-5D6E-409C-BE32-E72D297353CC}">
              <c16:uniqueId val="{00000006-6D27-4ADA-8B26-1849EB05F52B}"/>
            </c:ext>
          </c:extLst>
        </c:ser>
        <c:ser>
          <c:idx val="7"/>
          <c:order val="7"/>
          <c:tx>
            <c:strRef>
              <c:f>'201-Tool_max'!$X$93</c:f>
              <c:strCache>
                <c:ptCount val="1"/>
                <c:pt idx="0">
                  <c:v>Stg.4 Shroud Step#20</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'201-Tool_max'!$X$95:$X$118</c:f>
              <c:numCache>
                <c:formatCode>0.000_ </c:formatCode>
                <c:ptCount val="24"/>
                <c:pt idx="5">
                  <c:v>-6.8461346150968438E-2</c:v>
                </c:pt>
                <c:pt idx="6">
                  <c:v>-6.8461346150968438E-2</c:v>
                </c:pt>
              </c:numCache>
            </c:numRef>
          </c:val>
          <c:extLst>
            <c:ext xmlns:c16="http://schemas.microsoft.com/office/drawing/2014/chart" uri="{C3380CC4-5D6E-409C-BE32-E72D297353CC}">
              <c16:uniqueId val="{00000007-6D27-4ADA-8B26-1849EB05F52B}"/>
            </c:ext>
          </c:extLst>
        </c:ser>
        <c:ser>
          <c:idx val="8"/>
          <c:order val="8"/>
          <c:tx>
            <c:strRef>
              <c:f>'201-Tool_max'!$Y$93</c:f>
              <c:strCache>
                <c:ptCount val="1"/>
                <c:pt idx="0">
                  <c:v>Stg.4 Shroud Step#19</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'201-Tool_max'!$Y$95:$Y$118</c:f>
              <c:numCache>
                <c:formatCode>0.000_ </c:formatCode>
                <c:ptCount val="24"/>
                <c:pt idx="6">
                  <c:v>-9.4232012259453768E-2</c:v>
                </c:pt>
                <c:pt idx="7">
                  <c:v>-9.4232012259453768E-2</c:v>
                </c:pt>
              </c:numCache>
            </c:numRef>
          </c:val>
          <c:extLst>
            <c:ext xmlns:c16="http://schemas.microsoft.com/office/drawing/2014/chart" uri="{C3380CC4-5D6E-409C-BE32-E72D297353CC}">
              <c16:uniqueId val="{00000008-6D27-4ADA-8B26-1849EB05F52B}"/>
            </c:ext>
          </c:extLst>
        </c:ser>
        <c:ser>
          <c:idx val="9"/>
          <c:order val="9"/>
          <c:tx>
            <c:strRef>
              <c:f>'201-Tool_max'!$Z$93</c:f>
              <c:strCache>
                <c:ptCount val="1"/>
                <c:pt idx="0">
                  <c:v>Stg.4 Shroud Step#18</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'201-Tool_max'!$Z$95:$Z$118</c:f>
              <c:numCache>
                <c:formatCode>0.000_ </c:formatCode>
                <c:ptCount val="24"/>
                <c:pt idx="7">
                  <c:v>-8.6946670401914616E-2</c:v>
                </c:pt>
                <c:pt idx="8">
                  <c:v>-8.6946670401914616E-2</c:v>
                </c:pt>
              </c:numCache>
            </c:numRef>
          </c:val>
          <c:extLst>
            <c:ext xmlns:c16="http://schemas.microsoft.com/office/drawing/2014/chart" uri="{C3380CC4-5D6E-409C-BE32-E72D297353CC}">
              <c16:uniqueId val="{00000009-6D27-4ADA-8B26-1849EB05F52B}"/>
            </c:ext>
          </c:extLst>
        </c:ser>
        <c:ser>
          <c:idx val="10"/>
          <c:order val="10"/>
          <c:tx>
            <c:strRef>
              <c:f>'201-Tool_max'!$AA$93</c:f>
              <c:strCache>
                <c:ptCount val="1"/>
                <c:pt idx="0">
                  <c:v>Stg.4 Shroud Step#17</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'201-Tool_max'!$AA$95:$AA$118</c:f>
              <c:numCache>
                <c:formatCode>0.000_ </c:formatCode>
                <c:ptCount val="24"/>
                <c:pt idx="8">
                  <c:v>-6.902400119719232E-2</c:v>
                </c:pt>
                <c:pt idx="9">
                  <c:v>-6.902400119719232E-2</c:v>
                </c:pt>
              </c:numCache>
            </c:numRef>
          </c:val>
          <c:extLst>
            <c:ext xmlns:c16="http://schemas.microsoft.com/office/drawing/2014/chart" uri="{C3380CC4-5D6E-409C-BE32-E72D297353CC}">
              <c16:uniqueId val="{0000000A-6D27-4ADA-8B26-1849EB05F52B}"/>
            </c:ext>
          </c:extLst>
        </c:ser>
        <c:ser>
          <c:idx val="11"/>
          <c:order val="11"/>
          <c:tx>
            <c:strRef>
              <c:f>'201-Tool_max'!$AB$93</c:f>
              <c:strCache>
                <c:ptCount val="1"/>
                <c:pt idx="0">
                  <c:v>Stg.4 Shroud Step#16</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'201-Tool_max'!$AB$95:$AB$118</c:f>
              <c:numCache>
                <c:formatCode>0.000_ </c:formatCode>
                <c:ptCount val="24"/>
                <c:pt idx="9">
                  <c:v>-4.2720001197210422E-2</c:v>
                </c:pt>
                <c:pt idx="10">
                  <c:v>-4.2720001197210422E-2</c:v>
                </c:pt>
              </c:numCache>
            </c:numRef>
          </c:val>
          <c:extLst>
            <c:ext xmlns:c16="http://schemas.microsoft.com/office/drawing/2014/chart" uri="{C3380CC4-5D6E-409C-BE32-E72D297353CC}">
              <c16:uniqueId val="{0000000B-6D27-4ADA-8B26-1849EB05F52B}"/>
            </c:ext>
          </c:extLst>
        </c:ser>
        <c:ser>
          <c:idx val="12"/>
          <c:order val="12"/>
          <c:tx>
            <c:strRef>
              <c:f>'201-Tool_max'!$AC$93</c:f>
              <c:strCache>
                <c:ptCount val="1"/>
                <c:pt idx="0">
                  <c:v>Stg.4 Shroud Step#15</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'201-Tool_max'!$AC$95:$AC$118</c:f>
              <c:numCache>
                <c:formatCode>0.000_ </c:formatCode>
                <c:ptCount val="24"/>
                <c:pt idx="10">
                  <c:v>-2.116799892240806E-2</c:v>
                </c:pt>
                <c:pt idx="11">
                  <c:v>-2.116799892240806E-2</c:v>
                </c:pt>
              </c:numCache>
            </c:numRef>
          </c:val>
          <c:extLst>
            <c:ext xmlns:c16="http://schemas.microsoft.com/office/drawing/2014/chart" uri="{C3380CC4-5D6E-409C-BE32-E72D297353CC}">
              <c16:uniqueId val="{0000000C-6D27-4ADA-8B26-1849EB05F52B}"/>
            </c:ext>
          </c:extLst>
        </c:ser>
        <c:ser>
          <c:idx val="13"/>
          <c:order val="13"/>
          <c:tx>
            <c:strRef>
              <c:f>'201-Tool_max'!$AD$93</c:f>
              <c:strCache>
                <c:ptCount val="1"/>
                <c:pt idx="0">
                  <c:v>Stg.4 Shroud Step#14</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'201-Tool_max'!$AD$95:$AD$118</c:f>
              <c:numCache>
                <c:formatCode>0.000_ </c:formatCode>
                <c:ptCount val="24"/>
                <c:pt idx="11">
                  <c:v>-1.514399329863636E-2</c:v>
                </c:pt>
                <c:pt idx="12">
                  <c:v>-1.514399329863636E-2</c:v>
                </c:pt>
              </c:numCache>
            </c:numRef>
          </c:val>
          <c:extLst>
            <c:ext xmlns:c16="http://schemas.microsoft.com/office/drawing/2014/chart" uri="{C3380CC4-5D6E-409C-BE32-E72D297353CC}">
              <c16:uniqueId val="{0000000D-6D27-4ADA-8B26-1849EB05F52B}"/>
            </c:ext>
          </c:extLst>
        </c:ser>
        <c:ser>
          <c:idx val="14"/>
          <c:order val="14"/>
          <c:tx>
            <c:strRef>
              <c:f>'201-Tool_max'!$AE$93</c:f>
              <c:strCache>
                <c:ptCount val="1"/>
                <c:pt idx="0">
                  <c:v>Stg.4 Shroud Step#13</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'201-Tool_max'!$AE$95:$AE$118</c:f>
              <c:numCache>
                <c:formatCode>0.000_ </c:formatCode>
                <c:ptCount val="24"/>
                <c:pt idx="12">
                  <c:v>-2.6671993898958135E-2</c:v>
                </c:pt>
                <c:pt idx="13">
                  <c:v>-2.6671993898958135E-2</c:v>
                </c:pt>
              </c:numCache>
            </c:numRef>
          </c:val>
          <c:extLst>
            <c:ext xmlns:c16="http://schemas.microsoft.com/office/drawing/2014/chart" uri="{C3380CC4-5D6E-409C-BE32-E72D297353CC}">
              <c16:uniqueId val="{0000000E-6D27-4ADA-8B26-1849EB05F52B}"/>
            </c:ext>
          </c:extLst>
        </c:ser>
        <c:ser>
          <c:idx val="15"/>
          <c:order val="15"/>
          <c:tx>
            <c:strRef>
              <c:f>'201-Tool_max'!$AF$93</c:f>
              <c:strCache>
                <c:ptCount val="1"/>
                <c:pt idx="0">
                  <c:v>Stg.4 Shroud Step#12</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'201-Tool_max'!$AF$95:$AF$118</c:f>
              <c:numCache>
                <c:formatCode>0.000_ </c:formatCode>
                <c:ptCount val="24"/>
                <c:pt idx="13">
                  <c:v>-4.425603450977178E-2</c:v>
                </c:pt>
                <c:pt idx="14">
                  <c:v>-4.425603450977178E-2</c:v>
                </c:pt>
              </c:numCache>
            </c:numRef>
          </c:val>
          <c:extLst>
            <c:ext xmlns:c16="http://schemas.microsoft.com/office/drawing/2014/chart" uri="{C3380CC4-5D6E-409C-BE32-E72D297353CC}">
              <c16:uniqueId val="{0000000F-6D27-4ADA-8B26-1849EB05F52B}"/>
            </c:ext>
          </c:extLst>
        </c:ser>
        <c:ser>
          <c:idx val="16"/>
          <c:order val="16"/>
          <c:tx>
            <c:strRef>
              <c:f>'201-Tool_max'!$AG$93</c:f>
              <c:strCache>
                <c:ptCount val="1"/>
                <c:pt idx="0">
                  <c:v>Stg.4 Shroud Step#11</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'201-Tool_max'!$AG$95:$AG$118</c:f>
              <c:numCache>
                <c:formatCode>0.000_ </c:formatCode>
                <c:ptCount val="24"/>
                <c:pt idx="14">
                  <c:v>-5.3008122649828238E-2</c:v>
                </c:pt>
                <c:pt idx="15">
                  <c:v>-5.3008122649828238E-2</c:v>
                </c:pt>
              </c:numCache>
            </c:numRef>
          </c:val>
          <c:extLst>
            <c:ext xmlns:c16="http://schemas.microsoft.com/office/drawing/2014/chart" uri="{C3380CC4-5D6E-409C-BE32-E72D297353CC}">
              <c16:uniqueId val="{00000010-6D27-4ADA-8B26-1849EB05F52B}"/>
            </c:ext>
          </c:extLst>
        </c:ser>
        <c:ser>
          <c:idx val="17"/>
          <c:order val="17"/>
          <c:tx>
            <c:strRef>
              <c:f>'201-Tool_max'!$AH$93</c:f>
              <c:strCache>
                <c:ptCount val="1"/>
                <c:pt idx="0">
                  <c:v>Stg.4 Shroud Step#10</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'201-Tool_max'!$AH$95:$AH$118</c:f>
              <c:numCache>
                <c:formatCode>0.000_ </c:formatCode>
                <c:ptCount val="24"/>
                <c:pt idx="15">
                  <c:v>-4.3176112992682647E-2</c:v>
                </c:pt>
                <c:pt idx="16">
                  <c:v>-4.3176112992682647E-2</c:v>
                </c:pt>
              </c:numCache>
            </c:numRef>
          </c:val>
          <c:extLst>
            <c:ext xmlns:c16="http://schemas.microsoft.com/office/drawing/2014/chart" uri="{C3380CC4-5D6E-409C-BE32-E72D297353CC}">
              <c16:uniqueId val="{00000011-6D27-4ADA-8B26-1849EB05F52B}"/>
            </c:ext>
          </c:extLst>
        </c:ser>
        <c:ser>
          <c:idx val="18"/>
          <c:order val="18"/>
          <c:tx>
            <c:strRef>
              <c:f>'201-Tool_max'!$AI$93</c:f>
              <c:strCache>
                <c:ptCount val="1"/>
                <c:pt idx="0">
                  <c:v>Stg.4 Shroud Step#9</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'201-Tool_max'!$AI$95:$AI$118</c:f>
              <c:numCache>
                <c:formatCode>0.000_ </c:formatCode>
                <c:ptCount val="24"/>
                <c:pt idx="16">
                  <c:v>-2.5320026624797265E-2</c:v>
                </c:pt>
                <c:pt idx="17">
                  <c:v>-2.5320026624797265E-2</c:v>
                </c:pt>
              </c:numCache>
            </c:numRef>
          </c:val>
          <c:extLst>
            <c:ext xmlns:c16="http://schemas.microsoft.com/office/drawing/2014/chart" uri="{C3380CC4-5D6E-409C-BE32-E72D297353CC}">
              <c16:uniqueId val="{00000012-6D27-4ADA-8B26-1849EB05F52B}"/>
            </c:ext>
          </c:extLst>
        </c:ser>
        <c:ser>
          <c:idx val="19"/>
          <c:order val="19"/>
          <c:tx>
            <c:strRef>
              <c:f>'201-Tool_max'!$AJ$93</c:f>
              <c:strCache>
                <c:ptCount val="1"/>
                <c:pt idx="0">
                  <c:v>Stg.4 Shroud Step#8</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'201-Tool_max'!$AJ$95:$AJ$118</c:f>
              <c:numCache>
                <c:formatCode>0.000_ </c:formatCode>
                <c:ptCount val="24"/>
                <c:pt idx="17">
                  <c:v>-1.8510669074487396E-2</c:v>
                </c:pt>
                <c:pt idx="18">
                  <c:v>-1.8510669074487396E-2</c:v>
                </c:pt>
              </c:numCache>
            </c:numRef>
          </c:val>
          <c:extLst>
            <c:ext xmlns:c16="http://schemas.microsoft.com/office/drawing/2014/chart" uri="{C3380CC4-5D6E-409C-BE32-E72D297353CC}">
              <c16:uniqueId val="{00000013-6D27-4ADA-8B26-1849EB05F52B}"/>
            </c:ext>
          </c:extLst>
        </c:ser>
        <c:ser>
          <c:idx val="20"/>
          <c:order val="20"/>
          <c:tx>
            <c:strRef>
              <c:f>'201-Tool_max'!$AK$93</c:f>
              <c:strCache>
                <c:ptCount val="1"/>
                <c:pt idx="0">
                  <c:v>Stg.4 Shroud Step#7</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'201-Tool_max'!$AK$95:$AK$118</c:f>
              <c:numCache>
                <c:formatCode>0.000_ </c:formatCode>
                <c:ptCount val="24"/>
                <c:pt idx="18">
                  <c:v>-2.1224002225778804E-2</c:v>
                </c:pt>
                <c:pt idx="19">
                  <c:v>-2.1224002225778804E-2</c:v>
                </c:pt>
              </c:numCache>
            </c:numRef>
          </c:val>
          <c:extLst>
            <c:ext xmlns:c16="http://schemas.microsoft.com/office/drawing/2014/chart" uri="{C3380CC4-5D6E-409C-BE32-E72D297353CC}">
              <c16:uniqueId val="{00000014-6D27-4ADA-8B26-1849EB05F52B}"/>
            </c:ext>
          </c:extLst>
        </c:ser>
        <c:ser>
          <c:idx val="21"/>
          <c:order val="21"/>
          <c:tx>
            <c:strRef>
              <c:f>'201-Tool_max'!$AL$93</c:f>
              <c:strCache>
                <c:ptCount val="1"/>
                <c:pt idx="0">
                  <c:v>Stg.4 Shroud Step#6</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'201-Tool_max'!$AL$95:$AL$118</c:f>
              <c:numCache>
                <c:formatCode>0.000_ </c:formatCode>
                <c:ptCount val="24"/>
                <c:pt idx="19">
                  <c:v>-3.7773331806704391E-2</c:v>
                </c:pt>
                <c:pt idx="20">
                  <c:v>-3.7773331806704391E-2</c:v>
                </c:pt>
              </c:numCache>
            </c:numRef>
          </c:val>
          <c:extLst>
            <c:ext xmlns:c16="http://schemas.microsoft.com/office/drawing/2014/chart" uri="{C3380CC4-5D6E-409C-BE32-E72D297353CC}">
              <c16:uniqueId val="{00000015-6D27-4ADA-8B26-1849EB05F52B}"/>
            </c:ext>
          </c:extLst>
        </c:ser>
        <c:ser>
          <c:idx val="22"/>
          <c:order val="22"/>
          <c:tx>
            <c:strRef>
              <c:f>'201-Tool_max'!$AM$93</c:f>
              <c:strCache>
                <c:ptCount val="1"/>
                <c:pt idx="0">
                  <c:v>Stg.4 Shroud Step#5</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'201-Tool_max'!$AM$95:$AM$118</c:f>
              <c:numCache>
                <c:formatCode>0.000_ </c:formatCode>
                <c:ptCount val="24"/>
                <c:pt idx="20">
                  <c:v>-6.8650659479715159E-2</c:v>
                </c:pt>
                <c:pt idx="21">
                  <c:v>-6.8650659479715159E-2</c:v>
                </c:pt>
              </c:numCache>
            </c:numRef>
          </c:val>
          <c:extLst>
            <c:ext xmlns:c16="http://schemas.microsoft.com/office/drawing/2014/chart" uri="{C3380CC4-5D6E-409C-BE32-E72D297353CC}">
              <c16:uniqueId val="{00000016-6D27-4ADA-8B26-1849EB05F52B}"/>
            </c:ext>
          </c:extLst>
        </c:ser>
        <c:ser>
          <c:idx val="23"/>
          <c:order val="23"/>
          <c:tx>
            <c:strRef>
              <c:f>'201-Tool_max'!$AN$93</c:f>
              <c:strCache>
                <c:ptCount val="1"/>
                <c:pt idx="0">
                  <c:v>Stg.4 Shroud Step#4</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'201-Tool_max'!$AN$95:$AN$118</c:f>
              <c:numCache>
                <c:formatCode>0.000_ </c:formatCode>
                <c:ptCount val="24"/>
                <c:pt idx="21">
                  <c:v>-8.4311992079676656E-2</c:v>
                </c:pt>
                <c:pt idx="22">
                  <c:v>-8.4311992079676656E-2</c:v>
                </c:pt>
              </c:numCache>
            </c:numRef>
          </c:val>
          <c:extLst>
            <c:ext xmlns:c16="http://schemas.microsoft.com/office/drawing/2014/chart" uri="{C3380CC4-5D6E-409C-BE32-E72D297353CC}">
              <c16:uniqueId val="{00000017-6D27-4ADA-8B26-1849EB05F52B}"/>
            </c:ext>
          </c:extLst>
        </c:ser>
        <c:ser>
          <c:idx val="24"/>
          <c:order val="24"/>
          <c:tx>
            <c:strRef>
              <c:f>'201-Tool_max'!$AO$93</c:f>
              <c:strCache>
                <c:ptCount val="1"/>
                <c:pt idx="0">
                  <c:v>Stg.4 Shroud Step#3</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'201-Tool_max'!$AO$95:$AO$118</c:f>
              <c:numCache>
                <c:formatCode>0.000_ </c:formatCode>
                <c:ptCount val="24"/>
                <c:pt idx="22">
                  <c:v>-7.1389331538398437E-2</c:v>
                </c:pt>
                <c:pt idx="23">
                  <c:v>-7.1389331538398437E-2</c:v>
                </c:pt>
              </c:numCache>
            </c:numRef>
          </c:val>
          <c:extLst>
            <c:ext xmlns:c16="http://schemas.microsoft.com/office/drawing/2014/chart" uri="{C3380CC4-5D6E-409C-BE32-E72D297353CC}">
              <c16:uniqueId val="{00000018-6D27-4ADA-8B26-1849EB05F52B}"/>
            </c:ext>
          </c:extLst>
        </c:ser>
        <c:ser>
          <c:idx val="25"/>
          <c:order val="25"/>
          <c:tx>
            <c:strRef>
              <c:f>'201-Tool_max'!$AP$93</c:f>
              <c:strCache>
                <c:ptCount val="1"/>
                <c:pt idx="0">
                  <c:v>Stg.4 Shroud Step#2</c:v>
                </c:pt>
              </c:strCache>
            </c:strRef>
          </c:tx>
          <c:marker>
            <c:symbol val="none"/>
          </c:marker>
          <c:cat>
            <c:numRef>
              <c:f>'201-Tool_max'!$J$36:$J$59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'201-Tool_max'!$AP$95:$AP$118</c:f>
              <c:numCache>
                <c:formatCode>0.000_ </c:formatCode>
                <c:ptCount val="24"/>
                <c:pt idx="0">
                  <c:v>-5.4748002371354687E-2</c:v>
                </c:pt>
                <c:pt idx="23">
                  <c:v>-5.4748002371354687E-2</c:v>
                </c:pt>
              </c:numCache>
            </c:numRef>
          </c:val>
          <c:extLst>
            <c:ext xmlns:c16="http://schemas.microsoft.com/office/drawing/2014/chart" uri="{C3380CC4-5D6E-409C-BE32-E72D297353CC}">
              <c16:uniqueId val="{00000019-6D27-4ADA-8B26-1849EB05F52B}"/>
            </c:ext>
          </c:extLst>
        </c:ser>
        <c:dLbls>
          <c:showLegendKey val="0"/>
          <c:showVal val="0"/>
          <c:showCatName val="0"/>
          <c:showSerName val="0"/>
          <c:showPercent val="0"/>
          <c:showBubbleSize val="0"/>
        </c:dLbls>
        <c:axId val="176751360"/>
        <c:axId val="176752896"/>
      </c:radarChart>
      <c:catAx>
        <c:axId val="1767513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6752896"/>
        <c:crosses val="autoZero"/>
        <c:auto val="1"/>
        <c:lblAlgn val="ctr"/>
        <c:lblOffset val="100"/>
        <c:noMultiLvlLbl val="0"/>
      </c:catAx>
      <c:valAx>
        <c:axId val="176752896"/>
        <c:scaling>
          <c:orientation val="minMax"/>
          <c:max val="0.4"/>
          <c:min val="-0.4"/>
        </c:scaling>
        <c:delete val="0"/>
        <c:axPos val="l"/>
        <c:majorGridlines/>
        <c:numFmt formatCode="General" sourceLinked="1"/>
        <c:majorTickMark val="cross"/>
        <c:minorTickMark val="none"/>
        <c:tickLblPos val="nextTo"/>
        <c:txPr>
          <a:bodyPr/>
          <a:lstStyle/>
          <a:p>
            <a:pPr>
              <a:defRPr lang="ja-JP"/>
            </a:pPr>
            <a:endParaRPr lang="en-US"/>
          </a:p>
        </c:txPr>
        <c:crossAx val="176751360"/>
        <c:crosses val="autoZero"/>
        <c:crossBetween val="between"/>
      </c:valAx>
    </c:plotArea>
    <c:legend>
      <c:legendPos val="r"/>
      <c:layout>
        <c:manualLayout>
          <c:xMode val="edge"/>
          <c:yMode val="edge"/>
          <c:x val="0.7560631385983716"/>
          <c:y val="0"/>
          <c:w val="0.23273686234231078"/>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'201-Tool_min'!$K$9</c:f>
              <c:strCache>
                <c:ptCount val="1"/>
                <c:pt idx="0">
                  <c:v>CMM</c:v>
                </c:pt>
              </c:strCache>
            </c:strRef>
          </c:tx>
          <c:marker>
            <c:symbol val="none"/>
          </c:marker>
          <c:cat>
            <c:numRef>
              <c:f>'201-Tool_min'!$J$11:$J$26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'201-Tool_min'!$K$11:$K$26</c:f>
              <c:numCache>
                <c:formatCode>General</c:formatCode>
                <c:ptCount val="16"/>
                <c:pt idx="0">
                  <c:v>421.05099999999999</c:v>
                </c:pt>
                <c:pt idx="1">
                  <c:v>421.12000000118314</c:v>
                </c:pt>
                <c:pt idx="2">
                  <c:v>421.06200000473331</c:v>
                </c:pt>
                <c:pt idx="3">
                  <c:v>420.94899999999996</c:v>
                </c:pt>
                <c:pt idx="4">
                  <c:v>420.952</c:v>
                </c:pt>
                <c:pt idx="5">
                  <c:v>421.00599999999997</c:v>
                </c:pt>
                <c:pt idx="6">
                  <c:v>421.03499999999997</c:v>
                </c:pt>
                <c:pt idx="7">
                  <c:v>421.04300001065053</c:v>
                </c:pt>
                <c:pt idx="8">
                  <c:v>420.96699999999998</c:v>
                </c:pt>
                <c:pt idx="9">
                  <c:v>420.92200001893974</c:v>
                </c:pt>
                <c:pt idx="10">
                  <c:v>421.01100000118345</c:v>
                </c:pt>
                <c:pt idx="11">
                  <c:v>421.09900000118324</c:v>
                </c:pt>
                <c:pt idx="12">
                  <c:v>421.09000000118323</c:v>
                </c:pt>
                <c:pt idx="13">
                  <c:v>420.97500001065225</c:v>
                </c:pt>
                <c:pt idx="14">
                  <c:v>420.88800000473526</c:v>
                </c:pt>
                <c:pt idx="15">
                  <c:v>420.93799999999999</c:v>
                </c:pt>
              </c:numCache>
            </c:numRef>
          </c:val>
          <c:extLst>
            <c:ext xmlns:c16="http://schemas.microsoft.com/office/drawing/2014/chart" uri="{C3380CC4-5D6E-409C-BE32-E72D297353CC}">
              <c16:uniqueId val="{00000000-EC27-45D3-80D1-F5EAEE1A59E9}"/>
            </c:ext>
          </c:extLst>
        </c:ser>
        <c:ser>
          <c:idx val="1"/>
          <c:order val="1"/>
          <c:tx>
            <c:strRef>
              <c:f>'201-Tool_min'!$L$9</c:f>
              <c:strCache>
                <c:ptCount val="1"/>
                <c:pt idx="0">
                  <c:v>Dwg Min</c:v>
                </c:pt>
              </c:strCache>
            </c:strRef>
          </c:tx>
          <c:spPr>
            <a:ln>
              <a:prstDash val="dash"/>
            </a:ln>
          </c:spPr>
          <c:marker>
            <c:symbol val="none"/>
          </c:marker>
          <c:val>
            <c:numRef>
              <c:f>'201-Tool_min'!$L$11:$L$26</c:f>
              <c:numCache>
                <c:formatCode>General</c:formatCode>
                <c:ptCount val="16"/>
                <c:pt idx="0">
                  <c:v>420.89250000000004</c:v>
                </c:pt>
                <c:pt idx="1">
                  <c:v>420.89250000000004</c:v>
                </c:pt>
                <c:pt idx="2">
                  <c:v>420.89250000000004</c:v>
                </c:pt>
                <c:pt idx="3">
                  <c:v>420.89250000000004</c:v>
                </c:pt>
                <c:pt idx="4">
                  <c:v>420.89250000000004</c:v>
                </c:pt>
                <c:pt idx="5">
                  <c:v>420.89250000000004</c:v>
                </c:pt>
                <c:pt idx="6">
                  <c:v>420.89250000000004</c:v>
                </c:pt>
                <c:pt idx="7">
                  <c:v>420.89250000000004</c:v>
                </c:pt>
                <c:pt idx="8">
                  <c:v>420.89250000000004</c:v>
                </c:pt>
                <c:pt idx="9">
                  <c:v>420.89250000000004</c:v>
                </c:pt>
                <c:pt idx="10">
                  <c:v>420.89250000000004</c:v>
                </c:pt>
                <c:pt idx="11">
                  <c:v>420.89250000000004</c:v>
                </c:pt>
                <c:pt idx="12">
                  <c:v>420.89250000000004</c:v>
                </c:pt>
                <c:pt idx="13">
                  <c:v>420.89250000000004</c:v>
                </c:pt>
                <c:pt idx="14">
                  <c:v>420.89250000000004</c:v>
                </c:pt>
                <c:pt idx="15">
                  <c:v>420.89250000000004</c:v>
                </c:pt>
              </c:numCache>
            </c:numRef>
          </c:val>
          <c:extLst>
            <c:ext xmlns:c16="http://schemas.microsoft.com/office/drawing/2014/chart" uri="{C3380CC4-5D6E-409C-BE32-E72D297353CC}">
              <c16:uniqueId val="{00000001-EC27-45D3-80D1-F5EAEE1A59E9}"/>
            </c:ext>
          </c:extLst>
        </c:ser>
        <c:ser>
          <c:idx val="2"/>
          <c:order val="2"/>
          <c:tx>
            <c:strRef>
              <c:f>'201-Tool_min'!$M$9</c:f>
              <c:strCache>
                <c:ptCount val="1"/>
                <c:pt idx="0">
                  <c:v>Dwg Max</c:v>
                </c:pt>
              </c:strCache>
            </c:strRef>
          </c:tx>
          <c:spPr>
            <a:ln>
              <a:prstDash val="dash"/>
            </a:ln>
          </c:spPr>
          <c:marker>
            <c:symbol val="none"/>
          </c:marker>
          <c:val>
            <c:numRef>
              <c:f>'201-Tool_min'!$M$11:$M$26</c:f>
              <c:numCache>
                <c:formatCode>General</c:formatCode>
                <c:ptCount val="16"/>
                <c:pt idx="0">
                  <c:v>421.04349999999999</c:v>
                </c:pt>
                <c:pt idx="1">
                  <c:v>421.04349999999999</c:v>
                </c:pt>
                <c:pt idx="2">
                  <c:v>421.04349999999999</c:v>
                </c:pt>
                <c:pt idx="3">
                  <c:v>421.04349999999999</c:v>
                </c:pt>
                <c:pt idx="4">
                  <c:v>421.04349999999999</c:v>
                </c:pt>
                <c:pt idx="5">
                  <c:v>421.04349999999999</c:v>
                </c:pt>
                <c:pt idx="6">
                  <c:v>421.04349999999999</c:v>
                </c:pt>
                <c:pt idx="7">
                  <c:v>421.04349999999999</c:v>
                </c:pt>
                <c:pt idx="8">
                  <c:v>421.04349999999999</c:v>
                </c:pt>
                <c:pt idx="9">
                  <c:v>421.04349999999999</c:v>
                </c:pt>
                <c:pt idx="10">
                  <c:v>421.04349999999999</c:v>
                </c:pt>
                <c:pt idx="11">
                  <c:v>421.04349999999999</c:v>
                </c:pt>
                <c:pt idx="12">
                  <c:v>421.04349999999999</c:v>
                </c:pt>
                <c:pt idx="13">
                  <c:v>421.04349999999999</c:v>
                </c:pt>
                <c:pt idx="14">
                  <c:v>421.04349999999999</c:v>
                </c:pt>
                <c:pt idx="15">
                  <c:v>421.04349999999999</c:v>
                </c:pt>
              </c:numCache>
            </c:numRef>
          </c:val>
          <c:extLst>
            <c:ext xmlns:c16="http://schemas.microsoft.com/office/drawing/2014/chart" uri="{C3380CC4-5D6E-409C-BE32-E72D297353CC}">
              <c16:uniqueId val="{00000002-EC27-45D3-80D1-F5EAEE1A59E9}"/>
            </c:ext>
          </c:extLst>
        </c:ser>
        <c:dLbls>
          <c:showLegendKey val="0"/>
          <c:showVal val="0"/>
          <c:showCatName val="0"/>
          <c:showSerName val="0"/>
          <c:showPercent val="0"/>
          <c:showBubbleSize val="0"/>
        </c:dLbls>
        <c:axId val="171883904"/>
        <c:axId val="172336256"/>
      </c:radarChart>
      <c:catAx>
        <c:axId val="17188390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2336256"/>
        <c:crosses val="autoZero"/>
        <c:auto val="1"/>
        <c:lblAlgn val="ctr"/>
        <c:lblOffset val="100"/>
        <c:noMultiLvlLbl val="0"/>
      </c:catAx>
      <c:valAx>
        <c:axId val="17233625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883904"/>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'201-Tool_min'!$AQ$34</c:f>
              <c:strCache>
                <c:ptCount val="1"/>
                <c:pt idx="0">
                  <c:v>LPT Case Hook R Min</c:v>
                </c:pt>
              </c:strCache>
            </c:strRef>
          </c:tx>
          <c:spPr>
            <a:ln w="28575">
              <a:prstDash val="dash"/>
            </a:ln>
          </c:spPr>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'201-Tool_min'!$AQ$36:$AQ$59</c:f>
              <c:numCache>
                <c:formatCode>General</c:formatCode>
                <c:ptCount val="24"/>
                <c:pt idx="0">
                  <c:v>420.89250000000004</c:v>
                </c:pt>
                <c:pt idx="1">
                  <c:v>420.89250000000004</c:v>
                </c:pt>
                <c:pt idx="2">
                  <c:v>420.89250000000004</c:v>
                </c:pt>
                <c:pt idx="3">
                  <c:v>420.89250000000004</c:v>
                </c:pt>
                <c:pt idx="4">
                  <c:v>420.89250000000004</c:v>
                </c:pt>
                <c:pt idx="5">
                  <c:v>420.89250000000004</c:v>
                </c:pt>
                <c:pt idx="6">
                  <c:v>420.89250000000004</c:v>
                </c:pt>
                <c:pt idx="7">
                  <c:v>420.89250000000004</c:v>
                </c:pt>
                <c:pt idx="8">
                  <c:v>420.89250000000004</c:v>
                </c:pt>
                <c:pt idx="9">
                  <c:v>420.89250000000004</c:v>
                </c:pt>
                <c:pt idx="10">
                  <c:v>420.89250000000004</c:v>
                </c:pt>
                <c:pt idx="11">
                  <c:v>420.89250000000004</c:v>
                </c:pt>
                <c:pt idx="12">
                  <c:v>420.89250000000004</c:v>
                </c:pt>
                <c:pt idx="13">
                  <c:v>420.89250000000004</c:v>
                </c:pt>
                <c:pt idx="14">
                  <c:v>420.89250000000004</c:v>
                </c:pt>
                <c:pt idx="15">
                  <c:v>420.89250000000004</c:v>
                </c:pt>
                <c:pt idx="16">
                  <c:v>420.89250000000004</c:v>
                </c:pt>
                <c:pt idx="17">
                  <c:v>420.89250000000004</c:v>
                </c:pt>
                <c:pt idx="18">
                  <c:v>420.89250000000004</c:v>
                </c:pt>
                <c:pt idx="19">
                  <c:v>420.89250000000004</c:v>
                </c:pt>
                <c:pt idx="20">
                  <c:v>420.89250000000004</c:v>
                </c:pt>
                <c:pt idx="21">
                  <c:v>420.89250000000004</c:v>
                </c:pt>
                <c:pt idx="22">
                  <c:v>420.89250000000004</c:v>
                </c:pt>
                <c:pt idx="23">
                  <c:v>420.89250000000004</c:v>
                </c:pt>
              </c:numCache>
            </c:numRef>
          </c:val>
          <c:extLst>
            <c:ext xmlns:c16="http://schemas.microsoft.com/office/drawing/2014/chart" uri="{C3380CC4-5D6E-409C-BE32-E72D297353CC}">
              <c16:uniqueId val="{00000000-C8C7-480D-AE91-92F72E0ED276}"/>
            </c:ext>
          </c:extLst>
        </c:ser>
        <c:ser>
          <c:idx val="1"/>
          <c:order val="1"/>
          <c:tx>
            <c:strRef>
              <c:f>'201-Tool_min'!$AR$34</c:f>
              <c:strCache>
                <c:ptCount val="1"/>
                <c:pt idx="0">
                  <c:v>LPT Case Hook R Max</c:v>
                </c:pt>
              </c:strCache>
            </c:strRef>
          </c:tx>
          <c:spPr>
            <a:ln w="28575">
              <a:prstDash val="dash"/>
            </a:ln>
          </c:spPr>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'201-Tool_min'!$AR$36:$AR$59</c:f>
              <c:numCache>
                <c:formatCode>General</c:formatCode>
                <c:ptCount val="24"/>
                <c:pt idx="0">
                  <c:v>421.04349999999999</c:v>
                </c:pt>
                <c:pt idx="1">
                  <c:v>421.04349999999999</c:v>
                </c:pt>
                <c:pt idx="2">
                  <c:v>421.04349999999999</c:v>
                </c:pt>
                <c:pt idx="3">
                  <c:v>421.04349999999999</c:v>
                </c:pt>
                <c:pt idx="4">
                  <c:v>421.04349999999999</c:v>
                </c:pt>
                <c:pt idx="5">
                  <c:v>421.04349999999999</c:v>
                </c:pt>
                <c:pt idx="6">
                  <c:v>421.04349999999999</c:v>
                </c:pt>
                <c:pt idx="7">
                  <c:v>421.04349999999999</c:v>
                </c:pt>
                <c:pt idx="8">
                  <c:v>421.04349999999999</c:v>
                </c:pt>
                <c:pt idx="9">
                  <c:v>421.04349999999999</c:v>
                </c:pt>
                <c:pt idx="10">
                  <c:v>421.04349999999999</c:v>
                </c:pt>
                <c:pt idx="11">
                  <c:v>421.04349999999999</c:v>
                </c:pt>
                <c:pt idx="12">
                  <c:v>421.04349999999999</c:v>
                </c:pt>
                <c:pt idx="13">
                  <c:v>421.04349999999999</c:v>
                </c:pt>
                <c:pt idx="14">
                  <c:v>421.04349999999999</c:v>
                </c:pt>
                <c:pt idx="15">
                  <c:v>421.04349999999999</c:v>
                </c:pt>
                <c:pt idx="16">
                  <c:v>421.04349999999999</c:v>
                </c:pt>
                <c:pt idx="17">
                  <c:v>421.04349999999999</c:v>
                </c:pt>
                <c:pt idx="18">
                  <c:v>421.04349999999999</c:v>
                </c:pt>
                <c:pt idx="19">
                  <c:v>421.04349999999999</c:v>
                </c:pt>
                <c:pt idx="20">
                  <c:v>421.04349999999999</c:v>
                </c:pt>
                <c:pt idx="21">
                  <c:v>421.04349999999999</c:v>
                </c:pt>
                <c:pt idx="22">
                  <c:v>421.04349999999999</c:v>
                </c:pt>
                <c:pt idx="23">
                  <c:v>421.04349999999999</c:v>
                </c:pt>
              </c:numCache>
            </c:numRef>
          </c:val>
          <c:extLst>
            <c:ext xmlns:c16="http://schemas.microsoft.com/office/drawing/2014/chart" uri="{C3380CC4-5D6E-409C-BE32-E72D297353CC}">
              <c16:uniqueId val="{00000001-C8C7-480D-AE91-92F72E0ED276}"/>
            </c:ext>
          </c:extLst>
        </c:ser>
        <c:ser>
          <c:idx val="2"/>
          <c:order val="2"/>
          <c:tx>
            <c:strRef>
              <c:f>'201-Tool_min'!$S$34</c:f>
              <c:strCache>
                <c:ptCount val="1"/>
                <c:pt idx="0">
                  <c:v>Stg.4 Shroud Aft#1</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'201-Tool_min'!$S$36:$S$59</c:f>
              <c:numCache>
                <c:formatCode>0.000</c:formatCode>
                <c:ptCount val="24"/>
                <c:pt idx="0">
                  <c:v>420.98139199999997</c:v>
                </c:pt>
                <c:pt idx="1">
                  <c:v>420.98139199999997</c:v>
                </c:pt>
              </c:numCache>
            </c:numRef>
          </c:val>
          <c:extLst>
            <c:ext xmlns:c16="http://schemas.microsoft.com/office/drawing/2014/chart" uri="{C3380CC4-5D6E-409C-BE32-E72D297353CC}">
              <c16:uniqueId val="{00000002-C8C7-480D-AE91-92F72E0ED276}"/>
            </c:ext>
          </c:extLst>
        </c:ser>
        <c:ser>
          <c:idx val="3"/>
          <c:order val="3"/>
          <c:tx>
            <c:strRef>
              <c:f>'201-Tool_min'!$T$34</c:f>
              <c:strCache>
                <c:ptCount val="1"/>
                <c:pt idx="0">
                  <c:v>Stg.4 Shroud Aft#24</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'201-Tool_min'!$T$36:$T$59</c:f>
              <c:numCache>
                <c:formatCode>0.000</c:formatCode>
                <c:ptCount val="24"/>
                <c:pt idx="1">
                  <c:v>421.04827733356046</c:v>
                </c:pt>
                <c:pt idx="2">
                  <c:v>421.04827733356046</c:v>
                </c:pt>
              </c:numCache>
            </c:numRef>
          </c:val>
          <c:extLst>
            <c:ext xmlns:c16="http://schemas.microsoft.com/office/drawing/2014/chart" uri="{C3380CC4-5D6E-409C-BE32-E72D297353CC}">
              <c16:uniqueId val="{00000003-C8C7-480D-AE91-92F72E0ED276}"/>
            </c:ext>
          </c:extLst>
        </c:ser>
        <c:ser>
          <c:idx val="4"/>
          <c:order val="4"/>
          <c:tx>
            <c:strRef>
              <c:f>'201-Tool_min'!$U$34</c:f>
              <c:strCache>
                <c:ptCount val="1"/>
                <c:pt idx="0">
                  <c:v>Stg.4 Shroud Aft#23</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'201-Tool_min'!$U$36:$U$59</c:f>
              <c:numCache>
                <c:formatCode>General</c:formatCode>
                <c:ptCount val="24"/>
                <c:pt idx="2" formatCode="0.000">
                  <c:v>421.09727866757532</c:v>
                </c:pt>
                <c:pt idx="3" formatCode="0.000">
                  <c:v>421.09727866757532</c:v>
                </c:pt>
              </c:numCache>
            </c:numRef>
          </c:val>
          <c:extLst>
            <c:ext xmlns:c16="http://schemas.microsoft.com/office/drawing/2014/chart" uri="{C3380CC4-5D6E-409C-BE32-E72D297353CC}">
              <c16:uniqueId val="{00000004-C8C7-480D-AE91-92F72E0ED276}"/>
            </c:ext>
          </c:extLst>
        </c:ser>
        <c:ser>
          <c:idx val="5"/>
          <c:order val="5"/>
          <c:tx>
            <c:strRef>
              <c:f>'201-Tool_min'!$V$34</c:f>
              <c:strCache>
                <c:ptCount val="1"/>
                <c:pt idx="0">
                  <c:v>Stg.4 Shroud Aft#22</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'201-Tool_min'!$V$36:$V$59</c:f>
              <c:numCache>
                <c:formatCode>General</c:formatCode>
                <c:ptCount val="24"/>
                <c:pt idx="3" formatCode="0.000">
                  <c:v>421.09772800254643</c:v>
                </c:pt>
                <c:pt idx="4" formatCode="0.000">
                  <c:v>421.09772800254643</c:v>
                </c:pt>
              </c:numCache>
            </c:numRef>
          </c:val>
          <c:extLst>
            <c:ext xmlns:c16="http://schemas.microsoft.com/office/drawing/2014/chart" uri="{C3380CC4-5D6E-409C-BE32-E72D297353CC}">
              <c16:uniqueId val="{00000005-C8C7-480D-AE91-92F72E0ED276}"/>
            </c:ext>
          </c:extLst>
        </c:ser>
        <c:ser>
          <c:idx val="6"/>
          <c:order val="6"/>
          <c:tx>
            <c:strRef>
              <c:f>'201-Tool_min'!$W$34</c:f>
              <c:strCache>
                <c:ptCount val="1"/>
                <c:pt idx="0">
                  <c:v>Stg.4 Shroud Aft#21</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'201-Tool_min'!$W$36:$W$59</c:f>
              <c:numCache>
                <c:formatCode>General</c:formatCode>
                <c:ptCount val="24"/>
                <c:pt idx="4" formatCode="0.000">
                  <c:v>421.04850133665605</c:v>
                </c:pt>
                <c:pt idx="5" formatCode="0.000">
                  <c:v>421.04850133665605</c:v>
                </c:pt>
              </c:numCache>
            </c:numRef>
          </c:val>
          <c:extLst>
            <c:ext xmlns:c16="http://schemas.microsoft.com/office/drawing/2014/chart" uri="{C3380CC4-5D6E-409C-BE32-E72D297353CC}">
              <c16:uniqueId val="{00000006-C8C7-480D-AE91-92F72E0ED276}"/>
            </c:ext>
          </c:extLst>
        </c:ser>
        <c:ser>
          <c:idx val="7"/>
          <c:order val="7"/>
          <c:tx>
            <c:strRef>
              <c:f>'201-Tool_min'!$X$34</c:f>
              <c:strCache>
                <c:ptCount val="1"/>
                <c:pt idx="0">
                  <c:v>Stg.4 Shroud Aft#20</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'201-Tool_min'!$X$36:$X$59</c:f>
              <c:numCache>
                <c:formatCode>General</c:formatCode>
                <c:ptCount val="24"/>
                <c:pt idx="5" formatCode="0.000">
                  <c:v>420.98388000145781</c:v>
                </c:pt>
                <c:pt idx="6" formatCode="0.000">
                  <c:v>420.98388000145781</c:v>
                </c:pt>
              </c:numCache>
            </c:numRef>
          </c:val>
          <c:extLst>
            <c:ext xmlns:c16="http://schemas.microsoft.com/office/drawing/2014/chart" uri="{C3380CC4-5D6E-409C-BE32-E72D297353CC}">
              <c16:uniqueId val="{00000007-C8C7-480D-AE91-92F72E0ED276}"/>
            </c:ext>
          </c:extLst>
        </c:ser>
        <c:ser>
          <c:idx val="8"/>
          <c:order val="8"/>
          <c:tx>
            <c:strRef>
              <c:f>'201-Tool_min'!$Y$34</c:f>
              <c:strCache>
                <c:ptCount val="1"/>
                <c:pt idx="0">
                  <c:v>Stg.4 Shroud Aft#19</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'201-Tool_min'!$Y$36:$Y$59</c:f>
              <c:numCache>
                <c:formatCode>General</c:formatCode>
                <c:ptCount val="24"/>
                <c:pt idx="6" formatCode="0.000">
                  <c:v>420.950152</c:v>
                </c:pt>
                <c:pt idx="7" formatCode="0.000">
                  <c:v>420.950152</c:v>
                </c:pt>
              </c:numCache>
            </c:numRef>
          </c:val>
          <c:extLst>
            <c:ext xmlns:c16="http://schemas.microsoft.com/office/drawing/2014/chart" uri="{C3380CC4-5D6E-409C-BE32-E72D297353CC}">
              <c16:uniqueId val="{00000008-C8C7-480D-AE91-92F72E0ED276}"/>
            </c:ext>
          </c:extLst>
        </c:ser>
        <c:ser>
          <c:idx val="9"/>
          <c:order val="9"/>
          <c:tx>
            <c:strRef>
              <c:f>'201-Tool_min'!$Z$34</c:f>
              <c:strCache>
                <c:ptCount val="1"/>
                <c:pt idx="0">
                  <c:v>Stg.4 Shroud Aft#18</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'201-Tool_min'!$Z$36:$Z$59</c:f>
              <c:numCache>
                <c:formatCode>General</c:formatCode>
                <c:ptCount val="24"/>
                <c:pt idx="7" formatCode="0.000">
                  <c:v>420.96194400000002</c:v>
                </c:pt>
                <c:pt idx="8" formatCode="0.000">
                  <c:v>420.96194400000002</c:v>
                </c:pt>
              </c:numCache>
            </c:numRef>
          </c:val>
          <c:extLst>
            <c:ext xmlns:c16="http://schemas.microsoft.com/office/drawing/2014/chart" uri="{C3380CC4-5D6E-409C-BE32-E72D297353CC}">
              <c16:uniqueId val="{00000009-C8C7-480D-AE91-92F72E0ED276}"/>
            </c:ext>
          </c:extLst>
        </c:ser>
        <c:ser>
          <c:idx val="10"/>
          <c:order val="10"/>
          <c:tx>
            <c:strRef>
              <c:f>'201-Tool_min'!$AA$34</c:f>
              <c:strCache>
                <c:ptCount val="1"/>
                <c:pt idx="0">
                  <c:v>Stg.4 Shroud Aft#17</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'201-Tool_min'!$AA$36:$AA$59</c:f>
              <c:numCache>
                <c:formatCode>General</c:formatCode>
                <c:ptCount val="24"/>
                <c:pt idx="8" formatCode="0.000">
                  <c:v>420.99010266666664</c:v>
                </c:pt>
                <c:pt idx="9" formatCode="0.000">
                  <c:v>420.99010266666664</c:v>
                </c:pt>
              </c:numCache>
            </c:numRef>
          </c:val>
          <c:extLst>
            <c:ext xmlns:c16="http://schemas.microsoft.com/office/drawing/2014/chart" uri="{C3380CC4-5D6E-409C-BE32-E72D297353CC}">
              <c16:uniqueId val="{0000000A-C8C7-480D-AE91-92F72E0ED276}"/>
            </c:ext>
          </c:extLst>
        </c:ser>
        <c:ser>
          <c:idx val="11"/>
          <c:order val="11"/>
          <c:tx>
            <c:strRef>
              <c:f>'201-Tool_min'!$AB$34</c:f>
              <c:strCache>
                <c:ptCount val="1"/>
                <c:pt idx="0">
                  <c:v>Stg.4 Shroud Aft#16</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'201-Tool_min'!$AB$36:$AB$59</c:f>
              <c:numCache>
                <c:formatCode>General</c:formatCode>
                <c:ptCount val="24"/>
                <c:pt idx="9" formatCode="0.000">
                  <c:v>421.01713599999994</c:v>
                </c:pt>
                <c:pt idx="10" formatCode="0.000">
                  <c:v>421.01713599999994</c:v>
                </c:pt>
              </c:numCache>
            </c:numRef>
          </c:val>
          <c:extLst>
            <c:ext xmlns:c16="http://schemas.microsoft.com/office/drawing/2014/chart" uri="{C3380CC4-5D6E-409C-BE32-E72D297353CC}">
              <c16:uniqueId val="{0000000B-C8C7-480D-AE91-92F72E0ED276}"/>
            </c:ext>
          </c:extLst>
        </c:ser>
        <c:ser>
          <c:idx val="12"/>
          <c:order val="12"/>
          <c:tx>
            <c:strRef>
              <c:f>'201-Tool_min'!$AC$34</c:f>
              <c:strCache>
                <c:ptCount val="1"/>
                <c:pt idx="0">
                  <c:v>Stg.4 Shroud Aft#15</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'201-Tool_min'!$AC$36:$AC$59</c:f>
              <c:numCache>
                <c:formatCode>General</c:formatCode>
                <c:ptCount val="24"/>
                <c:pt idx="10" formatCode="0.000">
                  <c:v>421.03243733537818</c:v>
                </c:pt>
                <c:pt idx="11" formatCode="0.000">
                  <c:v>421.03243733537818</c:v>
                </c:pt>
              </c:numCache>
            </c:numRef>
          </c:val>
          <c:extLst>
            <c:ext xmlns:c16="http://schemas.microsoft.com/office/drawing/2014/chart" uri="{C3380CC4-5D6E-409C-BE32-E72D297353CC}">
              <c16:uniqueId val="{0000000C-C8C7-480D-AE91-92F72E0ED276}"/>
            </c:ext>
          </c:extLst>
        </c:ser>
        <c:ser>
          <c:idx val="13"/>
          <c:order val="13"/>
          <c:tx>
            <c:strRef>
              <c:f>'201-Tool_min'!$AD$34</c:f>
              <c:strCache>
                <c:ptCount val="1"/>
                <c:pt idx="0">
                  <c:v>Stg.4 Shroud Aft#14</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'201-Tool_min'!$AD$36:$AD$59</c:f>
              <c:numCache>
                <c:formatCode>General</c:formatCode>
                <c:ptCount val="24"/>
                <c:pt idx="11" formatCode="0.000">
                  <c:v>421.03861067376704</c:v>
                </c:pt>
                <c:pt idx="12" formatCode="0.000">
                  <c:v>421.03861067376704</c:v>
                </c:pt>
              </c:numCache>
            </c:numRef>
          </c:val>
          <c:extLst>
            <c:ext xmlns:c16="http://schemas.microsoft.com/office/drawing/2014/chart" uri="{C3380CC4-5D6E-409C-BE32-E72D297353CC}">
              <c16:uniqueId val="{0000000D-C8C7-480D-AE91-92F72E0ED276}"/>
            </c:ext>
          </c:extLst>
        </c:ser>
        <c:ser>
          <c:idx val="14"/>
          <c:order val="14"/>
          <c:tx>
            <c:strRef>
              <c:f>'201-Tool_min'!$AE$34</c:f>
              <c:strCache>
                <c:ptCount val="1"/>
                <c:pt idx="0">
                  <c:v>Stg.4 Shroud Aft#13</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'201-Tool_min'!$AE$36:$AE$59</c:f>
              <c:numCache>
                <c:formatCode>General</c:formatCode>
                <c:ptCount val="24"/>
                <c:pt idx="12" formatCode="0.000">
                  <c:v>421.01381600656072</c:v>
                </c:pt>
                <c:pt idx="13" formatCode="0.000">
                  <c:v>421.01381600656072</c:v>
                </c:pt>
              </c:numCache>
            </c:numRef>
          </c:val>
          <c:extLst>
            <c:ext xmlns:c16="http://schemas.microsoft.com/office/drawing/2014/chart" uri="{C3380CC4-5D6E-409C-BE32-E72D297353CC}">
              <c16:uniqueId val="{0000000E-C8C7-480D-AE91-92F72E0ED276}"/>
            </c:ext>
          </c:extLst>
        </c:ser>
        <c:ser>
          <c:idx val="15"/>
          <c:order val="15"/>
          <c:tx>
            <c:strRef>
              <c:f>'201-Tool_min'!$AF$34</c:f>
              <c:strCache>
                <c:ptCount val="1"/>
                <c:pt idx="0">
                  <c:v>Stg.4 Shroud Aft#12</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'201-Tool_min'!$AF$36:$AF$59</c:f>
              <c:numCache>
                <c:formatCode>General</c:formatCode>
                <c:ptCount val="24"/>
                <c:pt idx="13" formatCode="0.000">
                  <c:v>420.96910133847501</c:v>
                </c:pt>
                <c:pt idx="14" formatCode="0.000">
                  <c:v>420.96910133847501</c:v>
                </c:pt>
              </c:numCache>
            </c:numRef>
          </c:val>
          <c:extLst>
            <c:ext xmlns:c16="http://schemas.microsoft.com/office/drawing/2014/chart" uri="{C3380CC4-5D6E-409C-BE32-E72D297353CC}">
              <c16:uniqueId val="{0000000F-C8C7-480D-AE91-92F72E0ED276}"/>
            </c:ext>
          </c:extLst>
        </c:ser>
        <c:ser>
          <c:idx val="16"/>
          <c:order val="16"/>
          <c:tx>
            <c:strRef>
              <c:f>'201-Tool_min'!$AG$34</c:f>
              <c:strCache>
                <c:ptCount val="1"/>
                <c:pt idx="0">
                  <c:v>Stg.4 Shroud Aft#11</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'201-Tool_min'!$AG$36:$AG$59</c:f>
              <c:numCache>
                <c:formatCode>General</c:formatCode>
                <c:ptCount val="24"/>
                <c:pt idx="14" formatCode="0.000">
                  <c:v>420.93811467932312</c:v>
                </c:pt>
                <c:pt idx="15" formatCode="0.000">
                  <c:v>420.93811467932312</c:v>
                </c:pt>
              </c:numCache>
            </c:numRef>
          </c:val>
          <c:extLst>
            <c:ext xmlns:c16="http://schemas.microsoft.com/office/drawing/2014/chart" uri="{C3380CC4-5D6E-409C-BE32-E72D297353CC}">
              <c16:uniqueId val="{00000010-C8C7-480D-AE91-92F72E0ED276}"/>
            </c:ext>
          </c:extLst>
        </c:ser>
        <c:ser>
          <c:idx val="17"/>
          <c:order val="17"/>
          <c:tx>
            <c:strRef>
              <c:f>'201-Tool_min'!$AH$34</c:f>
              <c:strCache>
                <c:ptCount val="1"/>
                <c:pt idx="0">
                  <c:v>Stg.4 Shroud Aft#10</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'201-Tool_min'!$AH$36:$AH$59</c:f>
              <c:numCache>
                <c:formatCode>General</c:formatCode>
                <c:ptCount val="24"/>
                <c:pt idx="15" formatCode="0.000">
                  <c:v>420.95617601212132</c:v>
                </c:pt>
                <c:pt idx="16" formatCode="0.000">
                  <c:v>420.95617601212132</c:v>
                </c:pt>
              </c:numCache>
            </c:numRef>
          </c:val>
          <c:extLst>
            <c:ext xmlns:c16="http://schemas.microsoft.com/office/drawing/2014/chart" uri="{C3380CC4-5D6E-409C-BE32-E72D297353CC}">
              <c16:uniqueId val="{00000011-C8C7-480D-AE91-92F72E0ED276}"/>
            </c:ext>
          </c:extLst>
        </c:ser>
        <c:ser>
          <c:idx val="18"/>
          <c:order val="18"/>
          <c:tx>
            <c:strRef>
              <c:f>'201-Tool_min'!$AI$34</c:f>
              <c:strCache>
                <c:ptCount val="1"/>
                <c:pt idx="0">
                  <c:v>Stg.4 Shroud Aft#9</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'201-Tool_min'!$AI$36:$AI$59</c:f>
              <c:numCache>
                <c:formatCode>General</c:formatCode>
                <c:ptCount val="24"/>
                <c:pt idx="16" formatCode="0.000">
                  <c:v>421.01531733702632</c:v>
                </c:pt>
                <c:pt idx="17" formatCode="0.000">
                  <c:v>421.01531733702632</c:v>
                </c:pt>
              </c:numCache>
            </c:numRef>
          </c:val>
          <c:extLst>
            <c:ext xmlns:c16="http://schemas.microsoft.com/office/drawing/2014/chart" uri="{C3380CC4-5D6E-409C-BE32-E72D297353CC}">
              <c16:uniqueId val="{00000012-C8C7-480D-AE91-92F72E0ED276}"/>
            </c:ext>
          </c:extLst>
        </c:ser>
        <c:ser>
          <c:idx val="19"/>
          <c:order val="19"/>
          <c:tx>
            <c:strRef>
              <c:f>'201-Tool_min'!$AJ$34</c:f>
              <c:strCache>
                <c:ptCount val="1"/>
                <c:pt idx="0">
                  <c:v>Stg.4 Shroud Aft#8</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'201-Tool_min'!$AJ$36:$AJ$59</c:f>
              <c:numCache>
                <c:formatCode>General</c:formatCode>
                <c:ptCount val="24"/>
                <c:pt idx="17" formatCode="0.000">
                  <c:v>421.0716680011833</c:v>
                </c:pt>
                <c:pt idx="18" formatCode="0.000">
                  <c:v>421.0716680011833</c:v>
                </c:pt>
              </c:numCache>
            </c:numRef>
          </c:val>
          <c:extLst>
            <c:ext xmlns:c16="http://schemas.microsoft.com/office/drawing/2014/chart" uri="{C3380CC4-5D6E-409C-BE32-E72D297353CC}">
              <c16:uniqueId val="{00000013-C8C7-480D-AE91-92F72E0ED276}"/>
            </c:ext>
          </c:extLst>
        </c:ser>
        <c:ser>
          <c:idx val="20"/>
          <c:order val="20"/>
          <c:tx>
            <c:strRef>
              <c:f>'201-Tool_min'!$AK$34</c:f>
              <c:strCache>
                <c:ptCount val="1"/>
                <c:pt idx="0">
                  <c:v>Stg.4 Shroud Aft#7</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'201-Tool_min'!$AK$36:$AK$59</c:f>
              <c:numCache>
                <c:formatCode>General</c:formatCode>
                <c:ptCount val="24"/>
                <c:pt idx="18" formatCode="0.000">
                  <c:v>421.09554400118327</c:v>
                </c:pt>
                <c:pt idx="19" formatCode="0.000">
                  <c:v>421.09554400118327</c:v>
                </c:pt>
              </c:numCache>
            </c:numRef>
          </c:val>
          <c:extLst>
            <c:ext xmlns:c16="http://schemas.microsoft.com/office/drawing/2014/chart" uri="{C3380CC4-5D6E-409C-BE32-E72D297353CC}">
              <c16:uniqueId val="{00000014-C8C7-480D-AE91-92F72E0ED276}"/>
            </c:ext>
          </c:extLst>
        </c:ser>
        <c:ser>
          <c:idx val="21"/>
          <c:order val="21"/>
          <c:tx>
            <c:strRef>
              <c:f>'201-Tool_min'!$AL$34</c:f>
              <c:strCache>
                <c:ptCount val="1"/>
                <c:pt idx="0">
                  <c:v>Stg.4 Shroud Aft#6</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'201-Tool_min'!$AL$36:$AL$59</c:f>
              <c:numCache>
                <c:formatCode>General</c:formatCode>
                <c:ptCount val="24"/>
                <c:pt idx="19" formatCode="0.000">
                  <c:v>421.06919200300126</c:v>
                </c:pt>
                <c:pt idx="20" formatCode="0.000">
                  <c:v>421.06919200300126</c:v>
                </c:pt>
              </c:numCache>
            </c:numRef>
          </c:val>
          <c:extLst>
            <c:ext xmlns:c16="http://schemas.microsoft.com/office/drawing/2014/chart" uri="{C3380CC4-5D6E-409C-BE32-E72D297353CC}">
              <c16:uniqueId val="{00000015-C8C7-480D-AE91-92F72E0ED276}"/>
            </c:ext>
          </c:extLst>
        </c:ser>
        <c:ser>
          <c:idx val="22"/>
          <c:order val="22"/>
          <c:tx>
            <c:strRef>
              <c:f>'201-Tool_min'!$AM$34</c:f>
              <c:strCache>
                <c:ptCount val="1"/>
                <c:pt idx="0">
                  <c:v>Stg.4 Shroud Aft#5</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'201-Tool_min'!$AM$36:$AM$59</c:f>
              <c:numCache>
                <c:formatCode>General</c:formatCode>
                <c:ptCount val="24"/>
                <c:pt idx="20" formatCode="0.000">
                  <c:v>421.00821600758593</c:v>
                </c:pt>
                <c:pt idx="21" formatCode="0.000">
                  <c:v>421.00821600758593</c:v>
                </c:pt>
              </c:numCache>
            </c:numRef>
          </c:val>
          <c:extLst>
            <c:ext xmlns:c16="http://schemas.microsoft.com/office/drawing/2014/chart" uri="{C3380CC4-5D6E-409C-BE32-E72D297353CC}">
              <c16:uniqueId val="{00000016-C8C7-480D-AE91-92F72E0ED276}"/>
            </c:ext>
          </c:extLst>
        </c:ser>
        <c:ser>
          <c:idx val="23"/>
          <c:order val="23"/>
          <c:tx>
            <c:strRef>
              <c:f>'201-Tool_min'!$AN$34</c:f>
              <c:strCache>
                <c:ptCount val="1"/>
                <c:pt idx="0">
                  <c:v>Stg.4 Shroud Aft#4</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'201-Tool_min'!$AN$36:$AN$59</c:f>
              <c:numCache>
                <c:formatCode>General</c:formatCode>
                <c:ptCount val="24"/>
                <c:pt idx="21" formatCode="0.000">
                  <c:v>420.9415920083801</c:v>
                </c:pt>
                <c:pt idx="22" formatCode="0.000">
                  <c:v>420.9415920083801</c:v>
                </c:pt>
              </c:numCache>
            </c:numRef>
          </c:val>
          <c:extLst>
            <c:ext xmlns:c16="http://schemas.microsoft.com/office/drawing/2014/chart" uri="{C3380CC4-5D6E-409C-BE32-E72D297353CC}">
              <c16:uniqueId val="{00000017-C8C7-480D-AE91-92F72E0ED276}"/>
            </c:ext>
          </c:extLst>
        </c:ser>
        <c:ser>
          <c:idx val="24"/>
          <c:order val="24"/>
          <c:tx>
            <c:strRef>
              <c:f>'201-Tool_min'!$AO$34</c:f>
              <c:strCache>
                <c:ptCount val="1"/>
                <c:pt idx="0">
                  <c:v>Stg.4 Shroud Aft#3</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'201-Tool_min'!$AO$36:$AO$59</c:f>
              <c:numCache>
                <c:formatCode>General</c:formatCode>
                <c:ptCount val="24"/>
                <c:pt idx="22" formatCode="0.000">
                  <c:v>420.90989600466236</c:v>
                </c:pt>
                <c:pt idx="23" formatCode="0.000">
                  <c:v>420.90989600466236</c:v>
                </c:pt>
              </c:numCache>
            </c:numRef>
          </c:val>
          <c:extLst>
            <c:ext xmlns:c16="http://schemas.microsoft.com/office/drawing/2014/chart" uri="{C3380CC4-5D6E-409C-BE32-E72D297353CC}">
              <c16:uniqueId val="{00000018-C8C7-480D-AE91-92F72E0ED276}"/>
            </c:ext>
          </c:extLst>
        </c:ser>
        <c:ser>
          <c:idx val="25"/>
          <c:order val="25"/>
          <c:tx>
            <c:strRef>
              <c:f>'201-Tool_min'!$AP$34</c:f>
              <c:strCache>
                <c:ptCount val="1"/>
                <c:pt idx="0">
                  <c:v>Stg.4 Shroud Aft#2</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'201-Tool_min'!$AP$36:$AP$59</c:f>
              <c:numCache>
                <c:formatCode>General</c:formatCode>
                <c:ptCount val="24"/>
                <c:pt idx="0" formatCode="0.000">
                  <c:v>420.92815866987053</c:v>
                </c:pt>
                <c:pt idx="23" formatCode="0.000">
                  <c:v>420.92815866987053</c:v>
                </c:pt>
              </c:numCache>
            </c:numRef>
          </c:val>
          <c:extLst>
            <c:ext xmlns:c16="http://schemas.microsoft.com/office/drawing/2014/chart" uri="{C3380CC4-5D6E-409C-BE32-E72D297353CC}">
              <c16:uniqueId val="{00000019-C8C7-480D-AE91-92F72E0ED276}"/>
            </c:ext>
          </c:extLst>
        </c:ser>
        <c:dLbls>
          <c:showLegendKey val="0"/>
          <c:showVal val="0"/>
          <c:showCatName val="0"/>
          <c:showSerName val="0"/>
          <c:showPercent val="0"/>
          <c:showBubbleSize val="0"/>
        </c:dLbls>
        <c:axId val="171997056"/>
        <c:axId val="171998592"/>
      </c:radarChart>
      <c:catAx>
        <c:axId val="17199705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1998592"/>
        <c:crosses val="autoZero"/>
        <c:auto val="1"/>
        <c:lblAlgn val="ctr"/>
        <c:lblOffset val="100"/>
        <c:noMultiLvlLbl val="0"/>
      </c:catAx>
      <c:valAx>
        <c:axId val="17199859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1997056"/>
        <c:crosses val="autoZero"/>
        <c:crossBetween val="between"/>
        <c:majorUnit val="5.000000000000001E-2"/>
      </c:valAx>
    </c:plotArea>
    <c:legend>
      <c:legendPos val="r"/>
      <c:layout>
        <c:manualLayout>
          <c:xMode val="edge"/>
          <c:yMode val="edge"/>
          <c:x val="0.75693143452628542"/>
          <c:y val="0"/>
          <c:w val="0.23186856312200801"/>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'201-Tool_min'!$AQ$93</c:f>
              <c:strCache>
                <c:ptCount val="1"/>
                <c:pt idx="0">
                  <c:v>Step Min</c:v>
                </c:pt>
              </c:strCache>
            </c:strRef>
          </c:tx>
          <c:spPr>
            <a:ln w="28575">
              <a:prstDash val="dash"/>
            </a:ln>
          </c:spPr>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'201-Tool_min'!$AQ$95:$AQ$118</c:f>
              <c:numCache>
                <c:formatCode>General</c:formatCode>
                <c:ptCount val="24"/>
                <c:pt idx="0">
                  <c:v>-0.23749999999995453</c:v>
                </c:pt>
                <c:pt idx="1">
                  <c:v>-0.23749999999995453</c:v>
                </c:pt>
                <c:pt idx="2">
                  <c:v>-0.23749999999995453</c:v>
                </c:pt>
                <c:pt idx="3">
                  <c:v>-0.23749999999995453</c:v>
                </c:pt>
                <c:pt idx="4">
                  <c:v>-0.23749999999995453</c:v>
                </c:pt>
                <c:pt idx="5">
                  <c:v>-0.23749999999995453</c:v>
                </c:pt>
                <c:pt idx="6">
                  <c:v>-0.23749999999995453</c:v>
                </c:pt>
                <c:pt idx="7">
                  <c:v>-0.23749999999995453</c:v>
                </c:pt>
                <c:pt idx="8">
                  <c:v>-0.23749999999995453</c:v>
                </c:pt>
                <c:pt idx="9">
                  <c:v>-0.23749999999995453</c:v>
                </c:pt>
                <c:pt idx="10">
                  <c:v>-0.23749999999995453</c:v>
                </c:pt>
                <c:pt idx="11">
                  <c:v>-0.23749999999995453</c:v>
                </c:pt>
                <c:pt idx="12">
                  <c:v>-0.23749999999995453</c:v>
                </c:pt>
                <c:pt idx="13">
                  <c:v>-0.23749999999995453</c:v>
                </c:pt>
                <c:pt idx="14">
                  <c:v>-0.23749999999995453</c:v>
                </c:pt>
                <c:pt idx="15">
                  <c:v>-0.23749999999995453</c:v>
                </c:pt>
                <c:pt idx="16">
                  <c:v>-0.23749999999995453</c:v>
                </c:pt>
                <c:pt idx="17">
                  <c:v>-0.23749999999995453</c:v>
                </c:pt>
                <c:pt idx="18">
                  <c:v>-0.23749999999995453</c:v>
                </c:pt>
                <c:pt idx="19">
                  <c:v>-0.23749999999995453</c:v>
                </c:pt>
                <c:pt idx="20">
                  <c:v>-0.23749999999995453</c:v>
                </c:pt>
                <c:pt idx="21">
                  <c:v>-0.23749999999995453</c:v>
                </c:pt>
                <c:pt idx="22">
                  <c:v>-0.23749999999995453</c:v>
                </c:pt>
                <c:pt idx="23">
                  <c:v>-0.23749999999995453</c:v>
                </c:pt>
              </c:numCache>
            </c:numRef>
          </c:val>
          <c:extLst>
            <c:ext xmlns:c16="http://schemas.microsoft.com/office/drawing/2014/chart" uri="{C3380CC4-5D6E-409C-BE32-E72D297353CC}">
              <c16:uniqueId val="{00000000-019A-4221-AC7E-0B07083BC28C}"/>
            </c:ext>
          </c:extLst>
        </c:ser>
        <c:ser>
          <c:idx val="1"/>
          <c:order val="1"/>
          <c:tx>
            <c:strRef>
              <c:f>'201-Tool_min'!$AR$93</c:f>
              <c:strCache>
                <c:ptCount val="1"/>
                <c:pt idx="0">
                  <c:v>Step Max</c:v>
                </c:pt>
              </c:strCache>
            </c:strRef>
          </c:tx>
          <c:spPr>
            <a:ln w="28575">
              <a:prstDash val="dash"/>
            </a:ln>
          </c:spPr>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'201-Tool_min'!$AR$95:$AR$118</c:f>
              <c:numCache>
                <c:formatCode>General</c:formatCode>
                <c:ptCount val="24"/>
                <c:pt idx="0">
                  <c:v>0.23749999999995453</c:v>
                </c:pt>
                <c:pt idx="1">
                  <c:v>0.23749999999995453</c:v>
                </c:pt>
                <c:pt idx="2">
                  <c:v>0.23749999999995453</c:v>
                </c:pt>
                <c:pt idx="3">
                  <c:v>0.23749999999995453</c:v>
                </c:pt>
                <c:pt idx="4">
                  <c:v>0.23749999999995453</c:v>
                </c:pt>
                <c:pt idx="5">
                  <c:v>0.23749999999995453</c:v>
                </c:pt>
                <c:pt idx="6">
                  <c:v>0.23749999999995453</c:v>
                </c:pt>
                <c:pt idx="7">
                  <c:v>0.23749999999995453</c:v>
                </c:pt>
                <c:pt idx="8">
                  <c:v>0.23749999999995453</c:v>
                </c:pt>
                <c:pt idx="9">
                  <c:v>0.23749999999995453</c:v>
                </c:pt>
                <c:pt idx="10">
                  <c:v>0.23749999999995453</c:v>
                </c:pt>
                <c:pt idx="11">
                  <c:v>0.23749999999995453</c:v>
                </c:pt>
                <c:pt idx="12">
                  <c:v>0.23749999999995453</c:v>
                </c:pt>
                <c:pt idx="13">
                  <c:v>0.23749999999995453</c:v>
                </c:pt>
                <c:pt idx="14">
                  <c:v>0.23749999999995453</c:v>
                </c:pt>
                <c:pt idx="15">
                  <c:v>0.23749999999995453</c:v>
                </c:pt>
                <c:pt idx="16">
                  <c:v>0.23749999999995453</c:v>
                </c:pt>
                <c:pt idx="17">
                  <c:v>0.23749999999995453</c:v>
                </c:pt>
                <c:pt idx="18">
                  <c:v>0.23749999999995453</c:v>
                </c:pt>
                <c:pt idx="19">
                  <c:v>0.23749999999995453</c:v>
                </c:pt>
                <c:pt idx="20">
                  <c:v>0.23749999999995453</c:v>
                </c:pt>
                <c:pt idx="21">
                  <c:v>0.23749999999995453</c:v>
                </c:pt>
                <c:pt idx="22">
                  <c:v>0.23749999999995453</c:v>
                </c:pt>
                <c:pt idx="23">
                  <c:v>0.23749999999995453</c:v>
                </c:pt>
              </c:numCache>
            </c:numRef>
          </c:val>
          <c:extLst>
            <c:ext xmlns:c16="http://schemas.microsoft.com/office/drawing/2014/chart" uri="{C3380CC4-5D6E-409C-BE32-E72D297353CC}">
              <c16:uniqueId val="{00000001-019A-4221-AC7E-0B07083BC28C}"/>
            </c:ext>
          </c:extLst>
        </c:ser>
        <c:ser>
          <c:idx val="2"/>
          <c:order val="2"/>
          <c:tx>
            <c:strRef>
              <c:f>'201-Tool_min'!$S$93</c:f>
              <c:strCache>
                <c:ptCount val="1"/>
                <c:pt idx="0">
                  <c:v>Stg.4 Shroud Step#1</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'201-Tool_min'!$S$95:$S$118</c:f>
              <c:numCache>
                <c:formatCode>0.000_ </c:formatCode>
                <c:ptCount val="24"/>
                <c:pt idx="0">
                  <c:v>4.8815992901609206E-2</c:v>
                </c:pt>
                <c:pt idx="1">
                  <c:v>4.8815992901609206E-2</c:v>
                </c:pt>
              </c:numCache>
            </c:numRef>
          </c:val>
          <c:extLst>
            <c:ext xmlns:c16="http://schemas.microsoft.com/office/drawing/2014/chart" uri="{C3380CC4-5D6E-409C-BE32-E72D297353CC}">
              <c16:uniqueId val="{00000002-019A-4221-AC7E-0B07083BC28C}"/>
            </c:ext>
          </c:extLst>
        </c:ser>
        <c:ser>
          <c:idx val="3"/>
          <c:order val="3"/>
          <c:tx>
            <c:strRef>
              <c:f>'201-Tool_min'!$T$93</c:f>
              <c:strCache>
                <c:ptCount val="1"/>
                <c:pt idx="0">
                  <c:v>Stg.4 Shroud Step#24</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'201-Tool_min'!$T$95:$T$118</c:f>
              <c:numCache>
                <c:formatCode>0.000_ </c:formatCode>
                <c:ptCount val="24"/>
                <c:pt idx="1">
                  <c:v>7.8026664342587537E-2</c:v>
                </c:pt>
                <c:pt idx="2">
                  <c:v>7.8026664342587537E-2</c:v>
                </c:pt>
              </c:numCache>
            </c:numRef>
          </c:val>
          <c:extLst>
            <c:ext xmlns:c16="http://schemas.microsoft.com/office/drawing/2014/chart" uri="{C3380CC4-5D6E-409C-BE32-E72D297353CC}">
              <c16:uniqueId val="{00000003-019A-4221-AC7E-0B07083BC28C}"/>
            </c:ext>
          </c:extLst>
        </c:ser>
        <c:ser>
          <c:idx val="4"/>
          <c:order val="4"/>
          <c:tx>
            <c:strRef>
              <c:f>'201-Tool_min'!$U$93</c:f>
              <c:strCache>
                <c:ptCount val="1"/>
                <c:pt idx="0">
                  <c:v>Stg.4 Shroud Step#23</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'201-Tool_min'!$U$95:$U$118</c:f>
              <c:numCache>
                <c:formatCode>0.000_ </c:formatCode>
                <c:ptCount val="24"/>
                <c:pt idx="2">
                  <c:v>9.8957332953830246E-2</c:v>
                </c:pt>
                <c:pt idx="3">
                  <c:v>9.8957332953830246E-2</c:v>
                </c:pt>
              </c:numCache>
            </c:numRef>
          </c:val>
          <c:extLst>
            <c:ext xmlns:c16="http://schemas.microsoft.com/office/drawing/2014/chart" uri="{C3380CC4-5D6E-409C-BE32-E72D297353CC}">
              <c16:uniqueId val="{00000004-019A-4221-AC7E-0B07083BC28C}"/>
            </c:ext>
          </c:extLst>
        </c:ser>
        <c:ser>
          <c:idx val="5"/>
          <c:order val="5"/>
          <c:tx>
            <c:strRef>
              <c:f>'201-Tool_min'!$V$93</c:f>
              <c:strCache>
                <c:ptCount val="1"/>
                <c:pt idx="0">
                  <c:v>Stg.4 Shroud Step#22</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'201-Tool_min'!$V$95:$V$118</c:f>
              <c:numCache>
                <c:formatCode>0.000_ </c:formatCode>
                <c:ptCount val="24"/>
                <c:pt idx="3">
                  <c:v>8.7343999970187269E-2</c:v>
                </c:pt>
                <c:pt idx="4">
                  <c:v>8.7343999970187269E-2</c:v>
                </c:pt>
              </c:numCache>
            </c:numRef>
          </c:val>
          <c:extLst>
            <c:ext xmlns:c16="http://schemas.microsoft.com/office/drawing/2014/chart" uri="{C3380CC4-5D6E-409C-BE32-E72D297353CC}">
              <c16:uniqueId val="{00000005-019A-4221-AC7E-0B07083BC28C}"/>
            </c:ext>
          </c:extLst>
        </c:ser>
        <c:ser>
          <c:idx val="6"/>
          <c:order val="6"/>
          <c:tx>
            <c:strRef>
              <c:f>'201-Tool_min'!$W$93</c:f>
              <c:strCache>
                <c:ptCount val="1"/>
                <c:pt idx="0">
                  <c:v>Stg.4 Shroud Step#21</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'201-Tool_min'!$W$95:$W$118</c:f>
              <c:numCache>
                <c:formatCode>0.000_ </c:formatCode>
                <c:ptCount val="24"/>
                <c:pt idx="4">
                  <c:v>4.2826662949948968E-2</c:v>
                </c:pt>
                <c:pt idx="5">
                  <c:v>4.2826662949948968E-2</c:v>
                </c:pt>
              </c:numCache>
            </c:numRef>
          </c:val>
          <c:extLst>
            <c:ext xmlns:c16="http://schemas.microsoft.com/office/drawing/2014/chart" uri="{C3380CC4-5D6E-409C-BE32-E72D297353CC}">
              <c16:uniqueId val="{00000006-019A-4221-AC7E-0B07083BC28C}"/>
            </c:ext>
          </c:extLst>
        </c:ser>
        <c:ser>
          <c:idx val="7"/>
          <c:order val="7"/>
          <c:tx>
            <c:strRef>
              <c:f>'201-Tool_min'!$X$93</c:f>
              <c:strCache>
                <c:ptCount val="1"/>
                <c:pt idx="0">
                  <c:v>Stg.4 Shroud Step#20</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'201-Tool_min'!$X$95:$X$118</c:f>
              <c:numCache>
                <c:formatCode>0.000_ </c:formatCode>
                <c:ptCount val="24"/>
                <c:pt idx="5">
                  <c:v>-8.4613461510230081E-3</c:v>
                </c:pt>
                <c:pt idx="6">
                  <c:v>-8.4613461510230081E-3</c:v>
                </c:pt>
              </c:numCache>
            </c:numRef>
          </c:val>
          <c:extLst>
            <c:ext xmlns:c16="http://schemas.microsoft.com/office/drawing/2014/chart" uri="{C3380CC4-5D6E-409C-BE32-E72D297353CC}">
              <c16:uniqueId val="{00000007-019A-4221-AC7E-0B07083BC28C}"/>
            </c:ext>
          </c:extLst>
        </c:ser>
        <c:ser>
          <c:idx val="8"/>
          <c:order val="8"/>
          <c:tx>
            <c:strRef>
              <c:f>'201-Tool_min'!$Y$93</c:f>
              <c:strCache>
                <c:ptCount val="1"/>
                <c:pt idx="0">
                  <c:v>Stg.4 Shroud Step#19</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'201-Tool_min'!$Y$95:$Y$118</c:f>
              <c:numCache>
                <c:formatCode>0.000_ </c:formatCode>
                <c:ptCount val="24"/>
                <c:pt idx="6">
                  <c:v>-3.4232012259508338E-2</c:v>
                </c:pt>
                <c:pt idx="7">
                  <c:v>-3.4232012259508338E-2</c:v>
                </c:pt>
              </c:numCache>
            </c:numRef>
          </c:val>
          <c:extLst>
            <c:ext xmlns:c16="http://schemas.microsoft.com/office/drawing/2014/chart" uri="{C3380CC4-5D6E-409C-BE32-E72D297353CC}">
              <c16:uniqueId val="{00000008-019A-4221-AC7E-0B07083BC28C}"/>
            </c:ext>
          </c:extLst>
        </c:ser>
        <c:ser>
          <c:idx val="9"/>
          <c:order val="9"/>
          <c:tx>
            <c:strRef>
              <c:f>'201-Tool_min'!$Z$93</c:f>
              <c:strCache>
                <c:ptCount val="1"/>
                <c:pt idx="0">
                  <c:v>Stg.4 Shroud Step#18</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'201-Tool_min'!$Z$95:$Z$118</c:f>
              <c:numCache>
                <c:formatCode>0.000_ </c:formatCode>
                <c:ptCount val="24"/>
                <c:pt idx="7">
                  <c:v>-2.6946670401969186E-2</c:v>
                </c:pt>
                <c:pt idx="8">
                  <c:v>-2.6946670401969186E-2</c:v>
                </c:pt>
              </c:numCache>
            </c:numRef>
          </c:val>
          <c:extLst>
            <c:ext xmlns:c16="http://schemas.microsoft.com/office/drawing/2014/chart" uri="{C3380CC4-5D6E-409C-BE32-E72D297353CC}">
              <c16:uniqueId val="{00000009-019A-4221-AC7E-0B07083BC28C}"/>
            </c:ext>
          </c:extLst>
        </c:ser>
        <c:ser>
          <c:idx val="10"/>
          <c:order val="10"/>
          <c:tx>
            <c:strRef>
              <c:f>'201-Tool_min'!$AA$93</c:f>
              <c:strCache>
                <c:ptCount val="1"/>
                <c:pt idx="0">
                  <c:v>Stg.4 Shroud Step#17</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'201-Tool_min'!$AA$95:$AA$118</c:f>
              <c:numCache>
                <c:formatCode>0.000_ </c:formatCode>
                <c:ptCount val="24"/>
                <c:pt idx="8">
                  <c:v>-9.0240011972468892E-3</c:v>
                </c:pt>
                <c:pt idx="9">
                  <c:v>-9.0240011972468892E-3</c:v>
                </c:pt>
              </c:numCache>
            </c:numRef>
          </c:val>
          <c:extLst>
            <c:ext xmlns:c16="http://schemas.microsoft.com/office/drawing/2014/chart" uri="{C3380CC4-5D6E-409C-BE32-E72D297353CC}">
              <c16:uniqueId val="{0000000A-019A-4221-AC7E-0B07083BC28C}"/>
            </c:ext>
          </c:extLst>
        </c:ser>
        <c:ser>
          <c:idx val="11"/>
          <c:order val="11"/>
          <c:tx>
            <c:strRef>
              <c:f>'201-Tool_min'!$AB$93</c:f>
              <c:strCache>
                <c:ptCount val="1"/>
                <c:pt idx="0">
                  <c:v>Stg.4 Shroud Step#16</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'201-Tool_min'!$AB$95:$AB$118</c:f>
              <c:numCache>
                <c:formatCode>0.000_ </c:formatCode>
                <c:ptCount val="24"/>
                <c:pt idx="9">
                  <c:v>1.7279998802735008E-2</c:v>
                </c:pt>
                <c:pt idx="10">
                  <c:v>1.7279998802735008E-2</c:v>
                </c:pt>
              </c:numCache>
            </c:numRef>
          </c:val>
          <c:extLst>
            <c:ext xmlns:c16="http://schemas.microsoft.com/office/drawing/2014/chart" uri="{C3380CC4-5D6E-409C-BE32-E72D297353CC}">
              <c16:uniqueId val="{0000000B-019A-4221-AC7E-0B07083BC28C}"/>
            </c:ext>
          </c:extLst>
        </c:ser>
        <c:ser>
          <c:idx val="12"/>
          <c:order val="12"/>
          <c:tx>
            <c:strRef>
              <c:f>'201-Tool_min'!$AC$93</c:f>
              <c:strCache>
                <c:ptCount val="1"/>
                <c:pt idx="0">
                  <c:v>Stg.4 Shroud Step#15</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'201-Tool_min'!$AC$95:$AC$118</c:f>
              <c:numCache>
                <c:formatCode>0.000_ </c:formatCode>
                <c:ptCount val="24"/>
                <c:pt idx="10">
                  <c:v>3.883200107753737E-2</c:v>
                </c:pt>
                <c:pt idx="11">
                  <c:v>3.883200107753737E-2</c:v>
                </c:pt>
              </c:numCache>
            </c:numRef>
          </c:val>
          <c:extLst>
            <c:ext xmlns:c16="http://schemas.microsoft.com/office/drawing/2014/chart" uri="{C3380CC4-5D6E-409C-BE32-E72D297353CC}">
              <c16:uniqueId val="{0000000C-019A-4221-AC7E-0B07083BC28C}"/>
            </c:ext>
          </c:extLst>
        </c:ser>
        <c:ser>
          <c:idx val="13"/>
          <c:order val="13"/>
          <c:tx>
            <c:strRef>
              <c:f>'201-Tool_min'!$AD$93</c:f>
              <c:strCache>
                <c:ptCount val="1"/>
                <c:pt idx="0">
                  <c:v>Stg.4 Shroud Step#14</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'201-Tool_min'!$AD$95:$AD$118</c:f>
              <c:numCache>
                <c:formatCode>0.000_ </c:formatCode>
                <c:ptCount val="24"/>
                <c:pt idx="11">
                  <c:v>4.485600670130907E-2</c:v>
                </c:pt>
                <c:pt idx="12">
                  <c:v>4.485600670130907E-2</c:v>
                </c:pt>
              </c:numCache>
            </c:numRef>
          </c:val>
          <c:extLst>
            <c:ext xmlns:c16="http://schemas.microsoft.com/office/drawing/2014/chart" uri="{C3380CC4-5D6E-409C-BE32-E72D297353CC}">
              <c16:uniqueId val="{0000000D-019A-4221-AC7E-0B07083BC28C}"/>
            </c:ext>
          </c:extLst>
        </c:ser>
        <c:ser>
          <c:idx val="14"/>
          <c:order val="14"/>
          <c:tx>
            <c:strRef>
              <c:f>'201-Tool_min'!$AE$93</c:f>
              <c:strCache>
                <c:ptCount val="1"/>
                <c:pt idx="0">
                  <c:v>Stg.4 Shroud Step#13</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'201-Tool_min'!$AE$95:$AE$118</c:f>
              <c:numCache>
                <c:formatCode>0.000_ </c:formatCode>
                <c:ptCount val="24"/>
                <c:pt idx="12">
                  <c:v>3.3328006100987295E-2</c:v>
                </c:pt>
                <c:pt idx="13">
                  <c:v>3.3328006100987295E-2</c:v>
                </c:pt>
              </c:numCache>
            </c:numRef>
          </c:val>
          <c:extLst>
            <c:ext xmlns:c16="http://schemas.microsoft.com/office/drawing/2014/chart" uri="{C3380CC4-5D6E-409C-BE32-E72D297353CC}">
              <c16:uniqueId val="{0000000E-019A-4221-AC7E-0B07083BC28C}"/>
            </c:ext>
          </c:extLst>
        </c:ser>
        <c:ser>
          <c:idx val="15"/>
          <c:order val="15"/>
          <c:tx>
            <c:strRef>
              <c:f>'201-Tool_min'!$AF$93</c:f>
              <c:strCache>
                <c:ptCount val="1"/>
                <c:pt idx="0">
                  <c:v>Stg.4 Shroud Step#12</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'201-Tool_min'!$AF$95:$AF$118</c:f>
              <c:numCache>
                <c:formatCode>0.000_ </c:formatCode>
                <c:ptCount val="24"/>
                <c:pt idx="13">
                  <c:v>1.574396549017365E-2</c:v>
                </c:pt>
                <c:pt idx="14">
                  <c:v>1.574396549017365E-2</c:v>
                </c:pt>
              </c:numCache>
            </c:numRef>
          </c:val>
          <c:extLst>
            <c:ext xmlns:c16="http://schemas.microsoft.com/office/drawing/2014/chart" uri="{C3380CC4-5D6E-409C-BE32-E72D297353CC}">
              <c16:uniqueId val="{0000000F-019A-4221-AC7E-0B07083BC28C}"/>
            </c:ext>
          </c:extLst>
        </c:ser>
        <c:ser>
          <c:idx val="16"/>
          <c:order val="16"/>
          <c:tx>
            <c:strRef>
              <c:f>'201-Tool_min'!$AG$93</c:f>
              <c:strCache>
                <c:ptCount val="1"/>
                <c:pt idx="0">
                  <c:v>Stg.4 Shroud Step#11</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'201-Tool_min'!$AG$95:$AG$118</c:f>
              <c:numCache>
                <c:formatCode>0.000_ </c:formatCode>
                <c:ptCount val="24"/>
                <c:pt idx="14">
                  <c:v>6.9918773501171927E-3</c:v>
                </c:pt>
                <c:pt idx="15">
                  <c:v>6.9918773501171927E-3</c:v>
                </c:pt>
              </c:numCache>
            </c:numRef>
          </c:val>
          <c:extLst>
            <c:ext xmlns:c16="http://schemas.microsoft.com/office/drawing/2014/chart" uri="{C3380CC4-5D6E-409C-BE32-E72D297353CC}">
              <c16:uniqueId val="{00000010-019A-4221-AC7E-0B07083BC28C}"/>
            </c:ext>
          </c:extLst>
        </c:ser>
        <c:ser>
          <c:idx val="17"/>
          <c:order val="17"/>
          <c:tx>
            <c:strRef>
              <c:f>'201-Tool_min'!$AH$93</c:f>
              <c:strCache>
                <c:ptCount val="1"/>
                <c:pt idx="0">
                  <c:v>Stg.4 Shroud Step#10</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'201-Tool_min'!$AH$95:$AH$118</c:f>
              <c:numCache>
                <c:formatCode>0.000_ </c:formatCode>
                <c:ptCount val="24"/>
                <c:pt idx="15">
                  <c:v>1.6823887007262783E-2</c:v>
                </c:pt>
                <c:pt idx="16">
                  <c:v>1.6823887007262783E-2</c:v>
                </c:pt>
              </c:numCache>
            </c:numRef>
          </c:val>
          <c:extLst>
            <c:ext xmlns:c16="http://schemas.microsoft.com/office/drawing/2014/chart" uri="{C3380CC4-5D6E-409C-BE32-E72D297353CC}">
              <c16:uniqueId val="{00000011-019A-4221-AC7E-0B07083BC28C}"/>
            </c:ext>
          </c:extLst>
        </c:ser>
        <c:ser>
          <c:idx val="18"/>
          <c:order val="18"/>
          <c:tx>
            <c:strRef>
              <c:f>'201-Tool_min'!$AI$93</c:f>
              <c:strCache>
                <c:ptCount val="1"/>
                <c:pt idx="0">
                  <c:v>Stg.4 Shroud Step#9</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'201-Tool_min'!$AI$95:$AI$118</c:f>
              <c:numCache>
                <c:formatCode>0.000_ </c:formatCode>
                <c:ptCount val="24"/>
                <c:pt idx="16">
                  <c:v>3.4679973375148165E-2</c:v>
                </c:pt>
                <c:pt idx="17">
                  <c:v>3.4679973375148165E-2</c:v>
                </c:pt>
              </c:numCache>
            </c:numRef>
          </c:val>
          <c:extLst>
            <c:ext xmlns:c16="http://schemas.microsoft.com/office/drawing/2014/chart" uri="{C3380CC4-5D6E-409C-BE32-E72D297353CC}">
              <c16:uniqueId val="{00000012-019A-4221-AC7E-0B07083BC28C}"/>
            </c:ext>
          </c:extLst>
        </c:ser>
        <c:ser>
          <c:idx val="19"/>
          <c:order val="19"/>
          <c:tx>
            <c:strRef>
              <c:f>'201-Tool_min'!$AJ$93</c:f>
              <c:strCache>
                <c:ptCount val="1"/>
                <c:pt idx="0">
                  <c:v>Stg.4 Shroud Step#8</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'201-Tool_min'!$AJ$95:$AJ$118</c:f>
              <c:numCache>
                <c:formatCode>0.000_ </c:formatCode>
                <c:ptCount val="24"/>
                <c:pt idx="17">
                  <c:v>4.1489330925458034E-2</c:v>
                </c:pt>
                <c:pt idx="18">
                  <c:v>4.1489330925458034E-2</c:v>
                </c:pt>
              </c:numCache>
            </c:numRef>
          </c:val>
          <c:extLst>
            <c:ext xmlns:c16="http://schemas.microsoft.com/office/drawing/2014/chart" uri="{C3380CC4-5D6E-409C-BE32-E72D297353CC}">
              <c16:uniqueId val="{00000013-019A-4221-AC7E-0B07083BC28C}"/>
            </c:ext>
          </c:extLst>
        </c:ser>
        <c:ser>
          <c:idx val="20"/>
          <c:order val="20"/>
          <c:tx>
            <c:strRef>
              <c:f>'201-Tool_min'!$AK$93</c:f>
              <c:strCache>
                <c:ptCount val="1"/>
                <c:pt idx="0">
                  <c:v>Stg.4 Shroud Step#7</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'201-Tool_min'!$AK$95:$AK$118</c:f>
              <c:numCache>
                <c:formatCode>0.000_ </c:formatCode>
                <c:ptCount val="24"/>
                <c:pt idx="18">
                  <c:v>3.8775997774166626E-2</c:v>
                </c:pt>
                <c:pt idx="19">
                  <c:v>3.8775997774166626E-2</c:v>
                </c:pt>
              </c:numCache>
            </c:numRef>
          </c:val>
          <c:extLst>
            <c:ext xmlns:c16="http://schemas.microsoft.com/office/drawing/2014/chart" uri="{C3380CC4-5D6E-409C-BE32-E72D297353CC}">
              <c16:uniqueId val="{00000014-019A-4221-AC7E-0B07083BC28C}"/>
            </c:ext>
          </c:extLst>
        </c:ser>
        <c:ser>
          <c:idx val="21"/>
          <c:order val="21"/>
          <c:tx>
            <c:strRef>
              <c:f>'201-Tool_min'!$AL$93</c:f>
              <c:strCache>
                <c:ptCount val="1"/>
                <c:pt idx="0">
                  <c:v>Stg.4 Shroud Step#6</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'201-Tool_min'!$AL$95:$AL$118</c:f>
              <c:numCache>
                <c:formatCode>0.000_ </c:formatCode>
                <c:ptCount val="24"/>
                <c:pt idx="19">
                  <c:v>2.2226668193241039E-2</c:v>
                </c:pt>
                <c:pt idx="20">
                  <c:v>2.2226668193241039E-2</c:v>
                </c:pt>
              </c:numCache>
            </c:numRef>
          </c:val>
          <c:extLst>
            <c:ext xmlns:c16="http://schemas.microsoft.com/office/drawing/2014/chart" uri="{C3380CC4-5D6E-409C-BE32-E72D297353CC}">
              <c16:uniqueId val="{00000015-019A-4221-AC7E-0B07083BC28C}"/>
            </c:ext>
          </c:extLst>
        </c:ser>
        <c:ser>
          <c:idx val="22"/>
          <c:order val="22"/>
          <c:tx>
            <c:strRef>
              <c:f>'201-Tool_min'!$AM$93</c:f>
              <c:strCache>
                <c:ptCount val="1"/>
                <c:pt idx="0">
                  <c:v>Stg.4 Shroud Step#5</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'201-Tool_min'!$AM$95:$AM$118</c:f>
              <c:numCache>
                <c:formatCode>0.000_ </c:formatCode>
                <c:ptCount val="24"/>
                <c:pt idx="20">
                  <c:v>-8.6506594797697289E-3</c:v>
                </c:pt>
                <c:pt idx="21">
                  <c:v>-8.6506594797697289E-3</c:v>
                </c:pt>
              </c:numCache>
            </c:numRef>
          </c:val>
          <c:extLst>
            <c:ext xmlns:c16="http://schemas.microsoft.com/office/drawing/2014/chart" uri="{C3380CC4-5D6E-409C-BE32-E72D297353CC}">
              <c16:uniqueId val="{00000016-019A-4221-AC7E-0B07083BC28C}"/>
            </c:ext>
          </c:extLst>
        </c:ser>
        <c:ser>
          <c:idx val="23"/>
          <c:order val="23"/>
          <c:tx>
            <c:strRef>
              <c:f>'201-Tool_min'!$AN$93</c:f>
              <c:strCache>
                <c:ptCount val="1"/>
                <c:pt idx="0">
                  <c:v>Stg.4 Shroud Step#4</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'201-Tool_min'!$AN$95:$AN$118</c:f>
              <c:numCache>
                <c:formatCode>0.000_ </c:formatCode>
                <c:ptCount val="24"/>
                <c:pt idx="21">
                  <c:v>-2.4311992079731226E-2</c:v>
                </c:pt>
                <c:pt idx="22">
                  <c:v>-2.4311992079731226E-2</c:v>
                </c:pt>
              </c:numCache>
            </c:numRef>
          </c:val>
          <c:extLst>
            <c:ext xmlns:c16="http://schemas.microsoft.com/office/drawing/2014/chart" uri="{C3380CC4-5D6E-409C-BE32-E72D297353CC}">
              <c16:uniqueId val="{00000017-019A-4221-AC7E-0B07083BC28C}"/>
            </c:ext>
          </c:extLst>
        </c:ser>
        <c:ser>
          <c:idx val="24"/>
          <c:order val="24"/>
          <c:tx>
            <c:strRef>
              <c:f>'201-Tool_min'!$AO$93</c:f>
              <c:strCache>
                <c:ptCount val="1"/>
                <c:pt idx="0">
                  <c:v>Stg.4 Shroud Step#3</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'201-Tool_min'!$AO$95:$AO$118</c:f>
              <c:numCache>
                <c:formatCode>0.000_ </c:formatCode>
                <c:ptCount val="24"/>
                <c:pt idx="22">
                  <c:v>-1.1389331538453007E-2</c:v>
                </c:pt>
                <c:pt idx="23">
                  <c:v>-1.1389331538453007E-2</c:v>
                </c:pt>
              </c:numCache>
            </c:numRef>
          </c:val>
          <c:extLst>
            <c:ext xmlns:c16="http://schemas.microsoft.com/office/drawing/2014/chart" uri="{C3380CC4-5D6E-409C-BE32-E72D297353CC}">
              <c16:uniqueId val="{00000018-019A-4221-AC7E-0B07083BC28C}"/>
            </c:ext>
          </c:extLst>
        </c:ser>
        <c:ser>
          <c:idx val="25"/>
          <c:order val="25"/>
          <c:tx>
            <c:strRef>
              <c:f>'201-Tool_min'!$AP$93</c:f>
              <c:strCache>
                <c:ptCount val="1"/>
                <c:pt idx="0">
                  <c:v>Stg.4 Shroud Step#2</c:v>
                </c:pt>
              </c:strCache>
            </c:strRef>
          </c:tx>
          <c:marker>
            <c:symbol val="none"/>
          </c:marker>
          <c:cat>
            <c:numRef>
              <c:f>'201-Tool_min'!$J$36:$J$59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'201-Tool_min'!$AP$95:$AP$118</c:f>
              <c:numCache>
                <c:formatCode>0.000_ </c:formatCode>
                <c:ptCount val="24"/>
                <c:pt idx="0">
                  <c:v>5.2519976285907433E-3</c:v>
                </c:pt>
                <c:pt idx="23">
                  <c:v>5.2519976285907433E-3</c:v>
                </c:pt>
              </c:numCache>
            </c:numRef>
          </c:val>
          <c:extLst>
            <c:ext xmlns:c16="http://schemas.microsoft.com/office/drawing/2014/chart" uri="{C3380CC4-5D6E-409C-BE32-E72D297353CC}">
              <c16:uniqueId val="{00000019-019A-4221-AC7E-0B07083BC28C}"/>
            </c:ext>
          </c:extLst>
        </c:ser>
        <c:dLbls>
          <c:showLegendKey val="0"/>
          <c:showVal val="0"/>
          <c:showCatName val="0"/>
          <c:showSerName val="0"/>
          <c:showPercent val="0"/>
          <c:showBubbleSize val="0"/>
        </c:dLbls>
        <c:axId val="177245184"/>
        <c:axId val="177255168"/>
      </c:radarChart>
      <c:catAx>
        <c:axId val="17724518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7255168"/>
        <c:crosses val="autoZero"/>
        <c:auto val="1"/>
        <c:lblAlgn val="ctr"/>
        <c:lblOffset val="100"/>
        <c:noMultiLvlLbl val="0"/>
      </c:catAx>
      <c:valAx>
        <c:axId val="177255168"/>
        <c:scaling>
          <c:orientation val="minMax"/>
          <c:max val="0.4"/>
          <c:min val="-0.4"/>
        </c:scaling>
        <c:delete val="0"/>
        <c:axPos val="l"/>
        <c:majorGridlines/>
        <c:numFmt formatCode="General" sourceLinked="1"/>
        <c:majorTickMark val="cross"/>
        <c:minorTickMark val="none"/>
        <c:tickLblPos val="nextTo"/>
        <c:txPr>
          <a:bodyPr/>
          <a:lstStyle/>
          <a:p>
            <a:pPr>
              <a:defRPr lang="ja-JP"/>
            </a:pPr>
            <a:endParaRPr lang="en-US"/>
          </a:p>
        </c:txPr>
        <c:crossAx val="177245184"/>
        <c:crosses val="autoZero"/>
        <c:crossBetween val="between"/>
      </c:valAx>
    </c:plotArea>
    <c:legend>
      <c:legendPos val="r"/>
      <c:layout>
        <c:manualLayout>
          <c:xMode val="edge"/>
          <c:yMode val="edge"/>
          <c:x val="0.7560631385983716"/>
          <c:y val="0"/>
          <c:w val="0.23273686234231078"/>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Summary!$BF$4</c:f>
              <c:strCache>
                <c:ptCount val="1"/>
                <c:pt idx="0">
                  <c:v>105</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Summary!$BF$10:$BF$25</c:f>
              <c:numCache>
                <c:formatCode>0.000_ ;[Red]\-0.000\ </c:formatCode>
                <c:ptCount val="16"/>
                <c:pt idx="0">
                  <c:v>-0.14100000000001955</c:v>
                </c:pt>
                <c:pt idx="1">
                  <c:v>-0.12499998736575435</c:v>
                </c:pt>
                <c:pt idx="2">
                  <c:v>-3.4999998596560999E-2</c:v>
                </c:pt>
                <c:pt idx="3">
                  <c:v>5.6000001403049282E-2</c:v>
                </c:pt>
                <c:pt idx="4">
                  <c:v>7.4999999999988631E-2</c:v>
                </c:pt>
                <c:pt idx="5">
                  <c:v>4.199999999997317E-2</c:v>
                </c:pt>
                <c:pt idx="6">
                  <c:v>-2.199999438641953E-2</c:v>
                </c:pt>
                <c:pt idx="7">
                  <c:v>-6.0000000000002274E-2</c:v>
                </c:pt>
                <c:pt idx="8">
                  <c:v>-5.0999999999987722E-2</c:v>
                </c:pt>
                <c:pt idx="9">
                  <c:v>-2.0000000000095497E-3</c:v>
                </c:pt>
                <c:pt idx="10">
                  <c:v>2.1000001403251645E-2</c:v>
                </c:pt>
                <c:pt idx="11">
                  <c:v>6.0000056131457313E-3</c:v>
                </c:pt>
                <c:pt idx="12">
                  <c:v>4.9999999999954525E-3</c:v>
                </c:pt>
                <c:pt idx="13">
                  <c:v>2.7999999999963165E-2</c:v>
                </c:pt>
                <c:pt idx="14">
                  <c:v>9.9999999999909051E-3</c:v>
                </c:pt>
                <c:pt idx="15">
                  <c:v>-6.4999998596420028E-2</c:v>
                </c:pt>
              </c:numCache>
            </c:numRef>
          </c:val>
          <c:smooth val="0"/>
          <c:extLst>
            <c:ext xmlns:c16="http://schemas.microsoft.com/office/drawing/2014/chart" uri="{C3380CC4-5D6E-409C-BE32-E72D297353CC}">
              <c16:uniqueId val="{00000000-D9DE-4D27-BBD5-DE8BC2349DAC}"/>
            </c:ext>
          </c:extLst>
        </c:ser>
        <c:ser>
          <c:idx val="1"/>
          <c:order val="1"/>
          <c:tx>
            <c:strRef>
              <c:f>Summary!$BG$4</c:f>
              <c:strCache>
                <c:ptCount val="1"/>
                <c:pt idx="0">
                  <c:v>236</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Summary!$BG$10:$BG$25</c:f>
              <c:numCache>
                <c:formatCode>0.000_ ;[Red]\-0.000\ </c:formatCode>
                <c:ptCount val="16"/>
                <c:pt idx="0">
                  <c:v>-3.3999999999991815E-2</c:v>
                </c:pt>
                <c:pt idx="1">
                  <c:v>-2.3999949913218188E-2</c:v>
                </c:pt>
                <c:pt idx="2">
                  <c:v>-2.0999998608658643E-2</c:v>
                </c:pt>
                <c:pt idx="3">
                  <c:v>1.6000001391148544E-2</c:v>
                </c:pt>
                <c:pt idx="4">
                  <c:v>1.5000000000043201E-2</c:v>
                </c:pt>
                <c:pt idx="5">
                  <c:v>1.6000005564592357E-2</c:v>
                </c:pt>
                <c:pt idx="6">
                  <c:v>-4.1999998608616806E-2</c:v>
                </c:pt>
                <c:pt idx="7">
                  <c:v>-4.9999994434358541E-2</c:v>
                </c:pt>
                <c:pt idx="8">
                  <c:v>-5.2999999999997272E-2</c:v>
                </c:pt>
                <c:pt idx="9">
                  <c:v>-2.2999987478328876E-2</c:v>
                </c:pt>
                <c:pt idx="10">
                  <c:v>-7.9999986087386787E-3</c:v>
                </c:pt>
                <c:pt idx="11">
                  <c:v>2.3000005564483672E-2</c:v>
                </c:pt>
                <c:pt idx="12">
                  <c:v>8.0000000000381988E-3</c:v>
                </c:pt>
                <c:pt idx="13">
                  <c:v>9.0000222588173528E-3</c:v>
                </c:pt>
                <c:pt idx="14">
                  <c:v>-3.1999998608682745E-2</c:v>
                </c:pt>
                <c:pt idx="15">
                  <c:v>-4.299999860859316E-2</c:v>
                </c:pt>
              </c:numCache>
            </c:numRef>
          </c:val>
          <c:smooth val="0"/>
          <c:extLst>
            <c:ext xmlns:c16="http://schemas.microsoft.com/office/drawing/2014/chart" uri="{C3380CC4-5D6E-409C-BE32-E72D297353CC}">
              <c16:uniqueId val="{00000001-D9DE-4D27-BBD5-DE8BC2349DAC}"/>
            </c:ext>
          </c:extLst>
        </c:ser>
        <c:ser>
          <c:idx val="2"/>
          <c:order val="2"/>
          <c:tx>
            <c:strRef>
              <c:f>Summary!$BH$4</c:f>
              <c:strCache>
                <c:ptCount val="1"/>
                <c:pt idx="0">
                  <c:v>237</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Summary!$BH$10:$BH$25</c:f>
              <c:numCache>
                <c:formatCode>0.000_ ;[Red]\-0.000\ </c:formatCode>
                <c:ptCount val="16"/>
                <c:pt idx="0">
                  <c:v>-1.6999998616427092E-2</c:v>
                </c:pt>
                <c:pt idx="1">
                  <c:v>-9.9999778632309244E-3</c:v>
                </c:pt>
                <c:pt idx="2">
                  <c:v>-1.0999999999967258E-2</c:v>
                </c:pt>
                <c:pt idx="3">
                  <c:v>3.0000049802197282E-2</c:v>
                </c:pt>
                <c:pt idx="4">
                  <c:v>2.3000001383422841E-2</c:v>
                </c:pt>
                <c:pt idx="5">
                  <c:v>3.3000022134160645E-2</c:v>
                </c:pt>
                <c:pt idx="6">
                  <c:v>-2.6999998616361154E-2</c:v>
                </c:pt>
                <c:pt idx="7">
                  <c:v>-3.8999987547072124E-2</c:v>
                </c:pt>
                <c:pt idx="8">
                  <c:v>-4.0999998616314315E-2</c:v>
                </c:pt>
                <c:pt idx="9">
                  <c:v>-1.3999987547890669E-2</c:v>
                </c:pt>
                <c:pt idx="10">
                  <c:v>1.0000055340242398E-3</c:v>
                </c:pt>
                <c:pt idx="11">
                  <c:v>3.7000167387475358E-2</c:v>
                </c:pt>
                <c:pt idx="12">
                  <c:v>2.3000001383422841E-2</c:v>
                </c:pt>
                <c:pt idx="13">
                  <c:v>2.6000000000010459E-2</c:v>
                </c:pt>
                <c:pt idx="14">
                  <c:v>-1.9999987547748788E-2</c:v>
                </c:pt>
                <c:pt idx="15">
                  <c:v>-2.6999998616361154E-2</c:v>
                </c:pt>
              </c:numCache>
            </c:numRef>
          </c:val>
          <c:smooth val="0"/>
          <c:extLst>
            <c:ext xmlns:c16="http://schemas.microsoft.com/office/drawing/2014/chart" uri="{C3380CC4-5D6E-409C-BE32-E72D297353CC}">
              <c16:uniqueId val="{00000002-D9DE-4D27-BBD5-DE8BC2349DAC}"/>
            </c:ext>
          </c:extLst>
        </c:ser>
        <c:ser>
          <c:idx val="3"/>
          <c:order val="3"/>
          <c:tx>
            <c:strRef>
              <c:f>Summary!$BI$4</c:f>
              <c:strCache>
                <c:ptCount val="1"/>
                <c:pt idx="0">
                  <c:v>238</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Summary!$BI$10:$BI$25</c:f>
              <c:numCache>
                <c:formatCode>0.000_ ;[Red]\-0.000\ </c:formatCode>
                <c:ptCount val="16"/>
                <c:pt idx="0">
                  <c:v>-3.4999998664943632E-2</c:v>
                </c:pt>
                <c:pt idx="1">
                  <c:v>-1.199998798517754E-2</c:v>
                </c:pt>
                <c:pt idx="2">
                  <c:v>-9.9999999999909051E-3</c:v>
                </c:pt>
                <c:pt idx="3">
                  <c:v>2.5000021357527658E-2</c:v>
                </c:pt>
                <c:pt idx="4">
                  <c:v>2.0000001334835815E-2</c:v>
                </c:pt>
                <c:pt idx="5">
                  <c:v>2.9000005339298696E-2</c:v>
                </c:pt>
                <c:pt idx="6">
                  <c:v>-2.1000000000015007E-2</c:v>
                </c:pt>
                <c:pt idx="7">
                  <c:v>-2.2999994659926415E-2</c:v>
                </c:pt>
                <c:pt idx="8">
                  <c:v>-3.5999998664919985E-2</c:v>
                </c:pt>
                <c:pt idx="9">
                  <c:v>-2.3999994659902768E-2</c:v>
                </c:pt>
                <c:pt idx="10">
                  <c:v>-9.9998798555134272E-4</c:v>
                </c:pt>
                <c:pt idx="11">
                  <c:v>3.1000001334859917E-2</c:v>
                </c:pt>
                <c:pt idx="12">
                  <c:v>3.000000133482672E-2</c:v>
                </c:pt>
                <c:pt idx="13">
                  <c:v>1.8000001334883109E-2</c:v>
                </c:pt>
                <c:pt idx="14">
                  <c:v>-2.999999866494818E-2</c:v>
                </c:pt>
                <c:pt idx="15">
                  <c:v>-3.4999987984463132E-2</c:v>
                </c:pt>
              </c:numCache>
            </c:numRef>
          </c:val>
          <c:smooth val="0"/>
          <c:extLst>
            <c:ext xmlns:c16="http://schemas.microsoft.com/office/drawing/2014/chart" uri="{C3380CC4-5D6E-409C-BE32-E72D297353CC}">
              <c16:uniqueId val="{00000003-D9DE-4D27-BBD5-DE8BC2349DAC}"/>
            </c:ext>
          </c:extLst>
        </c:ser>
        <c:ser>
          <c:idx val="4"/>
          <c:order val="4"/>
          <c:tx>
            <c:strRef>
              <c:f>Summary!$BJ$4</c:f>
              <c:strCache>
                <c:ptCount val="1"/>
                <c:pt idx="0">
                  <c:v>239</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Summary!$BJ$10:$BJ$25</c:f>
              <c:numCache>
                <c:formatCode>0.000_ ;[Red]\-0.000\ </c:formatCode>
                <c:ptCount val="16"/>
                <c:pt idx="0">
                  <c:v>-3.8000000000010914E-2</c:v>
                </c:pt>
                <c:pt idx="1">
                  <c:v>-2.099996681971561E-2</c:v>
                </c:pt>
                <c:pt idx="2">
                  <c:v>-1.6000000000019554E-2</c:v>
                </c:pt>
                <c:pt idx="3">
                  <c:v>2.2000001327057817E-2</c:v>
                </c:pt>
                <c:pt idx="4">
                  <c:v>1.2000000000000455E-2</c:v>
                </c:pt>
                <c:pt idx="5">
                  <c:v>2.3000298588272017E-2</c:v>
                </c:pt>
                <c:pt idx="6">
                  <c:v>-3.1999998672745278E-2</c:v>
                </c:pt>
                <c:pt idx="7">
                  <c:v>-3.3999988054631558E-2</c:v>
                </c:pt>
                <c:pt idx="8">
                  <c:v>-4.5000000000015916E-2</c:v>
                </c:pt>
                <c:pt idx="9">
                  <c:v>-3.199996681871653E-2</c:v>
                </c:pt>
                <c:pt idx="10">
                  <c:v>-7.9999986728012118E-3</c:v>
                </c:pt>
                <c:pt idx="11">
                  <c:v>2.6000011943438039E-2</c:v>
                </c:pt>
                <c:pt idx="12">
                  <c:v>1.999999999998181E-2</c:v>
                </c:pt>
                <c:pt idx="13">
                  <c:v>1.8000001327095561E-2</c:v>
                </c:pt>
                <c:pt idx="14">
                  <c:v>-3.1999999999982265E-2</c:v>
                </c:pt>
                <c:pt idx="15">
                  <c:v>-4.199999999997317E-2</c:v>
                </c:pt>
              </c:numCache>
            </c:numRef>
          </c:val>
          <c:smooth val="0"/>
          <c:extLst>
            <c:ext xmlns:c16="http://schemas.microsoft.com/office/drawing/2014/chart" uri="{C3380CC4-5D6E-409C-BE32-E72D297353CC}">
              <c16:uniqueId val="{00000004-D9DE-4D27-BBD5-DE8BC2349DAC}"/>
            </c:ext>
          </c:extLst>
        </c:ser>
        <c:ser>
          <c:idx val="5"/>
          <c:order val="5"/>
          <c:tx>
            <c:strRef>
              <c:f>Summary!$BK$4</c:f>
              <c:strCache>
                <c:ptCount val="1"/>
                <c:pt idx="0">
                  <c:v>240</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Summary!$BK$10:$BK$25</c:f>
              <c:numCache>
                <c:formatCode>0.000_ ;[Red]\-0.000\ </c:formatCode>
                <c:ptCount val="16"/>
                <c:pt idx="0">
                  <c:v>-3.3999999999991815E-2</c:v>
                </c:pt>
                <c:pt idx="1">
                  <c:v>-8.9999987337705534E-3</c:v>
                </c:pt>
                <c:pt idx="2">
                  <c:v>0</c:v>
                </c:pt>
                <c:pt idx="3">
                  <c:v>1.7000005064346624E-2</c:v>
                </c:pt>
                <c:pt idx="4">
                  <c:v>1.0000000000047748E-2</c:v>
                </c:pt>
                <c:pt idx="5">
                  <c:v>1.4000005064417564E-2</c:v>
                </c:pt>
                <c:pt idx="6">
                  <c:v>-1.4999998733799202E-2</c:v>
                </c:pt>
                <c:pt idx="7">
                  <c:v>-1.9999998733737812E-2</c:v>
                </c:pt>
                <c:pt idx="8">
                  <c:v>-3.6000000000001364E-2</c:v>
                </c:pt>
                <c:pt idx="9">
                  <c:v>-2.5999979740333856E-2</c:v>
                </c:pt>
                <c:pt idx="10">
                  <c:v>-9.999994935299128E-3</c:v>
                </c:pt>
                <c:pt idx="11">
                  <c:v>3.5000011394345165E-2</c:v>
                </c:pt>
                <c:pt idx="12">
                  <c:v>3.0000000000029559E-2</c:v>
                </c:pt>
                <c:pt idx="13">
                  <c:v>1.1000000000024102E-2</c:v>
                </c:pt>
                <c:pt idx="14">
                  <c:v>-3.1999999999982265E-2</c:v>
                </c:pt>
                <c:pt idx="15">
                  <c:v>-4.2999998733648681E-2</c:v>
                </c:pt>
              </c:numCache>
            </c:numRef>
          </c:val>
          <c:smooth val="0"/>
          <c:extLst>
            <c:ext xmlns:c16="http://schemas.microsoft.com/office/drawing/2014/chart" uri="{C3380CC4-5D6E-409C-BE32-E72D297353CC}">
              <c16:uniqueId val="{00000005-D9DE-4D27-BBD5-DE8BC2349DAC}"/>
            </c:ext>
          </c:extLst>
        </c:ser>
        <c:ser>
          <c:idx val="6"/>
          <c:order val="6"/>
          <c:tx>
            <c:strRef>
              <c:f>Summary!$BL$4</c:f>
              <c:strCache>
                <c:ptCount val="1"/>
                <c:pt idx="0">
                  <c:v>241</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Summary!$BL$10:$BL$25</c:f>
              <c:numCache>
                <c:formatCode>0.000_ ;[Red]\-0.000\ </c:formatCode>
                <c:ptCount val="16"/>
                <c:pt idx="0">
                  <c:v>-1.4999998740165665E-2</c:v>
                </c:pt>
                <c:pt idx="1">
                  <c:v>4.0000050390176511E-3</c:v>
                </c:pt>
                <c:pt idx="2">
                  <c:v>9.0000012597784007E-3</c:v>
                </c:pt>
                <c:pt idx="3">
                  <c:v>2.9000045348198E-2</c:v>
                </c:pt>
                <c:pt idx="4">
                  <c:v>1.6000000000019554E-2</c:v>
                </c:pt>
                <c:pt idx="5">
                  <c:v>2.5000011337169781E-2</c:v>
                </c:pt>
                <c:pt idx="6">
                  <c:v>-7.9999999999813554E-3</c:v>
                </c:pt>
                <c:pt idx="7">
                  <c:v>-1.4999968504696426E-2</c:v>
                </c:pt>
                <c:pt idx="8">
                  <c:v>-2.799999874008563E-2</c:v>
                </c:pt>
                <c:pt idx="9">
                  <c:v>-1.2999988661704265E-2</c:v>
                </c:pt>
                <c:pt idx="10">
                  <c:v>-9.9999874021250434E-4</c:v>
                </c:pt>
                <c:pt idx="11">
                  <c:v>5.4000152410651481E-2</c:v>
                </c:pt>
                <c:pt idx="12">
                  <c:v>4.1000001259646979E-2</c:v>
                </c:pt>
                <c:pt idx="13">
                  <c:v>2.6000045348553158E-2</c:v>
                </c:pt>
                <c:pt idx="14">
                  <c:v>-1.6999998740175215E-2</c:v>
                </c:pt>
                <c:pt idx="15">
                  <c:v>-2.9999988661245425E-2</c:v>
                </c:pt>
              </c:numCache>
            </c:numRef>
          </c:val>
          <c:smooth val="0"/>
          <c:extLst>
            <c:ext xmlns:c16="http://schemas.microsoft.com/office/drawing/2014/chart" uri="{C3380CC4-5D6E-409C-BE32-E72D297353CC}">
              <c16:uniqueId val="{00000006-D9DE-4D27-BBD5-DE8BC2349DAC}"/>
            </c:ext>
          </c:extLst>
        </c:ser>
        <c:ser>
          <c:idx val="7"/>
          <c:order val="7"/>
          <c:tx>
            <c:strRef>
              <c:f>Summary!$BM$4</c:f>
              <c:strCache>
                <c:ptCount val="1"/>
                <c:pt idx="0">
                  <c:v>242</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Summary!$BM$10:$BM$25</c:f>
              <c:numCache>
                <c:formatCode>0.000_ ;[Red]\-0.000\ </c:formatCode>
                <c:ptCount val="16"/>
                <c:pt idx="0">
                  <c:v>-1.0999998766919816E-2</c:v>
                </c:pt>
                <c:pt idx="1">
                  <c:v>1.7000011096968137E-2</c:v>
                </c:pt>
                <c:pt idx="2">
                  <c:v>2.6999999999986812E-2</c:v>
                </c:pt>
                <c:pt idx="3">
                  <c:v>3.0000044386326863E-2</c:v>
                </c:pt>
                <c:pt idx="4">
                  <c:v>2.7000001232977411E-2</c:v>
                </c:pt>
                <c:pt idx="5">
                  <c:v>2.700000493183552E-2</c:v>
                </c:pt>
                <c:pt idx="6">
                  <c:v>1.0000001233038347E-2</c:v>
                </c:pt>
                <c:pt idx="7">
                  <c:v>1.0000049321661209E-3</c:v>
                </c:pt>
                <c:pt idx="8">
                  <c:v>-2.1999998766887074E-2</c:v>
                </c:pt>
                <c:pt idx="9">
                  <c:v>-1.3999969172800775E-2</c:v>
                </c:pt>
                <c:pt idx="10">
                  <c:v>1.1000004932100182E-2</c:v>
                </c:pt>
                <c:pt idx="11">
                  <c:v>5.7000000000016371E-2</c:v>
                </c:pt>
                <c:pt idx="12">
                  <c:v>5.8000001232869636E-2</c:v>
                </c:pt>
                <c:pt idx="13">
                  <c:v>2.8000011096651178E-2</c:v>
                </c:pt>
                <c:pt idx="14">
                  <c:v>-2.0999995067541022E-2</c:v>
                </c:pt>
                <c:pt idx="15">
                  <c:v>-2.6999988901820871E-2</c:v>
                </c:pt>
              </c:numCache>
            </c:numRef>
          </c:val>
          <c:smooth val="0"/>
          <c:extLst>
            <c:ext xmlns:c16="http://schemas.microsoft.com/office/drawing/2014/chart" uri="{C3380CC4-5D6E-409C-BE32-E72D297353CC}">
              <c16:uniqueId val="{00000007-D9DE-4D27-BBD5-DE8BC2349DAC}"/>
            </c:ext>
          </c:extLst>
        </c:ser>
        <c:ser>
          <c:idx val="8"/>
          <c:order val="8"/>
          <c:tx>
            <c:strRef>
              <c:f>Summary!$BN$4</c:f>
              <c:strCache>
                <c:ptCount val="1"/>
                <c:pt idx="0">
                  <c:v>243</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Summary!$BN$10:$BN$25</c:f>
              <c:numCache>
                <c:formatCode>0.000_ ;[Red]\-0.000\ </c:formatCode>
                <c:ptCount val="16"/>
                <c:pt idx="0">
                  <c:v>-1.999999999998181E-2</c:v>
                </c:pt>
                <c:pt idx="1">
                  <c:v>7.0000196315618268E-3</c:v>
                </c:pt>
                <c:pt idx="2">
                  <c:v>1.4999999999986358E-2</c:v>
                </c:pt>
                <c:pt idx="3">
                  <c:v>2.4000030672993944E-2</c:v>
                </c:pt>
                <c:pt idx="4">
                  <c:v>1.799999999997226E-2</c:v>
                </c:pt>
                <c:pt idx="5">
                  <c:v>1.9000001226970653E-2</c:v>
                </c:pt>
                <c:pt idx="6">
                  <c:v>-1.999995091978235E-3</c:v>
                </c:pt>
                <c:pt idx="7">
                  <c:v>-1.6999685876442072E-2</c:v>
                </c:pt>
                <c:pt idx="8">
                  <c:v>-2.9999999999972715E-2</c:v>
                </c:pt>
                <c:pt idx="9">
                  <c:v>-2.099998895647559E-2</c:v>
                </c:pt>
                <c:pt idx="10">
                  <c:v>1.0000012269983927E-3</c:v>
                </c:pt>
                <c:pt idx="11">
                  <c:v>5.2000030670910746E-2</c:v>
                </c:pt>
                <c:pt idx="12">
                  <c:v>4.5999999999992269E-2</c:v>
                </c:pt>
                <c:pt idx="13">
                  <c:v>2.0000001226890163E-2</c:v>
                </c:pt>
                <c:pt idx="14">
                  <c:v>-2.8999998772917479E-2</c:v>
                </c:pt>
                <c:pt idx="15">
                  <c:v>-3.6999939871861898E-2</c:v>
                </c:pt>
              </c:numCache>
            </c:numRef>
          </c:val>
          <c:smooth val="0"/>
          <c:extLst>
            <c:ext xmlns:c16="http://schemas.microsoft.com/office/drawing/2014/chart" uri="{C3380CC4-5D6E-409C-BE32-E72D297353CC}">
              <c16:uniqueId val="{00000008-D9DE-4D27-BBD5-DE8BC2349DAC}"/>
            </c:ext>
          </c:extLst>
        </c:ser>
        <c:ser>
          <c:idx val="9"/>
          <c:order val="9"/>
          <c:tx>
            <c:strRef>
              <c:f>Summary!$BO$4</c:f>
              <c:strCache>
                <c:ptCount val="1"/>
                <c:pt idx="0">
                  <c:v>244</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Summary!$BO$10:$BO$25</c:f>
              <c:numCache>
                <c:formatCode>0.000_ ;[Red]\-0.000\ </c:formatCode>
                <c:ptCount val="16"/>
                <c:pt idx="0">
                  <c:v>-3.6000000000001364E-2</c:v>
                </c:pt>
                <c:pt idx="1">
                  <c:v>7.6683420502376975E-8</c:v>
                </c:pt>
                <c:pt idx="2">
                  <c:v>8.0000011981269381E-3</c:v>
                </c:pt>
                <c:pt idx="3">
                  <c:v>-4.9999952072425913E-3</c:v>
                </c:pt>
                <c:pt idx="4">
                  <c:v>-2.0000000000095497E-3</c:v>
                </c:pt>
                <c:pt idx="5">
                  <c:v>9.0000000000145519E-3</c:v>
                </c:pt>
                <c:pt idx="6">
                  <c:v>-5.9999988018262229E-3</c:v>
                </c:pt>
                <c:pt idx="7">
                  <c:v>-1.0999970044792917E-2</c:v>
                </c:pt>
                <c:pt idx="8">
                  <c:v>-4.0999999999996817E-2</c:v>
                </c:pt>
                <c:pt idx="9">
                  <c:v>-5.5999902934445345E-2</c:v>
                </c:pt>
                <c:pt idx="10">
                  <c:v>-1.9999998801779384E-2</c:v>
                </c:pt>
                <c:pt idx="11">
                  <c:v>4.0999999999996817E-2</c:v>
                </c:pt>
                <c:pt idx="12">
                  <c:v>4.5999999999992269E-2</c:v>
                </c:pt>
                <c:pt idx="13">
                  <c:v>-3.9999988018166732E-3</c:v>
                </c:pt>
                <c:pt idx="14">
                  <c:v>-6.7000000000007276E-2</c:v>
                </c:pt>
                <c:pt idx="15">
                  <c:v>-8.1999995206331278E-2</c:v>
                </c:pt>
              </c:numCache>
            </c:numRef>
          </c:val>
          <c:smooth val="0"/>
          <c:extLst>
            <c:ext xmlns:c16="http://schemas.microsoft.com/office/drawing/2014/chart" uri="{C3380CC4-5D6E-409C-BE32-E72D297353CC}">
              <c16:uniqueId val="{00000009-D9DE-4D27-BBD5-DE8BC2349DAC}"/>
            </c:ext>
          </c:extLst>
        </c:ser>
        <c:ser>
          <c:idx val="10"/>
          <c:order val="10"/>
          <c:tx>
            <c:strRef>
              <c:f>Summary!$BP$4</c:f>
              <c:strCache>
                <c:ptCount val="1"/>
                <c:pt idx="0">
                  <c:v>245</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Summary!$BP$10:$BP$25</c:f>
              <c:numCache>
                <c:formatCode>0.000_ ;[Red]\-0.000\ </c:formatCode>
                <c:ptCount val="16"/>
                <c:pt idx="0">
                  <c:v>1.4999999999986358E-2</c:v>
                </c:pt>
                <c:pt idx="1">
                  <c:v>#N/A</c:v>
                </c:pt>
                <c:pt idx="2">
                  <c:v>9.9999999999909051E-3</c:v>
                </c:pt>
                <c:pt idx="3">
                  <c:v>#N/A</c:v>
                </c:pt>
                <c:pt idx="4">
                  <c:v>1.999999999998181E-2</c:v>
                </c:pt>
                <c:pt idx="5">
                  <c:v>#N/A</c:v>
                </c:pt>
                <c:pt idx="6">
                  <c:v>1.999999999998181E-2</c:v>
                </c:pt>
                <c:pt idx="7">
                  <c:v>#N/A</c:v>
                </c:pt>
                <c:pt idx="8">
                  <c:v>1.4999999999986358E-2</c:v>
                </c:pt>
                <c:pt idx="9">
                  <c:v>#N/A</c:v>
                </c:pt>
                <c:pt idx="10">
                  <c:v>9.9999999999909051E-3</c:v>
                </c:pt>
                <c:pt idx="11">
                  <c:v>#N/A</c:v>
                </c:pt>
                <c:pt idx="12">
                  <c:v>1.999999999998181E-2</c:v>
                </c:pt>
                <c:pt idx="13">
                  <c:v>#N/A</c:v>
                </c:pt>
                <c:pt idx="14">
                  <c:v>1.999999999998181E-2</c:v>
                </c:pt>
                <c:pt idx="15">
                  <c:v>#N/A</c:v>
                </c:pt>
              </c:numCache>
            </c:numRef>
          </c:val>
          <c:smooth val="0"/>
          <c:extLst>
            <c:ext xmlns:c16="http://schemas.microsoft.com/office/drawing/2014/chart" uri="{C3380CC4-5D6E-409C-BE32-E72D297353CC}">
              <c16:uniqueId val="{0000000A-D9DE-4D27-BBD5-DE8BC2349DAC}"/>
            </c:ext>
          </c:extLst>
        </c:ser>
        <c:ser>
          <c:idx val="11"/>
          <c:order val="11"/>
          <c:tx>
            <c:strRef>
              <c:f>Summary!$BQ$4</c:f>
              <c:strCache>
                <c:ptCount val="1"/>
                <c:pt idx="0">
                  <c:v>246</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Summary!$BQ$10:$BQ$25</c:f>
              <c:numCache>
                <c:formatCode>0.000_ ;[Red]\-0.000\ </c:formatCode>
                <c:ptCount val="16"/>
                <c:pt idx="0">
                  <c:v>-2.5999998802660684E-2</c:v>
                </c:pt>
                <c:pt idx="1">
                  <c:v>1.2000001197122856E-2</c:v>
                </c:pt>
                <c:pt idx="2">
                  <c:v>1.30000047885801E-2</c:v>
                </c:pt>
                <c:pt idx="3">
                  <c:v>-1.3999980844516813E-2</c:v>
                </c:pt>
                <c:pt idx="4">
                  <c:v>-1.299999880274072E-2</c:v>
                </c:pt>
                <c:pt idx="5">
                  <c:v>8.0000011971606E-3</c:v>
                </c:pt>
                <c:pt idx="6">
                  <c:v>-7.9999988028021107E-3</c:v>
                </c:pt>
                <c:pt idx="7">
                  <c:v>-9.9999999997635314E-4</c:v>
                </c:pt>
                <c:pt idx="8">
                  <c:v>-4.3999998802689788E-2</c:v>
                </c:pt>
                <c:pt idx="9">
                  <c:v>-7.8999797639141889E-2</c:v>
                </c:pt>
                <c:pt idx="10">
                  <c:v>-2.5999998802660684E-2</c:v>
                </c:pt>
                <c:pt idx="11">
                  <c:v>5.8000004788084425E-2</c:v>
                </c:pt>
                <c:pt idx="12">
                  <c:v>6.0000001197010988E-2</c:v>
                </c:pt>
                <c:pt idx="13">
                  <c:v>4.0000000000190994E-3</c:v>
                </c:pt>
                <c:pt idx="14">
                  <c:v>-8.9999998802511527E-2</c:v>
                </c:pt>
                <c:pt idx="15">
                  <c:v>-8.999998922308805E-2</c:v>
                </c:pt>
              </c:numCache>
            </c:numRef>
          </c:val>
          <c:smooth val="0"/>
          <c:extLst>
            <c:ext xmlns:c16="http://schemas.microsoft.com/office/drawing/2014/chart" uri="{C3380CC4-5D6E-409C-BE32-E72D297353CC}">
              <c16:uniqueId val="{0000000B-D9DE-4D27-BBD5-DE8BC2349DAC}"/>
            </c:ext>
          </c:extLst>
        </c:ser>
        <c:ser>
          <c:idx val="12"/>
          <c:order val="12"/>
          <c:tx>
            <c:strRef>
              <c:f>Summary!$BR$4</c:f>
              <c:strCache>
                <c:ptCount val="1"/>
                <c:pt idx="0">
                  <c:v>247</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Summary!$BR$10:$BR$25</c:f>
              <c:numCache>
                <c:formatCode>0.000_ ;[Red]\-0.000\ </c:formatCode>
                <c:ptCount val="16"/>
                <c:pt idx="0">
                  <c:v>-2.7000000000043656E-2</c:v>
                </c:pt>
                <c:pt idx="1">
                  <c:v>1.1000004769130101E-2</c:v>
                </c:pt>
                <c:pt idx="2">
                  <c:v>1.5000001192277068E-2</c:v>
                </c:pt>
                <c:pt idx="3">
                  <c:v>-1.2000000000000455E-2</c:v>
                </c:pt>
                <c:pt idx="4">
                  <c:v>-7.0000000000050022E-3</c:v>
                </c:pt>
                <c:pt idx="5">
                  <c:v>9.9999999999909051E-3</c:v>
                </c:pt>
                <c:pt idx="6">
                  <c:v>-8.9999952306243358E-3</c:v>
                </c:pt>
                <c:pt idx="7">
                  <c:v>-2.9999892690284469E-3</c:v>
                </c:pt>
                <c:pt idx="8">
                  <c:v>-4.2000000000030013E-2</c:v>
                </c:pt>
                <c:pt idx="9">
                  <c:v>-7.0999998807508291E-2</c:v>
                </c:pt>
                <c:pt idx="10">
                  <c:v>-2.7000000000043656E-2</c:v>
                </c:pt>
                <c:pt idx="11">
                  <c:v>5.4000001192150648E-2</c:v>
                </c:pt>
                <c:pt idx="12">
                  <c:v>6.7999999999983629E-2</c:v>
                </c:pt>
                <c:pt idx="13">
                  <c:v>4.00000119230981E-3</c:v>
                </c:pt>
                <c:pt idx="14">
                  <c:v>-7.8000000000031378E-2</c:v>
                </c:pt>
                <c:pt idx="15">
                  <c:v>-8.0999998807442353E-2</c:v>
                </c:pt>
              </c:numCache>
            </c:numRef>
          </c:val>
          <c:smooth val="0"/>
          <c:extLst>
            <c:ext xmlns:c16="http://schemas.microsoft.com/office/drawing/2014/chart" uri="{C3380CC4-5D6E-409C-BE32-E72D297353CC}">
              <c16:uniqueId val="{0000000C-D9DE-4D27-BBD5-DE8BC2349DAC}"/>
            </c:ext>
          </c:extLst>
        </c:ser>
        <c:ser>
          <c:idx val="13"/>
          <c:order val="13"/>
          <c:tx>
            <c:strRef>
              <c:f>Summary!$BS$4</c:f>
              <c:strCache>
                <c:ptCount val="1"/>
                <c:pt idx="0">
                  <c:v>248</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Summary!$BS$10:$BS$25</c:f>
              <c:numCache>
                <c:formatCode>0.000_ ;[Red]\-0.000\ </c:formatCode>
                <c:ptCount val="16"/>
                <c:pt idx="0">
                  <c:v>-3.9999988081262927E-3</c:v>
                </c:pt>
                <c:pt idx="1">
                  <c:v>3.4000201413959985E-2</c:v>
                </c:pt>
                <c:pt idx="2">
                  <c:v>3.8000000000010914E-2</c:v>
                </c:pt>
                <c:pt idx="3">
                  <c:v>-1.7999880805348312E-2</c:v>
                </c:pt>
                <c:pt idx="4">
                  <c:v>-5.9999999999718057E-3</c:v>
                </c:pt>
                <c:pt idx="5">
                  <c:v>9.0000965414560596E-3</c:v>
                </c:pt>
                <c:pt idx="6">
                  <c:v>4.0000011919119061E-3</c:v>
                </c:pt>
                <c:pt idx="7">
                  <c:v>1.4000042906843646E-2</c:v>
                </c:pt>
                <c:pt idx="8">
                  <c:v>-3.3999999999991815E-2</c:v>
                </c:pt>
                <c:pt idx="9">
                  <c:v>-7.6999957083899062E-2</c:v>
                </c:pt>
                <c:pt idx="10">
                  <c:v>-1.1000000000024102E-2</c:v>
                </c:pt>
                <c:pt idx="11">
                  <c:v>7.9999999999984084E-2</c:v>
                </c:pt>
                <c:pt idx="12">
                  <c:v>9.8000001191621777E-2</c:v>
                </c:pt>
                <c:pt idx="13">
                  <c:v>1.1000004767481641E-2</c:v>
                </c:pt>
                <c:pt idx="14">
                  <c:v>-8.4999999999979536E-2</c:v>
                </c:pt>
                <c:pt idx="15">
                  <c:v>-7.1999655483239167E-2</c:v>
                </c:pt>
              </c:numCache>
            </c:numRef>
          </c:val>
          <c:smooth val="0"/>
          <c:extLst>
            <c:ext xmlns:c16="http://schemas.microsoft.com/office/drawing/2014/chart" uri="{C3380CC4-5D6E-409C-BE32-E72D297353CC}">
              <c16:uniqueId val="{0000000D-D9DE-4D27-BBD5-DE8BC2349DAC}"/>
            </c:ext>
          </c:extLst>
        </c:ser>
        <c:ser>
          <c:idx val="14"/>
          <c:order val="14"/>
          <c:tx>
            <c:strRef>
              <c:f>Summary!$BT$4</c:f>
              <c:strCache>
                <c:ptCount val="1"/>
                <c:pt idx="0">
                  <c:v>Dwg Min</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Summary!$BT$10:$BT$25</c:f>
              <c:numCache>
                <c:formatCode>General</c:formatCode>
                <c:ptCount val="16"/>
                <c:pt idx="0">
                  <c:v>-3.2000000000000001E-2</c:v>
                </c:pt>
                <c:pt idx="1">
                  <c:v>-3.2000000000000001E-2</c:v>
                </c:pt>
                <c:pt idx="2">
                  <c:v>-3.2000000000000001E-2</c:v>
                </c:pt>
                <c:pt idx="3">
                  <c:v>-3.2000000000000001E-2</c:v>
                </c:pt>
                <c:pt idx="4">
                  <c:v>-3.2000000000000001E-2</c:v>
                </c:pt>
                <c:pt idx="5">
                  <c:v>-3.2000000000000001E-2</c:v>
                </c:pt>
                <c:pt idx="6">
                  <c:v>-3.2000000000000001E-2</c:v>
                </c:pt>
                <c:pt idx="7">
                  <c:v>-3.2000000000000001E-2</c:v>
                </c:pt>
                <c:pt idx="8">
                  <c:v>-3.2000000000000001E-2</c:v>
                </c:pt>
                <c:pt idx="9">
                  <c:v>-3.2000000000000001E-2</c:v>
                </c:pt>
                <c:pt idx="10">
                  <c:v>-3.2000000000000001E-2</c:v>
                </c:pt>
                <c:pt idx="11">
                  <c:v>-3.2000000000000001E-2</c:v>
                </c:pt>
                <c:pt idx="12">
                  <c:v>-3.2000000000000001E-2</c:v>
                </c:pt>
                <c:pt idx="13">
                  <c:v>-3.2000000000000001E-2</c:v>
                </c:pt>
                <c:pt idx="14">
                  <c:v>-3.2000000000000001E-2</c:v>
                </c:pt>
                <c:pt idx="15">
                  <c:v>-3.2000000000000001E-2</c:v>
                </c:pt>
              </c:numCache>
            </c:numRef>
          </c:val>
          <c:smooth val="0"/>
          <c:extLst>
            <c:ext xmlns:c16="http://schemas.microsoft.com/office/drawing/2014/chart" uri="{C3380CC4-5D6E-409C-BE32-E72D297353CC}">
              <c16:uniqueId val="{0000000E-D9DE-4D27-BBD5-DE8BC2349DAC}"/>
            </c:ext>
          </c:extLst>
        </c:ser>
        <c:ser>
          <c:idx val="15"/>
          <c:order val="15"/>
          <c:tx>
            <c:strRef>
              <c:f>Summary!$BU$4</c:f>
              <c:strCache>
                <c:ptCount val="1"/>
                <c:pt idx="0">
                  <c:v>Dwg Max</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Summary!$BU$10:$BU$25</c:f>
              <c:numCache>
                <c:formatCode>General</c:formatCode>
                <c:ptCount val="16"/>
                <c:pt idx="0">
                  <c:v>3.2000000000000001E-2</c:v>
                </c:pt>
                <c:pt idx="1">
                  <c:v>3.2000000000000001E-2</c:v>
                </c:pt>
                <c:pt idx="2">
                  <c:v>3.2000000000000001E-2</c:v>
                </c:pt>
                <c:pt idx="3">
                  <c:v>3.2000000000000001E-2</c:v>
                </c:pt>
                <c:pt idx="4">
                  <c:v>3.2000000000000001E-2</c:v>
                </c:pt>
                <c:pt idx="5">
                  <c:v>3.2000000000000001E-2</c:v>
                </c:pt>
                <c:pt idx="6">
                  <c:v>3.2000000000000001E-2</c:v>
                </c:pt>
                <c:pt idx="7">
                  <c:v>3.2000000000000001E-2</c:v>
                </c:pt>
                <c:pt idx="8">
                  <c:v>3.2000000000000001E-2</c:v>
                </c:pt>
                <c:pt idx="9">
                  <c:v>3.2000000000000001E-2</c:v>
                </c:pt>
                <c:pt idx="10">
                  <c:v>3.2000000000000001E-2</c:v>
                </c:pt>
                <c:pt idx="11">
                  <c:v>3.2000000000000001E-2</c:v>
                </c:pt>
                <c:pt idx="12">
                  <c:v>3.2000000000000001E-2</c:v>
                </c:pt>
                <c:pt idx="13">
                  <c:v>3.2000000000000001E-2</c:v>
                </c:pt>
                <c:pt idx="14">
                  <c:v>3.2000000000000001E-2</c:v>
                </c:pt>
                <c:pt idx="15">
                  <c:v>3.2000000000000001E-2</c:v>
                </c:pt>
              </c:numCache>
            </c:numRef>
          </c:val>
          <c:smooth val="0"/>
          <c:extLst>
            <c:ext xmlns:c16="http://schemas.microsoft.com/office/drawing/2014/chart" uri="{C3380CC4-5D6E-409C-BE32-E72D297353CC}">
              <c16:uniqueId val="{0000000F-D9DE-4D27-BBD5-DE8BC2349DAC}"/>
            </c:ext>
          </c:extLst>
        </c:ser>
        <c:dLbls>
          <c:showLegendKey val="0"/>
          <c:showVal val="0"/>
          <c:showCatName val="0"/>
          <c:showSerName val="0"/>
          <c:showPercent val="0"/>
          <c:showBubbleSize val="0"/>
        </c:dLbls>
        <c:marker val="1"/>
        <c:smooth val="0"/>
        <c:axId val="178717184"/>
        <c:axId val="5262144"/>
      </c:lineChart>
      <c:catAx>
        <c:axId val="17871718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5262144"/>
        <c:crosses val="autoZero"/>
        <c:auto val="1"/>
        <c:lblAlgn val="ctr"/>
        <c:lblOffset val="100"/>
        <c:noMultiLvlLbl val="0"/>
      </c:catAx>
      <c:valAx>
        <c:axId val="5262144"/>
        <c:scaling>
          <c:orientation val="minMax"/>
          <c:max val="0.2"/>
          <c:min val="-0.2"/>
        </c:scaling>
        <c:delete val="0"/>
        <c:axPos val="l"/>
        <c:majorGridlines/>
        <c:minorGridlines/>
        <c:numFmt formatCode="0.000_ ;[Red]\-0.000\ " sourceLinked="1"/>
        <c:majorTickMark val="cross"/>
        <c:minorTickMark val="none"/>
        <c:tickLblPos val="nextTo"/>
        <c:txPr>
          <a:bodyPr/>
          <a:lstStyle/>
          <a:p>
            <a:pPr>
              <a:defRPr lang="ja-JP"/>
            </a:pPr>
            <a:endParaRPr lang="en-US"/>
          </a:p>
        </c:txPr>
        <c:crossAx val="178717184"/>
        <c:crosses val="autoZero"/>
        <c:crossBetween val="between"/>
        <c:minorUnit val="5.000000000000001E-3"/>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Summary!$BF$4</c:f>
              <c:strCache>
                <c:ptCount val="1"/>
                <c:pt idx="0">
                  <c:v>105</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Summary!$BF$10:$BF$25</c:f>
              <c:numCache>
                <c:formatCode>0.000_ ;[Red]\-0.000\ </c:formatCode>
                <c:ptCount val="16"/>
                <c:pt idx="0">
                  <c:v>-0.14100000000001955</c:v>
                </c:pt>
                <c:pt idx="1">
                  <c:v>-0.12499998736575435</c:v>
                </c:pt>
                <c:pt idx="2">
                  <c:v>-3.4999998596560999E-2</c:v>
                </c:pt>
                <c:pt idx="3">
                  <c:v>5.6000001403049282E-2</c:v>
                </c:pt>
                <c:pt idx="4">
                  <c:v>7.4999999999988631E-2</c:v>
                </c:pt>
                <c:pt idx="5">
                  <c:v>4.199999999997317E-2</c:v>
                </c:pt>
                <c:pt idx="6">
                  <c:v>-2.199999438641953E-2</c:v>
                </c:pt>
                <c:pt idx="7">
                  <c:v>-6.0000000000002274E-2</c:v>
                </c:pt>
                <c:pt idx="8">
                  <c:v>-5.0999999999987722E-2</c:v>
                </c:pt>
                <c:pt idx="9">
                  <c:v>-2.0000000000095497E-3</c:v>
                </c:pt>
                <c:pt idx="10">
                  <c:v>2.1000001403251645E-2</c:v>
                </c:pt>
                <c:pt idx="11">
                  <c:v>6.0000056131457313E-3</c:v>
                </c:pt>
                <c:pt idx="12">
                  <c:v>4.9999999999954525E-3</c:v>
                </c:pt>
                <c:pt idx="13">
                  <c:v>2.7999999999963165E-2</c:v>
                </c:pt>
                <c:pt idx="14">
                  <c:v>9.9999999999909051E-3</c:v>
                </c:pt>
                <c:pt idx="15">
                  <c:v>-6.4999998596420028E-2</c:v>
                </c:pt>
              </c:numCache>
            </c:numRef>
          </c:val>
          <c:extLst>
            <c:ext xmlns:c16="http://schemas.microsoft.com/office/drawing/2014/chart" uri="{C3380CC4-5D6E-409C-BE32-E72D297353CC}">
              <c16:uniqueId val="{00000000-742A-4DBA-B706-D68A9CBAE0A4}"/>
            </c:ext>
          </c:extLst>
        </c:ser>
        <c:ser>
          <c:idx val="1"/>
          <c:order val="1"/>
          <c:tx>
            <c:strRef>
              <c:f>Summary!$BG$4</c:f>
              <c:strCache>
                <c:ptCount val="1"/>
                <c:pt idx="0">
                  <c:v>236</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Summary!$BG$10:$BG$25</c:f>
              <c:numCache>
                <c:formatCode>0.000_ ;[Red]\-0.000\ </c:formatCode>
                <c:ptCount val="16"/>
                <c:pt idx="0">
                  <c:v>-3.3999999999991815E-2</c:v>
                </c:pt>
                <c:pt idx="1">
                  <c:v>-2.3999949913218188E-2</c:v>
                </c:pt>
                <c:pt idx="2">
                  <c:v>-2.0999998608658643E-2</c:v>
                </c:pt>
                <c:pt idx="3">
                  <c:v>1.6000001391148544E-2</c:v>
                </c:pt>
                <c:pt idx="4">
                  <c:v>1.5000000000043201E-2</c:v>
                </c:pt>
                <c:pt idx="5">
                  <c:v>1.6000005564592357E-2</c:v>
                </c:pt>
                <c:pt idx="6">
                  <c:v>-4.1999998608616806E-2</c:v>
                </c:pt>
                <c:pt idx="7">
                  <c:v>-4.9999994434358541E-2</c:v>
                </c:pt>
                <c:pt idx="8">
                  <c:v>-5.2999999999997272E-2</c:v>
                </c:pt>
                <c:pt idx="9">
                  <c:v>-2.2999987478328876E-2</c:v>
                </c:pt>
                <c:pt idx="10">
                  <c:v>-7.9999986087386787E-3</c:v>
                </c:pt>
                <c:pt idx="11">
                  <c:v>2.3000005564483672E-2</c:v>
                </c:pt>
                <c:pt idx="12">
                  <c:v>8.0000000000381988E-3</c:v>
                </c:pt>
                <c:pt idx="13">
                  <c:v>9.0000222588173528E-3</c:v>
                </c:pt>
                <c:pt idx="14">
                  <c:v>-3.1999998608682745E-2</c:v>
                </c:pt>
                <c:pt idx="15">
                  <c:v>-4.299999860859316E-2</c:v>
                </c:pt>
              </c:numCache>
            </c:numRef>
          </c:val>
          <c:extLst>
            <c:ext xmlns:c16="http://schemas.microsoft.com/office/drawing/2014/chart" uri="{C3380CC4-5D6E-409C-BE32-E72D297353CC}">
              <c16:uniqueId val="{00000001-742A-4DBA-B706-D68A9CBAE0A4}"/>
            </c:ext>
          </c:extLst>
        </c:ser>
        <c:ser>
          <c:idx val="2"/>
          <c:order val="2"/>
          <c:tx>
            <c:strRef>
              <c:f>Summary!$BH$4</c:f>
              <c:strCache>
                <c:ptCount val="1"/>
                <c:pt idx="0">
                  <c:v>237</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Summary!$BH$10:$BH$25</c:f>
              <c:numCache>
                <c:formatCode>0.000_ ;[Red]\-0.000\ </c:formatCode>
                <c:ptCount val="16"/>
                <c:pt idx="0">
                  <c:v>-1.6999998616427092E-2</c:v>
                </c:pt>
                <c:pt idx="1">
                  <c:v>-9.9999778632309244E-3</c:v>
                </c:pt>
                <c:pt idx="2">
                  <c:v>-1.0999999999967258E-2</c:v>
                </c:pt>
                <c:pt idx="3">
                  <c:v>3.0000049802197282E-2</c:v>
                </c:pt>
                <c:pt idx="4">
                  <c:v>2.3000001383422841E-2</c:v>
                </c:pt>
                <c:pt idx="5">
                  <c:v>3.3000022134160645E-2</c:v>
                </c:pt>
                <c:pt idx="6">
                  <c:v>-2.6999998616361154E-2</c:v>
                </c:pt>
                <c:pt idx="7">
                  <c:v>-3.8999987547072124E-2</c:v>
                </c:pt>
                <c:pt idx="8">
                  <c:v>-4.0999998616314315E-2</c:v>
                </c:pt>
                <c:pt idx="9">
                  <c:v>-1.3999987547890669E-2</c:v>
                </c:pt>
                <c:pt idx="10">
                  <c:v>1.0000055340242398E-3</c:v>
                </c:pt>
                <c:pt idx="11">
                  <c:v>3.7000167387475358E-2</c:v>
                </c:pt>
                <c:pt idx="12">
                  <c:v>2.3000001383422841E-2</c:v>
                </c:pt>
                <c:pt idx="13">
                  <c:v>2.6000000000010459E-2</c:v>
                </c:pt>
                <c:pt idx="14">
                  <c:v>-1.9999987547748788E-2</c:v>
                </c:pt>
                <c:pt idx="15">
                  <c:v>-2.6999998616361154E-2</c:v>
                </c:pt>
              </c:numCache>
            </c:numRef>
          </c:val>
          <c:extLst>
            <c:ext xmlns:c16="http://schemas.microsoft.com/office/drawing/2014/chart" uri="{C3380CC4-5D6E-409C-BE32-E72D297353CC}">
              <c16:uniqueId val="{00000002-742A-4DBA-B706-D68A9CBAE0A4}"/>
            </c:ext>
          </c:extLst>
        </c:ser>
        <c:ser>
          <c:idx val="3"/>
          <c:order val="3"/>
          <c:tx>
            <c:strRef>
              <c:f>Summary!$BI$4</c:f>
              <c:strCache>
                <c:ptCount val="1"/>
                <c:pt idx="0">
                  <c:v>238</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Summary!$BI$10:$BI$25</c:f>
              <c:numCache>
                <c:formatCode>0.000_ ;[Red]\-0.000\ </c:formatCode>
                <c:ptCount val="16"/>
                <c:pt idx="0">
                  <c:v>-3.4999998664943632E-2</c:v>
                </c:pt>
                <c:pt idx="1">
                  <c:v>-1.199998798517754E-2</c:v>
                </c:pt>
                <c:pt idx="2">
                  <c:v>-9.9999999999909051E-3</c:v>
                </c:pt>
                <c:pt idx="3">
                  <c:v>2.5000021357527658E-2</c:v>
                </c:pt>
                <c:pt idx="4">
                  <c:v>2.0000001334835815E-2</c:v>
                </c:pt>
                <c:pt idx="5">
                  <c:v>2.9000005339298696E-2</c:v>
                </c:pt>
                <c:pt idx="6">
                  <c:v>-2.1000000000015007E-2</c:v>
                </c:pt>
                <c:pt idx="7">
                  <c:v>-2.2999994659926415E-2</c:v>
                </c:pt>
                <c:pt idx="8">
                  <c:v>-3.5999998664919985E-2</c:v>
                </c:pt>
                <c:pt idx="9">
                  <c:v>-2.3999994659902768E-2</c:v>
                </c:pt>
                <c:pt idx="10">
                  <c:v>-9.9998798555134272E-4</c:v>
                </c:pt>
                <c:pt idx="11">
                  <c:v>3.1000001334859917E-2</c:v>
                </c:pt>
                <c:pt idx="12">
                  <c:v>3.000000133482672E-2</c:v>
                </c:pt>
                <c:pt idx="13">
                  <c:v>1.8000001334883109E-2</c:v>
                </c:pt>
                <c:pt idx="14">
                  <c:v>-2.999999866494818E-2</c:v>
                </c:pt>
                <c:pt idx="15">
                  <c:v>-3.4999987984463132E-2</c:v>
                </c:pt>
              </c:numCache>
            </c:numRef>
          </c:val>
          <c:extLst>
            <c:ext xmlns:c16="http://schemas.microsoft.com/office/drawing/2014/chart" uri="{C3380CC4-5D6E-409C-BE32-E72D297353CC}">
              <c16:uniqueId val="{00000003-742A-4DBA-B706-D68A9CBAE0A4}"/>
            </c:ext>
          </c:extLst>
        </c:ser>
        <c:ser>
          <c:idx val="4"/>
          <c:order val="4"/>
          <c:tx>
            <c:strRef>
              <c:f>Summary!$BJ$4</c:f>
              <c:strCache>
                <c:ptCount val="1"/>
                <c:pt idx="0">
                  <c:v>239</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Summary!$BJ$10:$BJ$25</c:f>
              <c:numCache>
                <c:formatCode>0.000_ ;[Red]\-0.000\ </c:formatCode>
                <c:ptCount val="16"/>
                <c:pt idx="0">
                  <c:v>-3.8000000000010914E-2</c:v>
                </c:pt>
                <c:pt idx="1">
                  <c:v>-2.099996681971561E-2</c:v>
                </c:pt>
                <c:pt idx="2">
                  <c:v>-1.6000000000019554E-2</c:v>
                </c:pt>
                <c:pt idx="3">
                  <c:v>2.2000001327057817E-2</c:v>
                </c:pt>
                <c:pt idx="4">
                  <c:v>1.2000000000000455E-2</c:v>
                </c:pt>
                <c:pt idx="5">
                  <c:v>2.3000298588272017E-2</c:v>
                </c:pt>
                <c:pt idx="6">
                  <c:v>-3.1999998672745278E-2</c:v>
                </c:pt>
                <c:pt idx="7">
                  <c:v>-3.3999988054631558E-2</c:v>
                </c:pt>
                <c:pt idx="8">
                  <c:v>-4.5000000000015916E-2</c:v>
                </c:pt>
                <c:pt idx="9">
                  <c:v>-3.199996681871653E-2</c:v>
                </c:pt>
                <c:pt idx="10">
                  <c:v>-7.9999986728012118E-3</c:v>
                </c:pt>
                <c:pt idx="11">
                  <c:v>2.6000011943438039E-2</c:v>
                </c:pt>
                <c:pt idx="12">
                  <c:v>1.999999999998181E-2</c:v>
                </c:pt>
                <c:pt idx="13">
                  <c:v>1.8000001327095561E-2</c:v>
                </c:pt>
                <c:pt idx="14">
                  <c:v>-3.1999999999982265E-2</c:v>
                </c:pt>
                <c:pt idx="15">
                  <c:v>-4.199999999997317E-2</c:v>
                </c:pt>
              </c:numCache>
            </c:numRef>
          </c:val>
          <c:extLst>
            <c:ext xmlns:c16="http://schemas.microsoft.com/office/drawing/2014/chart" uri="{C3380CC4-5D6E-409C-BE32-E72D297353CC}">
              <c16:uniqueId val="{00000004-742A-4DBA-B706-D68A9CBAE0A4}"/>
            </c:ext>
          </c:extLst>
        </c:ser>
        <c:ser>
          <c:idx val="5"/>
          <c:order val="5"/>
          <c:tx>
            <c:strRef>
              <c:f>Summary!$BK$4</c:f>
              <c:strCache>
                <c:ptCount val="1"/>
                <c:pt idx="0">
                  <c:v>240</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Summary!$BK$10:$BK$25</c:f>
              <c:numCache>
                <c:formatCode>0.000_ ;[Red]\-0.000\ </c:formatCode>
                <c:ptCount val="16"/>
                <c:pt idx="0">
                  <c:v>-3.3999999999991815E-2</c:v>
                </c:pt>
                <c:pt idx="1">
                  <c:v>-8.9999987337705534E-3</c:v>
                </c:pt>
                <c:pt idx="2">
                  <c:v>0</c:v>
                </c:pt>
                <c:pt idx="3">
                  <c:v>1.7000005064346624E-2</c:v>
                </c:pt>
                <c:pt idx="4">
                  <c:v>1.0000000000047748E-2</c:v>
                </c:pt>
                <c:pt idx="5">
                  <c:v>1.4000005064417564E-2</c:v>
                </c:pt>
                <c:pt idx="6">
                  <c:v>-1.4999998733799202E-2</c:v>
                </c:pt>
                <c:pt idx="7">
                  <c:v>-1.9999998733737812E-2</c:v>
                </c:pt>
                <c:pt idx="8">
                  <c:v>-3.6000000000001364E-2</c:v>
                </c:pt>
                <c:pt idx="9">
                  <c:v>-2.5999979740333856E-2</c:v>
                </c:pt>
                <c:pt idx="10">
                  <c:v>-9.999994935299128E-3</c:v>
                </c:pt>
                <c:pt idx="11">
                  <c:v>3.5000011394345165E-2</c:v>
                </c:pt>
                <c:pt idx="12">
                  <c:v>3.0000000000029559E-2</c:v>
                </c:pt>
                <c:pt idx="13">
                  <c:v>1.1000000000024102E-2</c:v>
                </c:pt>
                <c:pt idx="14">
                  <c:v>-3.1999999999982265E-2</c:v>
                </c:pt>
                <c:pt idx="15">
                  <c:v>-4.2999998733648681E-2</c:v>
                </c:pt>
              </c:numCache>
            </c:numRef>
          </c:val>
          <c:extLst>
            <c:ext xmlns:c16="http://schemas.microsoft.com/office/drawing/2014/chart" uri="{C3380CC4-5D6E-409C-BE32-E72D297353CC}">
              <c16:uniqueId val="{00000005-742A-4DBA-B706-D68A9CBAE0A4}"/>
            </c:ext>
          </c:extLst>
        </c:ser>
        <c:ser>
          <c:idx val="6"/>
          <c:order val="6"/>
          <c:tx>
            <c:strRef>
              <c:f>Summary!$BL$4</c:f>
              <c:strCache>
                <c:ptCount val="1"/>
                <c:pt idx="0">
                  <c:v>241</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Summary!$BL$10:$BL$25</c:f>
              <c:numCache>
                <c:formatCode>0.000_ ;[Red]\-0.000\ </c:formatCode>
                <c:ptCount val="16"/>
                <c:pt idx="0">
                  <c:v>-1.4999998740165665E-2</c:v>
                </c:pt>
                <c:pt idx="1">
                  <c:v>4.0000050390176511E-3</c:v>
                </c:pt>
                <c:pt idx="2">
                  <c:v>9.0000012597784007E-3</c:v>
                </c:pt>
                <c:pt idx="3">
                  <c:v>2.9000045348198E-2</c:v>
                </c:pt>
                <c:pt idx="4">
                  <c:v>1.6000000000019554E-2</c:v>
                </c:pt>
                <c:pt idx="5">
                  <c:v>2.5000011337169781E-2</c:v>
                </c:pt>
                <c:pt idx="6">
                  <c:v>-7.9999999999813554E-3</c:v>
                </c:pt>
                <c:pt idx="7">
                  <c:v>-1.4999968504696426E-2</c:v>
                </c:pt>
                <c:pt idx="8">
                  <c:v>-2.799999874008563E-2</c:v>
                </c:pt>
                <c:pt idx="9">
                  <c:v>-1.2999988661704265E-2</c:v>
                </c:pt>
                <c:pt idx="10">
                  <c:v>-9.9999874021250434E-4</c:v>
                </c:pt>
                <c:pt idx="11">
                  <c:v>5.4000152410651481E-2</c:v>
                </c:pt>
                <c:pt idx="12">
                  <c:v>4.1000001259646979E-2</c:v>
                </c:pt>
                <c:pt idx="13">
                  <c:v>2.6000045348553158E-2</c:v>
                </c:pt>
                <c:pt idx="14">
                  <c:v>-1.6999998740175215E-2</c:v>
                </c:pt>
                <c:pt idx="15">
                  <c:v>-2.9999988661245425E-2</c:v>
                </c:pt>
              </c:numCache>
            </c:numRef>
          </c:val>
          <c:extLst>
            <c:ext xmlns:c16="http://schemas.microsoft.com/office/drawing/2014/chart" uri="{C3380CC4-5D6E-409C-BE32-E72D297353CC}">
              <c16:uniqueId val="{00000006-742A-4DBA-B706-D68A9CBAE0A4}"/>
            </c:ext>
          </c:extLst>
        </c:ser>
        <c:ser>
          <c:idx val="7"/>
          <c:order val="7"/>
          <c:tx>
            <c:strRef>
              <c:f>Summary!$BM$4</c:f>
              <c:strCache>
                <c:ptCount val="1"/>
                <c:pt idx="0">
                  <c:v>242</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Summary!$BM$10:$BM$25</c:f>
              <c:numCache>
                <c:formatCode>0.000_ ;[Red]\-0.000\ </c:formatCode>
                <c:ptCount val="16"/>
                <c:pt idx="0">
                  <c:v>-1.0999998766919816E-2</c:v>
                </c:pt>
                <c:pt idx="1">
                  <c:v>1.7000011096968137E-2</c:v>
                </c:pt>
                <c:pt idx="2">
                  <c:v>2.6999999999986812E-2</c:v>
                </c:pt>
                <c:pt idx="3">
                  <c:v>3.0000044386326863E-2</c:v>
                </c:pt>
                <c:pt idx="4">
                  <c:v>2.7000001232977411E-2</c:v>
                </c:pt>
                <c:pt idx="5">
                  <c:v>2.700000493183552E-2</c:v>
                </c:pt>
                <c:pt idx="6">
                  <c:v>1.0000001233038347E-2</c:v>
                </c:pt>
                <c:pt idx="7">
                  <c:v>1.0000049321661209E-3</c:v>
                </c:pt>
                <c:pt idx="8">
                  <c:v>-2.1999998766887074E-2</c:v>
                </c:pt>
                <c:pt idx="9">
                  <c:v>-1.3999969172800775E-2</c:v>
                </c:pt>
                <c:pt idx="10">
                  <c:v>1.1000004932100182E-2</c:v>
                </c:pt>
                <c:pt idx="11">
                  <c:v>5.7000000000016371E-2</c:v>
                </c:pt>
                <c:pt idx="12">
                  <c:v>5.8000001232869636E-2</c:v>
                </c:pt>
                <c:pt idx="13">
                  <c:v>2.8000011096651178E-2</c:v>
                </c:pt>
                <c:pt idx="14">
                  <c:v>-2.0999995067541022E-2</c:v>
                </c:pt>
                <c:pt idx="15">
                  <c:v>-2.6999988901820871E-2</c:v>
                </c:pt>
              </c:numCache>
            </c:numRef>
          </c:val>
          <c:extLst>
            <c:ext xmlns:c16="http://schemas.microsoft.com/office/drawing/2014/chart" uri="{C3380CC4-5D6E-409C-BE32-E72D297353CC}">
              <c16:uniqueId val="{00000007-742A-4DBA-B706-D68A9CBAE0A4}"/>
            </c:ext>
          </c:extLst>
        </c:ser>
        <c:ser>
          <c:idx val="8"/>
          <c:order val="8"/>
          <c:tx>
            <c:strRef>
              <c:f>Summary!$BN$4</c:f>
              <c:strCache>
                <c:ptCount val="1"/>
                <c:pt idx="0">
                  <c:v>243</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Summary!$BN$10:$BN$25</c:f>
              <c:numCache>
                <c:formatCode>0.000_ ;[Red]\-0.000\ </c:formatCode>
                <c:ptCount val="16"/>
                <c:pt idx="0">
                  <c:v>-1.999999999998181E-2</c:v>
                </c:pt>
                <c:pt idx="1">
                  <c:v>7.0000196315618268E-3</c:v>
                </c:pt>
                <c:pt idx="2">
                  <c:v>1.4999999999986358E-2</c:v>
                </c:pt>
                <c:pt idx="3">
                  <c:v>2.4000030672993944E-2</c:v>
                </c:pt>
                <c:pt idx="4">
                  <c:v>1.799999999997226E-2</c:v>
                </c:pt>
                <c:pt idx="5">
                  <c:v>1.9000001226970653E-2</c:v>
                </c:pt>
                <c:pt idx="6">
                  <c:v>-1.999995091978235E-3</c:v>
                </c:pt>
                <c:pt idx="7">
                  <c:v>-1.6999685876442072E-2</c:v>
                </c:pt>
                <c:pt idx="8">
                  <c:v>-2.9999999999972715E-2</c:v>
                </c:pt>
                <c:pt idx="9">
                  <c:v>-2.099998895647559E-2</c:v>
                </c:pt>
                <c:pt idx="10">
                  <c:v>1.0000012269983927E-3</c:v>
                </c:pt>
                <c:pt idx="11">
                  <c:v>5.2000030670910746E-2</c:v>
                </c:pt>
                <c:pt idx="12">
                  <c:v>4.5999999999992269E-2</c:v>
                </c:pt>
                <c:pt idx="13">
                  <c:v>2.0000001226890163E-2</c:v>
                </c:pt>
                <c:pt idx="14">
                  <c:v>-2.8999998772917479E-2</c:v>
                </c:pt>
                <c:pt idx="15">
                  <c:v>-3.6999939871861898E-2</c:v>
                </c:pt>
              </c:numCache>
            </c:numRef>
          </c:val>
          <c:extLst>
            <c:ext xmlns:c16="http://schemas.microsoft.com/office/drawing/2014/chart" uri="{C3380CC4-5D6E-409C-BE32-E72D297353CC}">
              <c16:uniqueId val="{00000008-742A-4DBA-B706-D68A9CBAE0A4}"/>
            </c:ext>
          </c:extLst>
        </c:ser>
        <c:ser>
          <c:idx val="9"/>
          <c:order val="9"/>
          <c:tx>
            <c:strRef>
              <c:f>Summary!$BO$4</c:f>
              <c:strCache>
                <c:ptCount val="1"/>
                <c:pt idx="0">
                  <c:v>244</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Summary!$BO$10:$BO$25</c:f>
              <c:numCache>
                <c:formatCode>0.000_ ;[Red]\-0.000\ </c:formatCode>
                <c:ptCount val="16"/>
                <c:pt idx="0">
                  <c:v>-3.6000000000001364E-2</c:v>
                </c:pt>
                <c:pt idx="1">
                  <c:v>7.6683420502376975E-8</c:v>
                </c:pt>
                <c:pt idx="2">
                  <c:v>8.0000011981269381E-3</c:v>
                </c:pt>
                <c:pt idx="3">
                  <c:v>-4.9999952072425913E-3</c:v>
                </c:pt>
                <c:pt idx="4">
                  <c:v>-2.0000000000095497E-3</c:v>
                </c:pt>
                <c:pt idx="5">
                  <c:v>9.0000000000145519E-3</c:v>
                </c:pt>
                <c:pt idx="6">
                  <c:v>-5.9999988018262229E-3</c:v>
                </c:pt>
                <c:pt idx="7">
                  <c:v>-1.0999970044792917E-2</c:v>
                </c:pt>
                <c:pt idx="8">
                  <c:v>-4.0999999999996817E-2</c:v>
                </c:pt>
                <c:pt idx="9">
                  <c:v>-5.5999902934445345E-2</c:v>
                </c:pt>
                <c:pt idx="10">
                  <c:v>-1.9999998801779384E-2</c:v>
                </c:pt>
                <c:pt idx="11">
                  <c:v>4.0999999999996817E-2</c:v>
                </c:pt>
                <c:pt idx="12">
                  <c:v>4.5999999999992269E-2</c:v>
                </c:pt>
                <c:pt idx="13">
                  <c:v>-3.9999988018166732E-3</c:v>
                </c:pt>
                <c:pt idx="14">
                  <c:v>-6.7000000000007276E-2</c:v>
                </c:pt>
                <c:pt idx="15">
                  <c:v>-8.1999995206331278E-2</c:v>
                </c:pt>
              </c:numCache>
            </c:numRef>
          </c:val>
          <c:extLst>
            <c:ext xmlns:c16="http://schemas.microsoft.com/office/drawing/2014/chart" uri="{C3380CC4-5D6E-409C-BE32-E72D297353CC}">
              <c16:uniqueId val="{00000009-742A-4DBA-B706-D68A9CBAE0A4}"/>
            </c:ext>
          </c:extLst>
        </c:ser>
        <c:ser>
          <c:idx val="10"/>
          <c:order val="10"/>
          <c:tx>
            <c:strRef>
              <c:f>Summary!$BP$4</c:f>
              <c:strCache>
                <c:ptCount val="1"/>
                <c:pt idx="0">
                  <c:v>245</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Summary!$BP$10:$BP$25</c:f>
              <c:numCache>
                <c:formatCode>0.000_ ;[Red]\-0.000\ </c:formatCode>
                <c:ptCount val="16"/>
                <c:pt idx="0">
                  <c:v>1.4999999999986358E-2</c:v>
                </c:pt>
                <c:pt idx="1">
                  <c:v>#N/A</c:v>
                </c:pt>
                <c:pt idx="2">
                  <c:v>9.9999999999909051E-3</c:v>
                </c:pt>
                <c:pt idx="3">
                  <c:v>#N/A</c:v>
                </c:pt>
                <c:pt idx="4">
                  <c:v>1.999999999998181E-2</c:v>
                </c:pt>
                <c:pt idx="5">
                  <c:v>#N/A</c:v>
                </c:pt>
                <c:pt idx="6">
                  <c:v>1.999999999998181E-2</c:v>
                </c:pt>
                <c:pt idx="7">
                  <c:v>#N/A</c:v>
                </c:pt>
                <c:pt idx="8">
                  <c:v>1.4999999999986358E-2</c:v>
                </c:pt>
                <c:pt idx="9">
                  <c:v>#N/A</c:v>
                </c:pt>
                <c:pt idx="10">
                  <c:v>9.9999999999909051E-3</c:v>
                </c:pt>
                <c:pt idx="11">
                  <c:v>#N/A</c:v>
                </c:pt>
                <c:pt idx="12">
                  <c:v>1.999999999998181E-2</c:v>
                </c:pt>
                <c:pt idx="13">
                  <c:v>#N/A</c:v>
                </c:pt>
                <c:pt idx="14">
                  <c:v>1.999999999998181E-2</c:v>
                </c:pt>
                <c:pt idx="15">
                  <c:v>#N/A</c:v>
                </c:pt>
              </c:numCache>
            </c:numRef>
          </c:val>
          <c:extLst>
            <c:ext xmlns:c16="http://schemas.microsoft.com/office/drawing/2014/chart" uri="{C3380CC4-5D6E-409C-BE32-E72D297353CC}">
              <c16:uniqueId val="{0000000A-742A-4DBA-B706-D68A9CBAE0A4}"/>
            </c:ext>
          </c:extLst>
        </c:ser>
        <c:ser>
          <c:idx val="11"/>
          <c:order val="11"/>
          <c:tx>
            <c:strRef>
              <c:f>Summary!$BQ$4</c:f>
              <c:strCache>
                <c:ptCount val="1"/>
                <c:pt idx="0">
                  <c:v>246</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Summary!$BQ$10:$BQ$25</c:f>
              <c:numCache>
                <c:formatCode>0.000_ ;[Red]\-0.000\ </c:formatCode>
                <c:ptCount val="16"/>
                <c:pt idx="0">
                  <c:v>-2.5999998802660684E-2</c:v>
                </c:pt>
                <c:pt idx="1">
                  <c:v>1.2000001197122856E-2</c:v>
                </c:pt>
                <c:pt idx="2">
                  <c:v>1.30000047885801E-2</c:v>
                </c:pt>
                <c:pt idx="3">
                  <c:v>-1.3999980844516813E-2</c:v>
                </c:pt>
                <c:pt idx="4">
                  <c:v>-1.299999880274072E-2</c:v>
                </c:pt>
                <c:pt idx="5">
                  <c:v>8.0000011971606E-3</c:v>
                </c:pt>
                <c:pt idx="6">
                  <c:v>-7.9999988028021107E-3</c:v>
                </c:pt>
                <c:pt idx="7">
                  <c:v>-9.9999999997635314E-4</c:v>
                </c:pt>
                <c:pt idx="8">
                  <c:v>-4.3999998802689788E-2</c:v>
                </c:pt>
                <c:pt idx="9">
                  <c:v>-7.8999797639141889E-2</c:v>
                </c:pt>
                <c:pt idx="10">
                  <c:v>-2.5999998802660684E-2</c:v>
                </c:pt>
                <c:pt idx="11">
                  <c:v>5.8000004788084425E-2</c:v>
                </c:pt>
                <c:pt idx="12">
                  <c:v>6.0000001197010988E-2</c:v>
                </c:pt>
                <c:pt idx="13">
                  <c:v>4.0000000000190994E-3</c:v>
                </c:pt>
                <c:pt idx="14">
                  <c:v>-8.9999998802511527E-2</c:v>
                </c:pt>
                <c:pt idx="15">
                  <c:v>-8.999998922308805E-2</c:v>
                </c:pt>
              </c:numCache>
            </c:numRef>
          </c:val>
          <c:extLst>
            <c:ext xmlns:c16="http://schemas.microsoft.com/office/drawing/2014/chart" uri="{C3380CC4-5D6E-409C-BE32-E72D297353CC}">
              <c16:uniqueId val="{0000000B-742A-4DBA-B706-D68A9CBAE0A4}"/>
            </c:ext>
          </c:extLst>
        </c:ser>
        <c:ser>
          <c:idx val="12"/>
          <c:order val="12"/>
          <c:tx>
            <c:strRef>
              <c:f>Summary!$BR$4</c:f>
              <c:strCache>
                <c:ptCount val="1"/>
                <c:pt idx="0">
                  <c:v>247</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Summary!$BR$10:$BR$25</c:f>
              <c:numCache>
                <c:formatCode>0.000_ ;[Red]\-0.000\ </c:formatCode>
                <c:ptCount val="16"/>
                <c:pt idx="0">
                  <c:v>-2.7000000000043656E-2</c:v>
                </c:pt>
                <c:pt idx="1">
                  <c:v>1.1000004769130101E-2</c:v>
                </c:pt>
                <c:pt idx="2">
                  <c:v>1.5000001192277068E-2</c:v>
                </c:pt>
                <c:pt idx="3">
                  <c:v>-1.2000000000000455E-2</c:v>
                </c:pt>
                <c:pt idx="4">
                  <c:v>-7.0000000000050022E-3</c:v>
                </c:pt>
                <c:pt idx="5">
                  <c:v>9.9999999999909051E-3</c:v>
                </c:pt>
                <c:pt idx="6">
                  <c:v>-8.9999952306243358E-3</c:v>
                </c:pt>
                <c:pt idx="7">
                  <c:v>-2.9999892690284469E-3</c:v>
                </c:pt>
                <c:pt idx="8">
                  <c:v>-4.2000000000030013E-2</c:v>
                </c:pt>
                <c:pt idx="9">
                  <c:v>-7.0999998807508291E-2</c:v>
                </c:pt>
                <c:pt idx="10">
                  <c:v>-2.7000000000043656E-2</c:v>
                </c:pt>
                <c:pt idx="11">
                  <c:v>5.4000001192150648E-2</c:v>
                </c:pt>
                <c:pt idx="12">
                  <c:v>6.7999999999983629E-2</c:v>
                </c:pt>
                <c:pt idx="13">
                  <c:v>4.00000119230981E-3</c:v>
                </c:pt>
                <c:pt idx="14">
                  <c:v>-7.8000000000031378E-2</c:v>
                </c:pt>
                <c:pt idx="15">
                  <c:v>-8.0999998807442353E-2</c:v>
                </c:pt>
              </c:numCache>
            </c:numRef>
          </c:val>
          <c:extLst>
            <c:ext xmlns:c16="http://schemas.microsoft.com/office/drawing/2014/chart" uri="{C3380CC4-5D6E-409C-BE32-E72D297353CC}">
              <c16:uniqueId val="{0000000C-742A-4DBA-B706-D68A9CBAE0A4}"/>
            </c:ext>
          </c:extLst>
        </c:ser>
        <c:ser>
          <c:idx val="13"/>
          <c:order val="13"/>
          <c:tx>
            <c:strRef>
              <c:f>Summary!$BS$4</c:f>
              <c:strCache>
                <c:ptCount val="1"/>
                <c:pt idx="0">
                  <c:v>248</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Summary!$BS$10:$BS$25</c:f>
              <c:numCache>
                <c:formatCode>0.000_ ;[Red]\-0.000\ </c:formatCode>
                <c:ptCount val="16"/>
                <c:pt idx="0">
                  <c:v>-3.9999988081262927E-3</c:v>
                </c:pt>
                <c:pt idx="1">
                  <c:v>3.4000201413959985E-2</c:v>
                </c:pt>
                <c:pt idx="2">
                  <c:v>3.8000000000010914E-2</c:v>
                </c:pt>
                <c:pt idx="3">
                  <c:v>-1.7999880805348312E-2</c:v>
                </c:pt>
                <c:pt idx="4">
                  <c:v>-5.9999999999718057E-3</c:v>
                </c:pt>
                <c:pt idx="5">
                  <c:v>9.0000965414560596E-3</c:v>
                </c:pt>
                <c:pt idx="6">
                  <c:v>4.0000011919119061E-3</c:v>
                </c:pt>
                <c:pt idx="7">
                  <c:v>1.4000042906843646E-2</c:v>
                </c:pt>
                <c:pt idx="8">
                  <c:v>-3.3999999999991815E-2</c:v>
                </c:pt>
                <c:pt idx="9">
                  <c:v>-7.6999957083899062E-2</c:v>
                </c:pt>
                <c:pt idx="10">
                  <c:v>-1.1000000000024102E-2</c:v>
                </c:pt>
                <c:pt idx="11">
                  <c:v>7.9999999999984084E-2</c:v>
                </c:pt>
                <c:pt idx="12">
                  <c:v>9.8000001191621777E-2</c:v>
                </c:pt>
                <c:pt idx="13">
                  <c:v>1.1000004767481641E-2</c:v>
                </c:pt>
                <c:pt idx="14">
                  <c:v>-8.4999999999979536E-2</c:v>
                </c:pt>
                <c:pt idx="15">
                  <c:v>-7.1999655483239167E-2</c:v>
                </c:pt>
              </c:numCache>
            </c:numRef>
          </c:val>
          <c:extLst>
            <c:ext xmlns:c16="http://schemas.microsoft.com/office/drawing/2014/chart" uri="{C3380CC4-5D6E-409C-BE32-E72D297353CC}">
              <c16:uniqueId val="{0000000D-742A-4DBA-B706-D68A9CBAE0A4}"/>
            </c:ext>
          </c:extLst>
        </c:ser>
        <c:ser>
          <c:idx val="14"/>
          <c:order val="14"/>
          <c:tx>
            <c:strRef>
              <c:f>Summary!$BT$4</c:f>
              <c:strCache>
                <c:ptCount val="1"/>
                <c:pt idx="0">
                  <c:v>Dwg Min</c:v>
                </c:pt>
              </c:strCache>
            </c:strRef>
          </c:tx>
          <c:spPr>
            <a:ln>
              <a:prstDash val="dash"/>
            </a:ln>
          </c:spPr>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Summary!$BT$10:$BT$25</c:f>
              <c:numCache>
                <c:formatCode>General</c:formatCode>
                <c:ptCount val="16"/>
                <c:pt idx="0">
                  <c:v>-3.2000000000000001E-2</c:v>
                </c:pt>
                <c:pt idx="1">
                  <c:v>-3.2000000000000001E-2</c:v>
                </c:pt>
                <c:pt idx="2">
                  <c:v>-3.2000000000000001E-2</c:v>
                </c:pt>
                <c:pt idx="3">
                  <c:v>-3.2000000000000001E-2</c:v>
                </c:pt>
                <c:pt idx="4">
                  <c:v>-3.2000000000000001E-2</c:v>
                </c:pt>
                <c:pt idx="5">
                  <c:v>-3.2000000000000001E-2</c:v>
                </c:pt>
                <c:pt idx="6">
                  <c:v>-3.2000000000000001E-2</c:v>
                </c:pt>
                <c:pt idx="7">
                  <c:v>-3.2000000000000001E-2</c:v>
                </c:pt>
                <c:pt idx="8">
                  <c:v>-3.2000000000000001E-2</c:v>
                </c:pt>
                <c:pt idx="9">
                  <c:v>-3.2000000000000001E-2</c:v>
                </c:pt>
                <c:pt idx="10">
                  <c:v>-3.2000000000000001E-2</c:v>
                </c:pt>
                <c:pt idx="11">
                  <c:v>-3.2000000000000001E-2</c:v>
                </c:pt>
                <c:pt idx="12">
                  <c:v>-3.2000000000000001E-2</c:v>
                </c:pt>
                <c:pt idx="13">
                  <c:v>-3.2000000000000001E-2</c:v>
                </c:pt>
                <c:pt idx="14">
                  <c:v>-3.2000000000000001E-2</c:v>
                </c:pt>
                <c:pt idx="15">
                  <c:v>-3.2000000000000001E-2</c:v>
                </c:pt>
              </c:numCache>
            </c:numRef>
          </c:val>
          <c:extLst>
            <c:ext xmlns:c16="http://schemas.microsoft.com/office/drawing/2014/chart" uri="{C3380CC4-5D6E-409C-BE32-E72D297353CC}">
              <c16:uniqueId val="{0000000E-742A-4DBA-B706-D68A9CBAE0A4}"/>
            </c:ext>
          </c:extLst>
        </c:ser>
        <c:ser>
          <c:idx val="15"/>
          <c:order val="15"/>
          <c:tx>
            <c:strRef>
              <c:f>Summary!$BU$4</c:f>
              <c:strCache>
                <c:ptCount val="1"/>
                <c:pt idx="0">
                  <c:v>Dwg Max</c:v>
                </c:pt>
              </c:strCache>
            </c:strRef>
          </c:tx>
          <c:spPr>
            <a:ln>
              <a:prstDash val="dash"/>
            </a:ln>
          </c:spPr>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Summary!$BU$10:$BU$25</c:f>
              <c:numCache>
                <c:formatCode>General</c:formatCode>
                <c:ptCount val="16"/>
                <c:pt idx="0">
                  <c:v>3.2000000000000001E-2</c:v>
                </c:pt>
                <c:pt idx="1">
                  <c:v>3.2000000000000001E-2</c:v>
                </c:pt>
                <c:pt idx="2">
                  <c:v>3.2000000000000001E-2</c:v>
                </c:pt>
                <c:pt idx="3">
                  <c:v>3.2000000000000001E-2</c:v>
                </c:pt>
                <c:pt idx="4">
                  <c:v>3.2000000000000001E-2</c:v>
                </c:pt>
                <c:pt idx="5">
                  <c:v>3.2000000000000001E-2</c:v>
                </c:pt>
                <c:pt idx="6">
                  <c:v>3.2000000000000001E-2</c:v>
                </c:pt>
                <c:pt idx="7">
                  <c:v>3.2000000000000001E-2</c:v>
                </c:pt>
                <c:pt idx="8">
                  <c:v>3.2000000000000001E-2</c:v>
                </c:pt>
                <c:pt idx="9">
                  <c:v>3.2000000000000001E-2</c:v>
                </c:pt>
                <c:pt idx="10">
                  <c:v>3.2000000000000001E-2</c:v>
                </c:pt>
                <c:pt idx="11">
                  <c:v>3.2000000000000001E-2</c:v>
                </c:pt>
                <c:pt idx="12">
                  <c:v>3.2000000000000001E-2</c:v>
                </c:pt>
                <c:pt idx="13">
                  <c:v>3.2000000000000001E-2</c:v>
                </c:pt>
                <c:pt idx="14">
                  <c:v>3.2000000000000001E-2</c:v>
                </c:pt>
                <c:pt idx="15">
                  <c:v>3.2000000000000001E-2</c:v>
                </c:pt>
              </c:numCache>
            </c:numRef>
          </c:val>
          <c:extLst>
            <c:ext xmlns:c16="http://schemas.microsoft.com/office/drawing/2014/chart" uri="{C3380CC4-5D6E-409C-BE32-E72D297353CC}">
              <c16:uniqueId val="{0000000F-742A-4DBA-B706-D68A9CBAE0A4}"/>
            </c:ext>
          </c:extLst>
        </c:ser>
        <c:dLbls>
          <c:showLegendKey val="0"/>
          <c:showVal val="0"/>
          <c:showCatName val="0"/>
          <c:showSerName val="0"/>
          <c:showPercent val="0"/>
          <c:showBubbleSize val="0"/>
        </c:dLbls>
        <c:axId val="178719232"/>
        <c:axId val="5264448"/>
      </c:radarChart>
      <c:catAx>
        <c:axId val="17871923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5264448"/>
        <c:crosses val="autoZero"/>
        <c:auto val="1"/>
        <c:lblAlgn val="ctr"/>
        <c:lblOffset val="100"/>
        <c:noMultiLvlLbl val="0"/>
      </c:catAx>
      <c:valAx>
        <c:axId val="5264448"/>
        <c:scaling>
          <c:orientation val="minMax"/>
          <c:max val="0.2"/>
          <c:min val="-0.2"/>
        </c:scaling>
        <c:delete val="0"/>
        <c:axPos val="l"/>
        <c:majorGridlines/>
        <c:numFmt formatCode="0.000_ ;[Red]\-0.000\ " sourceLinked="1"/>
        <c:majorTickMark val="cross"/>
        <c:minorTickMark val="none"/>
        <c:tickLblPos val="nextTo"/>
        <c:txPr>
          <a:bodyPr/>
          <a:lstStyle/>
          <a:p>
            <a:pPr>
              <a:defRPr lang="ja-JP"/>
            </a:pPr>
            <a:endParaRPr lang="en-US"/>
          </a:p>
        </c:txPr>
        <c:crossAx val="178719232"/>
        <c:crosses val="autoZero"/>
        <c:crossBetween val="between"/>
        <c:minorUnit val="5.000000000000001E-3"/>
      </c:valAx>
    </c:plotArea>
    <c:legend>
      <c:legendPos val="r"/>
      <c:overlay val="0"/>
      <c:txPr>
        <a:bodyPr/>
        <a:lstStyle/>
        <a:p>
          <a:pPr>
            <a:defRPr lang="ja-JP"/>
          </a:pPr>
          <a:endParaRPr lang="en-US"/>
        </a:p>
      </c:txPr>
    </c:legend>
    <c:plotVisOnly val="1"/>
    <c:dispBlanksAs val="span"/>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Summary!$CY$8</c:f>
              <c:strCache>
                <c:ptCount val="1"/>
                <c:pt idx="0">
                  <c:v>244-245</c:v>
                </c:pt>
              </c:strCache>
            </c:strRef>
          </c:tx>
          <c:marker>
            <c:symbol val="none"/>
          </c:marker>
          <c:val>
            <c:numRef>
              <c:f>Summary!$CY$10:$CY$25</c:f>
              <c:numCache>
                <c:formatCode>General</c:formatCode>
                <c:ptCount val="16"/>
                <c:pt idx="0">
                  <c:v>2.0509999999999877</c:v>
                </c:pt>
                <c:pt idx="1">
                  <c:v>#N/A</c:v>
                </c:pt>
                <c:pt idx="2">
                  <c:v>2.001999998801864</c:v>
                </c:pt>
                <c:pt idx="3">
                  <c:v>#N/A</c:v>
                </c:pt>
                <c:pt idx="4">
                  <c:v>2.0219999999999914</c:v>
                </c:pt>
                <c:pt idx="5">
                  <c:v>#N/A</c:v>
                </c:pt>
                <c:pt idx="6">
                  <c:v>2.025999998801808</c:v>
                </c:pt>
                <c:pt idx="7">
                  <c:v>#N/A</c:v>
                </c:pt>
                <c:pt idx="8">
                  <c:v>2.0559999999999832</c:v>
                </c:pt>
                <c:pt idx="9">
                  <c:v>#N/A</c:v>
                </c:pt>
                <c:pt idx="10">
                  <c:v>2.0299999988017703</c:v>
                </c:pt>
                <c:pt idx="11">
                  <c:v>#N/A</c:v>
                </c:pt>
                <c:pt idx="12">
                  <c:v>1.9739999999999895</c:v>
                </c:pt>
                <c:pt idx="13">
                  <c:v>#N/A</c:v>
                </c:pt>
                <c:pt idx="14">
                  <c:v>2.0869999999999891</c:v>
                </c:pt>
                <c:pt idx="15">
                  <c:v>#N/A</c:v>
                </c:pt>
              </c:numCache>
            </c:numRef>
          </c:val>
          <c:extLst>
            <c:ext xmlns:c16="http://schemas.microsoft.com/office/drawing/2014/chart" uri="{C3380CC4-5D6E-409C-BE32-E72D297353CC}">
              <c16:uniqueId val="{00000000-7BBA-46A5-B7CB-F9E7775FFEA5}"/>
            </c:ext>
          </c:extLst>
        </c:ser>
        <c:ser>
          <c:idx val="1"/>
          <c:order val="1"/>
          <c:tx>
            <c:strRef>
              <c:f>Summary!$CZ$8</c:f>
              <c:strCache>
                <c:ptCount val="1"/>
                <c:pt idx="0">
                  <c:v>Dwg Max</c:v>
                </c:pt>
              </c:strCache>
            </c:strRef>
          </c:tx>
          <c:spPr>
            <a:ln w="28575">
              <a:prstDash val="dash"/>
            </a:ln>
          </c:spPr>
          <c:marker>
            <c:symbol val="none"/>
          </c:marker>
          <c:val>
            <c:numRef>
              <c:f>Summary!$CZ$10:$CZ$25</c:f>
              <c:numCache>
                <c:formatCode>General</c:formatCode>
                <c:ptCount val="16"/>
                <c:pt idx="0">
                  <c:v>2.11099999999999</c:v>
                </c:pt>
                <c:pt idx="1">
                  <c:v>2.11099999999999</c:v>
                </c:pt>
                <c:pt idx="2">
                  <c:v>2.11099999999999</c:v>
                </c:pt>
                <c:pt idx="3">
                  <c:v>2.11099999999999</c:v>
                </c:pt>
                <c:pt idx="4">
                  <c:v>2.11099999999999</c:v>
                </c:pt>
                <c:pt idx="5">
                  <c:v>2.11099999999999</c:v>
                </c:pt>
                <c:pt idx="6">
                  <c:v>2.11099999999999</c:v>
                </c:pt>
                <c:pt idx="7">
                  <c:v>2.11099999999999</c:v>
                </c:pt>
                <c:pt idx="8">
                  <c:v>2.11099999999999</c:v>
                </c:pt>
                <c:pt idx="9">
                  <c:v>2.11099999999999</c:v>
                </c:pt>
                <c:pt idx="10">
                  <c:v>2.11099999999999</c:v>
                </c:pt>
                <c:pt idx="11">
                  <c:v>2.11099999999999</c:v>
                </c:pt>
                <c:pt idx="12">
                  <c:v>2.11099999999999</c:v>
                </c:pt>
                <c:pt idx="13">
                  <c:v>2.11099999999999</c:v>
                </c:pt>
                <c:pt idx="14">
                  <c:v>2.11099999999999</c:v>
                </c:pt>
                <c:pt idx="15">
                  <c:v>2.11099999999999</c:v>
                </c:pt>
              </c:numCache>
            </c:numRef>
          </c:val>
          <c:extLst>
            <c:ext xmlns:c16="http://schemas.microsoft.com/office/drawing/2014/chart" uri="{C3380CC4-5D6E-409C-BE32-E72D297353CC}">
              <c16:uniqueId val="{00000001-7BBA-46A5-B7CB-F9E7775FFEA5}"/>
            </c:ext>
          </c:extLst>
        </c:ser>
        <c:ser>
          <c:idx val="2"/>
          <c:order val="2"/>
          <c:tx>
            <c:strRef>
              <c:f>Summary!$DA$8</c:f>
              <c:strCache>
                <c:ptCount val="1"/>
                <c:pt idx="0">
                  <c:v>Dwg Min</c:v>
                </c:pt>
              </c:strCache>
            </c:strRef>
          </c:tx>
          <c:spPr>
            <a:ln>
              <a:prstDash val="dash"/>
            </a:ln>
          </c:spPr>
          <c:marker>
            <c:symbol val="none"/>
          </c:marker>
          <c:val>
            <c:numRef>
              <c:f>Summary!$DA$10:$DA$25</c:f>
              <c:numCache>
                <c:formatCode>General</c:formatCode>
                <c:ptCount val="16"/>
                <c:pt idx="0">
                  <c:v>1.88900000000001</c:v>
                </c:pt>
                <c:pt idx="1">
                  <c:v>1.88900000000001</c:v>
                </c:pt>
                <c:pt idx="2">
                  <c:v>1.88900000000001</c:v>
                </c:pt>
                <c:pt idx="3">
                  <c:v>1.88900000000001</c:v>
                </c:pt>
                <c:pt idx="4">
                  <c:v>1.88900000000001</c:v>
                </c:pt>
                <c:pt idx="5">
                  <c:v>1.88900000000001</c:v>
                </c:pt>
                <c:pt idx="6">
                  <c:v>1.88900000000001</c:v>
                </c:pt>
                <c:pt idx="7">
                  <c:v>1.88900000000001</c:v>
                </c:pt>
                <c:pt idx="8">
                  <c:v>1.88900000000001</c:v>
                </c:pt>
                <c:pt idx="9">
                  <c:v>1.88900000000001</c:v>
                </c:pt>
                <c:pt idx="10">
                  <c:v>1.88900000000001</c:v>
                </c:pt>
                <c:pt idx="11">
                  <c:v>1.88900000000001</c:v>
                </c:pt>
                <c:pt idx="12">
                  <c:v>1.88900000000001</c:v>
                </c:pt>
                <c:pt idx="13">
                  <c:v>1.88900000000001</c:v>
                </c:pt>
                <c:pt idx="14">
                  <c:v>1.88900000000001</c:v>
                </c:pt>
                <c:pt idx="15">
                  <c:v>1.88900000000001</c:v>
                </c:pt>
              </c:numCache>
            </c:numRef>
          </c:val>
          <c:extLst>
            <c:ext xmlns:c16="http://schemas.microsoft.com/office/drawing/2014/chart" uri="{C3380CC4-5D6E-409C-BE32-E72D297353CC}">
              <c16:uniqueId val="{00000002-7BBA-46A5-B7CB-F9E7775FFEA5}"/>
            </c:ext>
          </c:extLst>
        </c:ser>
        <c:dLbls>
          <c:showLegendKey val="0"/>
          <c:showVal val="0"/>
          <c:showCatName val="0"/>
          <c:showSerName val="0"/>
          <c:showPercent val="0"/>
          <c:showBubbleSize val="0"/>
        </c:dLbls>
        <c:axId val="178718208"/>
        <c:axId val="175088192"/>
      </c:radarChart>
      <c:catAx>
        <c:axId val="17871820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5088192"/>
        <c:crosses val="autoZero"/>
        <c:auto val="1"/>
        <c:lblAlgn val="ctr"/>
        <c:lblOffset val="100"/>
        <c:noMultiLvlLbl val="0"/>
      </c:catAx>
      <c:valAx>
        <c:axId val="17508819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8718208"/>
        <c:crosses val="autoZero"/>
        <c:crossBetween val="between"/>
        <c:majorUnit val="5.000000000000001E-2"/>
      </c:valAx>
    </c:plotArea>
    <c:legend>
      <c:legendPos val="r"/>
      <c:overlay val="0"/>
      <c:txPr>
        <a:bodyPr/>
        <a:lstStyle/>
        <a:p>
          <a:pPr>
            <a:defRPr lang="ja-JP"/>
          </a:pPr>
          <a:endParaRPr lang="en-US"/>
        </a:p>
      </c:txPr>
    </c:legend>
    <c:plotVisOnly val="1"/>
    <c:dispBlanksAs val="span"/>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Summary!$DB$8</c:f>
              <c:strCache>
                <c:ptCount val="1"/>
                <c:pt idx="0">
                  <c:v>(244-245)-(DwgMin)</c:v>
                </c:pt>
              </c:strCache>
            </c:strRef>
          </c:tx>
          <c:marker>
            <c:symbol val="none"/>
          </c:marker>
          <c:cat>
            <c:numRef>
              <c:f>Summary!$CV$10:$CV$25</c:f>
              <c:numCache>
                <c:formatCode>General</c:formatCode>
                <c:ptCount val="16"/>
                <c:pt idx="0">
                  <c:v>1</c:v>
                </c:pt>
                <c:pt idx="2">
                  <c:v>8</c:v>
                </c:pt>
                <c:pt idx="4">
                  <c:v>7</c:v>
                </c:pt>
                <c:pt idx="6">
                  <c:v>6</c:v>
                </c:pt>
                <c:pt idx="8">
                  <c:v>5</c:v>
                </c:pt>
                <c:pt idx="10">
                  <c:v>4</c:v>
                </c:pt>
                <c:pt idx="12">
                  <c:v>3</c:v>
                </c:pt>
                <c:pt idx="14">
                  <c:v>2</c:v>
                </c:pt>
              </c:numCache>
            </c:numRef>
          </c:cat>
          <c:val>
            <c:numRef>
              <c:f>Summary!$DB$10:$DB$25</c:f>
              <c:numCache>
                <c:formatCode>General</c:formatCode>
                <c:ptCount val="16"/>
                <c:pt idx="0">
                  <c:v>0.16199999999997772</c:v>
                </c:pt>
                <c:pt idx="1">
                  <c:v>#N/A</c:v>
                </c:pt>
                <c:pt idx="2">
                  <c:v>0.11299999880185396</c:v>
                </c:pt>
                <c:pt idx="3">
                  <c:v>#N/A</c:v>
                </c:pt>
                <c:pt idx="4">
                  <c:v>0.13299999999998136</c:v>
                </c:pt>
                <c:pt idx="5">
                  <c:v>#N/A</c:v>
                </c:pt>
                <c:pt idx="6">
                  <c:v>0.13699999880179803</c:v>
                </c:pt>
                <c:pt idx="7">
                  <c:v>#N/A</c:v>
                </c:pt>
                <c:pt idx="8">
                  <c:v>0.16699999999997317</c:v>
                </c:pt>
                <c:pt idx="9">
                  <c:v>#N/A</c:v>
                </c:pt>
                <c:pt idx="10">
                  <c:v>0.14099999880176028</c:v>
                </c:pt>
                <c:pt idx="11">
                  <c:v>#N/A</c:v>
                </c:pt>
                <c:pt idx="12">
                  <c:v>8.4999999999979536E-2</c:v>
                </c:pt>
                <c:pt idx="13">
                  <c:v>#N/A</c:v>
                </c:pt>
                <c:pt idx="14">
                  <c:v>0.19799999999997908</c:v>
                </c:pt>
                <c:pt idx="15">
                  <c:v>#N/A</c:v>
                </c:pt>
              </c:numCache>
            </c:numRef>
          </c:val>
          <c:extLst>
            <c:ext xmlns:c16="http://schemas.microsoft.com/office/drawing/2014/chart" uri="{C3380CC4-5D6E-409C-BE32-E72D297353CC}">
              <c16:uniqueId val="{00000000-96BC-4611-8E55-60FF2B9A20BC}"/>
            </c:ext>
          </c:extLst>
        </c:ser>
        <c:dLbls>
          <c:showLegendKey val="0"/>
          <c:showVal val="0"/>
          <c:showCatName val="0"/>
          <c:showSerName val="0"/>
          <c:showPercent val="0"/>
          <c:showBubbleSize val="0"/>
        </c:dLbls>
        <c:axId val="174296576"/>
        <c:axId val="175090496"/>
      </c:radarChart>
      <c:catAx>
        <c:axId val="1742965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5090496"/>
        <c:crosses val="autoZero"/>
        <c:auto val="1"/>
        <c:lblAlgn val="ctr"/>
        <c:lblOffset val="100"/>
        <c:noMultiLvlLbl val="0"/>
      </c:catAx>
      <c:valAx>
        <c:axId val="17509049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4296576"/>
        <c:crosses val="autoZero"/>
        <c:crossBetween val="between"/>
        <c:majorUnit val="5.000000000000001E-2"/>
      </c:valAx>
    </c:plotArea>
    <c:legend>
      <c:legendPos val="r"/>
      <c:overlay val="0"/>
      <c:txPr>
        <a:bodyPr/>
        <a:lstStyle/>
        <a:p>
          <a:pPr>
            <a:defRPr lang="ja-JP"/>
          </a:pPr>
          <a:endParaRPr lang="en-US"/>
        </a:p>
      </c:txPr>
    </c:legend>
    <c:plotVisOnly val="1"/>
    <c:dispBlanksAs val="span"/>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Summary!$BN$4</c:f>
              <c:strCache>
                <c:ptCount val="1"/>
                <c:pt idx="0">
                  <c:v>243</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Summary!$BN$10:$BN$25</c:f>
              <c:numCache>
                <c:formatCode>0.000_ ;[Red]\-0.000\ </c:formatCode>
                <c:ptCount val="16"/>
                <c:pt idx="0">
                  <c:v>-1.999999999998181E-2</c:v>
                </c:pt>
                <c:pt idx="1">
                  <c:v>7.0000196315618268E-3</c:v>
                </c:pt>
                <c:pt idx="2">
                  <c:v>1.4999999999986358E-2</c:v>
                </c:pt>
                <c:pt idx="3">
                  <c:v>2.4000030672993944E-2</c:v>
                </c:pt>
                <c:pt idx="4">
                  <c:v>1.799999999997226E-2</c:v>
                </c:pt>
                <c:pt idx="5">
                  <c:v>1.9000001226970653E-2</c:v>
                </c:pt>
                <c:pt idx="6">
                  <c:v>-1.999995091978235E-3</c:v>
                </c:pt>
                <c:pt idx="7">
                  <c:v>-1.6999685876442072E-2</c:v>
                </c:pt>
                <c:pt idx="8">
                  <c:v>-2.9999999999972715E-2</c:v>
                </c:pt>
                <c:pt idx="9">
                  <c:v>-2.099998895647559E-2</c:v>
                </c:pt>
                <c:pt idx="10">
                  <c:v>1.0000012269983927E-3</c:v>
                </c:pt>
                <c:pt idx="11">
                  <c:v>5.2000030670910746E-2</c:v>
                </c:pt>
                <c:pt idx="12">
                  <c:v>4.5999999999992269E-2</c:v>
                </c:pt>
                <c:pt idx="13">
                  <c:v>2.0000001226890163E-2</c:v>
                </c:pt>
                <c:pt idx="14">
                  <c:v>-2.8999998772917479E-2</c:v>
                </c:pt>
                <c:pt idx="15">
                  <c:v>-3.6999939871861898E-2</c:v>
                </c:pt>
              </c:numCache>
            </c:numRef>
          </c:val>
          <c:smooth val="0"/>
          <c:extLst>
            <c:ext xmlns:c16="http://schemas.microsoft.com/office/drawing/2014/chart" uri="{C3380CC4-5D6E-409C-BE32-E72D297353CC}">
              <c16:uniqueId val="{00000000-B20D-4935-A959-6183B069AE96}"/>
            </c:ext>
          </c:extLst>
        </c:ser>
        <c:ser>
          <c:idx val="1"/>
          <c:order val="1"/>
          <c:tx>
            <c:strRef>
              <c:f>Summary!$BO$4</c:f>
              <c:strCache>
                <c:ptCount val="1"/>
                <c:pt idx="0">
                  <c:v>244</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Summary!$BO$10:$BO$25</c:f>
              <c:numCache>
                <c:formatCode>0.000_ ;[Red]\-0.000\ </c:formatCode>
                <c:ptCount val="16"/>
                <c:pt idx="0">
                  <c:v>-3.6000000000001364E-2</c:v>
                </c:pt>
                <c:pt idx="1">
                  <c:v>7.6683420502376975E-8</c:v>
                </c:pt>
                <c:pt idx="2">
                  <c:v>8.0000011981269381E-3</c:v>
                </c:pt>
                <c:pt idx="3">
                  <c:v>-4.9999952072425913E-3</c:v>
                </c:pt>
                <c:pt idx="4">
                  <c:v>-2.0000000000095497E-3</c:v>
                </c:pt>
                <c:pt idx="5">
                  <c:v>9.0000000000145519E-3</c:v>
                </c:pt>
                <c:pt idx="6">
                  <c:v>-5.9999988018262229E-3</c:v>
                </c:pt>
                <c:pt idx="7">
                  <c:v>-1.0999970044792917E-2</c:v>
                </c:pt>
                <c:pt idx="8">
                  <c:v>-4.0999999999996817E-2</c:v>
                </c:pt>
                <c:pt idx="9">
                  <c:v>-5.5999902934445345E-2</c:v>
                </c:pt>
                <c:pt idx="10">
                  <c:v>-1.9999998801779384E-2</c:v>
                </c:pt>
                <c:pt idx="11">
                  <c:v>4.0999999999996817E-2</c:v>
                </c:pt>
                <c:pt idx="12">
                  <c:v>4.5999999999992269E-2</c:v>
                </c:pt>
                <c:pt idx="13">
                  <c:v>-3.9999988018166732E-3</c:v>
                </c:pt>
                <c:pt idx="14">
                  <c:v>-6.7000000000007276E-2</c:v>
                </c:pt>
                <c:pt idx="15">
                  <c:v>-8.1999995206331278E-2</c:v>
                </c:pt>
              </c:numCache>
            </c:numRef>
          </c:val>
          <c:smooth val="0"/>
          <c:extLst>
            <c:ext xmlns:c16="http://schemas.microsoft.com/office/drawing/2014/chart" uri="{C3380CC4-5D6E-409C-BE32-E72D297353CC}">
              <c16:uniqueId val="{00000001-B20D-4935-A959-6183B069AE96}"/>
            </c:ext>
          </c:extLst>
        </c:ser>
        <c:ser>
          <c:idx val="2"/>
          <c:order val="2"/>
          <c:tx>
            <c:strRef>
              <c:f>Summary!$BP$4</c:f>
              <c:strCache>
                <c:ptCount val="1"/>
                <c:pt idx="0">
                  <c:v>245</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Summary!$BP$10:$BP$25</c:f>
              <c:numCache>
                <c:formatCode>0.000_ ;[Red]\-0.000\ </c:formatCode>
                <c:ptCount val="16"/>
                <c:pt idx="0">
                  <c:v>1.4999999999986358E-2</c:v>
                </c:pt>
                <c:pt idx="1">
                  <c:v>#N/A</c:v>
                </c:pt>
                <c:pt idx="2">
                  <c:v>9.9999999999909051E-3</c:v>
                </c:pt>
                <c:pt idx="3">
                  <c:v>#N/A</c:v>
                </c:pt>
                <c:pt idx="4">
                  <c:v>1.999999999998181E-2</c:v>
                </c:pt>
                <c:pt idx="5">
                  <c:v>#N/A</c:v>
                </c:pt>
                <c:pt idx="6">
                  <c:v>1.999999999998181E-2</c:v>
                </c:pt>
                <c:pt idx="7">
                  <c:v>#N/A</c:v>
                </c:pt>
                <c:pt idx="8">
                  <c:v>1.4999999999986358E-2</c:v>
                </c:pt>
                <c:pt idx="9">
                  <c:v>#N/A</c:v>
                </c:pt>
                <c:pt idx="10">
                  <c:v>9.9999999999909051E-3</c:v>
                </c:pt>
                <c:pt idx="11">
                  <c:v>#N/A</c:v>
                </c:pt>
                <c:pt idx="12">
                  <c:v>1.999999999998181E-2</c:v>
                </c:pt>
                <c:pt idx="13">
                  <c:v>#N/A</c:v>
                </c:pt>
                <c:pt idx="14">
                  <c:v>1.999999999998181E-2</c:v>
                </c:pt>
                <c:pt idx="15">
                  <c:v>#N/A</c:v>
                </c:pt>
              </c:numCache>
            </c:numRef>
          </c:val>
          <c:smooth val="0"/>
          <c:extLst>
            <c:ext xmlns:c16="http://schemas.microsoft.com/office/drawing/2014/chart" uri="{C3380CC4-5D6E-409C-BE32-E72D297353CC}">
              <c16:uniqueId val="{00000002-B20D-4935-A959-6183B069AE96}"/>
            </c:ext>
          </c:extLst>
        </c:ser>
        <c:ser>
          <c:idx val="3"/>
          <c:order val="3"/>
          <c:tx>
            <c:strRef>
              <c:f>Summary!$BQ$4</c:f>
              <c:strCache>
                <c:ptCount val="1"/>
                <c:pt idx="0">
                  <c:v>246</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Summary!$BQ$10:$BQ$25</c:f>
              <c:numCache>
                <c:formatCode>0.000_ ;[Red]\-0.000\ </c:formatCode>
                <c:ptCount val="16"/>
                <c:pt idx="0">
                  <c:v>-2.5999998802660684E-2</c:v>
                </c:pt>
                <c:pt idx="1">
                  <c:v>1.2000001197122856E-2</c:v>
                </c:pt>
                <c:pt idx="2">
                  <c:v>1.30000047885801E-2</c:v>
                </c:pt>
                <c:pt idx="3">
                  <c:v>-1.3999980844516813E-2</c:v>
                </c:pt>
                <c:pt idx="4">
                  <c:v>-1.299999880274072E-2</c:v>
                </c:pt>
                <c:pt idx="5">
                  <c:v>8.0000011971606E-3</c:v>
                </c:pt>
                <c:pt idx="6">
                  <c:v>-7.9999988028021107E-3</c:v>
                </c:pt>
                <c:pt idx="7">
                  <c:v>-9.9999999997635314E-4</c:v>
                </c:pt>
                <c:pt idx="8">
                  <c:v>-4.3999998802689788E-2</c:v>
                </c:pt>
                <c:pt idx="9">
                  <c:v>-7.8999797639141889E-2</c:v>
                </c:pt>
                <c:pt idx="10">
                  <c:v>-2.5999998802660684E-2</c:v>
                </c:pt>
                <c:pt idx="11">
                  <c:v>5.8000004788084425E-2</c:v>
                </c:pt>
                <c:pt idx="12">
                  <c:v>6.0000001197010988E-2</c:v>
                </c:pt>
                <c:pt idx="13">
                  <c:v>4.0000000000190994E-3</c:v>
                </c:pt>
                <c:pt idx="14">
                  <c:v>-8.9999998802511527E-2</c:v>
                </c:pt>
                <c:pt idx="15">
                  <c:v>-8.999998922308805E-2</c:v>
                </c:pt>
              </c:numCache>
            </c:numRef>
          </c:val>
          <c:smooth val="0"/>
          <c:extLst>
            <c:ext xmlns:c16="http://schemas.microsoft.com/office/drawing/2014/chart" uri="{C3380CC4-5D6E-409C-BE32-E72D297353CC}">
              <c16:uniqueId val="{00000003-B20D-4935-A959-6183B069AE96}"/>
            </c:ext>
          </c:extLst>
        </c:ser>
        <c:ser>
          <c:idx val="4"/>
          <c:order val="4"/>
          <c:tx>
            <c:strRef>
              <c:f>Summary!$BR$4</c:f>
              <c:strCache>
                <c:ptCount val="1"/>
                <c:pt idx="0">
                  <c:v>247</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Summary!$BR$10:$BR$25</c:f>
              <c:numCache>
                <c:formatCode>0.000_ ;[Red]\-0.000\ </c:formatCode>
                <c:ptCount val="16"/>
                <c:pt idx="0">
                  <c:v>-2.7000000000043656E-2</c:v>
                </c:pt>
                <c:pt idx="1">
                  <c:v>1.1000004769130101E-2</c:v>
                </c:pt>
                <c:pt idx="2">
                  <c:v>1.5000001192277068E-2</c:v>
                </c:pt>
                <c:pt idx="3">
                  <c:v>-1.2000000000000455E-2</c:v>
                </c:pt>
                <c:pt idx="4">
                  <c:v>-7.0000000000050022E-3</c:v>
                </c:pt>
                <c:pt idx="5">
                  <c:v>9.9999999999909051E-3</c:v>
                </c:pt>
                <c:pt idx="6">
                  <c:v>-8.9999952306243358E-3</c:v>
                </c:pt>
                <c:pt idx="7">
                  <c:v>-2.9999892690284469E-3</c:v>
                </c:pt>
                <c:pt idx="8">
                  <c:v>-4.2000000000030013E-2</c:v>
                </c:pt>
                <c:pt idx="9">
                  <c:v>-7.0999998807508291E-2</c:v>
                </c:pt>
                <c:pt idx="10">
                  <c:v>-2.7000000000043656E-2</c:v>
                </c:pt>
                <c:pt idx="11">
                  <c:v>5.4000001192150648E-2</c:v>
                </c:pt>
                <c:pt idx="12">
                  <c:v>6.7999999999983629E-2</c:v>
                </c:pt>
                <c:pt idx="13">
                  <c:v>4.00000119230981E-3</c:v>
                </c:pt>
                <c:pt idx="14">
                  <c:v>-7.8000000000031378E-2</c:v>
                </c:pt>
                <c:pt idx="15">
                  <c:v>-8.0999998807442353E-2</c:v>
                </c:pt>
              </c:numCache>
            </c:numRef>
          </c:val>
          <c:smooth val="0"/>
          <c:extLst>
            <c:ext xmlns:c16="http://schemas.microsoft.com/office/drawing/2014/chart" uri="{C3380CC4-5D6E-409C-BE32-E72D297353CC}">
              <c16:uniqueId val="{00000004-B20D-4935-A959-6183B069AE96}"/>
            </c:ext>
          </c:extLst>
        </c:ser>
        <c:ser>
          <c:idx val="5"/>
          <c:order val="5"/>
          <c:tx>
            <c:strRef>
              <c:f>Summary!$BS$4</c:f>
              <c:strCache>
                <c:ptCount val="1"/>
                <c:pt idx="0">
                  <c:v>248</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Summary!$BS$10:$BS$25</c:f>
              <c:numCache>
                <c:formatCode>0.000_ ;[Red]\-0.000\ </c:formatCode>
                <c:ptCount val="16"/>
                <c:pt idx="0">
                  <c:v>-3.9999988081262927E-3</c:v>
                </c:pt>
                <c:pt idx="1">
                  <c:v>3.4000201413959985E-2</c:v>
                </c:pt>
                <c:pt idx="2">
                  <c:v>3.8000000000010914E-2</c:v>
                </c:pt>
                <c:pt idx="3">
                  <c:v>-1.7999880805348312E-2</c:v>
                </c:pt>
                <c:pt idx="4">
                  <c:v>-5.9999999999718057E-3</c:v>
                </c:pt>
                <c:pt idx="5">
                  <c:v>9.0000965414560596E-3</c:v>
                </c:pt>
                <c:pt idx="6">
                  <c:v>4.0000011919119061E-3</c:v>
                </c:pt>
                <c:pt idx="7">
                  <c:v>1.4000042906843646E-2</c:v>
                </c:pt>
                <c:pt idx="8">
                  <c:v>-3.3999999999991815E-2</c:v>
                </c:pt>
                <c:pt idx="9">
                  <c:v>-7.6999957083899062E-2</c:v>
                </c:pt>
                <c:pt idx="10">
                  <c:v>-1.1000000000024102E-2</c:v>
                </c:pt>
                <c:pt idx="11">
                  <c:v>7.9999999999984084E-2</c:v>
                </c:pt>
                <c:pt idx="12">
                  <c:v>9.8000001191621777E-2</c:v>
                </c:pt>
                <c:pt idx="13">
                  <c:v>1.1000004767481641E-2</c:v>
                </c:pt>
                <c:pt idx="14">
                  <c:v>-8.4999999999979536E-2</c:v>
                </c:pt>
                <c:pt idx="15">
                  <c:v>-7.1999655483239167E-2</c:v>
                </c:pt>
              </c:numCache>
            </c:numRef>
          </c:val>
          <c:smooth val="0"/>
          <c:extLst>
            <c:ext xmlns:c16="http://schemas.microsoft.com/office/drawing/2014/chart" uri="{C3380CC4-5D6E-409C-BE32-E72D297353CC}">
              <c16:uniqueId val="{00000005-B20D-4935-A959-6183B069AE96}"/>
            </c:ext>
          </c:extLst>
        </c:ser>
        <c:ser>
          <c:idx val="6"/>
          <c:order val="6"/>
          <c:tx>
            <c:strRef>
              <c:f>Summary!$BT$4</c:f>
              <c:strCache>
                <c:ptCount val="1"/>
                <c:pt idx="0">
                  <c:v>Dwg Min</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Summary!$BT$10:$BT$25</c:f>
              <c:numCache>
                <c:formatCode>General</c:formatCode>
                <c:ptCount val="16"/>
                <c:pt idx="0">
                  <c:v>-3.2000000000000001E-2</c:v>
                </c:pt>
                <c:pt idx="1">
                  <c:v>-3.2000000000000001E-2</c:v>
                </c:pt>
                <c:pt idx="2">
                  <c:v>-3.2000000000000001E-2</c:v>
                </c:pt>
                <c:pt idx="3">
                  <c:v>-3.2000000000000001E-2</c:v>
                </c:pt>
                <c:pt idx="4">
                  <c:v>-3.2000000000000001E-2</c:v>
                </c:pt>
                <c:pt idx="5">
                  <c:v>-3.2000000000000001E-2</c:v>
                </c:pt>
                <c:pt idx="6">
                  <c:v>-3.2000000000000001E-2</c:v>
                </c:pt>
                <c:pt idx="7">
                  <c:v>-3.2000000000000001E-2</c:v>
                </c:pt>
                <c:pt idx="8">
                  <c:v>-3.2000000000000001E-2</c:v>
                </c:pt>
                <c:pt idx="9">
                  <c:v>-3.2000000000000001E-2</c:v>
                </c:pt>
                <c:pt idx="10">
                  <c:v>-3.2000000000000001E-2</c:v>
                </c:pt>
                <c:pt idx="11">
                  <c:v>-3.2000000000000001E-2</c:v>
                </c:pt>
                <c:pt idx="12">
                  <c:v>-3.2000000000000001E-2</c:v>
                </c:pt>
                <c:pt idx="13">
                  <c:v>-3.2000000000000001E-2</c:v>
                </c:pt>
                <c:pt idx="14">
                  <c:v>-3.2000000000000001E-2</c:v>
                </c:pt>
                <c:pt idx="15">
                  <c:v>-3.2000000000000001E-2</c:v>
                </c:pt>
              </c:numCache>
            </c:numRef>
          </c:val>
          <c:smooth val="0"/>
          <c:extLst>
            <c:ext xmlns:c16="http://schemas.microsoft.com/office/drawing/2014/chart" uri="{C3380CC4-5D6E-409C-BE32-E72D297353CC}">
              <c16:uniqueId val="{00000006-B20D-4935-A959-6183B069AE96}"/>
            </c:ext>
          </c:extLst>
        </c:ser>
        <c:ser>
          <c:idx val="7"/>
          <c:order val="7"/>
          <c:tx>
            <c:strRef>
              <c:f>Summary!$BU$4</c:f>
              <c:strCache>
                <c:ptCount val="1"/>
                <c:pt idx="0">
                  <c:v>Dwg Max</c:v>
                </c:pt>
              </c:strCache>
            </c:strRef>
          </c:tx>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Summary!$BU$10:$BU$25</c:f>
              <c:numCache>
                <c:formatCode>General</c:formatCode>
                <c:ptCount val="16"/>
                <c:pt idx="0">
                  <c:v>3.2000000000000001E-2</c:v>
                </c:pt>
                <c:pt idx="1">
                  <c:v>3.2000000000000001E-2</c:v>
                </c:pt>
                <c:pt idx="2">
                  <c:v>3.2000000000000001E-2</c:v>
                </c:pt>
                <c:pt idx="3">
                  <c:v>3.2000000000000001E-2</c:v>
                </c:pt>
                <c:pt idx="4">
                  <c:v>3.2000000000000001E-2</c:v>
                </c:pt>
                <c:pt idx="5">
                  <c:v>3.2000000000000001E-2</c:v>
                </c:pt>
                <c:pt idx="6">
                  <c:v>3.2000000000000001E-2</c:v>
                </c:pt>
                <c:pt idx="7">
                  <c:v>3.2000000000000001E-2</c:v>
                </c:pt>
                <c:pt idx="8">
                  <c:v>3.2000000000000001E-2</c:v>
                </c:pt>
                <c:pt idx="9">
                  <c:v>3.2000000000000001E-2</c:v>
                </c:pt>
                <c:pt idx="10">
                  <c:v>3.2000000000000001E-2</c:v>
                </c:pt>
                <c:pt idx="11">
                  <c:v>3.2000000000000001E-2</c:v>
                </c:pt>
                <c:pt idx="12">
                  <c:v>3.2000000000000001E-2</c:v>
                </c:pt>
                <c:pt idx="13">
                  <c:v>3.2000000000000001E-2</c:v>
                </c:pt>
                <c:pt idx="14">
                  <c:v>3.2000000000000001E-2</c:v>
                </c:pt>
                <c:pt idx="15">
                  <c:v>3.2000000000000001E-2</c:v>
                </c:pt>
              </c:numCache>
            </c:numRef>
          </c:val>
          <c:smooth val="0"/>
          <c:extLst>
            <c:ext xmlns:c16="http://schemas.microsoft.com/office/drawing/2014/chart" uri="{C3380CC4-5D6E-409C-BE32-E72D297353CC}">
              <c16:uniqueId val="{00000007-B20D-4935-A959-6183B069AE96}"/>
            </c:ext>
          </c:extLst>
        </c:ser>
        <c:dLbls>
          <c:showLegendKey val="0"/>
          <c:showVal val="0"/>
          <c:showCatName val="0"/>
          <c:showSerName val="0"/>
          <c:showPercent val="0"/>
          <c:showBubbleSize val="0"/>
        </c:dLbls>
        <c:marker val="1"/>
        <c:smooth val="0"/>
        <c:axId val="180490240"/>
        <c:axId val="175092800"/>
      </c:lineChart>
      <c:catAx>
        <c:axId val="18049024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5092800"/>
        <c:crosses val="autoZero"/>
        <c:auto val="1"/>
        <c:lblAlgn val="ctr"/>
        <c:lblOffset val="100"/>
        <c:noMultiLvlLbl val="0"/>
      </c:catAx>
      <c:valAx>
        <c:axId val="175092800"/>
        <c:scaling>
          <c:orientation val="minMax"/>
          <c:max val="0.2"/>
          <c:min val="-0.2"/>
        </c:scaling>
        <c:delete val="0"/>
        <c:axPos val="l"/>
        <c:majorGridlines/>
        <c:minorGridlines/>
        <c:numFmt formatCode="0.000_ ;[Red]\-0.000\ " sourceLinked="1"/>
        <c:majorTickMark val="cross"/>
        <c:minorTickMark val="none"/>
        <c:tickLblPos val="nextTo"/>
        <c:txPr>
          <a:bodyPr/>
          <a:lstStyle/>
          <a:p>
            <a:pPr>
              <a:defRPr lang="ja-JP"/>
            </a:pPr>
            <a:endParaRPr lang="en-US"/>
          </a:p>
        </c:txPr>
        <c:crossAx val="180490240"/>
        <c:crosses val="autoZero"/>
        <c:crossBetween val="between"/>
        <c:minorUnit val="5.000000000000001E-3"/>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Summary!$BN$4</c:f>
              <c:strCache>
                <c:ptCount val="1"/>
                <c:pt idx="0">
                  <c:v>243</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Summary!$BN$10:$BN$25</c:f>
              <c:numCache>
                <c:formatCode>0.000_ ;[Red]\-0.000\ </c:formatCode>
                <c:ptCount val="16"/>
                <c:pt idx="0">
                  <c:v>-1.999999999998181E-2</c:v>
                </c:pt>
                <c:pt idx="1">
                  <c:v>7.0000196315618268E-3</c:v>
                </c:pt>
                <c:pt idx="2">
                  <c:v>1.4999999999986358E-2</c:v>
                </c:pt>
                <c:pt idx="3">
                  <c:v>2.4000030672993944E-2</c:v>
                </c:pt>
                <c:pt idx="4">
                  <c:v>1.799999999997226E-2</c:v>
                </c:pt>
                <c:pt idx="5">
                  <c:v>1.9000001226970653E-2</c:v>
                </c:pt>
                <c:pt idx="6">
                  <c:v>-1.999995091978235E-3</c:v>
                </c:pt>
                <c:pt idx="7">
                  <c:v>-1.6999685876442072E-2</c:v>
                </c:pt>
                <c:pt idx="8">
                  <c:v>-2.9999999999972715E-2</c:v>
                </c:pt>
                <c:pt idx="9">
                  <c:v>-2.099998895647559E-2</c:v>
                </c:pt>
                <c:pt idx="10">
                  <c:v>1.0000012269983927E-3</c:v>
                </c:pt>
                <c:pt idx="11">
                  <c:v>5.2000030670910746E-2</c:v>
                </c:pt>
                <c:pt idx="12">
                  <c:v>4.5999999999992269E-2</c:v>
                </c:pt>
                <c:pt idx="13">
                  <c:v>2.0000001226890163E-2</c:v>
                </c:pt>
                <c:pt idx="14">
                  <c:v>-2.8999998772917479E-2</c:v>
                </c:pt>
                <c:pt idx="15">
                  <c:v>-3.6999939871861898E-2</c:v>
                </c:pt>
              </c:numCache>
            </c:numRef>
          </c:val>
          <c:extLst>
            <c:ext xmlns:c16="http://schemas.microsoft.com/office/drawing/2014/chart" uri="{C3380CC4-5D6E-409C-BE32-E72D297353CC}">
              <c16:uniqueId val="{00000000-9E3F-4D78-87A6-B11E8A37ABC6}"/>
            </c:ext>
          </c:extLst>
        </c:ser>
        <c:ser>
          <c:idx val="1"/>
          <c:order val="1"/>
          <c:tx>
            <c:strRef>
              <c:f>Summary!$BO$4</c:f>
              <c:strCache>
                <c:ptCount val="1"/>
                <c:pt idx="0">
                  <c:v>244</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Summary!$BO$10:$BO$25</c:f>
              <c:numCache>
                <c:formatCode>0.000_ ;[Red]\-0.000\ </c:formatCode>
                <c:ptCount val="16"/>
                <c:pt idx="0">
                  <c:v>-3.6000000000001364E-2</c:v>
                </c:pt>
                <c:pt idx="1">
                  <c:v>7.6683420502376975E-8</c:v>
                </c:pt>
                <c:pt idx="2">
                  <c:v>8.0000011981269381E-3</c:v>
                </c:pt>
                <c:pt idx="3">
                  <c:v>-4.9999952072425913E-3</c:v>
                </c:pt>
                <c:pt idx="4">
                  <c:v>-2.0000000000095497E-3</c:v>
                </c:pt>
                <c:pt idx="5">
                  <c:v>9.0000000000145519E-3</c:v>
                </c:pt>
                <c:pt idx="6">
                  <c:v>-5.9999988018262229E-3</c:v>
                </c:pt>
                <c:pt idx="7">
                  <c:v>-1.0999970044792917E-2</c:v>
                </c:pt>
                <c:pt idx="8">
                  <c:v>-4.0999999999996817E-2</c:v>
                </c:pt>
                <c:pt idx="9">
                  <c:v>-5.5999902934445345E-2</c:v>
                </c:pt>
                <c:pt idx="10">
                  <c:v>-1.9999998801779384E-2</c:v>
                </c:pt>
                <c:pt idx="11">
                  <c:v>4.0999999999996817E-2</c:v>
                </c:pt>
                <c:pt idx="12">
                  <c:v>4.5999999999992269E-2</c:v>
                </c:pt>
                <c:pt idx="13">
                  <c:v>-3.9999988018166732E-3</c:v>
                </c:pt>
                <c:pt idx="14">
                  <c:v>-6.7000000000007276E-2</c:v>
                </c:pt>
                <c:pt idx="15">
                  <c:v>-8.1999995206331278E-2</c:v>
                </c:pt>
              </c:numCache>
            </c:numRef>
          </c:val>
          <c:extLst>
            <c:ext xmlns:c16="http://schemas.microsoft.com/office/drawing/2014/chart" uri="{C3380CC4-5D6E-409C-BE32-E72D297353CC}">
              <c16:uniqueId val="{00000001-9E3F-4D78-87A6-B11E8A37ABC6}"/>
            </c:ext>
          </c:extLst>
        </c:ser>
        <c:ser>
          <c:idx val="2"/>
          <c:order val="2"/>
          <c:tx>
            <c:strRef>
              <c:f>Summary!$BP$4</c:f>
              <c:strCache>
                <c:ptCount val="1"/>
                <c:pt idx="0">
                  <c:v>245</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Summary!$BP$10:$BP$25</c:f>
              <c:numCache>
                <c:formatCode>0.000_ ;[Red]\-0.000\ </c:formatCode>
                <c:ptCount val="16"/>
                <c:pt idx="0">
                  <c:v>1.4999999999986358E-2</c:v>
                </c:pt>
                <c:pt idx="1">
                  <c:v>#N/A</c:v>
                </c:pt>
                <c:pt idx="2">
                  <c:v>9.9999999999909051E-3</c:v>
                </c:pt>
                <c:pt idx="3">
                  <c:v>#N/A</c:v>
                </c:pt>
                <c:pt idx="4">
                  <c:v>1.999999999998181E-2</c:v>
                </c:pt>
                <c:pt idx="5">
                  <c:v>#N/A</c:v>
                </c:pt>
                <c:pt idx="6">
                  <c:v>1.999999999998181E-2</c:v>
                </c:pt>
                <c:pt idx="7">
                  <c:v>#N/A</c:v>
                </c:pt>
                <c:pt idx="8">
                  <c:v>1.4999999999986358E-2</c:v>
                </c:pt>
                <c:pt idx="9">
                  <c:v>#N/A</c:v>
                </c:pt>
                <c:pt idx="10">
                  <c:v>9.9999999999909051E-3</c:v>
                </c:pt>
                <c:pt idx="11">
                  <c:v>#N/A</c:v>
                </c:pt>
                <c:pt idx="12">
                  <c:v>1.999999999998181E-2</c:v>
                </c:pt>
                <c:pt idx="13">
                  <c:v>#N/A</c:v>
                </c:pt>
                <c:pt idx="14">
                  <c:v>1.999999999998181E-2</c:v>
                </c:pt>
                <c:pt idx="15">
                  <c:v>#N/A</c:v>
                </c:pt>
              </c:numCache>
            </c:numRef>
          </c:val>
          <c:extLst>
            <c:ext xmlns:c16="http://schemas.microsoft.com/office/drawing/2014/chart" uri="{C3380CC4-5D6E-409C-BE32-E72D297353CC}">
              <c16:uniqueId val="{00000002-9E3F-4D78-87A6-B11E8A37ABC6}"/>
            </c:ext>
          </c:extLst>
        </c:ser>
        <c:ser>
          <c:idx val="3"/>
          <c:order val="3"/>
          <c:tx>
            <c:strRef>
              <c:f>Summary!$BQ$4</c:f>
              <c:strCache>
                <c:ptCount val="1"/>
                <c:pt idx="0">
                  <c:v>246</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Summary!$BQ$10:$BQ$25</c:f>
              <c:numCache>
                <c:formatCode>0.000_ ;[Red]\-0.000\ </c:formatCode>
                <c:ptCount val="16"/>
                <c:pt idx="0">
                  <c:v>-2.5999998802660684E-2</c:v>
                </c:pt>
                <c:pt idx="1">
                  <c:v>1.2000001197122856E-2</c:v>
                </c:pt>
                <c:pt idx="2">
                  <c:v>1.30000047885801E-2</c:v>
                </c:pt>
                <c:pt idx="3">
                  <c:v>-1.3999980844516813E-2</c:v>
                </c:pt>
                <c:pt idx="4">
                  <c:v>-1.299999880274072E-2</c:v>
                </c:pt>
                <c:pt idx="5">
                  <c:v>8.0000011971606E-3</c:v>
                </c:pt>
                <c:pt idx="6">
                  <c:v>-7.9999988028021107E-3</c:v>
                </c:pt>
                <c:pt idx="7">
                  <c:v>-9.9999999997635314E-4</c:v>
                </c:pt>
                <c:pt idx="8">
                  <c:v>-4.3999998802689788E-2</c:v>
                </c:pt>
                <c:pt idx="9">
                  <c:v>-7.8999797639141889E-2</c:v>
                </c:pt>
                <c:pt idx="10">
                  <c:v>-2.5999998802660684E-2</c:v>
                </c:pt>
                <c:pt idx="11">
                  <c:v>5.8000004788084425E-2</c:v>
                </c:pt>
                <c:pt idx="12">
                  <c:v>6.0000001197010988E-2</c:v>
                </c:pt>
                <c:pt idx="13">
                  <c:v>4.0000000000190994E-3</c:v>
                </c:pt>
                <c:pt idx="14">
                  <c:v>-8.9999998802511527E-2</c:v>
                </c:pt>
                <c:pt idx="15">
                  <c:v>-8.999998922308805E-2</c:v>
                </c:pt>
              </c:numCache>
            </c:numRef>
          </c:val>
          <c:extLst>
            <c:ext xmlns:c16="http://schemas.microsoft.com/office/drawing/2014/chart" uri="{C3380CC4-5D6E-409C-BE32-E72D297353CC}">
              <c16:uniqueId val="{00000003-9E3F-4D78-87A6-B11E8A37ABC6}"/>
            </c:ext>
          </c:extLst>
        </c:ser>
        <c:ser>
          <c:idx val="4"/>
          <c:order val="4"/>
          <c:tx>
            <c:strRef>
              <c:f>Summary!$BR$4</c:f>
              <c:strCache>
                <c:ptCount val="1"/>
                <c:pt idx="0">
                  <c:v>247</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Summary!$BR$10:$BR$25</c:f>
              <c:numCache>
                <c:formatCode>0.000_ ;[Red]\-0.000\ </c:formatCode>
                <c:ptCount val="16"/>
                <c:pt idx="0">
                  <c:v>-2.7000000000043656E-2</c:v>
                </c:pt>
                <c:pt idx="1">
                  <c:v>1.1000004769130101E-2</c:v>
                </c:pt>
                <c:pt idx="2">
                  <c:v>1.5000001192277068E-2</c:v>
                </c:pt>
                <c:pt idx="3">
                  <c:v>-1.2000000000000455E-2</c:v>
                </c:pt>
                <c:pt idx="4">
                  <c:v>-7.0000000000050022E-3</c:v>
                </c:pt>
                <c:pt idx="5">
                  <c:v>9.9999999999909051E-3</c:v>
                </c:pt>
                <c:pt idx="6">
                  <c:v>-8.9999952306243358E-3</c:v>
                </c:pt>
                <c:pt idx="7">
                  <c:v>-2.9999892690284469E-3</c:v>
                </c:pt>
                <c:pt idx="8">
                  <c:v>-4.2000000000030013E-2</c:v>
                </c:pt>
                <c:pt idx="9">
                  <c:v>-7.0999998807508291E-2</c:v>
                </c:pt>
                <c:pt idx="10">
                  <c:v>-2.7000000000043656E-2</c:v>
                </c:pt>
                <c:pt idx="11">
                  <c:v>5.4000001192150648E-2</c:v>
                </c:pt>
                <c:pt idx="12">
                  <c:v>6.7999999999983629E-2</c:v>
                </c:pt>
                <c:pt idx="13">
                  <c:v>4.00000119230981E-3</c:v>
                </c:pt>
                <c:pt idx="14">
                  <c:v>-7.8000000000031378E-2</c:v>
                </c:pt>
                <c:pt idx="15">
                  <c:v>-8.0999998807442353E-2</c:v>
                </c:pt>
              </c:numCache>
            </c:numRef>
          </c:val>
          <c:extLst>
            <c:ext xmlns:c16="http://schemas.microsoft.com/office/drawing/2014/chart" uri="{C3380CC4-5D6E-409C-BE32-E72D297353CC}">
              <c16:uniqueId val="{00000004-9E3F-4D78-87A6-B11E8A37ABC6}"/>
            </c:ext>
          </c:extLst>
        </c:ser>
        <c:ser>
          <c:idx val="5"/>
          <c:order val="5"/>
          <c:tx>
            <c:strRef>
              <c:f>Summary!$BS$4</c:f>
              <c:strCache>
                <c:ptCount val="1"/>
                <c:pt idx="0">
                  <c:v>248</c:v>
                </c:pt>
              </c:strCache>
            </c:strRef>
          </c:tx>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Summary!$BS$10:$BS$25</c:f>
              <c:numCache>
                <c:formatCode>0.000_ ;[Red]\-0.000\ </c:formatCode>
                <c:ptCount val="16"/>
                <c:pt idx="0">
                  <c:v>-3.9999988081262927E-3</c:v>
                </c:pt>
                <c:pt idx="1">
                  <c:v>3.4000201413959985E-2</c:v>
                </c:pt>
                <c:pt idx="2">
                  <c:v>3.8000000000010914E-2</c:v>
                </c:pt>
                <c:pt idx="3">
                  <c:v>-1.7999880805348312E-2</c:v>
                </c:pt>
                <c:pt idx="4">
                  <c:v>-5.9999999999718057E-3</c:v>
                </c:pt>
                <c:pt idx="5">
                  <c:v>9.0000965414560596E-3</c:v>
                </c:pt>
                <c:pt idx="6">
                  <c:v>4.0000011919119061E-3</c:v>
                </c:pt>
                <c:pt idx="7">
                  <c:v>1.4000042906843646E-2</c:v>
                </c:pt>
                <c:pt idx="8">
                  <c:v>-3.3999999999991815E-2</c:v>
                </c:pt>
                <c:pt idx="9">
                  <c:v>-7.6999957083899062E-2</c:v>
                </c:pt>
                <c:pt idx="10">
                  <c:v>-1.1000000000024102E-2</c:v>
                </c:pt>
                <c:pt idx="11">
                  <c:v>7.9999999999984084E-2</c:v>
                </c:pt>
                <c:pt idx="12">
                  <c:v>9.8000001191621777E-2</c:v>
                </c:pt>
                <c:pt idx="13">
                  <c:v>1.1000004767481641E-2</c:v>
                </c:pt>
                <c:pt idx="14">
                  <c:v>-8.4999999999979536E-2</c:v>
                </c:pt>
                <c:pt idx="15">
                  <c:v>-7.1999655483239167E-2</c:v>
                </c:pt>
              </c:numCache>
            </c:numRef>
          </c:val>
          <c:extLst>
            <c:ext xmlns:c16="http://schemas.microsoft.com/office/drawing/2014/chart" uri="{C3380CC4-5D6E-409C-BE32-E72D297353CC}">
              <c16:uniqueId val="{00000005-9E3F-4D78-87A6-B11E8A37ABC6}"/>
            </c:ext>
          </c:extLst>
        </c:ser>
        <c:ser>
          <c:idx val="6"/>
          <c:order val="6"/>
          <c:tx>
            <c:strRef>
              <c:f>Summary!$BT$4</c:f>
              <c:strCache>
                <c:ptCount val="1"/>
                <c:pt idx="0">
                  <c:v>Dwg Min</c:v>
                </c:pt>
              </c:strCache>
            </c:strRef>
          </c:tx>
          <c:spPr>
            <a:ln>
              <a:prstDash val="dash"/>
            </a:ln>
          </c:spPr>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Summary!$BT$10:$BT$25</c:f>
              <c:numCache>
                <c:formatCode>General</c:formatCode>
                <c:ptCount val="16"/>
                <c:pt idx="0">
                  <c:v>-3.2000000000000001E-2</c:v>
                </c:pt>
                <c:pt idx="1">
                  <c:v>-3.2000000000000001E-2</c:v>
                </c:pt>
                <c:pt idx="2">
                  <c:v>-3.2000000000000001E-2</c:v>
                </c:pt>
                <c:pt idx="3">
                  <c:v>-3.2000000000000001E-2</c:v>
                </c:pt>
                <c:pt idx="4">
                  <c:v>-3.2000000000000001E-2</c:v>
                </c:pt>
                <c:pt idx="5">
                  <c:v>-3.2000000000000001E-2</c:v>
                </c:pt>
                <c:pt idx="6">
                  <c:v>-3.2000000000000001E-2</c:v>
                </c:pt>
                <c:pt idx="7">
                  <c:v>-3.2000000000000001E-2</c:v>
                </c:pt>
                <c:pt idx="8">
                  <c:v>-3.2000000000000001E-2</c:v>
                </c:pt>
                <c:pt idx="9">
                  <c:v>-3.2000000000000001E-2</c:v>
                </c:pt>
                <c:pt idx="10">
                  <c:v>-3.2000000000000001E-2</c:v>
                </c:pt>
                <c:pt idx="11">
                  <c:v>-3.2000000000000001E-2</c:v>
                </c:pt>
                <c:pt idx="12">
                  <c:v>-3.2000000000000001E-2</c:v>
                </c:pt>
                <c:pt idx="13">
                  <c:v>-3.2000000000000001E-2</c:v>
                </c:pt>
                <c:pt idx="14">
                  <c:v>-3.2000000000000001E-2</c:v>
                </c:pt>
                <c:pt idx="15">
                  <c:v>-3.2000000000000001E-2</c:v>
                </c:pt>
              </c:numCache>
            </c:numRef>
          </c:val>
          <c:extLst>
            <c:ext xmlns:c16="http://schemas.microsoft.com/office/drawing/2014/chart" uri="{C3380CC4-5D6E-409C-BE32-E72D297353CC}">
              <c16:uniqueId val="{00000006-9E3F-4D78-87A6-B11E8A37ABC6}"/>
            </c:ext>
          </c:extLst>
        </c:ser>
        <c:ser>
          <c:idx val="7"/>
          <c:order val="7"/>
          <c:tx>
            <c:strRef>
              <c:f>Summary!$BU$4</c:f>
              <c:strCache>
                <c:ptCount val="1"/>
                <c:pt idx="0">
                  <c:v>Dwg Max</c:v>
                </c:pt>
              </c:strCache>
            </c:strRef>
          </c:tx>
          <c:spPr>
            <a:ln>
              <a:prstDash val="dash"/>
            </a:ln>
          </c:spPr>
          <c:marker>
            <c:symbol val="none"/>
          </c:marker>
          <c:cat>
            <c:numRef>
              <c:f>Summary!$BD$10:$BD$25</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Summary!$BU$10:$BU$25</c:f>
              <c:numCache>
                <c:formatCode>General</c:formatCode>
                <c:ptCount val="16"/>
                <c:pt idx="0">
                  <c:v>3.2000000000000001E-2</c:v>
                </c:pt>
                <c:pt idx="1">
                  <c:v>3.2000000000000001E-2</c:v>
                </c:pt>
                <c:pt idx="2">
                  <c:v>3.2000000000000001E-2</c:v>
                </c:pt>
                <c:pt idx="3">
                  <c:v>3.2000000000000001E-2</c:v>
                </c:pt>
                <c:pt idx="4">
                  <c:v>3.2000000000000001E-2</c:v>
                </c:pt>
                <c:pt idx="5">
                  <c:v>3.2000000000000001E-2</c:v>
                </c:pt>
                <c:pt idx="6">
                  <c:v>3.2000000000000001E-2</c:v>
                </c:pt>
                <c:pt idx="7">
                  <c:v>3.2000000000000001E-2</c:v>
                </c:pt>
                <c:pt idx="8">
                  <c:v>3.2000000000000001E-2</c:v>
                </c:pt>
                <c:pt idx="9">
                  <c:v>3.2000000000000001E-2</c:v>
                </c:pt>
                <c:pt idx="10">
                  <c:v>3.2000000000000001E-2</c:v>
                </c:pt>
                <c:pt idx="11">
                  <c:v>3.2000000000000001E-2</c:v>
                </c:pt>
                <c:pt idx="12">
                  <c:v>3.2000000000000001E-2</c:v>
                </c:pt>
                <c:pt idx="13">
                  <c:v>3.2000000000000001E-2</c:v>
                </c:pt>
                <c:pt idx="14">
                  <c:v>3.2000000000000001E-2</c:v>
                </c:pt>
                <c:pt idx="15">
                  <c:v>3.2000000000000001E-2</c:v>
                </c:pt>
              </c:numCache>
            </c:numRef>
          </c:val>
          <c:extLst>
            <c:ext xmlns:c16="http://schemas.microsoft.com/office/drawing/2014/chart" uri="{C3380CC4-5D6E-409C-BE32-E72D297353CC}">
              <c16:uniqueId val="{00000007-9E3F-4D78-87A6-B11E8A37ABC6}"/>
            </c:ext>
          </c:extLst>
        </c:ser>
        <c:dLbls>
          <c:showLegendKey val="0"/>
          <c:showVal val="0"/>
          <c:showCatName val="0"/>
          <c:showSerName val="0"/>
          <c:showPercent val="0"/>
          <c:showBubbleSize val="0"/>
        </c:dLbls>
        <c:axId val="180491264"/>
        <c:axId val="175095104"/>
      </c:radarChart>
      <c:catAx>
        <c:axId val="18049126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5095104"/>
        <c:crosses val="autoZero"/>
        <c:auto val="1"/>
        <c:lblAlgn val="ctr"/>
        <c:lblOffset val="100"/>
        <c:noMultiLvlLbl val="0"/>
      </c:catAx>
      <c:valAx>
        <c:axId val="175095104"/>
        <c:scaling>
          <c:orientation val="minMax"/>
          <c:max val="0.15000000000000002"/>
          <c:min val="-0.2"/>
        </c:scaling>
        <c:delete val="0"/>
        <c:axPos val="l"/>
        <c:majorGridlines/>
        <c:numFmt formatCode="0.000_ ;[Red]\-0.000\ " sourceLinked="1"/>
        <c:majorTickMark val="cross"/>
        <c:minorTickMark val="none"/>
        <c:tickLblPos val="nextTo"/>
        <c:txPr>
          <a:bodyPr/>
          <a:lstStyle/>
          <a:p>
            <a:pPr>
              <a:defRPr lang="ja-JP"/>
            </a:pPr>
            <a:endParaRPr lang="en-US"/>
          </a:p>
        </c:txPr>
        <c:crossAx val="180491264"/>
        <c:crosses val="autoZero"/>
        <c:crossBetween val="between"/>
        <c:minorUnit val="5.000000000000001E-3"/>
      </c:valAx>
    </c:plotArea>
    <c:legend>
      <c:legendPos val="r"/>
      <c:overlay val="0"/>
      <c:txPr>
        <a:bodyPr/>
        <a:lstStyle/>
        <a:p>
          <a:pPr>
            <a:defRPr lang="ja-JP"/>
          </a:pPr>
          <a:endParaRPr lang="en-US"/>
        </a:p>
      </c:txPr>
    </c:legend>
    <c:plotVisOnly val="1"/>
    <c:dispBlanksAs val="span"/>
    <c:showDLblsOverMax val="0"/>
  </c:chart>
  <c:txPr>
    <a:bodyPr/>
    <a:lstStyle/>
    <a:p>
      <a:pPr>
        <a:defRPr sz="1400"/>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Summary!$CA$6:$CE$6</c:f>
              <c:strCache>
                <c:ptCount val="5"/>
                <c:pt idx="0">
                  <c:v>Shroud</c:v>
                </c:pt>
                <c:pt idx="1">
                  <c:v>Stg.1</c:v>
                </c:pt>
                <c:pt idx="2">
                  <c:v>105</c:v>
                </c:pt>
                <c:pt idx="3">
                  <c:v>236</c:v>
                </c:pt>
                <c:pt idx="4">
                  <c:v>Max</c:v>
                </c:pt>
              </c:strCache>
            </c:strRef>
          </c:tx>
          <c:cat>
            <c:strRef>
              <c:f>Summary!$CI$5:$CJ$5</c:f>
              <c:strCache>
                <c:ptCount val="2"/>
                <c:pt idx="0">
                  <c:v>Fwd</c:v>
                </c:pt>
                <c:pt idx="1">
                  <c:v>Aft</c:v>
                </c:pt>
              </c:strCache>
            </c:strRef>
          </c:cat>
          <c:val>
            <c:numRef>
              <c:f>Summary!$CI$6:$CJ$6</c:f>
              <c:numCache>
                <c:formatCode>0.000</c:formatCode>
                <c:ptCount val="2"/>
                <c:pt idx="0">
                  <c:v>-0.13255555018992027</c:v>
                </c:pt>
                <c:pt idx="1">
                  <c:v>-2.9977756599123495E-2</c:v>
                </c:pt>
              </c:numCache>
            </c:numRef>
          </c:val>
          <c:smooth val="0"/>
          <c:extLst>
            <c:ext xmlns:c16="http://schemas.microsoft.com/office/drawing/2014/chart" uri="{C3380CC4-5D6E-409C-BE32-E72D297353CC}">
              <c16:uniqueId val="{00000000-5453-4C90-8297-5D71795DA19C}"/>
            </c:ext>
          </c:extLst>
        </c:ser>
        <c:ser>
          <c:idx val="1"/>
          <c:order val="1"/>
          <c:tx>
            <c:strRef>
              <c:f>Summary!$CA$7:$CE$7</c:f>
              <c:strCache>
                <c:ptCount val="5"/>
                <c:pt idx="0">
                  <c:v>Shroud</c:v>
                </c:pt>
                <c:pt idx="1">
                  <c:v>Stg.1</c:v>
                </c:pt>
                <c:pt idx="2">
                  <c:v>105</c:v>
                </c:pt>
                <c:pt idx="3">
                  <c:v>236</c:v>
                </c:pt>
                <c:pt idx="4">
                  <c:v>Min</c:v>
                </c:pt>
              </c:strCache>
            </c:strRef>
          </c:tx>
          <c:cat>
            <c:strRef>
              <c:f>Summary!$CI$5:$CJ$5</c:f>
              <c:strCache>
                <c:ptCount val="2"/>
                <c:pt idx="0">
                  <c:v>Fwd</c:v>
                </c:pt>
                <c:pt idx="1">
                  <c:v>Aft</c:v>
                </c:pt>
              </c:strCache>
            </c:strRef>
          </c:cat>
          <c:val>
            <c:numRef>
              <c:f>Summary!$CI$7:$CJ$7</c:f>
              <c:numCache>
                <c:formatCode>0.000</c:formatCode>
                <c:ptCount val="2"/>
                <c:pt idx="0">
                  <c:v>6.3755555898524108E-2</c:v>
                </c:pt>
                <c:pt idx="1">
                  <c:v>1.5444445897458081E-2</c:v>
                </c:pt>
              </c:numCache>
            </c:numRef>
          </c:val>
          <c:smooth val="0"/>
          <c:extLst>
            <c:ext xmlns:c16="http://schemas.microsoft.com/office/drawing/2014/chart" uri="{C3380CC4-5D6E-409C-BE32-E72D297353CC}">
              <c16:uniqueId val="{00000001-5453-4C90-8297-5D71795DA19C}"/>
            </c:ext>
          </c:extLst>
        </c:ser>
        <c:ser>
          <c:idx val="2"/>
          <c:order val="2"/>
          <c:tx>
            <c:strRef>
              <c:f>Summary!$CA$8:$CE$8</c:f>
              <c:strCache>
                <c:ptCount val="5"/>
                <c:pt idx="0">
                  <c:v>Shroud</c:v>
                </c:pt>
                <c:pt idx="1">
                  <c:v>Stg.2</c:v>
                </c:pt>
                <c:pt idx="2">
                  <c:v>238</c:v>
                </c:pt>
                <c:pt idx="3">
                  <c:v>240</c:v>
                </c:pt>
                <c:pt idx="4">
                  <c:v>Max</c:v>
                </c:pt>
              </c:strCache>
            </c:strRef>
          </c:tx>
          <c:cat>
            <c:strRef>
              <c:f>Summary!$CI$5:$CJ$5</c:f>
              <c:strCache>
                <c:ptCount val="2"/>
                <c:pt idx="0">
                  <c:v>Fwd</c:v>
                </c:pt>
                <c:pt idx="1">
                  <c:v>Aft</c:v>
                </c:pt>
              </c:strCache>
            </c:strRef>
          </c:cat>
          <c:val>
            <c:numRef>
              <c:f>Summary!$CI$8:$CJ$8</c:f>
              <c:numCache>
                <c:formatCode>0.000</c:formatCode>
                <c:ptCount val="2"/>
                <c:pt idx="0">
                  <c:v>-4.7633264466639957E-3</c:v>
                </c:pt>
                <c:pt idx="1">
                  <c:v>3.0444563600440233E-4</c:v>
                </c:pt>
              </c:numCache>
            </c:numRef>
          </c:val>
          <c:smooth val="0"/>
          <c:extLst>
            <c:ext xmlns:c16="http://schemas.microsoft.com/office/drawing/2014/chart" uri="{C3380CC4-5D6E-409C-BE32-E72D297353CC}">
              <c16:uniqueId val="{00000002-5453-4C90-8297-5D71795DA19C}"/>
            </c:ext>
          </c:extLst>
        </c:ser>
        <c:ser>
          <c:idx val="3"/>
          <c:order val="3"/>
          <c:tx>
            <c:strRef>
              <c:f>Summary!$CA$9:$CE$9</c:f>
              <c:strCache>
                <c:ptCount val="5"/>
                <c:pt idx="0">
                  <c:v>Shroud</c:v>
                </c:pt>
                <c:pt idx="1">
                  <c:v>Stg.2</c:v>
                </c:pt>
                <c:pt idx="2">
                  <c:v>238</c:v>
                </c:pt>
                <c:pt idx="3">
                  <c:v>240</c:v>
                </c:pt>
                <c:pt idx="4">
                  <c:v>Min</c:v>
                </c:pt>
              </c:strCache>
            </c:strRef>
          </c:tx>
          <c:cat>
            <c:strRef>
              <c:f>Summary!$CI$5:$CJ$5</c:f>
              <c:strCache>
                <c:ptCount val="2"/>
                <c:pt idx="0">
                  <c:v>Fwd</c:v>
                </c:pt>
                <c:pt idx="1">
                  <c:v>Aft</c:v>
                </c:pt>
              </c:strCache>
            </c:strRef>
          </c:cat>
          <c:val>
            <c:numRef>
              <c:f>Summary!$CI$9:$CJ$9</c:f>
              <c:numCache>
                <c:formatCode>0.000</c:formatCode>
                <c:ptCount val="2"/>
                <c:pt idx="0">
                  <c:v>2.498000355063823E-2</c:v>
                </c:pt>
                <c:pt idx="1">
                  <c:v>1.2213336135687314E-2</c:v>
                </c:pt>
              </c:numCache>
            </c:numRef>
          </c:val>
          <c:smooth val="0"/>
          <c:extLst>
            <c:ext xmlns:c16="http://schemas.microsoft.com/office/drawing/2014/chart" uri="{C3380CC4-5D6E-409C-BE32-E72D297353CC}">
              <c16:uniqueId val="{00000003-5453-4C90-8297-5D71795DA19C}"/>
            </c:ext>
          </c:extLst>
        </c:ser>
        <c:ser>
          <c:idx val="4"/>
          <c:order val="4"/>
          <c:tx>
            <c:strRef>
              <c:f>Summary!$CA$10:$CE$10</c:f>
              <c:strCache>
                <c:ptCount val="5"/>
                <c:pt idx="0">
                  <c:v>Shroud</c:v>
                </c:pt>
                <c:pt idx="1">
                  <c:v>Stg.3</c:v>
                </c:pt>
                <c:pt idx="2">
                  <c:v>242</c:v>
                </c:pt>
                <c:pt idx="3">
                  <c:v>244</c:v>
                </c:pt>
                <c:pt idx="4">
                  <c:v>Max</c:v>
                </c:pt>
              </c:strCache>
            </c:strRef>
          </c:tx>
          <c:cat>
            <c:strRef>
              <c:f>Summary!$CI$5:$CJ$5</c:f>
              <c:strCache>
                <c:ptCount val="2"/>
                <c:pt idx="0">
                  <c:v>Fwd</c:v>
                </c:pt>
                <c:pt idx="1">
                  <c:v>Aft</c:v>
                </c:pt>
              </c:strCache>
            </c:strRef>
          </c:cat>
          <c:val>
            <c:numRef>
              <c:f>Summary!$CI$10:$CJ$10</c:f>
              <c:numCache>
                <c:formatCode>0.000</c:formatCode>
                <c:ptCount val="2"/>
                <c:pt idx="0">
                  <c:v>-1.6750108471796921E-3</c:v>
                </c:pt>
                <c:pt idx="1">
                  <c:v>-1.5610559974732041E-2</c:v>
                </c:pt>
              </c:numCache>
            </c:numRef>
          </c:val>
          <c:smooth val="0"/>
          <c:extLst>
            <c:ext xmlns:c16="http://schemas.microsoft.com/office/drawing/2014/chart" uri="{C3380CC4-5D6E-409C-BE32-E72D297353CC}">
              <c16:uniqueId val="{00000004-5453-4C90-8297-5D71795DA19C}"/>
            </c:ext>
          </c:extLst>
        </c:ser>
        <c:ser>
          <c:idx val="5"/>
          <c:order val="5"/>
          <c:tx>
            <c:strRef>
              <c:f>Summary!$CA$11:$CE$11</c:f>
              <c:strCache>
                <c:ptCount val="5"/>
                <c:pt idx="0">
                  <c:v>Shroud</c:v>
                </c:pt>
                <c:pt idx="1">
                  <c:v>Stg.3</c:v>
                </c:pt>
                <c:pt idx="2">
                  <c:v>242</c:v>
                </c:pt>
                <c:pt idx="3">
                  <c:v>244</c:v>
                </c:pt>
                <c:pt idx="4">
                  <c:v>Min</c:v>
                </c:pt>
              </c:strCache>
            </c:strRef>
          </c:tx>
          <c:cat>
            <c:strRef>
              <c:f>Summary!$CI$5:$CJ$5</c:f>
              <c:strCache>
                <c:ptCount val="2"/>
                <c:pt idx="0">
                  <c:v>Fwd</c:v>
                </c:pt>
                <c:pt idx="1">
                  <c:v>Aft</c:v>
                </c:pt>
              </c:strCache>
            </c:strRef>
          </c:cat>
          <c:val>
            <c:numRef>
              <c:f>Summary!$CI$11:$CJ$11</c:f>
              <c:numCache>
                <c:formatCode>0.000</c:formatCode>
                <c:ptCount val="2"/>
                <c:pt idx="0">
                  <c:v>-2.4837962088668064E-2</c:v>
                </c:pt>
                <c:pt idx="1">
                  <c:v>-7.6549880931679581E-2</c:v>
                </c:pt>
              </c:numCache>
            </c:numRef>
          </c:val>
          <c:smooth val="0"/>
          <c:extLst>
            <c:ext xmlns:c16="http://schemas.microsoft.com/office/drawing/2014/chart" uri="{C3380CC4-5D6E-409C-BE32-E72D297353CC}">
              <c16:uniqueId val="{00000005-5453-4C90-8297-5D71795DA19C}"/>
            </c:ext>
          </c:extLst>
        </c:ser>
        <c:ser>
          <c:idx val="6"/>
          <c:order val="6"/>
          <c:tx>
            <c:strRef>
              <c:f>Summary!$CA$12:$CE$12</c:f>
              <c:strCache>
                <c:ptCount val="5"/>
                <c:pt idx="0">
                  <c:v>Shroud</c:v>
                </c:pt>
                <c:pt idx="1">
                  <c:v>Stg.4</c:v>
                </c:pt>
                <c:pt idx="2">
                  <c:v>246</c:v>
                </c:pt>
                <c:pt idx="3">
                  <c:v>248</c:v>
                </c:pt>
                <c:pt idx="4">
                  <c:v>Max</c:v>
                </c:pt>
              </c:strCache>
            </c:strRef>
          </c:tx>
          <c:cat>
            <c:strRef>
              <c:f>Summary!$CI$5:$CJ$5</c:f>
              <c:strCache>
                <c:ptCount val="2"/>
                <c:pt idx="0">
                  <c:v>Fwd</c:v>
                </c:pt>
                <c:pt idx="1">
                  <c:v>Aft</c:v>
                </c:pt>
              </c:strCache>
            </c:strRef>
          </c:cat>
          <c:val>
            <c:numRef>
              <c:f>Summary!$CI$12:$CJ$12</c:f>
              <c:numCache>
                <c:formatCode>0.000</c:formatCode>
                <c:ptCount val="2"/>
                <c:pt idx="0">
                  <c:v>4.8965334808031002E-2</c:v>
                </c:pt>
                <c:pt idx="1">
                  <c:v>7.8752001709744945E-2</c:v>
                </c:pt>
              </c:numCache>
            </c:numRef>
          </c:val>
          <c:smooth val="0"/>
          <c:extLst>
            <c:ext xmlns:c16="http://schemas.microsoft.com/office/drawing/2014/chart" uri="{C3380CC4-5D6E-409C-BE32-E72D297353CC}">
              <c16:uniqueId val="{00000006-5453-4C90-8297-5D71795DA19C}"/>
            </c:ext>
          </c:extLst>
        </c:ser>
        <c:ser>
          <c:idx val="7"/>
          <c:order val="7"/>
          <c:tx>
            <c:strRef>
              <c:f>Summary!$CA$13:$CE$13</c:f>
              <c:strCache>
                <c:ptCount val="5"/>
                <c:pt idx="0">
                  <c:v>Shroud</c:v>
                </c:pt>
                <c:pt idx="1">
                  <c:v>Stg.4</c:v>
                </c:pt>
                <c:pt idx="2">
                  <c:v>246</c:v>
                </c:pt>
                <c:pt idx="3">
                  <c:v>248</c:v>
                </c:pt>
                <c:pt idx="4">
                  <c:v>Min</c:v>
                </c:pt>
              </c:strCache>
            </c:strRef>
          </c:tx>
          <c:cat>
            <c:strRef>
              <c:f>Summary!$CI$5:$CJ$5</c:f>
              <c:strCache>
                <c:ptCount val="2"/>
                <c:pt idx="0">
                  <c:v>Fwd</c:v>
                </c:pt>
                <c:pt idx="1">
                  <c:v>Aft</c:v>
                </c:pt>
              </c:strCache>
            </c:strRef>
          </c:cat>
          <c:val>
            <c:numRef>
              <c:f>Summary!$CI$13:$CJ$13</c:f>
              <c:numCache>
                <c:formatCode>0.000</c:formatCode>
                <c:ptCount val="2"/>
                <c:pt idx="0">
                  <c:v>-1.3615987740479341E-2</c:v>
                </c:pt>
                <c:pt idx="1">
                  <c:v>-1.3391926576105107E-2</c:v>
                </c:pt>
              </c:numCache>
            </c:numRef>
          </c:val>
          <c:smooth val="0"/>
          <c:extLst>
            <c:ext xmlns:c16="http://schemas.microsoft.com/office/drawing/2014/chart" uri="{C3380CC4-5D6E-409C-BE32-E72D297353CC}">
              <c16:uniqueId val="{00000007-5453-4C90-8297-5D71795DA19C}"/>
            </c:ext>
          </c:extLst>
        </c:ser>
        <c:dLbls>
          <c:showLegendKey val="0"/>
          <c:showVal val="0"/>
          <c:showCatName val="0"/>
          <c:showSerName val="0"/>
          <c:showPercent val="0"/>
          <c:showBubbleSize val="0"/>
        </c:dLbls>
        <c:marker val="1"/>
        <c:smooth val="0"/>
        <c:axId val="180492288"/>
        <c:axId val="175335104"/>
      </c:lineChart>
      <c:catAx>
        <c:axId val="18049228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5335104"/>
        <c:crosses val="autoZero"/>
        <c:auto val="1"/>
        <c:lblAlgn val="ctr"/>
        <c:lblOffset val="100"/>
        <c:noMultiLvlLbl val="0"/>
      </c:catAx>
      <c:valAx>
        <c:axId val="175335104"/>
        <c:scaling>
          <c:orientation val="minMax"/>
          <c:max val="0.2"/>
          <c:min val="-0.2"/>
        </c:scaling>
        <c:delete val="0"/>
        <c:axPos val="l"/>
        <c:majorGridlines/>
        <c:numFmt formatCode="0.000" sourceLinked="1"/>
        <c:majorTickMark val="cross"/>
        <c:minorTickMark val="none"/>
        <c:tickLblPos val="nextTo"/>
        <c:txPr>
          <a:bodyPr/>
          <a:lstStyle/>
          <a:p>
            <a:pPr>
              <a:defRPr lang="ja-JP"/>
            </a:pPr>
            <a:endParaRPr lang="en-US"/>
          </a:p>
        </c:txPr>
        <c:crossAx val="180492288"/>
        <c:crosses val="autoZero"/>
        <c:crossBetween val="between"/>
        <c:majorUnit val="5.000000000000001E-2"/>
      </c:valAx>
    </c:plotArea>
    <c:legend>
      <c:legendPos val="r"/>
      <c:overlay val="0"/>
      <c:txPr>
        <a:bodyPr/>
        <a:lstStyle/>
        <a:p>
          <a:pPr>
            <a:defRPr lang="ja-JP"/>
          </a:pPr>
          <a:endParaRPr lang="en-US"/>
        </a:p>
      </c:txPr>
    </c:legend>
    <c:plotVisOnly val="1"/>
    <c:dispBlanksAs val="span"/>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Summary!$CA$14:$CE$14</c:f>
              <c:strCache>
                <c:ptCount val="5"/>
                <c:pt idx="0">
                  <c:v>Nozzle</c:v>
                </c:pt>
                <c:pt idx="1">
                  <c:v>Stg.2</c:v>
                </c:pt>
                <c:pt idx="2">
                  <c:v>237</c:v>
                </c:pt>
                <c:pt idx="3">
                  <c:v>239</c:v>
                </c:pt>
                <c:pt idx="4">
                  <c:v>Max</c:v>
                </c:pt>
              </c:strCache>
            </c:strRef>
          </c:tx>
          <c:cat>
            <c:strRef>
              <c:f>Summary!$CI$5:$CJ$5</c:f>
              <c:strCache>
                <c:ptCount val="2"/>
                <c:pt idx="0">
                  <c:v>Fwd</c:v>
                </c:pt>
                <c:pt idx="1">
                  <c:v>Aft</c:v>
                </c:pt>
              </c:strCache>
            </c:strRef>
          </c:cat>
          <c:val>
            <c:numRef>
              <c:f>Summary!$CI$14:$CJ$14</c:f>
              <c:numCache>
                <c:formatCode>0.000</c:formatCode>
                <c:ptCount val="2"/>
                <c:pt idx="0">
                  <c:v>-3.6799990006898042E-2</c:v>
                </c:pt>
                <c:pt idx="1">
                  <c:v>-3.3988879347361944E-2</c:v>
                </c:pt>
              </c:numCache>
            </c:numRef>
          </c:val>
          <c:smooth val="0"/>
          <c:extLst>
            <c:ext xmlns:c16="http://schemas.microsoft.com/office/drawing/2014/chart" uri="{C3380CC4-5D6E-409C-BE32-E72D297353CC}">
              <c16:uniqueId val="{00000000-1044-4D79-B867-5B53C931C126}"/>
            </c:ext>
          </c:extLst>
        </c:ser>
        <c:ser>
          <c:idx val="1"/>
          <c:order val="1"/>
          <c:tx>
            <c:strRef>
              <c:f>Summary!$CA$15:$CE$15</c:f>
              <c:strCache>
                <c:ptCount val="5"/>
                <c:pt idx="0">
                  <c:v>Nozzle</c:v>
                </c:pt>
                <c:pt idx="1">
                  <c:v>Stg.2</c:v>
                </c:pt>
                <c:pt idx="2">
                  <c:v>237</c:v>
                </c:pt>
                <c:pt idx="3">
                  <c:v>239</c:v>
                </c:pt>
                <c:pt idx="4">
                  <c:v>Min</c:v>
                </c:pt>
              </c:strCache>
            </c:strRef>
          </c:tx>
          <c:cat>
            <c:strRef>
              <c:f>Summary!$CI$5:$CJ$5</c:f>
              <c:strCache>
                <c:ptCount val="2"/>
                <c:pt idx="0">
                  <c:v>Fwd</c:v>
                </c:pt>
                <c:pt idx="1">
                  <c:v>Aft</c:v>
                </c:pt>
              </c:strCache>
            </c:strRef>
          </c:cat>
          <c:val>
            <c:numRef>
              <c:f>Summary!$CI$15:$CJ$15</c:f>
              <c:numCache>
                <c:formatCode>0.000</c:formatCode>
                <c:ptCount val="2"/>
                <c:pt idx="0">
                  <c:v>-1.9666665283068596E-2</c:v>
                </c:pt>
                <c:pt idx="1">
                  <c:v>-3.9066666666656147E-2</c:v>
                </c:pt>
              </c:numCache>
            </c:numRef>
          </c:val>
          <c:smooth val="0"/>
          <c:extLst>
            <c:ext xmlns:c16="http://schemas.microsoft.com/office/drawing/2014/chart" uri="{C3380CC4-5D6E-409C-BE32-E72D297353CC}">
              <c16:uniqueId val="{00000001-1044-4D79-B867-5B53C931C126}"/>
            </c:ext>
          </c:extLst>
        </c:ser>
        <c:ser>
          <c:idx val="2"/>
          <c:order val="2"/>
          <c:tx>
            <c:strRef>
              <c:f>Summary!$CA$16:$CE$16</c:f>
              <c:strCache>
                <c:ptCount val="5"/>
                <c:pt idx="0">
                  <c:v>Nozzle</c:v>
                </c:pt>
                <c:pt idx="1">
                  <c:v>Stg.3</c:v>
                </c:pt>
                <c:pt idx="2">
                  <c:v>241</c:v>
                </c:pt>
                <c:pt idx="3">
                  <c:v>243</c:v>
                </c:pt>
                <c:pt idx="4">
                  <c:v>Max</c:v>
                </c:pt>
              </c:strCache>
            </c:strRef>
          </c:tx>
          <c:cat>
            <c:strRef>
              <c:f>Summary!$CI$5:$CJ$5</c:f>
              <c:strCache>
                <c:ptCount val="2"/>
                <c:pt idx="0">
                  <c:v>Fwd</c:v>
                </c:pt>
                <c:pt idx="1">
                  <c:v>Aft</c:v>
                </c:pt>
              </c:strCache>
            </c:strRef>
          </c:cat>
          <c:val>
            <c:numRef>
              <c:f>Summary!$CI$16:$CJ$16</c:f>
              <c:numCache>
                <c:formatCode>0.000</c:formatCode>
                <c:ptCount val="2"/>
                <c:pt idx="0">
                  <c:v>8.9144979941693236E-3</c:v>
                </c:pt>
                <c:pt idx="1">
                  <c:v>1.3341862631136792E-2</c:v>
                </c:pt>
              </c:numCache>
            </c:numRef>
          </c:val>
          <c:smooth val="0"/>
          <c:extLst>
            <c:ext xmlns:c16="http://schemas.microsoft.com/office/drawing/2014/chart" uri="{C3380CC4-5D6E-409C-BE32-E72D297353CC}">
              <c16:uniqueId val="{00000002-1044-4D79-B867-5B53C931C126}"/>
            </c:ext>
          </c:extLst>
        </c:ser>
        <c:ser>
          <c:idx val="3"/>
          <c:order val="3"/>
          <c:tx>
            <c:strRef>
              <c:f>Summary!$CA$17:$CE$17</c:f>
              <c:strCache>
                <c:ptCount val="5"/>
                <c:pt idx="0">
                  <c:v>Nozzle</c:v>
                </c:pt>
                <c:pt idx="1">
                  <c:v>Stg.3</c:v>
                </c:pt>
                <c:pt idx="2">
                  <c:v>241</c:v>
                </c:pt>
                <c:pt idx="3">
                  <c:v>243</c:v>
                </c:pt>
                <c:pt idx="4">
                  <c:v>Min</c:v>
                </c:pt>
              </c:strCache>
            </c:strRef>
          </c:tx>
          <c:cat>
            <c:strRef>
              <c:f>Summary!$CI$5:$CJ$5</c:f>
              <c:strCache>
                <c:ptCount val="2"/>
                <c:pt idx="0">
                  <c:v>Fwd</c:v>
                </c:pt>
                <c:pt idx="1">
                  <c:v>Aft</c:v>
                </c:pt>
              </c:strCache>
            </c:strRef>
          </c:cat>
          <c:val>
            <c:numRef>
              <c:f>Summary!$CI$17:$CJ$17</c:f>
              <c:numCache>
                <c:formatCode>0.000</c:formatCode>
                <c:ptCount val="2"/>
                <c:pt idx="0">
                  <c:v>-2.0356284381705336E-2</c:v>
                </c:pt>
                <c:pt idx="1">
                  <c:v>-3.0596327337548246E-2</c:v>
                </c:pt>
              </c:numCache>
            </c:numRef>
          </c:val>
          <c:smooth val="0"/>
          <c:extLst>
            <c:ext xmlns:c16="http://schemas.microsoft.com/office/drawing/2014/chart" uri="{C3380CC4-5D6E-409C-BE32-E72D297353CC}">
              <c16:uniqueId val="{00000003-1044-4D79-B867-5B53C931C126}"/>
            </c:ext>
          </c:extLst>
        </c:ser>
        <c:ser>
          <c:idx val="4"/>
          <c:order val="4"/>
          <c:tx>
            <c:strRef>
              <c:f>Summary!$CA$18:$CE$18</c:f>
              <c:strCache>
                <c:ptCount val="5"/>
                <c:pt idx="0">
                  <c:v>Nozzle</c:v>
                </c:pt>
                <c:pt idx="1">
                  <c:v>Stg.4</c:v>
                </c:pt>
                <c:pt idx="2">
                  <c:v>245</c:v>
                </c:pt>
                <c:pt idx="3">
                  <c:v>247</c:v>
                </c:pt>
                <c:pt idx="4">
                  <c:v>Max</c:v>
                </c:pt>
              </c:strCache>
            </c:strRef>
          </c:tx>
          <c:cat>
            <c:strRef>
              <c:f>Summary!$CI$5:$CJ$5</c:f>
              <c:strCache>
                <c:ptCount val="2"/>
                <c:pt idx="0">
                  <c:v>Fwd</c:v>
                </c:pt>
                <c:pt idx="1">
                  <c:v>Aft</c:v>
                </c:pt>
              </c:strCache>
            </c:strRef>
          </c:cat>
          <c:val>
            <c:numRef>
              <c:f>Summary!$CI$18:$CJ$18</c:f>
              <c:numCache>
                <c:formatCode>0.000</c:formatCode>
                <c:ptCount val="2"/>
                <c:pt idx="0">
                  <c:v>1.845999999994774E-2</c:v>
                </c:pt>
                <c:pt idx="1">
                  <c:v>6.2066667064073044E-2</c:v>
                </c:pt>
              </c:numCache>
            </c:numRef>
          </c:val>
          <c:smooth val="0"/>
          <c:extLst>
            <c:ext xmlns:c16="http://schemas.microsoft.com/office/drawing/2014/chart" uri="{C3380CC4-5D6E-409C-BE32-E72D297353CC}">
              <c16:uniqueId val="{00000004-1044-4D79-B867-5B53C931C126}"/>
            </c:ext>
          </c:extLst>
        </c:ser>
        <c:ser>
          <c:idx val="5"/>
          <c:order val="5"/>
          <c:tx>
            <c:strRef>
              <c:f>Summary!$CA$19:$CE$19</c:f>
              <c:strCache>
                <c:ptCount val="5"/>
                <c:pt idx="0">
                  <c:v>Nozzle</c:v>
                </c:pt>
                <c:pt idx="1">
                  <c:v>Stg.4</c:v>
                </c:pt>
                <c:pt idx="2">
                  <c:v>245</c:v>
                </c:pt>
                <c:pt idx="3">
                  <c:v>247</c:v>
                </c:pt>
                <c:pt idx="4">
                  <c:v>Min</c:v>
                </c:pt>
              </c:strCache>
            </c:strRef>
          </c:tx>
          <c:cat>
            <c:strRef>
              <c:f>Summary!$CI$5:$CJ$5</c:f>
              <c:strCache>
                <c:ptCount val="2"/>
                <c:pt idx="0">
                  <c:v>Fwd</c:v>
                </c:pt>
                <c:pt idx="1">
                  <c:v>Aft</c:v>
                </c:pt>
              </c:strCache>
            </c:strRef>
          </c:cat>
          <c:val>
            <c:numRef>
              <c:f>Summary!$CI$19:$CJ$19</c:f>
              <c:numCache>
                <c:formatCode>0.000</c:formatCode>
                <c:ptCount val="2"/>
                <c:pt idx="0">
                  <c:v>1.903999999996131E-2</c:v>
                </c:pt>
                <c:pt idx="1">
                  <c:v>-7.9151999542091289E-2</c:v>
                </c:pt>
              </c:numCache>
            </c:numRef>
          </c:val>
          <c:smooth val="0"/>
          <c:extLst>
            <c:ext xmlns:c16="http://schemas.microsoft.com/office/drawing/2014/chart" uri="{C3380CC4-5D6E-409C-BE32-E72D297353CC}">
              <c16:uniqueId val="{00000005-1044-4D79-B867-5B53C931C126}"/>
            </c:ext>
          </c:extLst>
        </c:ser>
        <c:dLbls>
          <c:showLegendKey val="0"/>
          <c:showVal val="0"/>
          <c:showCatName val="0"/>
          <c:showSerName val="0"/>
          <c:showPercent val="0"/>
          <c:showBubbleSize val="0"/>
        </c:dLbls>
        <c:marker val="1"/>
        <c:smooth val="0"/>
        <c:axId val="180492800"/>
        <c:axId val="175337408"/>
      </c:lineChart>
      <c:catAx>
        <c:axId val="18049280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5337408"/>
        <c:crosses val="autoZero"/>
        <c:auto val="1"/>
        <c:lblAlgn val="ctr"/>
        <c:lblOffset val="100"/>
        <c:noMultiLvlLbl val="0"/>
      </c:catAx>
      <c:valAx>
        <c:axId val="175337408"/>
        <c:scaling>
          <c:orientation val="minMax"/>
          <c:max val="0.2"/>
          <c:min val="-0.2"/>
        </c:scaling>
        <c:delete val="0"/>
        <c:axPos val="l"/>
        <c:majorGridlines/>
        <c:numFmt formatCode="0.000" sourceLinked="1"/>
        <c:majorTickMark val="cross"/>
        <c:minorTickMark val="none"/>
        <c:tickLblPos val="nextTo"/>
        <c:txPr>
          <a:bodyPr/>
          <a:lstStyle/>
          <a:p>
            <a:pPr>
              <a:defRPr lang="ja-JP"/>
            </a:pPr>
            <a:endParaRPr lang="en-US"/>
          </a:p>
        </c:txPr>
        <c:crossAx val="180492800"/>
        <c:crosses val="autoZero"/>
        <c:crossBetween val="between"/>
        <c:majorUnit val="5.000000000000001E-2"/>
      </c:valAx>
    </c:plotArea>
    <c:legend>
      <c:legendPos val="r"/>
      <c:overlay val="0"/>
      <c:txPr>
        <a:bodyPr/>
        <a:lstStyle/>
        <a:p>
          <a:pPr>
            <a:defRPr lang="ja-JP"/>
          </a:pPr>
          <a:endParaRPr lang="en-US"/>
        </a:p>
      </c:txPr>
    </c:legend>
    <c:plotVisOnly val="1"/>
    <c:dispBlanksAs val="span"/>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'236'!$AK$87</c:f>
              <c:strCache>
                <c:ptCount val="1"/>
                <c:pt idx="0">
                  <c:v>Step Min</c:v>
                </c:pt>
              </c:strCache>
            </c:strRef>
          </c:tx>
          <c:spPr>
            <a:ln w="28575">
              <a:prstDash val="dash"/>
            </a:ln>
          </c:spPr>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'236'!$AK$89:$AK$106</c:f>
              <c:numCache>
                <c:formatCode>General</c:formatCode>
                <c:ptCount val="18"/>
                <c:pt idx="0">
                  <c:v>-8.199999999993679E-2</c:v>
                </c:pt>
                <c:pt idx="1">
                  <c:v>-8.199999999993679E-2</c:v>
                </c:pt>
                <c:pt idx="2">
                  <c:v>-8.199999999993679E-2</c:v>
                </c:pt>
                <c:pt idx="3">
                  <c:v>-8.199999999993679E-2</c:v>
                </c:pt>
                <c:pt idx="4">
                  <c:v>-8.199999999993679E-2</c:v>
                </c:pt>
                <c:pt idx="5">
                  <c:v>-8.199999999993679E-2</c:v>
                </c:pt>
                <c:pt idx="6">
                  <c:v>-8.199999999993679E-2</c:v>
                </c:pt>
                <c:pt idx="7">
                  <c:v>-8.199999999993679E-2</c:v>
                </c:pt>
                <c:pt idx="8">
                  <c:v>-8.199999999993679E-2</c:v>
                </c:pt>
                <c:pt idx="9">
                  <c:v>-8.199999999993679E-2</c:v>
                </c:pt>
                <c:pt idx="10">
                  <c:v>-8.199999999993679E-2</c:v>
                </c:pt>
                <c:pt idx="11">
                  <c:v>-8.199999999993679E-2</c:v>
                </c:pt>
                <c:pt idx="12">
                  <c:v>-8.199999999993679E-2</c:v>
                </c:pt>
                <c:pt idx="13">
                  <c:v>-8.199999999993679E-2</c:v>
                </c:pt>
                <c:pt idx="14">
                  <c:v>-8.199999999993679E-2</c:v>
                </c:pt>
                <c:pt idx="15">
                  <c:v>-8.199999999993679E-2</c:v>
                </c:pt>
                <c:pt idx="16">
                  <c:v>-8.199999999993679E-2</c:v>
                </c:pt>
                <c:pt idx="17">
                  <c:v>-8.199999999993679E-2</c:v>
                </c:pt>
              </c:numCache>
            </c:numRef>
          </c:val>
          <c:extLst>
            <c:ext xmlns:c16="http://schemas.microsoft.com/office/drawing/2014/chart" uri="{C3380CC4-5D6E-409C-BE32-E72D297353CC}">
              <c16:uniqueId val="{00000000-74D6-4301-B4F3-3C9E7327D15C}"/>
            </c:ext>
          </c:extLst>
        </c:ser>
        <c:ser>
          <c:idx val="1"/>
          <c:order val="1"/>
          <c:tx>
            <c:strRef>
              <c:f>'236'!$AL$87</c:f>
              <c:strCache>
                <c:ptCount val="1"/>
                <c:pt idx="0">
                  <c:v>Step Max</c:v>
                </c:pt>
              </c:strCache>
            </c:strRef>
          </c:tx>
          <c:spPr>
            <a:ln w="28575">
              <a:prstDash val="dash"/>
            </a:ln>
          </c:spPr>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'236'!$AL$89:$AL$106</c:f>
              <c:numCache>
                <c:formatCode>General</c:formatCode>
                <c:ptCount val="18"/>
                <c:pt idx="0">
                  <c:v>8.199999999993679E-2</c:v>
                </c:pt>
                <c:pt idx="1">
                  <c:v>8.199999999993679E-2</c:v>
                </c:pt>
                <c:pt idx="2">
                  <c:v>8.199999999993679E-2</c:v>
                </c:pt>
                <c:pt idx="3">
                  <c:v>8.199999999993679E-2</c:v>
                </c:pt>
                <c:pt idx="4">
                  <c:v>8.199999999993679E-2</c:v>
                </c:pt>
                <c:pt idx="5">
                  <c:v>8.199999999993679E-2</c:v>
                </c:pt>
                <c:pt idx="6">
                  <c:v>8.199999999993679E-2</c:v>
                </c:pt>
                <c:pt idx="7">
                  <c:v>8.199999999993679E-2</c:v>
                </c:pt>
                <c:pt idx="8">
                  <c:v>8.199999999993679E-2</c:v>
                </c:pt>
                <c:pt idx="9">
                  <c:v>8.199999999993679E-2</c:v>
                </c:pt>
                <c:pt idx="10">
                  <c:v>8.199999999993679E-2</c:v>
                </c:pt>
                <c:pt idx="11">
                  <c:v>8.199999999993679E-2</c:v>
                </c:pt>
                <c:pt idx="12">
                  <c:v>8.199999999993679E-2</c:v>
                </c:pt>
                <c:pt idx="13">
                  <c:v>8.199999999993679E-2</c:v>
                </c:pt>
                <c:pt idx="14">
                  <c:v>8.199999999993679E-2</c:v>
                </c:pt>
                <c:pt idx="15">
                  <c:v>8.199999999993679E-2</c:v>
                </c:pt>
                <c:pt idx="16">
                  <c:v>8.199999999993679E-2</c:v>
                </c:pt>
                <c:pt idx="17">
                  <c:v>8.199999999993679E-2</c:v>
                </c:pt>
              </c:numCache>
            </c:numRef>
          </c:val>
          <c:extLst>
            <c:ext xmlns:c16="http://schemas.microsoft.com/office/drawing/2014/chart" uri="{C3380CC4-5D6E-409C-BE32-E72D297353CC}">
              <c16:uniqueId val="{00000001-74D6-4301-B4F3-3C9E7327D15C}"/>
            </c:ext>
          </c:extLst>
        </c:ser>
        <c:ser>
          <c:idx val="2"/>
          <c:order val="2"/>
          <c:tx>
            <c:strRef>
              <c:f>'236'!$S$87</c:f>
              <c:strCache>
                <c:ptCount val="1"/>
                <c:pt idx="0">
                  <c:v>Stg.1 Shroud Step#1</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'236'!$S$89:$S$106</c:f>
              <c:numCache>
                <c:formatCode>0.000_ </c:formatCode>
                <c:ptCount val="18"/>
                <c:pt idx="0">
                  <c:v>6.5444444438526261E-2</c:v>
                </c:pt>
                <c:pt idx="1">
                  <c:v>6.5444444438526261E-2</c:v>
                </c:pt>
              </c:numCache>
            </c:numRef>
          </c:val>
          <c:extLst>
            <c:ext xmlns:c16="http://schemas.microsoft.com/office/drawing/2014/chart" uri="{C3380CC4-5D6E-409C-BE32-E72D297353CC}">
              <c16:uniqueId val="{00000002-74D6-4301-B4F3-3C9E7327D15C}"/>
            </c:ext>
          </c:extLst>
        </c:ser>
        <c:ser>
          <c:idx val="3"/>
          <c:order val="3"/>
          <c:tx>
            <c:strRef>
              <c:f>'236'!$T$87</c:f>
              <c:strCache>
                <c:ptCount val="1"/>
                <c:pt idx="0">
                  <c:v>Stg.1 Shroud Step#18</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'236'!$T$89:$T$106</c:f>
              <c:numCache>
                <c:formatCode>0.000_ </c:formatCode>
                <c:ptCount val="18"/>
                <c:pt idx="1">
                  <c:v>0.10257779359079677</c:v>
                </c:pt>
                <c:pt idx="2">
                  <c:v>0.10257779359079677</c:v>
                </c:pt>
              </c:numCache>
            </c:numRef>
          </c:val>
          <c:extLst>
            <c:ext xmlns:c16="http://schemas.microsoft.com/office/drawing/2014/chart" uri="{C3380CC4-5D6E-409C-BE32-E72D297353CC}">
              <c16:uniqueId val="{00000003-74D6-4301-B4F3-3C9E7327D15C}"/>
            </c:ext>
          </c:extLst>
        </c:ser>
        <c:ser>
          <c:idx val="4"/>
          <c:order val="4"/>
          <c:tx>
            <c:strRef>
              <c:f>'236'!$U$87</c:f>
              <c:strCache>
                <c:ptCount val="1"/>
                <c:pt idx="0">
                  <c:v>Stg.1 Shroud Step#17</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'236'!$U$89:$U$106</c:f>
              <c:numCache>
                <c:formatCode>0.000_ </c:formatCode>
                <c:ptCount val="18"/>
                <c:pt idx="2">
                  <c:v>6.9566687469205135E-2</c:v>
                </c:pt>
                <c:pt idx="3">
                  <c:v>6.9566687469205135E-2</c:v>
                </c:pt>
              </c:numCache>
            </c:numRef>
          </c:val>
          <c:extLst>
            <c:ext xmlns:c16="http://schemas.microsoft.com/office/drawing/2014/chart" uri="{C3380CC4-5D6E-409C-BE32-E72D297353CC}">
              <c16:uniqueId val="{00000004-74D6-4301-B4F3-3C9E7327D15C}"/>
            </c:ext>
          </c:extLst>
        </c:ser>
        <c:ser>
          <c:idx val="5"/>
          <c:order val="5"/>
          <c:tx>
            <c:strRef>
              <c:f>'236'!$V$87</c:f>
              <c:strCache>
                <c:ptCount val="1"/>
                <c:pt idx="0">
                  <c:v>Stg.1 Shroud Step#16</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'236'!$V$89:$V$106</c:f>
              <c:numCache>
                <c:formatCode>0.000_ </c:formatCode>
                <c:ptCount val="18"/>
                <c:pt idx="3">
                  <c:v>8.8000049832430705E-3</c:v>
                </c:pt>
                <c:pt idx="4">
                  <c:v>8.8000049832430705E-3</c:v>
                </c:pt>
              </c:numCache>
            </c:numRef>
          </c:val>
          <c:extLst>
            <c:ext xmlns:c16="http://schemas.microsoft.com/office/drawing/2014/chart" uri="{C3380CC4-5D6E-409C-BE32-E72D297353CC}">
              <c16:uniqueId val="{00000005-74D6-4301-B4F3-3C9E7327D15C}"/>
            </c:ext>
          </c:extLst>
        </c:ser>
        <c:ser>
          <c:idx val="6"/>
          <c:order val="6"/>
          <c:tx>
            <c:strRef>
              <c:f>'236'!$W$87</c:f>
              <c:strCache>
                <c:ptCount val="1"/>
                <c:pt idx="0">
                  <c:v>Stg.1 Shroud Step#15</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'236'!$W$89:$W$106</c:f>
              <c:numCache>
                <c:formatCode>0.000_ </c:formatCode>
                <c:ptCount val="18"/>
                <c:pt idx="4">
                  <c:v>-3.4911111119924954E-2</c:v>
                </c:pt>
                <c:pt idx="5">
                  <c:v>-3.4911111119924954E-2</c:v>
                </c:pt>
              </c:numCache>
            </c:numRef>
          </c:val>
          <c:extLst>
            <c:ext xmlns:c16="http://schemas.microsoft.com/office/drawing/2014/chart" uri="{C3380CC4-5D6E-409C-BE32-E72D297353CC}">
              <c16:uniqueId val="{00000006-74D6-4301-B4F3-3C9E7327D15C}"/>
            </c:ext>
          </c:extLst>
        </c:ser>
        <c:ser>
          <c:idx val="7"/>
          <c:order val="7"/>
          <c:tx>
            <c:strRef>
              <c:f>'236'!$X$87</c:f>
              <c:strCache>
                <c:ptCount val="1"/>
                <c:pt idx="0">
                  <c:v>Stg.1 Shroud Step#14</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'236'!$X$89:$X$106</c:f>
              <c:numCache>
                <c:formatCode>0.000_ </c:formatCode>
                <c:ptCount val="18"/>
                <c:pt idx="5">
                  <c:v>-4.8311110001066027E-2</c:v>
                </c:pt>
                <c:pt idx="6">
                  <c:v>-4.8311110001066027E-2</c:v>
                </c:pt>
              </c:numCache>
            </c:numRef>
          </c:val>
          <c:extLst>
            <c:ext xmlns:c16="http://schemas.microsoft.com/office/drawing/2014/chart" uri="{C3380CC4-5D6E-409C-BE32-E72D297353CC}">
              <c16:uniqueId val="{00000007-74D6-4301-B4F3-3C9E7327D15C}"/>
            </c:ext>
          </c:extLst>
        </c:ser>
        <c:ser>
          <c:idx val="8"/>
          <c:order val="8"/>
          <c:tx>
            <c:strRef>
              <c:f>'236'!$Y$87</c:f>
              <c:strCache>
                <c:ptCount val="1"/>
                <c:pt idx="0">
                  <c:v>Stg.1 Shroud Step#13</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'236'!$Y$89:$Y$106</c:f>
              <c:numCache>
                <c:formatCode>0.000_ </c:formatCode>
                <c:ptCount val="18"/>
                <c:pt idx="6">
                  <c:v>-3.5333330851756273E-2</c:v>
                </c:pt>
                <c:pt idx="7">
                  <c:v>-3.5333330851756273E-2</c:v>
                </c:pt>
              </c:numCache>
            </c:numRef>
          </c:val>
          <c:extLst>
            <c:ext xmlns:c16="http://schemas.microsoft.com/office/drawing/2014/chart" uri="{C3380CC4-5D6E-409C-BE32-E72D297353CC}">
              <c16:uniqueId val="{00000008-74D6-4301-B4F3-3C9E7327D15C}"/>
            </c:ext>
          </c:extLst>
        </c:ser>
        <c:ser>
          <c:idx val="9"/>
          <c:order val="9"/>
          <c:tx>
            <c:strRef>
              <c:f>'236'!$Z$87</c:f>
              <c:strCache>
                <c:ptCount val="1"/>
                <c:pt idx="0">
                  <c:v>Stg.1 Shroud Step#12</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'236'!$Z$89:$Z$106</c:f>
              <c:numCache>
                <c:formatCode>0.000_ </c:formatCode>
                <c:ptCount val="18"/>
                <c:pt idx="7">
                  <c:v>-1.9466666539130983E-2</c:v>
                </c:pt>
                <c:pt idx="8">
                  <c:v>-1.9466666539130983E-2</c:v>
                </c:pt>
              </c:numCache>
            </c:numRef>
          </c:val>
          <c:extLst>
            <c:ext xmlns:c16="http://schemas.microsoft.com/office/drawing/2014/chart" uri="{C3380CC4-5D6E-409C-BE32-E72D297353CC}">
              <c16:uniqueId val="{00000009-74D6-4301-B4F3-3C9E7327D15C}"/>
            </c:ext>
          </c:extLst>
        </c:ser>
        <c:ser>
          <c:idx val="10"/>
          <c:order val="10"/>
          <c:tx>
            <c:strRef>
              <c:f>'236'!$AA$87</c:f>
              <c:strCache>
                <c:ptCount val="1"/>
                <c:pt idx="0">
                  <c:v>Stg.1 Shroud Step#11</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'236'!$AA$89:$AA$106</c:f>
              <c:numCache>
                <c:formatCode>0.000_ </c:formatCode>
                <c:ptCount val="18"/>
                <c:pt idx="8">
                  <c:v>-2.7333319771400966E-3</c:v>
                </c:pt>
                <c:pt idx="9">
                  <c:v>-2.7333319771400966E-3</c:v>
                </c:pt>
              </c:numCache>
            </c:numRef>
          </c:val>
          <c:extLst>
            <c:ext xmlns:c16="http://schemas.microsoft.com/office/drawing/2014/chart" uri="{C3380CC4-5D6E-409C-BE32-E72D297353CC}">
              <c16:uniqueId val="{0000000A-74D6-4301-B4F3-3C9E7327D15C}"/>
            </c:ext>
          </c:extLst>
        </c:ser>
        <c:ser>
          <c:idx val="11"/>
          <c:order val="11"/>
          <c:tx>
            <c:strRef>
              <c:f>'236'!$AB$87</c:f>
              <c:strCache>
                <c:ptCount val="1"/>
                <c:pt idx="0">
                  <c:v>Stg.1 Shroud Step#10</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'236'!$AB$89:$AB$106</c:f>
              <c:numCache>
                <c:formatCode>0.000_ </c:formatCode>
                <c:ptCount val="18"/>
                <c:pt idx="9">
                  <c:v>3.8666693877189573E-3</c:v>
                </c:pt>
                <c:pt idx="10">
                  <c:v>3.8666693877189573E-3</c:v>
                </c:pt>
              </c:numCache>
            </c:numRef>
          </c:val>
          <c:extLst>
            <c:ext xmlns:c16="http://schemas.microsoft.com/office/drawing/2014/chart" uri="{C3380CC4-5D6E-409C-BE32-E72D297353CC}">
              <c16:uniqueId val="{0000000B-74D6-4301-B4F3-3C9E7327D15C}"/>
            </c:ext>
          </c:extLst>
        </c:ser>
        <c:ser>
          <c:idx val="12"/>
          <c:order val="12"/>
          <c:tx>
            <c:strRef>
              <c:f>'236'!$AC$87</c:f>
              <c:strCache>
                <c:ptCount val="1"/>
                <c:pt idx="0">
                  <c:v>Stg.1 Shroud Step#9</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'236'!$AC$89:$AC$106</c:f>
              <c:numCache>
                <c:formatCode>0.000_ </c:formatCode>
                <c:ptCount val="18"/>
                <c:pt idx="10">
                  <c:v>-9.7555501449164694E-3</c:v>
                </c:pt>
                <c:pt idx="11">
                  <c:v>-9.7555501449164694E-3</c:v>
                </c:pt>
              </c:numCache>
            </c:numRef>
          </c:val>
          <c:extLst>
            <c:ext xmlns:c16="http://schemas.microsoft.com/office/drawing/2014/chart" uri="{C3380CC4-5D6E-409C-BE32-E72D297353CC}">
              <c16:uniqueId val="{0000000C-74D6-4301-B4F3-3C9E7327D15C}"/>
            </c:ext>
          </c:extLst>
        </c:ser>
        <c:ser>
          <c:idx val="13"/>
          <c:order val="13"/>
          <c:tx>
            <c:strRef>
              <c:f>'236'!$AD$87</c:f>
              <c:strCache>
                <c:ptCount val="1"/>
                <c:pt idx="0">
                  <c:v>Stg.1 Shroud Step#8</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'236'!$AD$89:$AD$106</c:f>
              <c:numCache>
                <c:formatCode>0.000_ </c:formatCode>
                <c:ptCount val="18"/>
                <c:pt idx="11">
                  <c:v>-2.2455548603488751E-2</c:v>
                </c:pt>
                <c:pt idx="12">
                  <c:v>-2.2455548603488751E-2</c:v>
                </c:pt>
              </c:numCache>
            </c:numRef>
          </c:val>
          <c:extLst>
            <c:ext xmlns:c16="http://schemas.microsoft.com/office/drawing/2014/chart" uri="{C3380CC4-5D6E-409C-BE32-E72D297353CC}">
              <c16:uniqueId val="{0000000D-74D6-4301-B4F3-3C9E7327D15C}"/>
            </c:ext>
          </c:extLst>
        </c:ser>
        <c:ser>
          <c:idx val="14"/>
          <c:order val="14"/>
          <c:tx>
            <c:strRef>
              <c:f>'236'!$AE$87</c:f>
              <c:strCache>
                <c:ptCount val="1"/>
                <c:pt idx="0">
                  <c:v>Stg.1 Shroud Step#7</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'236'!$AE$89:$AE$106</c:f>
              <c:numCache>
                <c:formatCode>0.000_ </c:formatCode>
                <c:ptCount val="18"/>
                <c:pt idx="12">
                  <c:v>-1.3622220574404764E-2</c:v>
                </c:pt>
                <c:pt idx="13">
                  <c:v>-1.3622220574404764E-2</c:v>
                </c:pt>
              </c:numCache>
            </c:numRef>
          </c:val>
          <c:extLst>
            <c:ext xmlns:c16="http://schemas.microsoft.com/office/drawing/2014/chart" uri="{C3380CC4-5D6E-409C-BE32-E72D297353CC}">
              <c16:uniqueId val="{0000000E-74D6-4301-B4F3-3C9E7327D15C}"/>
            </c:ext>
          </c:extLst>
        </c:ser>
        <c:ser>
          <c:idx val="15"/>
          <c:order val="15"/>
          <c:tx>
            <c:strRef>
              <c:f>'236'!$AF$87</c:f>
              <c:strCache>
                <c:ptCount val="1"/>
                <c:pt idx="0">
                  <c:v>Stg.1 Shroud Step#6</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'236'!$AF$89:$AF$106</c:f>
              <c:numCache>
                <c:formatCode>0.000_ </c:formatCode>
                <c:ptCount val="18"/>
                <c:pt idx="13">
                  <c:v>4.7333333040455727E-3</c:v>
                </c:pt>
                <c:pt idx="14">
                  <c:v>4.7333333040455727E-3</c:v>
                </c:pt>
              </c:numCache>
            </c:numRef>
          </c:val>
          <c:extLst>
            <c:ext xmlns:c16="http://schemas.microsoft.com/office/drawing/2014/chart" uri="{C3380CC4-5D6E-409C-BE32-E72D297353CC}">
              <c16:uniqueId val="{0000000F-74D6-4301-B4F3-3C9E7327D15C}"/>
            </c:ext>
          </c:extLst>
        </c:ser>
        <c:ser>
          <c:idx val="16"/>
          <c:order val="16"/>
          <c:tx>
            <c:strRef>
              <c:f>'236'!$AG$87</c:f>
              <c:strCache>
                <c:ptCount val="1"/>
                <c:pt idx="0">
                  <c:v>Stg.1 Shroud Step#5</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'236'!$AG$89:$AG$106</c:f>
              <c:numCache>
                <c:formatCode>0.000_ </c:formatCode>
                <c:ptCount val="18"/>
                <c:pt idx="14">
                  <c:v>2.022226662063531E-3</c:v>
                </c:pt>
                <c:pt idx="15">
                  <c:v>2.022226662063531E-3</c:v>
                </c:pt>
              </c:numCache>
            </c:numRef>
          </c:val>
          <c:extLst>
            <c:ext xmlns:c16="http://schemas.microsoft.com/office/drawing/2014/chart" uri="{C3380CC4-5D6E-409C-BE32-E72D297353CC}">
              <c16:uniqueId val="{00000010-74D6-4301-B4F3-3C9E7327D15C}"/>
            </c:ext>
          </c:extLst>
        </c:ser>
        <c:ser>
          <c:idx val="17"/>
          <c:order val="17"/>
          <c:tx>
            <c:strRef>
              <c:f>'236'!$AH$87</c:f>
              <c:strCache>
                <c:ptCount val="1"/>
                <c:pt idx="0">
                  <c:v>Stg.1 Shroud Step#4</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'236'!$AH$89:$AH$106</c:f>
              <c:numCache>
                <c:formatCode>0.000_ </c:formatCode>
                <c:ptCount val="18"/>
                <c:pt idx="15">
                  <c:v>-1.5722209655166353E-2</c:v>
                </c:pt>
                <c:pt idx="16">
                  <c:v>-1.5722209655166353E-2</c:v>
                </c:pt>
              </c:numCache>
            </c:numRef>
          </c:val>
          <c:extLst>
            <c:ext xmlns:c16="http://schemas.microsoft.com/office/drawing/2014/chart" uri="{C3380CC4-5D6E-409C-BE32-E72D297353CC}">
              <c16:uniqueId val="{00000011-74D6-4301-B4F3-3C9E7327D15C}"/>
            </c:ext>
          </c:extLst>
        </c:ser>
        <c:ser>
          <c:idx val="18"/>
          <c:order val="18"/>
          <c:tx>
            <c:strRef>
              <c:f>'236'!$AI$87</c:f>
              <c:strCache>
                <c:ptCount val="1"/>
                <c:pt idx="0">
                  <c:v>Stg.1 Shroud Step#3</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'236'!$AI$89:$AI$106</c:f>
              <c:numCache>
                <c:formatCode>0.000_ </c:formatCode>
                <c:ptCount val="18"/>
                <c:pt idx="16">
                  <c:v>-2.8133324647171776E-2</c:v>
                </c:pt>
                <c:pt idx="17">
                  <c:v>-2.8133324647171776E-2</c:v>
                </c:pt>
              </c:numCache>
            </c:numRef>
          </c:val>
          <c:extLst>
            <c:ext xmlns:c16="http://schemas.microsoft.com/office/drawing/2014/chart" uri="{C3380CC4-5D6E-409C-BE32-E72D297353CC}">
              <c16:uniqueId val="{00000012-74D6-4301-B4F3-3C9E7327D15C}"/>
            </c:ext>
          </c:extLst>
        </c:ser>
        <c:ser>
          <c:idx val="19"/>
          <c:order val="19"/>
          <c:tx>
            <c:strRef>
              <c:f>'236'!$AJ$87</c:f>
              <c:strCache>
                <c:ptCount val="1"/>
                <c:pt idx="0">
                  <c:v>Stg.1 Shroud Step#2</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'236'!$AJ$89:$AJ$106</c:f>
              <c:numCache>
                <c:formatCode>0.000_ </c:formatCode>
                <c:ptCount val="18"/>
                <c:pt idx="0">
                  <c:v>-1.4777772125853517E-3</c:v>
                </c:pt>
                <c:pt idx="17">
                  <c:v>-1.4777772125853517E-3</c:v>
                </c:pt>
              </c:numCache>
            </c:numRef>
          </c:val>
          <c:extLst>
            <c:ext xmlns:c16="http://schemas.microsoft.com/office/drawing/2014/chart" uri="{C3380CC4-5D6E-409C-BE32-E72D297353CC}">
              <c16:uniqueId val="{00000013-74D6-4301-B4F3-3C9E7327D15C}"/>
            </c:ext>
          </c:extLst>
        </c:ser>
        <c:dLbls>
          <c:showLegendKey val="0"/>
          <c:showVal val="0"/>
          <c:showCatName val="0"/>
          <c:showSerName val="0"/>
          <c:showPercent val="0"/>
          <c:showBubbleSize val="0"/>
        </c:dLbls>
        <c:axId val="180493824"/>
        <c:axId val="176514176"/>
      </c:radarChart>
      <c:catAx>
        <c:axId val="18049382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6514176"/>
        <c:crosses val="autoZero"/>
        <c:auto val="1"/>
        <c:lblAlgn val="ctr"/>
        <c:lblOffset val="100"/>
        <c:noMultiLvlLbl val="0"/>
      </c:catAx>
      <c:valAx>
        <c:axId val="176514176"/>
        <c:scaling>
          <c:orientation val="minMax"/>
          <c:max val="0.15000000000000002"/>
          <c:min val="-0.15000000000000002"/>
        </c:scaling>
        <c:delete val="0"/>
        <c:axPos val="l"/>
        <c:majorGridlines/>
        <c:numFmt formatCode="General" sourceLinked="1"/>
        <c:majorTickMark val="cross"/>
        <c:minorTickMark val="none"/>
        <c:tickLblPos val="nextTo"/>
        <c:txPr>
          <a:bodyPr/>
          <a:lstStyle/>
          <a:p>
            <a:pPr>
              <a:defRPr lang="ja-JP"/>
            </a:pPr>
            <a:endParaRPr lang="en-US"/>
          </a:p>
        </c:txPr>
        <c:crossAx val="180493824"/>
        <c:crosses val="autoZero"/>
        <c:crossBetween val="between"/>
        <c:majorUnit val="5.000000000000001E-2"/>
      </c:valAx>
    </c:plotArea>
    <c:legend>
      <c:legendPos val="r"/>
      <c:overlay val="0"/>
      <c:txPr>
        <a:bodyPr/>
        <a:lstStyle/>
        <a:p>
          <a:pPr>
            <a:defRPr lang="ja-JP" sz="700"/>
          </a:pPr>
          <a:endParaRPr lang="en-US"/>
        </a:p>
      </c:txPr>
    </c:legend>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'240'!$AK$87</c:f>
              <c:strCache>
                <c:ptCount val="1"/>
                <c:pt idx="0">
                  <c:v>Step Min</c:v>
                </c:pt>
              </c:strCache>
            </c:strRef>
          </c:tx>
          <c:spPr>
            <a:ln w="28575">
              <a:prstDash val="dash"/>
            </a:ln>
          </c:spPr>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'240'!$AK$89:$AK$106</c:f>
              <c:numCache>
                <c:formatCode>General</c:formatCode>
                <c:ptCount val="18"/>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numCache>
            </c:numRef>
          </c:val>
          <c:extLst>
            <c:ext xmlns:c16="http://schemas.microsoft.com/office/drawing/2014/chart" uri="{C3380CC4-5D6E-409C-BE32-E72D297353CC}">
              <c16:uniqueId val="{00000000-8975-44DF-8E64-A4BDF4BF190E}"/>
            </c:ext>
          </c:extLst>
        </c:ser>
        <c:ser>
          <c:idx val="1"/>
          <c:order val="1"/>
          <c:tx>
            <c:strRef>
              <c:f>'240'!$AL$87</c:f>
              <c:strCache>
                <c:ptCount val="1"/>
                <c:pt idx="0">
                  <c:v>Step Max</c:v>
                </c:pt>
              </c:strCache>
            </c:strRef>
          </c:tx>
          <c:spPr>
            <a:ln w="28575">
              <a:prstDash val="dash"/>
            </a:ln>
          </c:spPr>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'240'!$AL$89:$AL$106</c:f>
              <c:numCache>
                <c:formatCode>General</c:formatCode>
                <c:ptCount val="18"/>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numCache>
            </c:numRef>
          </c:val>
          <c:extLst>
            <c:ext xmlns:c16="http://schemas.microsoft.com/office/drawing/2014/chart" uri="{C3380CC4-5D6E-409C-BE32-E72D297353CC}">
              <c16:uniqueId val="{00000001-8975-44DF-8E64-A4BDF4BF190E}"/>
            </c:ext>
          </c:extLst>
        </c:ser>
        <c:ser>
          <c:idx val="2"/>
          <c:order val="2"/>
          <c:tx>
            <c:strRef>
              <c:f>'240'!$S$87</c:f>
              <c:strCache>
                <c:ptCount val="1"/>
                <c:pt idx="0">
                  <c:v>Stg.2 Shroud Step#1</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'240'!$S$89:$S$106</c:f>
              <c:numCache>
                <c:formatCode>0.000_ </c:formatCode>
                <c:ptCount val="18"/>
                <c:pt idx="0">
                  <c:v>-4.3366732317622336E-3</c:v>
                </c:pt>
                <c:pt idx="1">
                  <c:v>-4.3366732317622336E-3</c:v>
                </c:pt>
              </c:numCache>
            </c:numRef>
          </c:val>
          <c:extLst>
            <c:ext xmlns:c16="http://schemas.microsoft.com/office/drawing/2014/chart" uri="{C3380CC4-5D6E-409C-BE32-E72D297353CC}">
              <c16:uniqueId val="{00000002-8975-44DF-8E64-A4BDF4BF190E}"/>
            </c:ext>
          </c:extLst>
        </c:ser>
        <c:ser>
          <c:idx val="3"/>
          <c:order val="3"/>
          <c:tx>
            <c:strRef>
              <c:f>'240'!$T$87</c:f>
              <c:strCache>
                <c:ptCount val="1"/>
                <c:pt idx="0">
                  <c:v>Stg.2 Shroud Step#18</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'240'!$T$89:$T$106</c:f>
              <c:numCache>
                <c:formatCode>0.000_ </c:formatCode>
                <c:ptCount val="18"/>
                <c:pt idx="1">
                  <c:v>4.3327814353233407E-5</c:v>
                </c:pt>
                <c:pt idx="2">
                  <c:v>4.3327814353233407E-5</c:v>
                </c:pt>
              </c:numCache>
            </c:numRef>
          </c:val>
          <c:extLst>
            <c:ext xmlns:c16="http://schemas.microsoft.com/office/drawing/2014/chart" uri="{C3380CC4-5D6E-409C-BE32-E72D297353CC}">
              <c16:uniqueId val="{00000003-8975-44DF-8E64-A4BDF4BF190E}"/>
            </c:ext>
          </c:extLst>
        </c:ser>
        <c:ser>
          <c:idx val="4"/>
          <c:order val="4"/>
          <c:tx>
            <c:strRef>
              <c:f>'240'!$U$87</c:f>
              <c:strCache>
                <c:ptCount val="1"/>
                <c:pt idx="0">
                  <c:v>Stg.2 Shroud Step#17</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'240'!$U$89:$U$106</c:f>
              <c:numCache>
                <c:formatCode>0.000_ </c:formatCode>
                <c:ptCount val="18"/>
                <c:pt idx="2">
                  <c:v>4.1011048414816287E-3</c:v>
                </c:pt>
                <c:pt idx="3">
                  <c:v>4.1011048414816287E-3</c:v>
                </c:pt>
              </c:numCache>
            </c:numRef>
          </c:val>
          <c:extLst>
            <c:ext xmlns:c16="http://schemas.microsoft.com/office/drawing/2014/chart" uri="{C3380CC4-5D6E-409C-BE32-E72D297353CC}">
              <c16:uniqueId val="{00000004-8975-44DF-8E64-A4BDF4BF190E}"/>
            </c:ext>
          </c:extLst>
        </c:ser>
        <c:ser>
          <c:idx val="5"/>
          <c:order val="5"/>
          <c:tx>
            <c:strRef>
              <c:f>'240'!$V$87</c:f>
              <c:strCache>
                <c:ptCount val="1"/>
                <c:pt idx="0">
                  <c:v>Stg.2 Shroud Step#16</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'240'!$V$89:$V$106</c:f>
              <c:numCache>
                <c:formatCode>0.000_ </c:formatCode>
                <c:ptCount val="18"/>
                <c:pt idx="3">
                  <c:v>5.0677720826683981E-3</c:v>
                </c:pt>
                <c:pt idx="4">
                  <c:v>5.0677720826683981E-3</c:v>
                </c:pt>
              </c:numCache>
            </c:numRef>
          </c:val>
          <c:extLst>
            <c:ext xmlns:c16="http://schemas.microsoft.com/office/drawing/2014/chart" uri="{C3380CC4-5D6E-409C-BE32-E72D297353CC}">
              <c16:uniqueId val="{00000005-8975-44DF-8E64-A4BDF4BF190E}"/>
            </c:ext>
          </c:extLst>
        </c:ser>
        <c:ser>
          <c:idx val="6"/>
          <c:order val="6"/>
          <c:tx>
            <c:strRef>
              <c:f>'240'!$W$87</c:f>
              <c:strCache>
                <c:ptCount val="1"/>
                <c:pt idx="0">
                  <c:v>Stg.2 Shroud Step#15</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'240'!$W$89:$W$106</c:f>
              <c:numCache>
                <c:formatCode>0.000_ </c:formatCode>
                <c:ptCount val="18"/>
                <c:pt idx="4">
                  <c:v>-2.2000091985887593E-3</c:v>
                </c:pt>
                <c:pt idx="5">
                  <c:v>-2.2000091985887593E-3</c:v>
                </c:pt>
              </c:numCache>
            </c:numRef>
          </c:val>
          <c:extLst>
            <c:ext xmlns:c16="http://schemas.microsoft.com/office/drawing/2014/chart" uri="{C3380CC4-5D6E-409C-BE32-E72D297353CC}">
              <c16:uniqueId val="{00000006-8975-44DF-8E64-A4BDF4BF190E}"/>
            </c:ext>
          </c:extLst>
        </c:ser>
        <c:ser>
          <c:idx val="7"/>
          <c:order val="7"/>
          <c:tx>
            <c:strRef>
              <c:f>'240'!$X$87</c:f>
              <c:strCache>
                <c:ptCount val="1"/>
                <c:pt idx="0">
                  <c:v>Stg.2 Shroud Step#14</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'240'!$X$89:$X$106</c:f>
              <c:numCache>
                <c:formatCode>0.000_ </c:formatCode>
                <c:ptCount val="18"/>
                <c:pt idx="5">
                  <c:v>-9.4922293330341745E-3</c:v>
                </c:pt>
                <c:pt idx="6">
                  <c:v>-9.4922293330341745E-3</c:v>
                </c:pt>
              </c:numCache>
            </c:numRef>
          </c:val>
          <c:extLst>
            <c:ext xmlns:c16="http://schemas.microsoft.com/office/drawing/2014/chart" uri="{C3380CC4-5D6E-409C-BE32-E72D297353CC}">
              <c16:uniqueId val="{00000007-8975-44DF-8E64-A4BDF4BF190E}"/>
            </c:ext>
          </c:extLst>
        </c:ser>
        <c:ser>
          <c:idx val="8"/>
          <c:order val="8"/>
          <c:tx>
            <c:strRef>
              <c:f>'240'!$Y$87</c:f>
              <c:strCache>
                <c:ptCount val="1"/>
                <c:pt idx="0">
                  <c:v>Stg.2 Shroud Step#13</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'240'!$Y$89:$Y$106</c:f>
              <c:numCache>
                <c:formatCode>0.000_ </c:formatCode>
                <c:ptCount val="18"/>
                <c:pt idx="6">
                  <c:v>-1.2766667414950916E-2</c:v>
                </c:pt>
                <c:pt idx="7">
                  <c:v>-1.2766667414950916E-2</c:v>
                </c:pt>
              </c:numCache>
            </c:numRef>
          </c:val>
          <c:extLst>
            <c:ext xmlns:c16="http://schemas.microsoft.com/office/drawing/2014/chart" uri="{C3380CC4-5D6E-409C-BE32-E72D297353CC}">
              <c16:uniqueId val="{00000008-8975-44DF-8E64-A4BDF4BF190E}"/>
            </c:ext>
          </c:extLst>
        </c:ser>
        <c:ser>
          <c:idx val="9"/>
          <c:order val="9"/>
          <c:tx>
            <c:strRef>
              <c:f>'240'!$Z$87</c:f>
              <c:strCache>
                <c:ptCount val="1"/>
                <c:pt idx="0">
                  <c:v>Stg.2 Shroud Step#12</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'240'!$Z$89:$Z$106</c:f>
              <c:numCache>
                <c:formatCode>0.000_ </c:formatCode>
                <c:ptCount val="18"/>
                <c:pt idx="7">
                  <c:v>-5.6844440372856297E-3</c:v>
                </c:pt>
                <c:pt idx="8">
                  <c:v>-5.6844440372856297E-3</c:v>
                </c:pt>
              </c:numCache>
            </c:numRef>
          </c:val>
          <c:extLst>
            <c:ext xmlns:c16="http://schemas.microsoft.com/office/drawing/2014/chart" uri="{C3380CC4-5D6E-409C-BE32-E72D297353CC}">
              <c16:uniqueId val="{00000009-8975-44DF-8E64-A4BDF4BF190E}"/>
            </c:ext>
          </c:extLst>
        </c:ser>
        <c:ser>
          <c:idx val="10"/>
          <c:order val="10"/>
          <c:tx>
            <c:strRef>
              <c:f>'240'!$AA$87</c:f>
              <c:strCache>
                <c:ptCount val="1"/>
                <c:pt idx="0">
                  <c:v>Stg.2 Shroud Step#11</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'240'!$AA$89:$AA$106</c:f>
              <c:numCache>
                <c:formatCode>0.000_ </c:formatCode>
                <c:ptCount val="18"/>
                <c:pt idx="8">
                  <c:v>3.6466657748519538E-3</c:v>
                </c:pt>
                <c:pt idx="9">
                  <c:v>3.6466657748519538E-3</c:v>
                </c:pt>
              </c:numCache>
            </c:numRef>
          </c:val>
          <c:extLst>
            <c:ext xmlns:c16="http://schemas.microsoft.com/office/drawing/2014/chart" uri="{C3380CC4-5D6E-409C-BE32-E72D297353CC}">
              <c16:uniqueId val="{0000000A-8975-44DF-8E64-A4BDF4BF190E}"/>
            </c:ext>
          </c:extLst>
        </c:ser>
        <c:ser>
          <c:idx val="11"/>
          <c:order val="11"/>
          <c:tx>
            <c:strRef>
              <c:f>'240'!$AB$87</c:f>
              <c:strCache>
                <c:ptCount val="1"/>
                <c:pt idx="0">
                  <c:v>Stg.2 Shroud Step#10</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'240'!$AB$89:$AB$106</c:f>
              <c:numCache>
                <c:formatCode>0.000_ </c:formatCode>
                <c:ptCount val="18"/>
                <c:pt idx="9">
                  <c:v>2.3399974352855679E-3</c:v>
                </c:pt>
                <c:pt idx="10">
                  <c:v>2.3399974352855679E-3</c:v>
                </c:pt>
              </c:numCache>
            </c:numRef>
          </c:val>
          <c:extLst>
            <c:ext xmlns:c16="http://schemas.microsoft.com/office/drawing/2014/chart" uri="{C3380CC4-5D6E-409C-BE32-E72D297353CC}">
              <c16:uniqueId val="{0000000B-8975-44DF-8E64-A4BDF4BF190E}"/>
            </c:ext>
          </c:extLst>
        </c:ser>
        <c:ser>
          <c:idx val="12"/>
          <c:order val="12"/>
          <c:tx>
            <c:strRef>
              <c:f>'240'!$AC$87</c:f>
              <c:strCache>
                <c:ptCount val="1"/>
                <c:pt idx="0">
                  <c:v>Stg.2 Shroud Step#9</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'240'!$AC$89:$AC$106</c:f>
              <c:numCache>
                <c:formatCode>0.000_ </c:formatCode>
                <c:ptCount val="18"/>
                <c:pt idx="10">
                  <c:v>-4.9997297480786074E-5</c:v>
                </c:pt>
                <c:pt idx="11">
                  <c:v>-4.9997297480786074E-5</c:v>
                </c:pt>
              </c:numCache>
            </c:numRef>
          </c:val>
          <c:extLst>
            <c:ext xmlns:c16="http://schemas.microsoft.com/office/drawing/2014/chart" uri="{C3380CC4-5D6E-409C-BE32-E72D297353CC}">
              <c16:uniqueId val="{0000000C-8975-44DF-8E64-A4BDF4BF190E}"/>
            </c:ext>
          </c:extLst>
        </c:ser>
        <c:ser>
          <c:idx val="13"/>
          <c:order val="13"/>
          <c:tx>
            <c:strRef>
              <c:f>'240'!$AD$87</c:f>
              <c:strCache>
                <c:ptCount val="1"/>
                <c:pt idx="0">
                  <c:v>Stg.2 Shroud Step#8</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'240'!$AD$89:$AD$106</c:f>
              <c:numCache>
                <c:formatCode>0.000_ </c:formatCode>
                <c:ptCount val="18"/>
                <c:pt idx="11">
                  <c:v>-3.101104657275755E-3</c:v>
                </c:pt>
                <c:pt idx="12">
                  <c:v>-3.101104657275755E-3</c:v>
                </c:pt>
              </c:numCache>
            </c:numRef>
          </c:val>
          <c:extLst>
            <c:ext xmlns:c16="http://schemas.microsoft.com/office/drawing/2014/chart" uri="{C3380CC4-5D6E-409C-BE32-E72D297353CC}">
              <c16:uniqueId val="{0000000D-8975-44DF-8E64-A4BDF4BF190E}"/>
            </c:ext>
          </c:extLst>
        </c:ser>
        <c:ser>
          <c:idx val="14"/>
          <c:order val="14"/>
          <c:tx>
            <c:strRef>
              <c:f>'240'!$AE$87</c:f>
              <c:strCache>
                <c:ptCount val="1"/>
                <c:pt idx="0">
                  <c:v>Stg.2 Shroud Step#7</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'240'!$AE$89:$AE$106</c:f>
              <c:numCache>
                <c:formatCode>0.000_ </c:formatCode>
                <c:ptCount val="18"/>
                <c:pt idx="12">
                  <c:v>-4.895553590245072E-3</c:v>
                </c:pt>
                <c:pt idx="13">
                  <c:v>-4.895553590245072E-3</c:v>
                </c:pt>
              </c:numCache>
            </c:numRef>
          </c:val>
          <c:extLst>
            <c:ext xmlns:c16="http://schemas.microsoft.com/office/drawing/2014/chart" uri="{C3380CC4-5D6E-409C-BE32-E72D297353CC}">
              <c16:uniqueId val="{0000000E-8975-44DF-8E64-A4BDF4BF190E}"/>
            </c:ext>
          </c:extLst>
        </c:ser>
        <c:ser>
          <c:idx val="15"/>
          <c:order val="15"/>
          <c:tx>
            <c:strRef>
              <c:f>'240'!$AF$87</c:f>
              <c:strCache>
                <c:ptCount val="1"/>
                <c:pt idx="0">
                  <c:v>Stg.2 Shroud Step#6</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'240'!$AF$89:$AF$106</c:f>
              <c:numCache>
                <c:formatCode>0.000_ </c:formatCode>
                <c:ptCount val="18"/>
                <c:pt idx="13">
                  <c:v>-7.8777466029578136E-4</c:v>
                </c:pt>
                <c:pt idx="14">
                  <c:v>-7.8777466029578136E-4</c:v>
                </c:pt>
              </c:numCache>
            </c:numRef>
          </c:val>
          <c:extLst>
            <c:ext xmlns:c16="http://schemas.microsoft.com/office/drawing/2014/chart" uri="{C3380CC4-5D6E-409C-BE32-E72D297353CC}">
              <c16:uniqueId val="{0000000F-8975-44DF-8E64-A4BDF4BF190E}"/>
            </c:ext>
          </c:extLst>
        </c:ser>
        <c:ser>
          <c:idx val="16"/>
          <c:order val="16"/>
          <c:tx>
            <c:strRef>
              <c:f>'240'!$AG$87</c:f>
              <c:strCache>
                <c:ptCount val="1"/>
                <c:pt idx="0">
                  <c:v>Stg.2 Shroud Step#5</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'240'!$AG$89:$AG$106</c:f>
              <c:numCache>
                <c:formatCode>0.000_ </c:formatCode>
                <c:ptCount val="18"/>
                <c:pt idx="14">
                  <c:v>1.1788919978812373E-3</c:v>
                </c:pt>
                <c:pt idx="15">
                  <c:v>1.1788919978812373E-3</c:v>
                </c:pt>
              </c:numCache>
            </c:numRef>
          </c:val>
          <c:extLst>
            <c:ext xmlns:c16="http://schemas.microsoft.com/office/drawing/2014/chart" uri="{C3380CC4-5D6E-409C-BE32-E72D297353CC}">
              <c16:uniqueId val="{00000010-8975-44DF-8E64-A4BDF4BF190E}"/>
            </c:ext>
          </c:extLst>
        </c:ser>
        <c:ser>
          <c:idx val="17"/>
          <c:order val="17"/>
          <c:tx>
            <c:strRef>
              <c:f>'240'!$AH$87</c:f>
              <c:strCache>
                <c:ptCount val="1"/>
                <c:pt idx="0">
                  <c:v>Stg.2 Shroud Step#4</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'240'!$AH$89:$AH$106</c:f>
              <c:numCache>
                <c:formatCode>0.000_ </c:formatCode>
                <c:ptCount val="18"/>
                <c:pt idx="15">
                  <c:v>-3.8733346681851799E-3</c:v>
                </c:pt>
                <c:pt idx="16">
                  <c:v>-3.8733346681851799E-3</c:v>
                </c:pt>
              </c:numCache>
            </c:numRef>
          </c:val>
          <c:extLst>
            <c:ext xmlns:c16="http://schemas.microsoft.com/office/drawing/2014/chart" uri="{C3380CC4-5D6E-409C-BE32-E72D297353CC}">
              <c16:uniqueId val="{00000011-8975-44DF-8E64-A4BDF4BF190E}"/>
            </c:ext>
          </c:extLst>
        </c:ser>
        <c:ser>
          <c:idx val="18"/>
          <c:order val="18"/>
          <c:tx>
            <c:strRef>
              <c:f>'240'!$AI$87</c:f>
              <c:strCache>
                <c:ptCount val="1"/>
                <c:pt idx="0">
                  <c:v>Stg.2 Shroud Step#3</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'240'!$AI$89:$AI$106</c:f>
              <c:numCache>
                <c:formatCode>0.000_ </c:formatCode>
                <c:ptCount val="18"/>
                <c:pt idx="16">
                  <c:v>-4.775556890479038E-3</c:v>
                </c:pt>
                <c:pt idx="17">
                  <c:v>-4.775556890479038E-3</c:v>
                </c:pt>
              </c:numCache>
            </c:numRef>
          </c:val>
          <c:extLst>
            <c:ext xmlns:c16="http://schemas.microsoft.com/office/drawing/2014/chart" uri="{C3380CC4-5D6E-409C-BE32-E72D297353CC}">
              <c16:uniqueId val="{00000012-8975-44DF-8E64-A4BDF4BF190E}"/>
            </c:ext>
          </c:extLst>
        </c:ser>
        <c:ser>
          <c:idx val="19"/>
          <c:order val="19"/>
          <c:tx>
            <c:strRef>
              <c:f>'240'!$AJ$87</c:f>
              <c:strCache>
                <c:ptCount val="1"/>
                <c:pt idx="0">
                  <c:v>Stg.2 Shroud Step#2</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'240'!$AJ$89:$AJ$106</c:f>
              <c:numCache>
                <c:formatCode>0.000_ </c:formatCode>
                <c:ptCount val="18"/>
                <c:pt idx="0">
                  <c:v>-4.6100049856363512E-3</c:v>
                </c:pt>
                <c:pt idx="17">
                  <c:v>-4.6100049856363512E-3</c:v>
                </c:pt>
              </c:numCache>
            </c:numRef>
          </c:val>
          <c:extLst>
            <c:ext xmlns:c16="http://schemas.microsoft.com/office/drawing/2014/chart" uri="{C3380CC4-5D6E-409C-BE32-E72D297353CC}">
              <c16:uniqueId val="{00000013-8975-44DF-8E64-A4BDF4BF190E}"/>
            </c:ext>
          </c:extLst>
        </c:ser>
        <c:dLbls>
          <c:showLegendKey val="0"/>
          <c:showVal val="0"/>
          <c:showCatName val="0"/>
          <c:showSerName val="0"/>
          <c:showPercent val="0"/>
          <c:showBubbleSize val="0"/>
        </c:dLbls>
        <c:axId val="181545472"/>
        <c:axId val="181961856"/>
      </c:radarChart>
      <c:catAx>
        <c:axId val="18154547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1961856"/>
        <c:crosses val="autoZero"/>
        <c:auto val="1"/>
        <c:lblAlgn val="ctr"/>
        <c:lblOffset val="100"/>
        <c:noMultiLvlLbl val="0"/>
      </c:catAx>
      <c:valAx>
        <c:axId val="18196185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1545472"/>
        <c:crosses val="autoZero"/>
        <c:crossBetween val="between"/>
        <c:majorUnit val="5.000000000000001E-2"/>
      </c:valAx>
    </c:plotArea>
    <c:legend>
      <c:legendPos val="r"/>
      <c:overlay val="0"/>
      <c:txPr>
        <a:bodyPr/>
        <a:lstStyle/>
        <a:p>
          <a:pPr>
            <a:defRPr lang="ja-JP" sz="700"/>
          </a:pPr>
          <a:endParaRPr lang="en-US"/>
        </a:p>
      </c:txPr>
    </c:legend>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'244'!$AP$92</c:f>
              <c:strCache>
                <c:ptCount val="1"/>
                <c:pt idx="0">
                  <c:v>Step Min</c:v>
                </c:pt>
              </c:strCache>
            </c:strRef>
          </c:tx>
          <c:spPr>
            <a:ln w="28575">
              <a:prstDash val="dash"/>
            </a:ln>
          </c:spPr>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'244'!$AP$94:$AP$116</c:f>
              <c:numCache>
                <c:formatCode>General</c:formatCode>
                <c:ptCount val="23"/>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numCache>
            </c:numRef>
          </c:val>
          <c:extLst>
            <c:ext xmlns:c16="http://schemas.microsoft.com/office/drawing/2014/chart" uri="{C3380CC4-5D6E-409C-BE32-E72D297353CC}">
              <c16:uniqueId val="{00000000-2703-4E65-A8DD-9F24CADDDE32}"/>
            </c:ext>
          </c:extLst>
        </c:ser>
        <c:ser>
          <c:idx val="1"/>
          <c:order val="1"/>
          <c:tx>
            <c:strRef>
              <c:f>'244'!$AQ$92</c:f>
              <c:strCache>
                <c:ptCount val="1"/>
                <c:pt idx="0">
                  <c:v>Step Max</c:v>
                </c:pt>
              </c:strCache>
            </c:strRef>
          </c:tx>
          <c:spPr>
            <a:ln w="28575">
              <a:prstDash val="dash"/>
            </a:ln>
          </c:spPr>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'244'!$AQ$94:$AQ$116</c:f>
              <c:numCache>
                <c:formatCode>General</c:formatCode>
                <c:ptCount val="23"/>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numCache>
            </c:numRef>
          </c:val>
          <c:extLst>
            <c:ext xmlns:c16="http://schemas.microsoft.com/office/drawing/2014/chart" uri="{C3380CC4-5D6E-409C-BE32-E72D297353CC}">
              <c16:uniqueId val="{00000001-2703-4E65-A8DD-9F24CADDDE32}"/>
            </c:ext>
          </c:extLst>
        </c:ser>
        <c:ser>
          <c:idx val="2"/>
          <c:order val="2"/>
          <c:tx>
            <c:strRef>
              <c:f>'244'!$S$92</c:f>
              <c:strCache>
                <c:ptCount val="1"/>
                <c:pt idx="0">
                  <c:v>Stg.3 Shroud Step#1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'244'!$S$94:$S$116</c:f>
              <c:numCache>
                <c:formatCode>0.000_ </c:formatCode>
                <c:ptCount val="23"/>
                <c:pt idx="0">
                  <c:v>-4.4114787073112893E-2</c:v>
                </c:pt>
                <c:pt idx="1">
                  <c:v>-4.4114787073112893E-2</c:v>
                </c:pt>
              </c:numCache>
            </c:numRef>
          </c:val>
          <c:extLst>
            <c:ext xmlns:c16="http://schemas.microsoft.com/office/drawing/2014/chart" uri="{C3380CC4-5D6E-409C-BE32-E72D297353CC}">
              <c16:uniqueId val="{00000002-2703-4E65-A8DD-9F24CADDDE32}"/>
            </c:ext>
          </c:extLst>
        </c:ser>
        <c:ser>
          <c:idx val="3"/>
          <c:order val="3"/>
          <c:tx>
            <c:strRef>
              <c:f>'244'!$T$92</c:f>
              <c:strCache>
                <c:ptCount val="1"/>
                <c:pt idx="0">
                  <c:v>Stg.3 Shroud Step#23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'244'!$T$94:$T$116</c:f>
              <c:numCache>
                <c:formatCode>0.000_ </c:formatCode>
                <c:ptCount val="23"/>
                <c:pt idx="1">
                  <c:v>-2.7714713029411087E-2</c:v>
                </c:pt>
                <c:pt idx="2">
                  <c:v>-2.7714713029411087E-2</c:v>
                </c:pt>
              </c:numCache>
            </c:numRef>
          </c:val>
          <c:extLst>
            <c:ext xmlns:c16="http://schemas.microsoft.com/office/drawing/2014/chart" uri="{C3380CC4-5D6E-409C-BE32-E72D297353CC}">
              <c16:uniqueId val="{00000003-2703-4E65-A8DD-9F24CADDDE32}"/>
            </c:ext>
          </c:extLst>
        </c:ser>
        <c:ser>
          <c:idx val="4"/>
          <c:order val="4"/>
          <c:tx>
            <c:strRef>
              <c:f>'244'!$U$92</c:f>
              <c:strCache>
                <c:ptCount val="1"/>
                <c:pt idx="0">
                  <c:v>Stg.3 Shroud Step#22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'244'!$U$94:$U$116</c:f>
              <c:numCache>
                <c:formatCode>0.000_ </c:formatCode>
                <c:ptCount val="23"/>
                <c:pt idx="2">
                  <c:v>-1.9476653183346571E-2</c:v>
                </c:pt>
                <c:pt idx="3">
                  <c:v>-1.9476653183346571E-2</c:v>
                </c:pt>
              </c:numCache>
            </c:numRef>
          </c:val>
          <c:extLst>
            <c:ext xmlns:c16="http://schemas.microsoft.com/office/drawing/2014/chart" uri="{C3380CC4-5D6E-409C-BE32-E72D297353CC}">
              <c16:uniqueId val="{00000004-2703-4E65-A8DD-9F24CADDDE32}"/>
            </c:ext>
          </c:extLst>
        </c:ser>
        <c:ser>
          <c:idx val="5"/>
          <c:order val="5"/>
          <c:tx>
            <c:strRef>
              <c:f>'244'!$V$92</c:f>
              <c:strCache>
                <c:ptCount val="1"/>
                <c:pt idx="0">
                  <c:v>Stg.3 Shroud Step#21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'244'!$V$94:$V$116</c:f>
              <c:numCache>
                <c:formatCode>0.000_ </c:formatCode>
                <c:ptCount val="23"/>
                <c:pt idx="3">
                  <c:v>-1.7899557578175518E-2</c:v>
                </c:pt>
                <c:pt idx="4">
                  <c:v>-1.7899557578175518E-2</c:v>
                </c:pt>
              </c:numCache>
            </c:numRef>
          </c:val>
          <c:extLst>
            <c:ext xmlns:c16="http://schemas.microsoft.com/office/drawing/2014/chart" uri="{C3380CC4-5D6E-409C-BE32-E72D297353CC}">
              <c16:uniqueId val="{00000005-2703-4E65-A8DD-9F24CADDDE32}"/>
            </c:ext>
          </c:extLst>
        </c:ser>
        <c:ser>
          <c:idx val="6"/>
          <c:order val="6"/>
          <c:tx>
            <c:strRef>
              <c:f>'244'!$W$92</c:f>
              <c:strCache>
                <c:ptCount val="1"/>
                <c:pt idx="0">
                  <c:v>Stg.3 Shroud Step#20</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'244'!$W$94:$W$116</c:f>
              <c:numCache>
                <c:formatCode>0.000_ </c:formatCode>
                <c:ptCount val="23"/>
                <c:pt idx="4">
                  <c:v>-2.2743828434329316E-2</c:v>
                </c:pt>
                <c:pt idx="5">
                  <c:v>-2.2743828434329316E-2</c:v>
                </c:pt>
              </c:numCache>
            </c:numRef>
          </c:val>
          <c:extLst>
            <c:ext xmlns:c16="http://schemas.microsoft.com/office/drawing/2014/chart" uri="{C3380CC4-5D6E-409C-BE32-E72D297353CC}">
              <c16:uniqueId val="{00000006-2703-4E65-A8DD-9F24CADDDE32}"/>
            </c:ext>
          </c:extLst>
        </c:ser>
        <c:ser>
          <c:idx val="7"/>
          <c:order val="7"/>
          <c:tx>
            <c:strRef>
              <c:f>'244'!$X$92</c:f>
              <c:strCache>
                <c:ptCount val="1"/>
                <c:pt idx="0">
                  <c:v>Stg.3 Shroud Step#19</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'244'!$X$94:$X$116</c:f>
              <c:numCache>
                <c:formatCode>0.000_ </c:formatCode>
                <c:ptCount val="23"/>
                <c:pt idx="5">
                  <c:v>-3.0379445924722859E-2</c:v>
                </c:pt>
                <c:pt idx="6">
                  <c:v>-3.0379445924722859E-2</c:v>
                </c:pt>
              </c:numCache>
            </c:numRef>
          </c:val>
          <c:extLst>
            <c:ext xmlns:c16="http://schemas.microsoft.com/office/drawing/2014/chart" uri="{C3380CC4-5D6E-409C-BE32-E72D297353CC}">
              <c16:uniqueId val="{00000007-2703-4E65-A8DD-9F24CADDDE32}"/>
            </c:ext>
          </c:extLst>
        </c:ser>
        <c:ser>
          <c:idx val="8"/>
          <c:order val="8"/>
          <c:tx>
            <c:strRef>
              <c:f>'244'!$Y$92</c:f>
              <c:strCache>
                <c:ptCount val="1"/>
                <c:pt idx="0">
                  <c:v>Stg.3 Shroud Step#18</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'244'!$Y$94:$Y$116</c:f>
              <c:numCache>
                <c:formatCode>0.000_ </c:formatCode>
                <c:ptCount val="23"/>
                <c:pt idx="6">
                  <c:v>-3.1779497264324164E-2</c:v>
                </c:pt>
                <c:pt idx="7">
                  <c:v>-3.1779497264324164E-2</c:v>
                </c:pt>
              </c:numCache>
            </c:numRef>
          </c:val>
          <c:extLst>
            <c:ext xmlns:c16="http://schemas.microsoft.com/office/drawing/2014/chart" uri="{C3380CC4-5D6E-409C-BE32-E72D297353CC}">
              <c16:uniqueId val="{00000008-2703-4E65-A8DD-9F24CADDDE32}"/>
            </c:ext>
          </c:extLst>
        </c:ser>
        <c:ser>
          <c:idx val="9"/>
          <c:order val="9"/>
          <c:tx>
            <c:strRef>
              <c:f>'244'!$Z$92</c:f>
              <c:strCache>
                <c:ptCount val="1"/>
                <c:pt idx="0">
                  <c:v>Stg.3 Shroud Step#17</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'244'!$Z$94:$Z$116</c:f>
              <c:numCache>
                <c:formatCode>0.000_ </c:formatCode>
                <c:ptCount val="23"/>
                <c:pt idx="7">
                  <c:v>-2.6154990027123404E-2</c:v>
                </c:pt>
                <c:pt idx="8">
                  <c:v>-2.6154990027123404E-2</c:v>
                </c:pt>
              </c:numCache>
            </c:numRef>
          </c:val>
          <c:extLst>
            <c:ext xmlns:c16="http://schemas.microsoft.com/office/drawing/2014/chart" uri="{C3380CC4-5D6E-409C-BE32-E72D297353CC}">
              <c16:uniqueId val="{00000009-2703-4E65-A8DD-9F24CADDDE32}"/>
            </c:ext>
          </c:extLst>
        </c:ser>
        <c:ser>
          <c:idx val="10"/>
          <c:order val="10"/>
          <c:tx>
            <c:strRef>
              <c:f>'244'!$AA$92</c:f>
              <c:strCache>
                <c:ptCount val="1"/>
                <c:pt idx="0">
                  <c:v>Stg.3 Shroud Step#16</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'244'!$AA$94:$AA$116</c:f>
              <c:numCache>
                <c:formatCode>0.000_ </c:formatCode>
                <c:ptCount val="23"/>
                <c:pt idx="8">
                  <c:v>-2.0032844059699073E-2</c:v>
                </c:pt>
                <c:pt idx="9">
                  <c:v>-2.0032844059699073E-2</c:v>
                </c:pt>
              </c:numCache>
            </c:numRef>
          </c:val>
          <c:extLst>
            <c:ext xmlns:c16="http://schemas.microsoft.com/office/drawing/2014/chart" uri="{C3380CC4-5D6E-409C-BE32-E72D297353CC}">
              <c16:uniqueId val="{0000000A-2703-4E65-A8DD-9F24CADDDE32}"/>
            </c:ext>
          </c:extLst>
        </c:ser>
        <c:ser>
          <c:idx val="11"/>
          <c:order val="11"/>
          <c:tx>
            <c:strRef>
              <c:f>'244'!$AB$92</c:f>
              <c:strCache>
                <c:ptCount val="1"/>
                <c:pt idx="0">
                  <c:v>Stg.3 Shroud Step#15</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'244'!$AB$94:$AB$116</c:f>
              <c:numCache>
                <c:formatCode>0.000_ </c:formatCode>
                <c:ptCount val="23"/>
                <c:pt idx="9">
                  <c:v>-1.6752581587695659E-2</c:v>
                </c:pt>
                <c:pt idx="10">
                  <c:v>-1.6752581587695659E-2</c:v>
                </c:pt>
              </c:numCache>
            </c:numRef>
          </c:val>
          <c:extLst>
            <c:ext xmlns:c16="http://schemas.microsoft.com/office/drawing/2014/chart" uri="{C3380CC4-5D6E-409C-BE32-E72D297353CC}">
              <c16:uniqueId val="{0000000B-2703-4E65-A8DD-9F24CADDDE32}"/>
            </c:ext>
          </c:extLst>
        </c:ser>
        <c:ser>
          <c:idx val="12"/>
          <c:order val="12"/>
          <c:tx>
            <c:strRef>
              <c:f>'244'!$AC$92</c:f>
              <c:strCache>
                <c:ptCount val="1"/>
                <c:pt idx="0">
                  <c:v>Stg.3 Shroud Step#14</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'244'!$AC$94:$AC$116</c:f>
              <c:numCache>
                <c:formatCode>0.000_ </c:formatCode>
                <c:ptCount val="23"/>
                <c:pt idx="10">
                  <c:v>-1.4694078701893432E-2</c:v>
                </c:pt>
                <c:pt idx="11">
                  <c:v>-1.4694078701893432E-2</c:v>
                </c:pt>
              </c:numCache>
            </c:numRef>
          </c:val>
          <c:extLst>
            <c:ext xmlns:c16="http://schemas.microsoft.com/office/drawing/2014/chart" uri="{C3380CC4-5D6E-409C-BE32-E72D297353CC}">
              <c16:uniqueId val="{0000000C-2703-4E65-A8DD-9F24CADDDE32}"/>
            </c:ext>
          </c:extLst>
        </c:ser>
        <c:ser>
          <c:idx val="13"/>
          <c:order val="13"/>
          <c:tx>
            <c:strRef>
              <c:f>'244'!$AD$92</c:f>
              <c:strCache>
                <c:ptCount val="1"/>
                <c:pt idx="0">
                  <c:v>Stg.3 Shroud Step#13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'244'!$AD$94:$AD$116</c:f>
              <c:numCache>
                <c:formatCode>0.000_ </c:formatCode>
                <c:ptCount val="23"/>
                <c:pt idx="11">
                  <c:v>-1.3935549127552349E-2</c:v>
                </c:pt>
                <c:pt idx="12">
                  <c:v>-1.3935549127552349E-2</c:v>
                </c:pt>
              </c:numCache>
            </c:numRef>
          </c:val>
          <c:extLst>
            <c:ext xmlns:c16="http://schemas.microsoft.com/office/drawing/2014/chart" uri="{C3380CC4-5D6E-409C-BE32-E72D297353CC}">
              <c16:uniqueId val="{0000000D-2703-4E65-A8DD-9F24CADDDE32}"/>
            </c:ext>
          </c:extLst>
        </c:ser>
        <c:ser>
          <c:idx val="14"/>
          <c:order val="14"/>
          <c:tx>
            <c:strRef>
              <c:f>'244'!$AE$92</c:f>
              <c:strCache>
                <c:ptCount val="1"/>
                <c:pt idx="0">
                  <c:v>Stg.3 Shroud Step#12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'244'!$AE$94:$AE$116</c:f>
              <c:numCache>
                <c:formatCode>0.000_ </c:formatCode>
                <c:ptCount val="23"/>
                <c:pt idx="12">
                  <c:v>-1.7442599590879126E-2</c:v>
                </c:pt>
                <c:pt idx="13">
                  <c:v>-1.7442599590879126E-2</c:v>
                </c:pt>
              </c:numCache>
            </c:numRef>
          </c:val>
          <c:extLst>
            <c:ext xmlns:c16="http://schemas.microsoft.com/office/drawing/2014/chart" uri="{C3380CC4-5D6E-409C-BE32-E72D297353CC}">
              <c16:uniqueId val="{0000000E-2703-4E65-A8DD-9F24CADDDE32}"/>
            </c:ext>
          </c:extLst>
        </c:ser>
        <c:ser>
          <c:idx val="15"/>
          <c:order val="15"/>
          <c:tx>
            <c:strRef>
              <c:f>'244'!$AF$92</c:f>
              <c:strCache>
                <c:ptCount val="1"/>
                <c:pt idx="0">
                  <c:v>Stg.3 Shroud Step#11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'244'!$AF$94:$AF$116</c:f>
              <c:numCache>
                <c:formatCode>0.000_ </c:formatCode>
                <c:ptCount val="23"/>
                <c:pt idx="13">
                  <c:v>-2.8345307151482757E-2</c:v>
                </c:pt>
                <c:pt idx="14">
                  <c:v>-2.8345307151482757E-2</c:v>
                </c:pt>
              </c:numCache>
            </c:numRef>
          </c:val>
          <c:extLst>
            <c:ext xmlns:c16="http://schemas.microsoft.com/office/drawing/2014/chart" uri="{C3380CC4-5D6E-409C-BE32-E72D297353CC}">
              <c16:uniqueId val="{0000000F-2703-4E65-A8DD-9F24CADDDE32}"/>
            </c:ext>
          </c:extLst>
        </c:ser>
        <c:ser>
          <c:idx val="16"/>
          <c:order val="16"/>
          <c:tx>
            <c:strRef>
              <c:f>'244'!$AG$92</c:f>
              <c:strCache>
                <c:ptCount val="1"/>
                <c:pt idx="0">
                  <c:v>Stg.3 Shroud Step#10</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'244'!$AG$94:$AG$116</c:f>
              <c:numCache>
                <c:formatCode>0.000_ </c:formatCode>
                <c:ptCount val="23"/>
                <c:pt idx="14">
                  <c:v>-3.6698740401106988E-2</c:v>
                </c:pt>
                <c:pt idx="15">
                  <c:v>-3.6698740401106988E-2</c:v>
                </c:pt>
              </c:numCache>
            </c:numRef>
          </c:val>
          <c:extLst>
            <c:ext xmlns:c16="http://schemas.microsoft.com/office/drawing/2014/chart" uri="{C3380CC4-5D6E-409C-BE32-E72D297353CC}">
              <c16:uniqueId val="{00000010-2703-4E65-A8DD-9F24CADDDE32}"/>
            </c:ext>
          </c:extLst>
        </c:ser>
        <c:ser>
          <c:idx val="17"/>
          <c:order val="17"/>
          <c:tx>
            <c:strRef>
              <c:f>'244'!$AH$92</c:f>
              <c:strCache>
                <c:ptCount val="1"/>
                <c:pt idx="0">
                  <c:v>Stg.3 Shroud Step#9</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'244'!$AH$94:$AH$116</c:f>
              <c:numCache>
                <c:formatCode>0.000_ </c:formatCode>
                <c:ptCount val="23"/>
                <c:pt idx="15">
                  <c:v>-3.2935230589657749E-2</c:v>
                </c:pt>
                <c:pt idx="16">
                  <c:v>-3.2935230589657749E-2</c:v>
                </c:pt>
              </c:numCache>
            </c:numRef>
          </c:val>
          <c:extLst>
            <c:ext xmlns:c16="http://schemas.microsoft.com/office/drawing/2014/chart" uri="{C3380CC4-5D6E-409C-BE32-E72D297353CC}">
              <c16:uniqueId val="{00000011-2703-4E65-A8DD-9F24CADDDE32}"/>
            </c:ext>
          </c:extLst>
        </c:ser>
        <c:ser>
          <c:idx val="18"/>
          <c:order val="18"/>
          <c:tx>
            <c:strRef>
              <c:f>'244'!$AI$92</c:f>
              <c:strCache>
                <c:ptCount val="1"/>
                <c:pt idx="0">
                  <c:v>Stg.3 Shroud Step#8</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'244'!$AI$94:$AI$116</c:f>
              <c:numCache>
                <c:formatCode>0.000_ </c:formatCode>
                <c:ptCount val="23"/>
                <c:pt idx="16">
                  <c:v>-2.3600871457233552E-2</c:v>
                </c:pt>
                <c:pt idx="17">
                  <c:v>-2.3600871457233552E-2</c:v>
                </c:pt>
              </c:numCache>
            </c:numRef>
          </c:val>
          <c:extLst>
            <c:ext xmlns:c16="http://schemas.microsoft.com/office/drawing/2014/chart" uri="{C3380CC4-5D6E-409C-BE32-E72D297353CC}">
              <c16:uniqueId val="{00000012-2703-4E65-A8DD-9F24CADDDE32}"/>
            </c:ext>
          </c:extLst>
        </c:ser>
        <c:ser>
          <c:idx val="19"/>
          <c:order val="19"/>
          <c:tx>
            <c:strRef>
              <c:f>'244'!$AJ$92</c:f>
              <c:strCache>
                <c:ptCount val="1"/>
                <c:pt idx="0">
                  <c:v>Stg.3 Shroud Step#7</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'244'!$AJ$94:$AJ$116</c:f>
              <c:numCache>
                <c:formatCode>0.000_ </c:formatCode>
                <c:ptCount val="23"/>
                <c:pt idx="17">
                  <c:v>-1.6118232511587394E-2</c:v>
                </c:pt>
                <c:pt idx="18">
                  <c:v>-1.6118232511587394E-2</c:v>
                </c:pt>
              </c:numCache>
            </c:numRef>
          </c:val>
          <c:extLst>
            <c:ext xmlns:c16="http://schemas.microsoft.com/office/drawing/2014/chart" uri="{C3380CC4-5D6E-409C-BE32-E72D297353CC}">
              <c16:uniqueId val="{00000013-2703-4E65-A8DD-9F24CADDDE32}"/>
            </c:ext>
          </c:extLst>
        </c:ser>
        <c:ser>
          <c:idx val="20"/>
          <c:order val="20"/>
          <c:tx>
            <c:strRef>
              <c:f>'244'!$AK$92</c:f>
              <c:strCache>
                <c:ptCount val="1"/>
                <c:pt idx="0">
                  <c:v>Stg.3 Shroud Step#6</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'244'!$AK$94:$AK$116</c:f>
              <c:numCache>
                <c:formatCode>0.000_ </c:formatCode>
                <c:ptCount val="23"/>
                <c:pt idx="18">
                  <c:v>-1.5250552678935492E-2</c:v>
                </c:pt>
                <c:pt idx="19">
                  <c:v>-1.5250552678935492E-2</c:v>
                </c:pt>
              </c:numCache>
            </c:numRef>
          </c:val>
          <c:extLst>
            <c:ext xmlns:c16="http://schemas.microsoft.com/office/drawing/2014/chart" uri="{C3380CC4-5D6E-409C-BE32-E72D297353CC}">
              <c16:uniqueId val="{00000014-2703-4E65-A8DD-9F24CADDDE32}"/>
            </c:ext>
          </c:extLst>
        </c:ser>
        <c:ser>
          <c:idx val="21"/>
          <c:order val="21"/>
          <c:tx>
            <c:strRef>
              <c:f>'244'!$AL$92</c:f>
              <c:strCache>
                <c:ptCount val="1"/>
                <c:pt idx="0">
                  <c:v>Stg.3 Shroud Step#5</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'244'!$AL$94:$AL$116</c:f>
              <c:numCache>
                <c:formatCode>0.000_ </c:formatCode>
                <c:ptCount val="23"/>
                <c:pt idx="19">
                  <c:v>-2.360464394206474E-2</c:v>
                </c:pt>
                <c:pt idx="20">
                  <c:v>-2.360464394206474E-2</c:v>
                </c:pt>
              </c:numCache>
            </c:numRef>
          </c:val>
          <c:extLst>
            <c:ext xmlns:c16="http://schemas.microsoft.com/office/drawing/2014/chart" uri="{C3380CC4-5D6E-409C-BE32-E72D297353CC}">
              <c16:uniqueId val="{00000015-2703-4E65-A8DD-9F24CADDDE32}"/>
            </c:ext>
          </c:extLst>
        </c:ser>
        <c:ser>
          <c:idx val="22"/>
          <c:order val="22"/>
          <c:tx>
            <c:strRef>
              <c:f>'244'!$AM$92</c:f>
              <c:strCache>
                <c:ptCount val="1"/>
                <c:pt idx="0">
                  <c:v>Stg.3 Shroud Step#4</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'244'!$AM$94:$AM$116</c:f>
              <c:numCache>
                <c:formatCode>0.000_ </c:formatCode>
                <c:ptCount val="23"/>
                <c:pt idx="20">
                  <c:v>-3.5646558762664426E-2</c:v>
                </c:pt>
                <c:pt idx="21">
                  <c:v>-3.5646558762664426E-2</c:v>
                </c:pt>
              </c:numCache>
            </c:numRef>
          </c:val>
          <c:extLst>
            <c:ext xmlns:c16="http://schemas.microsoft.com/office/drawing/2014/chart" uri="{C3380CC4-5D6E-409C-BE32-E72D297353CC}">
              <c16:uniqueId val="{00000016-2703-4E65-A8DD-9F24CADDDE32}"/>
            </c:ext>
          </c:extLst>
        </c:ser>
        <c:ser>
          <c:idx val="23"/>
          <c:order val="23"/>
          <c:tx>
            <c:strRef>
              <c:f>'244'!$AN$92</c:f>
              <c:strCache>
                <c:ptCount val="1"/>
                <c:pt idx="0">
                  <c:v>Stg.3 Shroud Step#3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'244'!$AN$94:$AN$116</c:f>
              <c:numCache>
                <c:formatCode>0.000_ </c:formatCode>
                <c:ptCount val="23"/>
                <c:pt idx="21">
                  <c:v>-4.4803107535130948E-2</c:v>
                </c:pt>
                <c:pt idx="22">
                  <c:v>-4.4803107535130948E-2</c:v>
                </c:pt>
              </c:numCache>
            </c:numRef>
          </c:val>
          <c:extLst>
            <c:ext xmlns:c16="http://schemas.microsoft.com/office/drawing/2014/chart" uri="{C3380CC4-5D6E-409C-BE32-E72D297353CC}">
              <c16:uniqueId val="{00000017-2703-4E65-A8DD-9F24CADDDE32}"/>
            </c:ext>
          </c:extLst>
        </c:ser>
        <c:ser>
          <c:idx val="24"/>
          <c:order val="24"/>
          <c:tx>
            <c:strRef>
              <c:f>'244'!$AO$92</c:f>
              <c:strCache>
                <c:ptCount val="1"/>
                <c:pt idx="0">
                  <c:v>Stg.3 Shroud Step#2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'244'!$AO$94:$AO$116</c:f>
              <c:numCache>
                <c:formatCode>0.000_ </c:formatCode>
                <c:ptCount val="23"/>
                <c:pt idx="0">
                  <c:v>-5.1711918843011517E-2</c:v>
                </c:pt>
                <c:pt idx="22">
                  <c:v>-5.1711918843011517E-2</c:v>
                </c:pt>
              </c:numCache>
            </c:numRef>
          </c:val>
          <c:extLst>
            <c:ext xmlns:c16="http://schemas.microsoft.com/office/drawing/2014/chart" uri="{C3380CC4-5D6E-409C-BE32-E72D297353CC}">
              <c16:uniqueId val="{00000018-2703-4E65-A8DD-9F24CADDDE32}"/>
            </c:ext>
          </c:extLst>
        </c:ser>
        <c:dLbls>
          <c:showLegendKey val="0"/>
          <c:showVal val="0"/>
          <c:showCatName val="0"/>
          <c:showSerName val="0"/>
          <c:showPercent val="0"/>
          <c:showBubbleSize val="0"/>
        </c:dLbls>
        <c:axId val="182196736"/>
        <c:axId val="183174272"/>
      </c:radarChart>
      <c:catAx>
        <c:axId val="18219673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3174272"/>
        <c:crosses val="autoZero"/>
        <c:auto val="1"/>
        <c:lblAlgn val="ctr"/>
        <c:lblOffset val="100"/>
        <c:noMultiLvlLbl val="0"/>
      </c:catAx>
      <c:valAx>
        <c:axId val="18317427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2196736"/>
        <c:crosses val="autoZero"/>
        <c:crossBetween val="between"/>
        <c:majorUnit val="5.000000000000001E-2"/>
      </c:valAx>
    </c:plotArea>
    <c:legend>
      <c:legendPos val="r"/>
      <c:layout>
        <c:manualLayout>
          <c:xMode val="edge"/>
          <c:yMode val="edge"/>
          <c:x val="0.7560631385983716"/>
          <c:y val="0"/>
          <c:w val="0.23273686234231078"/>
          <c:h val="1"/>
        </c:manualLayout>
      </c:layout>
      <c:overlay val="0"/>
      <c:txPr>
        <a:bodyPr/>
        <a:lstStyle/>
        <a:p>
          <a:pPr>
            <a:defRPr lang="ja-JP" sz="8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'248'!$AQ$93</c:f>
              <c:strCache>
                <c:ptCount val="1"/>
                <c:pt idx="0">
                  <c:v>Step Min</c:v>
                </c:pt>
              </c:strCache>
            </c:strRef>
          </c:tx>
          <c:spPr>
            <a:ln w="28575">
              <a:prstDash val="dash"/>
            </a:ln>
          </c:spPr>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'248'!$AQ$95:$AQ$118</c:f>
              <c:numCache>
                <c:formatCode>General</c:formatCode>
                <c:ptCount val="24"/>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numCache>
            </c:numRef>
          </c:val>
          <c:extLst>
            <c:ext xmlns:c16="http://schemas.microsoft.com/office/drawing/2014/chart" uri="{C3380CC4-5D6E-409C-BE32-E72D297353CC}">
              <c16:uniqueId val="{00000000-33A8-4DF5-B64D-BD8907B7F997}"/>
            </c:ext>
          </c:extLst>
        </c:ser>
        <c:ser>
          <c:idx val="1"/>
          <c:order val="1"/>
          <c:tx>
            <c:strRef>
              <c:f>'248'!$AR$93</c:f>
              <c:strCache>
                <c:ptCount val="1"/>
                <c:pt idx="0">
                  <c:v>Step Max</c:v>
                </c:pt>
              </c:strCache>
            </c:strRef>
          </c:tx>
          <c:spPr>
            <a:ln w="28575">
              <a:prstDash val="dash"/>
            </a:ln>
          </c:spPr>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'248'!$AR$95:$AR$118</c:f>
              <c:numCache>
                <c:formatCode>General</c:formatCode>
                <c:ptCount val="24"/>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numCache>
            </c:numRef>
          </c:val>
          <c:extLst>
            <c:ext xmlns:c16="http://schemas.microsoft.com/office/drawing/2014/chart" uri="{C3380CC4-5D6E-409C-BE32-E72D297353CC}">
              <c16:uniqueId val="{00000001-33A8-4DF5-B64D-BD8907B7F997}"/>
            </c:ext>
          </c:extLst>
        </c:ser>
        <c:ser>
          <c:idx val="2"/>
          <c:order val="2"/>
          <c:tx>
            <c:strRef>
              <c:f>'248'!$S$93</c:f>
              <c:strCache>
                <c:ptCount val="1"/>
                <c:pt idx="0">
                  <c:v>Stg.4 Shroud Step#1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'248'!$S$95:$S$118</c:f>
              <c:numCache>
                <c:formatCode>0.000_ </c:formatCode>
                <c:ptCount val="24"/>
                <c:pt idx="0">
                  <c:v>1.9536205581630384E-2</c:v>
                </c:pt>
                <c:pt idx="1">
                  <c:v>1.9536205581630384E-2</c:v>
                </c:pt>
              </c:numCache>
            </c:numRef>
          </c:val>
          <c:extLst>
            <c:ext xmlns:c16="http://schemas.microsoft.com/office/drawing/2014/chart" uri="{C3380CC4-5D6E-409C-BE32-E72D297353CC}">
              <c16:uniqueId val="{00000002-33A8-4DF5-B64D-BD8907B7F997}"/>
            </c:ext>
          </c:extLst>
        </c:ser>
        <c:ser>
          <c:idx val="3"/>
          <c:order val="3"/>
          <c:tx>
            <c:strRef>
              <c:f>'248'!$T$93</c:f>
              <c:strCache>
                <c:ptCount val="1"/>
                <c:pt idx="0">
                  <c:v>Stg.4 Shroud Step#24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'248'!$T$95:$T$118</c:f>
              <c:numCache>
                <c:formatCode>0.000_ </c:formatCode>
                <c:ptCount val="24"/>
                <c:pt idx="1">
                  <c:v>2.1434752273194135E-2</c:v>
                </c:pt>
                <c:pt idx="2">
                  <c:v>2.1434752273194135E-2</c:v>
                </c:pt>
              </c:numCache>
            </c:numRef>
          </c:val>
          <c:extLst>
            <c:ext xmlns:c16="http://schemas.microsoft.com/office/drawing/2014/chart" uri="{C3380CC4-5D6E-409C-BE32-E72D297353CC}">
              <c16:uniqueId val="{00000003-33A8-4DF5-B64D-BD8907B7F997}"/>
            </c:ext>
          </c:extLst>
        </c:ser>
        <c:ser>
          <c:idx val="4"/>
          <c:order val="4"/>
          <c:tx>
            <c:strRef>
              <c:f>'248'!$U$93</c:f>
              <c:strCache>
                <c:ptCount val="1"/>
                <c:pt idx="0">
                  <c:v>Stg.4 Shroud Step#23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'248'!$U$95:$U$118</c:f>
              <c:numCache>
                <c:formatCode>0.000_ </c:formatCode>
                <c:ptCount val="24"/>
                <c:pt idx="2">
                  <c:v>2.207613335485803E-2</c:v>
                </c:pt>
                <c:pt idx="3">
                  <c:v>2.207613335485803E-2</c:v>
                </c:pt>
              </c:numCache>
            </c:numRef>
          </c:val>
          <c:extLst>
            <c:ext xmlns:c16="http://schemas.microsoft.com/office/drawing/2014/chart" uri="{C3380CC4-5D6E-409C-BE32-E72D297353CC}">
              <c16:uniqueId val="{00000004-33A8-4DF5-B64D-BD8907B7F997}"/>
            </c:ext>
          </c:extLst>
        </c:ser>
        <c:ser>
          <c:idx val="5"/>
          <c:order val="5"/>
          <c:tx>
            <c:strRef>
              <c:f>'248'!$V$93</c:f>
              <c:strCache>
                <c:ptCount val="1"/>
                <c:pt idx="0">
                  <c:v>Stg.4 Shroud Step#22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'248'!$V$95:$V$118</c:f>
              <c:numCache>
                <c:formatCode>0.000_ </c:formatCode>
                <c:ptCount val="24"/>
                <c:pt idx="3">
                  <c:v>2.3152121494717903E-2</c:v>
                </c:pt>
                <c:pt idx="4">
                  <c:v>2.3152121494717903E-2</c:v>
                </c:pt>
              </c:numCache>
            </c:numRef>
          </c:val>
          <c:extLst>
            <c:ext xmlns:c16="http://schemas.microsoft.com/office/drawing/2014/chart" uri="{C3380CC4-5D6E-409C-BE32-E72D297353CC}">
              <c16:uniqueId val="{00000005-33A8-4DF5-B64D-BD8907B7F997}"/>
            </c:ext>
          </c:extLst>
        </c:ser>
        <c:ser>
          <c:idx val="6"/>
          <c:order val="6"/>
          <c:tx>
            <c:strRef>
              <c:f>'248'!$W$93</c:f>
              <c:strCache>
                <c:ptCount val="1"/>
                <c:pt idx="0">
                  <c:v>Stg.4 Shroud Step#21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'248'!$W$95:$W$118</c:f>
              <c:numCache>
                <c:formatCode>0.000_ </c:formatCode>
                <c:ptCount val="24"/>
                <c:pt idx="4">
                  <c:v>1.9008044312442962E-2</c:v>
                </c:pt>
                <c:pt idx="5">
                  <c:v>1.9008044312442962E-2</c:v>
                </c:pt>
              </c:numCache>
            </c:numRef>
          </c:val>
          <c:extLst>
            <c:ext xmlns:c16="http://schemas.microsoft.com/office/drawing/2014/chart" uri="{C3380CC4-5D6E-409C-BE32-E72D297353CC}">
              <c16:uniqueId val="{00000006-33A8-4DF5-B64D-BD8907B7F997}"/>
            </c:ext>
          </c:extLst>
        </c:ser>
        <c:ser>
          <c:idx val="7"/>
          <c:order val="7"/>
          <c:tx>
            <c:strRef>
              <c:f>'248'!$X$93</c:f>
              <c:strCache>
                <c:ptCount val="1"/>
                <c:pt idx="0">
                  <c:v>Stg.4 Shroud Step#20</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'248'!$X$95:$X$118</c:f>
              <c:numCache>
                <c:formatCode>0.000_ </c:formatCode>
                <c:ptCount val="24"/>
                <c:pt idx="5">
                  <c:v>5.2107318542766734E-3</c:v>
                </c:pt>
                <c:pt idx="6">
                  <c:v>5.2107318542766734E-3</c:v>
                </c:pt>
              </c:numCache>
            </c:numRef>
          </c:val>
          <c:extLst>
            <c:ext xmlns:c16="http://schemas.microsoft.com/office/drawing/2014/chart" uri="{C3380CC4-5D6E-409C-BE32-E72D297353CC}">
              <c16:uniqueId val="{00000007-33A8-4DF5-B64D-BD8907B7F997}"/>
            </c:ext>
          </c:extLst>
        </c:ser>
        <c:ser>
          <c:idx val="8"/>
          <c:order val="8"/>
          <c:tx>
            <c:strRef>
              <c:f>'248'!$Y$93</c:f>
              <c:strCache>
                <c:ptCount val="1"/>
                <c:pt idx="0">
                  <c:v>Stg.4 Shroud Step#19</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'248'!$Y$95:$Y$118</c:f>
              <c:numCache>
                <c:formatCode>0.000_ </c:formatCode>
                <c:ptCount val="24"/>
                <c:pt idx="6">
                  <c:v>2.2406116437423407E-4</c:v>
                </c:pt>
                <c:pt idx="7">
                  <c:v>2.2406116437423407E-4</c:v>
                </c:pt>
              </c:numCache>
            </c:numRef>
          </c:val>
          <c:extLst>
            <c:ext xmlns:c16="http://schemas.microsoft.com/office/drawing/2014/chart" uri="{C3380CC4-5D6E-409C-BE32-E72D297353CC}">
              <c16:uniqueId val="{00000008-33A8-4DF5-B64D-BD8907B7F997}"/>
            </c:ext>
          </c:extLst>
        </c:ser>
        <c:ser>
          <c:idx val="9"/>
          <c:order val="9"/>
          <c:tx>
            <c:strRef>
              <c:f>'248'!$Z$93</c:f>
              <c:strCache>
                <c:ptCount val="1"/>
                <c:pt idx="0">
                  <c:v>Stg.4 Shroud Step#18</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'248'!$Z$95:$Z$118</c:f>
              <c:numCache>
                <c:formatCode>0.000_ </c:formatCode>
                <c:ptCount val="24"/>
                <c:pt idx="7">
                  <c:v>4.293364980185288E-3</c:v>
                </c:pt>
                <c:pt idx="8">
                  <c:v>4.293364980185288E-3</c:v>
                </c:pt>
              </c:numCache>
            </c:numRef>
          </c:val>
          <c:extLst>
            <c:ext xmlns:c16="http://schemas.microsoft.com/office/drawing/2014/chart" uri="{C3380CC4-5D6E-409C-BE32-E72D297353CC}">
              <c16:uniqueId val="{00000009-33A8-4DF5-B64D-BD8907B7F997}"/>
            </c:ext>
          </c:extLst>
        </c:ser>
        <c:ser>
          <c:idx val="10"/>
          <c:order val="10"/>
          <c:tx>
            <c:strRef>
              <c:f>'248'!$AA$93</c:f>
              <c:strCache>
                <c:ptCount val="1"/>
                <c:pt idx="0">
                  <c:v>Stg.4 Shroud Step#17</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'248'!$AA$95:$AA$118</c:f>
              <c:numCache>
                <c:formatCode>0.000_ </c:formatCode>
                <c:ptCount val="24"/>
                <c:pt idx="8">
                  <c:v>3.1267298605825999E-3</c:v>
                </c:pt>
                <c:pt idx="9">
                  <c:v>3.1267298605825999E-3</c:v>
                </c:pt>
              </c:numCache>
            </c:numRef>
          </c:val>
          <c:extLst>
            <c:ext xmlns:c16="http://schemas.microsoft.com/office/drawing/2014/chart" uri="{C3380CC4-5D6E-409C-BE32-E72D297353CC}">
              <c16:uniqueId val="{0000000A-33A8-4DF5-B64D-BD8907B7F997}"/>
            </c:ext>
          </c:extLst>
        </c:ser>
        <c:ser>
          <c:idx val="11"/>
          <c:order val="11"/>
          <c:tx>
            <c:strRef>
              <c:f>'248'!$AB$93</c:f>
              <c:strCache>
                <c:ptCount val="1"/>
                <c:pt idx="0">
                  <c:v>Stg.4 Shroud Step#16</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'248'!$AB$95:$AB$118</c:f>
              <c:numCache>
                <c:formatCode>0.000_ </c:formatCode>
                <c:ptCount val="24"/>
                <c:pt idx="9">
                  <c:v>5.2240587300502739E-3</c:v>
                </c:pt>
                <c:pt idx="10">
                  <c:v>5.2240587300502739E-3</c:v>
                </c:pt>
              </c:numCache>
            </c:numRef>
          </c:val>
          <c:extLst>
            <c:ext xmlns:c16="http://schemas.microsoft.com/office/drawing/2014/chart" uri="{C3380CC4-5D6E-409C-BE32-E72D297353CC}">
              <c16:uniqueId val="{0000000B-33A8-4DF5-B64D-BD8907B7F997}"/>
            </c:ext>
          </c:extLst>
        </c:ser>
        <c:ser>
          <c:idx val="12"/>
          <c:order val="12"/>
          <c:tx>
            <c:strRef>
              <c:f>'248'!$AC$93</c:f>
              <c:strCache>
                <c:ptCount val="1"/>
                <c:pt idx="0">
                  <c:v>Stg.4 Shroud Step#15</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'248'!$AC$95:$AC$118</c:f>
              <c:numCache>
                <c:formatCode>0.000_ </c:formatCode>
                <c:ptCount val="24"/>
                <c:pt idx="10">
                  <c:v>1.1021355043283165E-2</c:v>
                </c:pt>
                <c:pt idx="11">
                  <c:v>1.1021355043283165E-2</c:v>
                </c:pt>
              </c:numCache>
            </c:numRef>
          </c:val>
          <c:extLst>
            <c:ext xmlns:c16="http://schemas.microsoft.com/office/drawing/2014/chart" uri="{C3380CC4-5D6E-409C-BE32-E72D297353CC}">
              <c16:uniqueId val="{0000000C-33A8-4DF5-B64D-BD8907B7F997}"/>
            </c:ext>
          </c:extLst>
        </c:ser>
        <c:ser>
          <c:idx val="13"/>
          <c:order val="13"/>
          <c:tx>
            <c:strRef>
              <c:f>'248'!$AD$93</c:f>
              <c:strCache>
                <c:ptCount val="1"/>
                <c:pt idx="0">
                  <c:v>Stg.4 Shroud Step#14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'248'!$AD$95:$AD$118</c:f>
              <c:numCache>
                <c:formatCode>0.000_ </c:formatCode>
                <c:ptCount val="24"/>
                <c:pt idx="11">
                  <c:v>1.3949361905929436E-2</c:v>
                </c:pt>
                <c:pt idx="12">
                  <c:v>1.3949361905929436E-2</c:v>
                </c:pt>
              </c:numCache>
            </c:numRef>
          </c:val>
          <c:extLst>
            <c:ext xmlns:c16="http://schemas.microsoft.com/office/drawing/2014/chart" uri="{C3380CC4-5D6E-409C-BE32-E72D297353CC}">
              <c16:uniqueId val="{0000000D-33A8-4DF5-B64D-BD8907B7F997}"/>
            </c:ext>
          </c:extLst>
        </c:ser>
        <c:ser>
          <c:idx val="14"/>
          <c:order val="14"/>
          <c:tx>
            <c:strRef>
              <c:f>'248'!$AE$93</c:f>
              <c:strCache>
                <c:ptCount val="1"/>
                <c:pt idx="0">
                  <c:v>Stg.4 Shroud Step#13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'248'!$AE$95:$AE$118</c:f>
              <c:numCache>
                <c:formatCode>0.000_ </c:formatCode>
                <c:ptCount val="24"/>
                <c:pt idx="12">
                  <c:v>1.3080025970907627E-2</c:v>
                </c:pt>
                <c:pt idx="13">
                  <c:v>1.3080025970907627E-2</c:v>
                </c:pt>
              </c:numCache>
            </c:numRef>
          </c:val>
          <c:extLst>
            <c:ext xmlns:c16="http://schemas.microsoft.com/office/drawing/2014/chart" uri="{C3380CC4-5D6E-409C-BE32-E72D297353CC}">
              <c16:uniqueId val="{0000000E-33A8-4DF5-B64D-BD8907B7F997}"/>
            </c:ext>
          </c:extLst>
        </c:ser>
        <c:ser>
          <c:idx val="15"/>
          <c:order val="15"/>
          <c:tx>
            <c:strRef>
              <c:f>'248'!$AF$93</c:f>
              <c:strCache>
                <c:ptCount val="1"/>
                <c:pt idx="0">
                  <c:v>Stg.4 Shroud Step#12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'248'!$AF$95:$AF$118</c:f>
              <c:numCache>
                <c:formatCode>0.000_ </c:formatCode>
                <c:ptCount val="24"/>
                <c:pt idx="13">
                  <c:v>9.1706413192014224E-3</c:v>
                </c:pt>
                <c:pt idx="14">
                  <c:v>9.1706413192014224E-3</c:v>
                </c:pt>
              </c:numCache>
            </c:numRef>
          </c:val>
          <c:extLst>
            <c:ext xmlns:c16="http://schemas.microsoft.com/office/drawing/2014/chart" uri="{C3380CC4-5D6E-409C-BE32-E72D297353CC}">
              <c16:uniqueId val="{0000000F-33A8-4DF5-B64D-BD8907B7F997}"/>
            </c:ext>
          </c:extLst>
        </c:ser>
        <c:ser>
          <c:idx val="16"/>
          <c:order val="16"/>
          <c:tx>
            <c:strRef>
              <c:f>'248'!$AG$93</c:f>
              <c:strCache>
                <c:ptCount val="1"/>
                <c:pt idx="0">
                  <c:v>Stg.4 Shroud Step#11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'248'!$AG$95:$AG$118</c:f>
              <c:numCache>
                <c:formatCode>0.000_ </c:formatCode>
                <c:ptCount val="24"/>
                <c:pt idx="14">
                  <c:v>4.7932266377301858E-3</c:v>
                </c:pt>
                <c:pt idx="15">
                  <c:v>4.7932266377301858E-3</c:v>
                </c:pt>
              </c:numCache>
            </c:numRef>
          </c:val>
          <c:extLst>
            <c:ext xmlns:c16="http://schemas.microsoft.com/office/drawing/2014/chart" uri="{C3380CC4-5D6E-409C-BE32-E72D297353CC}">
              <c16:uniqueId val="{00000010-33A8-4DF5-B64D-BD8907B7F997}"/>
            </c:ext>
          </c:extLst>
        </c:ser>
        <c:ser>
          <c:idx val="17"/>
          <c:order val="17"/>
          <c:tx>
            <c:strRef>
              <c:f>'248'!$AH$93</c:f>
              <c:strCache>
                <c:ptCount val="1"/>
                <c:pt idx="0">
                  <c:v>Stg.4 Shroud Step#10</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'248'!$AH$95:$AH$118</c:f>
              <c:numCache>
                <c:formatCode>0.000_ </c:formatCode>
                <c:ptCount val="24"/>
                <c:pt idx="15">
                  <c:v>6.9919013222374815E-3</c:v>
                </c:pt>
                <c:pt idx="16">
                  <c:v>6.9919013222374815E-3</c:v>
                </c:pt>
              </c:numCache>
            </c:numRef>
          </c:val>
          <c:extLst>
            <c:ext xmlns:c16="http://schemas.microsoft.com/office/drawing/2014/chart" uri="{C3380CC4-5D6E-409C-BE32-E72D297353CC}">
              <c16:uniqueId val="{00000011-33A8-4DF5-B64D-BD8907B7F997}"/>
            </c:ext>
          </c:extLst>
        </c:ser>
        <c:ser>
          <c:idx val="18"/>
          <c:order val="18"/>
          <c:tx>
            <c:strRef>
              <c:f>'248'!$AI$93</c:f>
              <c:strCache>
                <c:ptCount val="1"/>
                <c:pt idx="0">
                  <c:v>Stg.4 Shroud Step#9</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'248'!$AI$95:$AI$118</c:f>
              <c:numCache>
                <c:formatCode>0.000_ </c:formatCode>
                <c:ptCount val="24"/>
                <c:pt idx="16">
                  <c:v>1.4506642414289672E-2</c:v>
                </c:pt>
                <c:pt idx="17">
                  <c:v>1.4506642414289672E-2</c:v>
                </c:pt>
              </c:numCache>
            </c:numRef>
          </c:val>
          <c:extLst>
            <c:ext xmlns:c16="http://schemas.microsoft.com/office/drawing/2014/chart" uri="{C3380CC4-5D6E-409C-BE32-E72D297353CC}">
              <c16:uniqueId val="{00000012-33A8-4DF5-B64D-BD8907B7F997}"/>
            </c:ext>
          </c:extLst>
        </c:ser>
        <c:ser>
          <c:idx val="19"/>
          <c:order val="19"/>
          <c:tx>
            <c:strRef>
              <c:f>'248'!$AJ$93</c:f>
              <c:strCache>
                <c:ptCount val="1"/>
                <c:pt idx="0">
                  <c:v>Stg.4 Shroud Step#8</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'248'!$AJ$95:$AJ$118</c:f>
              <c:numCache>
                <c:formatCode>0.000_ </c:formatCode>
                <c:ptCount val="24"/>
                <c:pt idx="17">
                  <c:v>2.024932977235494E-2</c:v>
                </c:pt>
                <c:pt idx="18">
                  <c:v>2.024932977235494E-2</c:v>
                </c:pt>
              </c:numCache>
            </c:numRef>
          </c:val>
          <c:extLst>
            <c:ext xmlns:c16="http://schemas.microsoft.com/office/drawing/2014/chart" uri="{C3380CC4-5D6E-409C-BE32-E72D297353CC}">
              <c16:uniqueId val="{00000013-33A8-4DF5-B64D-BD8907B7F997}"/>
            </c:ext>
          </c:extLst>
        </c:ser>
        <c:ser>
          <c:idx val="20"/>
          <c:order val="20"/>
          <c:tx>
            <c:strRef>
              <c:f>'248'!$AK$93</c:f>
              <c:strCache>
                <c:ptCount val="1"/>
                <c:pt idx="0">
                  <c:v>Stg.4 Shroud Step#7</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'248'!$AK$95:$AK$118</c:f>
              <c:numCache>
                <c:formatCode>0.000_ </c:formatCode>
                <c:ptCount val="24"/>
                <c:pt idx="18">
                  <c:v>2.8143997048459823E-2</c:v>
                </c:pt>
                <c:pt idx="19">
                  <c:v>2.8143997048459823E-2</c:v>
                </c:pt>
              </c:numCache>
            </c:numRef>
          </c:val>
          <c:extLst>
            <c:ext xmlns:c16="http://schemas.microsoft.com/office/drawing/2014/chart" uri="{C3380CC4-5D6E-409C-BE32-E72D297353CC}">
              <c16:uniqueId val="{00000014-33A8-4DF5-B64D-BD8907B7F997}"/>
            </c:ext>
          </c:extLst>
        </c:ser>
        <c:ser>
          <c:idx val="21"/>
          <c:order val="21"/>
          <c:tx>
            <c:strRef>
              <c:f>'248'!$AL$93</c:f>
              <c:strCache>
                <c:ptCount val="1"/>
                <c:pt idx="0">
                  <c:v>Stg.4 Shroud Step#6</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'248'!$AL$95:$AL$118</c:f>
              <c:numCache>
                <c:formatCode>0.000_ </c:formatCode>
                <c:ptCount val="24"/>
                <c:pt idx="19">
                  <c:v>2.9786666901713943E-2</c:v>
                </c:pt>
                <c:pt idx="20">
                  <c:v>2.9786666901713943E-2</c:v>
                </c:pt>
              </c:numCache>
            </c:numRef>
          </c:val>
          <c:extLst>
            <c:ext xmlns:c16="http://schemas.microsoft.com/office/drawing/2014/chart" uri="{C3380CC4-5D6E-409C-BE32-E72D297353CC}">
              <c16:uniqueId val="{00000015-33A8-4DF5-B64D-BD8907B7F997}"/>
            </c:ext>
          </c:extLst>
        </c:ser>
        <c:ser>
          <c:idx val="22"/>
          <c:order val="22"/>
          <c:tx>
            <c:strRef>
              <c:f>'248'!$AM$93</c:f>
              <c:strCache>
                <c:ptCount val="1"/>
                <c:pt idx="0">
                  <c:v>Stg.4 Shroud Step#5</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'248'!$AM$95:$AM$118</c:f>
              <c:numCache>
                <c:formatCode>0.000_ </c:formatCode>
                <c:ptCount val="24"/>
                <c:pt idx="20">
                  <c:v>1.6497336479687874E-2</c:v>
                </c:pt>
                <c:pt idx="21">
                  <c:v>1.6497336479687874E-2</c:v>
                </c:pt>
              </c:numCache>
            </c:numRef>
          </c:val>
          <c:extLst>
            <c:ext xmlns:c16="http://schemas.microsoft.com/office/drawing/2014/chart" uri="{C3380CC4-5D6E-409C-BE32-E72D297353CC}">
              <c16:uniqueId val="{00000016-33A8-4DF5-B64D-BD8907B7F997}"/>
            </c:ext>
          </c:extLst>
        </c:ser>
        <c:ser>
          <c:idx val="23"/>
          <c:order val="23"/>
          <c:tx>
            <c:strRef>
              <c:f>'248'!$AN$93</c:f>
              <c:strCache>
                <c:ptCount val="1"/>
                <c:pt idx="0">
                  <c:v>Stg.4 Shroud Step#4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'248'!$AN$95:$AN$118</c:f>
              <c:numCache>
                <c:formatCode>0.000_ </c:formatCode>
                <c:ptCount val="24"/>
                <c:pt idx="21">
                  <c:v>6.2320024769633164E-3</c:v>
                </c:pt>
                <c:pt idx="22">
                  <c:v>6.2320024769633164E-3</c:v>
                </c:pt>
              </c:numCache>
            </c:numRef>
          </c:val>
          <c:extLst>
            <c:ext xmlns:c16="http://schemas.microsoft.com/office/drawing/2014/chart" uri="{C3380CC4-5D6E-409C-BE32-E72D297353CC}">
              <c16:uniqueId val="{00000017-33A8-4DF5-B64D-BD8907B7F997}"/>
            </c:ext>
          </c:extLst>
        </c:ser>
        <c:ser>
          <c:idx val="24"/>
          <c:order val="24"/>
          <c:tx>
            <c:strRef>
              <c:f>'248'!$AO$93</c:f>
              <c:strCache>
                <c:ptCount val="1"/>
                <c:pt idx="0">
                  <c:v>Stg.4 Shroud Step#3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'248'!$AO$95:$AO$118</c:f>
              <c:numCache>
                <c:formatCode>0.000_ </c:formatCode>
                <c:ptCount val="24"/>
                <c:pt idx="22">
                  <c:v>7.778730620202623E-3</c:v>
                </c:pt>
                <c:pt idx="23">
                  <c:v>7.778730620202623E-3</c:v>
                </c:pt>
              </c:numCache>
            </c:numRef>
          </c:val>
          <c:extLst>
            <c:ext xmlns:c16="http://schemas.microsoft.com/office/drawing/2014/chart" uri="{C3380CC4-5D6E-409C-BE32-E72D297353CC}">
              <c16:uniqueId val="{00000018-33A8-4DF5-B64D-BD8907B7F997}"/>
            </c:ext>
          </c:extLst>
        </c:ser>
        <c:ser>
          <c:idx val="25"/>
          <c:order val="25"/>
          <c:tx>
            <c:strRef>
              <c:f>'248'!$AP$93</c:f>
              <c:strCache>
                <c:ptCount val="1"/>
                <c:pt idx="0">
                  <c:v>Stg.4 Shroud Step#2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'248'!$AP$95:$AP$118</c:f>
              <c:numCache>
                <c:formatCode>0.000_ </c:formatCode>
                <c:ptCount val="24"/>
                <c:pt idx="0">
                  <c:v>1.1884158659370314E-2</c:v>
                </c:pt>
                <c:pt idx="23">
                  <c:v>1.1884158659370314E-2</c:v>
                </c:pt>
              </c:numCache>
            </c:numRef>
          </c:val>
          <c:extLst>
            <c:ext xmlns:c16="http://schemas.microsoft.com/office/drawing/2014/chart" uri="{C3380CC4-5D6E-409C-BE32-E72D297353CC}">
              <c16:uniqueId val="{00000019-33A8-4DF5-B64D-BD8907B7F997}"/>
            </c:ext>
          </c:extLst>
        </c:ser>
        <c:dLbls>
          <c:showLegendKey val="0"/>
          <c:showVal val="0"/>
          <c:showCatName val="0"/>
          <c:showSerName val="0"/>
          <c:showPercent val="0"/>
          <c:showBubbleSize val="0"/>
        </c:dLbls>
        <c:axId val="183031296"/>
        <c:axId val="183381952"/>
      </c:radarChart>
      <c:catAx>
        <c:axId val="18303129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3381952"/>
        <c:crosses val="autoZero"/>
        <c:auto val="1"/>
        <c:lblAlgn val="ctr"/>
        <c:lblOffset val="100"/>
        <c:noMultiLvlLbl val="0"/>
      </c:catAx>
      <c:valAx>
        <c:axId val="18338195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3031296"/>
        <c:crosses val="autoZero"/>
        <c:crossBetween val="between"/>
        <c:majorUnit val="5.000000000000001E-2"/>
      </c:valAx>
    </c:plotArea>
    <c:legend>
      <c:legendPos val="r"/>
      <c:layout>
        <c:manualLayout>
          <c:xMode val="edge"/>
          <c:yMode val="edge"/>
          <c:x val="0.7560631385983716"/>
          <c:y val="0"/>
          <c:w val="0.23273686234231078"/>
          <c:h val="1"/>
        </c:manualLayout>
      </c:layout>
      <c:overlay val="0"/>
      <c:txPr>
        <a:bodyPr/>
        <a:lstStyle/>
        <a:p>
          <a:pPr>
            <a:defRPr lang="ja-JP" sz="800"/>
          </a:pPr>
          <a:endParaRPr lang="en-US"/>
        </a:p>
      </c:txPr>
    </c:legend>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'239'!$BC$119</c:f>
              <c:strCache>
                <c:ptCount val="1"/>
                <c:pt idx="0">
                  <c:v>Step Min</c:v>
                </c:pt>
              </c:strCache>
            </c:strRef>
          </c:tx>
          <c:spPr>
            <a:ln w="28575">
              <a:prstDash val="dash"/>
            </a:ln>
          </c:spPr>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'239'!$BC$121:$BC$156</c:f>
              <c:numCache>
                <c:formatCode>General</c:formatCode>
                <c:ptCount val="36"/>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pt idx="24">
                  <c:v>-6.399999999996453E-2</c:v>
                </c:pt>
                <c:pt idx="25">
                  <c:v>-6.399999999996453E-2</c:v>
                </c:pt>
                <c:pt idx="26">
                  <c:v>-6.399999999996453E-2</c:v>
                </c:pt>
                <c:pt idx="27">
                  <c:v>-6.399999999996453E-2</c:v>
                </c:pt>
                <c:pt idx="28">
                  <c:v>-6.399999999996453E-2</c:v>
                </c:pt>
                <c:pt idx="29">
                  <c:v>-6.399999999996453E-2</c:v>
                </c:pt>
                <c:pt idx="30">
                  <c:v>-6.399999999996453E-2</c:v>
                </c:pt>
                <c:pt idx="31">
                  <c:v>-6.399999999996453E-2</c:v>
                </c:pt>
                <c:pt idx="32">
                  <c:v>-6.399999999996453E-2</c:v>
                </c:pt>
                <c:pt idx="33">
                  <c:v>-6.399999999996453E-2</c:v>
                </c:pt>
                <c:pt idx="34">
                  <c:v>-6.399999999996453E-2</c:v>
                </c:pt>
                <c:pt idx="35">
                  <c:v>-6.399999999996453E-2</c:v>
                </c:pt>
              </c:numCache>
            </c:numRef>
          </c:val>
          <c:extLst>
            <c:ext xmlns:c16="http://schemas.microsoft.com/office/drawing/2014/chart" uri="{C3380CC4-5D6E-409C-BE32-E72D297353CC}">
              <c16:uniqueId val="{00000000-E62D-49BF-AC57-2D9CE68AA384}"/>
            </c:ext>
          </c:extLst>
        </c:ser>
        <c:ser>
          <c:idx val="1"/>
          <c:order val="1"/>
          <c:tx>
            <c:strRef>
              <c:f>'239'!$BD$119</c:f>
              <c:strCache>
                <c:ptCount val="1"/>
                <c:pt idx="0">
                  <c:v>Step Max</c:v>
                </c:pt>
              </c:strCache>
            </c:strRef>
          </c:tx>
          <c:spPr>
            <a:ln w="28575">
              <a:prstDash val="dash"/>
            </a:ln>
          </c:spPr>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'239'!$BD$121:$BD$156</c:f>
              <c:numCache>
                <c:formatCode>General</c:formatCode>
                <c:ptCount val="36"/>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pt idx="24">
                  <c:v>6.399999999996453E-2</c:v>
                </c:pt>
                <c:pt idx="25">
                  <c:v>6.399999999996453E-2</c:v>
                </c:pt>
                <c:pt idx="26">
                  <c:v>6.399999999996453E-2</c:v>
                </c:pt>
                <c:pt idx="27">
                  <c:v>6.399999999996453E-2</c:v>
                </c:pt>
                <c:pt idx="28">
                  <c:v>6.399999999996453E-2</c:v>
                </c:pt>
                <c:pt idx="29">
                  <c:v>6.399999999996453E-2</c:v>
                </c:pt>
                <c:pt idx="30">
                  <c:v>6.399999999996453E-2</c:v>
                </c:pt>
                <c:pt idx="31">
                  <c:v>6.399999999996453E-2</c:v>
                </c:pt>
                <c:pt idx="32">
                  <c:v>6.399999999996453E-2</c:v>
                </c:pt>
                <c:pt idx="33">
                  <c:v>6.399999999996453E-2</c:v>
                </c:pt>
                <c:pt idx="34">
                  <c:v>6.399999999996453E-2</c:v>
                </c:pt>
                <c:pt idx="35">
                  <c:v>6.399999999996453E-2</c:v>
                </c:pt>
              </c:numCache>
            </c:numRef>
          </c:val>
          <c:extLst>
            <c:ext xmlns:c16="http://schemas.microsoft.com/office/drawing/2014/chart" uri="{C3380CC4-5D6E-409C-BE32-E72D297353CC}">
              <c16:uniqueId val="{00000001-E62D-49BF-AC57-2D9CE68AA384}"/>
            </c:ext>
          </c:extLst>
        </c:ser>
        <c:ser>
          <c:idx val="2"/>
          <c:order val="2"/>
          <c:tx>
            <c:strRef>
              <c:f>'239'!$S$119</c:f>
              <c:strCache>
                <c:ptCount val="1"/>
                <c:pt idx="0">
                  <c:v>Stg.2 Nozzle Step#1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'239'!$S$121:$S$156</c:f>
              <c:numCache>
                <c:formatCode>0.000</c:formatCode>
                <c:ptCount val="36"/>
                <c:pt idx="0">
                  <c:v>-1.9400001383587551E-2</c:v>
                </c:pt>
                <c:pt idx="1">
                  <c:v>-1.9400001383587551E-2</c:v>
                </c:pt>
              </c:numCache>
            </c:numRef>
          </c:val>
          <c:extLst>
            <c:ext xmlns:c16="http://schemas.microsoft.com/office/drawing/2014/chart" uri="{C3380CC4-5D6E-409C-BE32-E72D297353CC}">
              <c16:uniqueId val="{00000002-E62D-49BF-AC57-2D9CE68AA384}"/>
            </c:ext>
          </c:extLst>
        </c:ser>
        <c:ser>
          <c:idx val="3"/>
          <c:order val="3"/>
          <c:tx>
            <c:strRef>
              <c:f>'239'!$T$119</c:f>
              <c:strCache>
                <c:ptCount val="1"/>
                <c:pt idx="0">
                  <c:v>Stg.2 Nozzle Step#36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'239'!$T$121:$T$156</c:f>
              <c:numCache>
                <c:formatCode>0.000</c:formatCode>
                <c:ptCount val="36"/>
                <c:pt idx="1">
                  <c:v>-1.8866665564814866E-2</c:v>
                </c:pt>
                <c:pt idx="2">
                  <c:v>-1.8866665564814866E-2</c:v>
                </c:pt>
              </c:numCache>
            </c:numRef>
          </c:val>
          <c:extLst>
            <c:ext xmlns:c16="http://schemas.microsoft.com/office/drawing/2014/chart" uri="{C3380CC4-5D6E-409C-BE32-E72D297353CC}">
              <c16:uniqueId val="{00000003-E62D-49BF-AC57-2D9CE68AA384}"/>
            </c:ext>
          </c:extLst>
        </c:ser>
        <c:ser>
          <c:idx val="4"/>
          <c:order val="4"/>
          <c:tx>
            <c:strRef>
              <c:f>'239'!$U$119</c:f>
              <c:strCache>
                <c:ptCount val="1"/>
                <c:pt idx="0">
                  <c:v>Stg.2 Nozzle Step#35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'239'!$U$121:$U$156</c:f>
              <c:numCache>
                <c:formatCode>0.000</c:formatCode>
                <c:ptCount val="36"/>
                <c:pt idx="2">
                  <c:v>-1.4777771428953201E-2</c:v>
                </c:pt>
                <c:pt idx="3">
                  <c:v>-1.4777771428953201E-2</c:v>
                </c:pt>
              </c:numCache>
            </c:numRef>
          </c:val>
          <c:extLst>
            <c:ext xmlns:c16="http://schemas.microsoft.com/office/drawing/2014/chart" uri="{C3380CC4-5D6E-409C-BE32-E72D297353CC}">
              <c16:uniqueId val="{00000004-E62D-49BF-AC57-2D9CE68AA384}"/>
            </c:ext>
          </c:extLst>
        </c:ser>
        <c:ser>
          <c:idx val="5"/>
          <c:order val="5"/>
          <c:tx>
            <c:strRef>
              <c:f>'239'!$V$119</c:f>
              <c:strCache>
                <c:ptCount val="1"/>
                <c:pt idx="0">
                  <c:v>Stg.2 Nozzle Step#34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'239'!$V$121:$V$156</c:f>
              <c:numCache>
                <c:formatCode>0.000</c:formatCode>
                <c:ptCount val="36"/>
                <c:pt idx="3">
                  <c:v>-1.0911102629336256E-2</c:v>
                </c:pt>
                <c:pt idx="4">
                  <c:v>-1.0911102629336256E-2</c:v>
                </c:pt>
              </c:numCache>
            </c:numRef>
          </c:val>
          <c:extLst>
            <c:ext xmlns:c16="http://schemas.microsoft.com/office/drawing/2014/chart" uri="{C3380CC4-5D6E-409C-BE32-E72D297353CC}">
              <c16:uniqueId val="{00000005-E62D-49BF-AC57-2D9CE68AA384}"/>
            </c:ext>
          </c:extLst>
        </c:ser>
        <c:ser>
          <c:idx val="6"/>
          <c:order val="6"/>
          <c:tx>
            <c:strRef>
              <c:f>'239'!$W$119</c:f>
              <c:strCache>
                <c:ptCount val="1"/>
                <c:pt idx="0">
                  <c:v>Stg.2 Nozzle Step#33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'239'!$W$121:$W$156</c:f>
              <c:numCache>
                <c:formatCode>0.000</c:formatCode>
                <c:ptCount val="36"/>
                <c:pt idx="4">
                  <c:v>-7.9333279343245522E-3</c:v>
                </c:pt>
                <c:pt idx="5">
                  <c:v>-7.9333279343245522E-3</c:v>
                </c:pt>
              </c:numCache>
            </c:numRef>
          </c:val>
          <c:extLst>
            <c:ext xmlns:c16="http://schemas.microsoft.com/office/drawing/2014/chart" uri="{C3380CC4-5D6E-409C-BE32-E72D297353CC}">
              <c16:uniqueId val="{00000006-E62D-49BF-AC57-2D9CE68AA384}"/>
            </c:ext>
          </c:extLst>
        </c:ser>
        <c:ser>
          <c:idx val="7"/>
          <c:order val="7"/>
          <c:tx>
            <c:strRef>
              <c:f>'239'!$X$119</c:f>
              <c:strCache>
                <c:ptCount val="1"/>
                <c:pt idx="0">
                  <c:v>Stg.2 Nozzle Step#32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'239'!$X$121:$X$156</c:f>
              <c:numCache>
                <c:formatCode>0.000</c:formatCode>
                <c:ptCount val="36"/>
                <c:pt idx="5">
                  <c:v>-6.06666950318413E-3</c:v>
                </c:pt>
                <c:pt idx="6">
                  <c:v>-6.06666950318413E-3</c:v>
                </c:pt>
              </c:numCache>
            </c:numRef>
          </c:val>
          <c:extLst>
            <c:ext xmlns:c16="http://schemas.microsoft.com/office/drawing/2014/chart" uri="{C3380CC4-5D6E-409C-BE32-E72D297353CC}">
              <c16:uniqueId val="{00000007-E62D-49BF-AC57-2D9CE68AA384}"/>
            </c:ext>
          </c:extLst>
        </c:ser>
        <c:ser>
          <c:idx val="8"/>
          <c:order val="8"/>
          <c:tx>
            <c:strRef>
              <c:f>'239'!$Y$119</c:f>
              <c:strCache>
                <c:ptCount val="1"/>
                <c:pt idx="0">
                  <c:v>Stg.2 Nozzle Step#31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'239'!$Y$121:$Y$156</c:f>
              <c:numCache>
                <c:formatCode>0.000</c:formatCode>
                <c:ptCount val="36"/>
                <c:pt idx="6">
                  <c:v>-6.2000193901212697E-3</c:v>
                </c:pt>
                <c:pt idx="7">
                  <c:v>-6.2000193901212697E-3</c:v>
                </c:pt>
              </c:numCache>
            </c:numRef>
          </c:val>
          <c:extLst>
            <c:ext xmlns:c16="http://schemas.microsoft.com/office/drawing/2014/chart" uri="{C3380CC4-5D6E-409C-BE32-E72D297353CC}">
              <c16:uniqueId val="{00000008-E62D-49BF-AC57-2D9CE68AA384}"/>
            </c:ext>
          </c:extLst>
        </c:ser>
        <c:ser>
          <c:idx val="9"/>
          <c:order val="9"/>
          <c:tx>
            <c:strRef>
              <c:f>'239'!$Z$119</c:f>
              <c:strCache>
                <c:ptCount val="1"/>
                <c:pt idx="0">
                  <c:v>Stg.2 Nozzle Step#30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'239'!$Z$121:$Z$156</c:f>
              <c:numCache>
                <c:formatCode>0.000</c:formatCode>
                <c:ptCount val="36"/>
                <c:pt idx="7">
                  <c:v>-7.5333710823315414E-3</c:v>
                </c:pt>
                <c:pt idx="8">
                  <c:v>-7.5333710823315414E-3</c:v>
                </c:pt>
              </c:numCache>
            </c:numRef>
          </c:val>
          <c:extLst>
            <c:ext xmlns:c16="http://schemas.microsoft.com/office/drawing/2014/chart" uri="{C3380CC4-5D6E-409C-BE32-E72D297353CC}">
              <c16:uniqueId val="{00000009-E62D-49BF-AC57-2D9CE68AA384}"/>
            </c:ext>
          </c:extLst>
        </c:ser>
        <c:ser>
          <c:idx val="10"/>
          <c:order val="10"/>
          <c:tx>
            <c:strRef>
              <c:f>'239'!$AA$119</c:f>
              <c:strCache>
                <c:ptCount val="1"/>
                <c:pt idx="0">
                  <c:v>Stg.2 Nozzle Step#29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'239'!$AA$121:$AA$156</c:f>
              <c:numCache>
                <c:formatCode>0.000</c:formatCode>
                <c:ptCount val="36"/>
                <c:pt idx="8">
                  <c:v>-8.8667015374994662E-3</c:v>
                </c:pt>
                <c:pt idx="9">
                  <c:v>-8.8667015374994662E-3</c:v>
                </c:pt>
              </c:numCache>
            </c:numRef>
          </c:val>
          <c:extLst>
            <c:ext xmlns:c16="http://schemas.microsoft.com/office/drawing/2014/chart" uri="{C3380CC4-5D6E-409C-BE32-E72D297353CC}">
              <c16:uniqueId val="{0000000A-E62D-49BF-AC57-2D9CE68AA384}"/>
            </c:ext>
          </c:extLst>
        </c:ser>
        <c:ser>
          <c:idx val="11"/>
          <c:order val="11"/>
          <c:tx>
            <c:strRef>
              <c:f>'239'!$AB$119</c:f>
              <c:strCache>
                <c:ptCount val="1"/>
                <c:pt idx="0">
                  <c:v>Stg.2 Nozzle Step#28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'239'!$AB$121:$AB$156</c:f>
              <c:numCache>
                <c:formatCode>0.000</c:formatCode>
                <c:ptCount val="36"/>
                <c:pt idx="9">
                  <c:v>-1.020001394118708E-2</c:v>
                </c:pt>
                <c:pt idx="10">
                  <c:v>-1.020001394118708E-2</c:v>
                </c:pt>
              </c:numCache>
            </c:numRef>
          </c:val>
          <c:extLst>
            <c:ext xmlns:c16="http://schemas.microsoft.com/office/drawing/2014/chart" uri="{C3380CC4-5D6E-409C-BE32-E72D297353CC}">
              <c16:uniqueId val="{0000000B-E62D-49BF-AC57-2D9CE68AA384}"/>
            </c:ext>
          </c:extLst>
        </c:ser>
        <c:ser>
          <c:idx val="12"/>
          <c:order val="12"/>
          <c:tx>
            <c:strRef>
              <c:f>'239'!$AC$119</c:f>
              <c:strCache>
                <c:ptCount val="1"/>
                <c:pt idx="0">
                  <c:v>Stg.2 Nozzle Step#27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'239'!$AC$121:$AC$156</c:f>
              <c:numCache>
                <c:formatCode>0.000</c:formatCode>
                <c:ptCount val="36"/>
                <c:pt idx="10">
                  <c:v>-1.0733280195722728E-2</c:v>
                </c:pt>
                <c:pt idx="11">
                  <c:v>-1.0733280195722728E-2</c:v>
                </c:pt>
              </c:numCache>
            </c:numRef>
          </c:val>
          <c:extLst>
            <c:ext xmlns:c16="http://schemas.microsoft.com/office/drawing/2014/chart" uri="{C3380CC4-5D6E-409C-BE32-E72D297353CC}">
              <c16:uniqueId val="{0000000C-E62D-49BF-AC57-2D9CE68AA384}"/>
            </c:ext>
          </c:extLst>
        </c:ser>
        <c:ser>
          <c:idx val="13"/>
          <c:order val="13"/>
          <c:tx>
            <c:strRef>
              <c:f>'239'!$AD$119</c:f>
              <c:strCache>
                <c:ptCount val="1"/>
                <c:pt idx="0">
                  <c:v>Stg.2 Nozzle Step#26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'239'!$AD$121:$AD$156</c:f>
              <c:numCache>
                <c:formatCode>0.000</c:formatCode>
                <c:ptCount val="36"/>
                <c:pt idx="11">
                  <c:v>-1.0377606284521335E-2</c:v>
                </c:pt>
                <c:pt idx="12">
                  <c:v>-1.0377606284521335E-2</c:v>
                </c:pt>
              </c:numCache>
            </c:numRef>
          </c:val>
          <c:extLst>
            <c:ext xmlns:c16="http://schemas.microsoft.com/office/drawing/2014/chart" uri="{C3380CC4-5D6E-409C-BE32-E72D297353CC}">
              <c16:uniqueId val="{0000000D-E62D-49BF-AC57-2D9CE68AA384}"/>
            </c:ext>
          </c:extLst>
        </c:ser>
        <c:ser>
          <c:idx val="14"/>
          <c:order val="14"/>
          <c:tx>
            <c:strRef>
              <c:f>'239'!$AE$119</c:f>
              <c:strCache>
                <c:ptCount val="1"/>
                <c:pt idx="0">
                  <c:v>Stg.2 Nozzle Step#25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'239'!$AE$121:$AE$156</c:f>
              <c:numCache>
                <c:formatCode>0.000</c:formatCode>
                <c:ptCount val="36"/>
                <c:pt idx="12">
                  <c:v>-9.3553406514956805E-3</c:v>
                </c:pt>
                <c:pt idx="13">
                  <c:v>-9.3553406514956805E-3</c:v>
                </c:pt>
              </c:numCache>
            </c:numRef>
          </c:val>
          <c:extLst>
            <c:ext xmlns:c16="http://schemas.microsoft.com/office/drawing/2014/chart" uri="{C3380CC4-5D6E-409C-BE32-E72D297353CC}">
              <c16:uniqueId val="{0000000E-E62D-49BF-AC57-2D9CE68AA384}"/>
            </c:ext>
          </c:extLst>
        </c:ser>
        <c:ser>
          <c:idx val="15"/>
          <c:order val="15"/>
          <c:tx>
            <c:strRef>
              <c:f>'239'!$AF$119</c:f>
              <c:strCache>
                <c:ptCount val="1"/>
                <c:pt idx="0">
                  <c:v>Stg.2 Nozzle Step#24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'239'!$AF$121:$AF$156</c:f>
              <c:numCache>
                <c:formatCode>0.000</c:formatCode>
                <c:ptCount val="36"/>
                <c:pt idx="13">
                  <c:v>-7.4443093178615527E-3</c:v>
                </c:pt>
                <c:pt idx="14">
                  <c:v>-7.4443093178615527E-3</c:v>
                </c:pt>
              </c:numCache>
            </c:numRef>
          </c:val>
          <c:extLst>
            <c:ext xmlns:c16="http://schemas.microsoft.com/office/drawing/2014/chart" uri="{C3380CC4-5D6E-409C-BE32-E72D297353CC}">
              <c16:uniqueId val="{0000000F-E62D-49BF-AC57-2D9CE68AA384}"/>
            </c:ext>
          </c:extLst>
        </c:ser>
        <c:ser>
          <c:idx val="16"/>
          <c:order val="16"/>
          <c:tx>
            <c:strRef>
              <c:f>'239'!$AG$119</c:f>
              <c:strCache>
                <c:ptCount val="1"/>
                <c:pt idx="0">
                  <c:v>Stg.2 Nozzle Step#23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'239'!$AG$121:$AG$156</c:f>
              <c:numCache>
                <c:formatCode>0.000</c:formatCode>
                <c:ptCount val="36"/>
                <c:pt idx="14">
                  <c:v>-4.7777410061371484E-3</c:v>
                </c:pt>
                <c:pt idx="15">
                  <c:v>-4.7777410061371484E-3</c:v>
                </c:pt>
              </c:numCache>
            </c:numRef>
          </c:val>
          <c:extLst>
            <c:ext xmlns:c16="http://schemas.microsoft.com/office/drawing/2014/chart" uri="{C3380CC4-5D6E-409C-BE32-E72D297353CC}">
              <c16:uniqueId val="{00000010-E62D-49BF-AC57-2D9CE68AA384}"/>
            </c:ext>
          </c:extLst>
        </c:ser>
        <c:ser>
          <c:idx val="17"/>
          <c:order val="17"/>
          <c:tx>
            <c:strRef>
              <c:f>'239'!$AH$119</c:f>
              <c:strCache>
                <c:ptCount val="1"/>
                <c:pt idx="0">
                  <c:v>Stg.2 Nozzle Step#22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'239'!$AH$121:$AH$156</c:f>
              <c:numCache>
                <c:formatCode>0.000</c:formatCode>
                <c:ptCount val="36"/>
                <c:pt idx="15">
                  <c:v>-1.0000002368428795E-3</c:v>
                </c:pt>
                <c:pt idx="16">
                  <c:v>-1.0000002368428795E-3</c:v>
                </c:pt>
              </c:numCache>
            </c:numRef>
          </c:val>
          <c:extLst>
            <c:ext xmlns:c16="http://schemas.microsoft.com/office/drawing/2014/chart" uri="{C3380CC4-5D6E-409C-BE32-E72D297353CC}">
              <c16:uniqueId val="{00000011-E62D-49BF-AC57-2D9CE68AA384}"/>
            </c:ext>
          </c:extLst>
        </c:ser>
        <c:ser>
          <c:idx val="18"/>
          <c:order val="18"/>
          <c:tx>
            <c:strRef>
              <c:f>'239'!$AI$119</c:f>
              <c:strCache>
                <c:ptCount val="1"/>
                <c:pt idx="0">
                  <c:v>Stg.2 Nozzle Step#21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'239'!$AI$121:$AI$156</c:f>
              <c:numCache>
                <c:formatCode>0.000</c:formatCode>
                <c:ptCount val="36"/>
                <c:pt idx="16">
                  <c:v>2.811110659536098E-3</c:v>
                </c:pt>
                <c:pt idx="17">
                  <c:v>2.811110659536098E-3</c:v>
                </c:pt>
              </c:numCache>
            </c:numRef>
          </c:val>
          <c:extLst>
            <c:ext xmlns:c16="http://schemas.microsoft.com/office/drawing/2014/chart" uri="{C3380CC4-5D6E-409C-BE32-E72D297353CC}">
              <c16:uniqueId val="{00000012-E62D-49BF-AC57-2D9CE68AA384}"/>
            </c:ext>
          </c:extLst>
        </c:ser>
        <c:ser>
          <c:idx val="19"/>
          <c:order val="19"/>
          <c:tx>
            <c:strRef>
              <c:f>'239'!$AJ$119</c:f>
              <c:strCache>
                <c:ptCount val="1"/>
                <c:pt idx="0">
                  <c:v>Stg.2 Nozzle Step#20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'239'!$AJ$121:$AJ$156</c:f>
              <c:numCache>
                <c:formatCode>0.000</c:formatCode>
                <c:ptCount val="36"/>
                <c:pt idx="17">
                  <c:v>2.3999992393441971E-3</c:v>
                </c:pt>
                <c:pt idx="18">
                  <c:v>2.3999992393441971E-3</c:v>
                </c:pt>
              </c:numCache>
            </c:numRef>
          </c:val>
          <c:extLst>
            <c:ext xmlns:c16="http://schemas.microsoft.com/office/drawing/2014/chart" uri="{C3380CC4-5D6E-409C-BE32-E72D297353CC}">
              <c16:uniqueId val="{00000013-E62D-49BF-AC57-2D9CE68AA384}"/>
            </c:ext>
          </c:extLst>
        </c:ser>
        <c:ser>
          <c:idx val="20"/>
          <c:order val="20"/>
          <c:tx>
            <c:strRef>
              <c:f>'239'!$AK$119</c:f>
              <c:strCache>
                <c:ptCount val="1"/>
                <c:pt idx="0">
                  <c:v>Stg.2 Nozzle Step#19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'239'!$AK$121:$AK$156</c:f>
              <c:numCache>
                <c:formatCode>0.000</c:formatCode>
                <c:ptCount val="36"/>
                <c:pt idx="18">
                  <c:v>-1.6000011500523215E-3</c:v>
                </c:pt>
                <c:pt idx="19">
                  <c:v>-1.6000011500523215E-3</c:v>
                </c:pt>
              </c:numCache>
            </c:numRef>
          </c:val>
          <c:extLst>
            <c:ext xmlns:c16="http://schemas.microsoft.com/office/drawing/2014/chart" uri="{C3380CC4-5D6E-409C-BE32-E72D297353CC}">
              <c16:uniqueId val="{00000014-E62D-49BF-AC57-2D9CE68AA384}"/>
            </c:ext>
          </c:extLst>
        </c:ser>
        <c:ser>
          <c:idx val="21"/>
          <c:order val="21"/>
          <c:tx>
            <c:strRef>
              <c:f>'239'!$AL$119</c:f>
              <c:strCache>
                <c:ptCount val="1"/>
                <c:pt idx="0">
                  <c:v>Stg.2 Nozzle Step#18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'239'!$AL$121:$AL$156</c:f>
              <c:numCache>
                <c:formatCode>0.000</c:formatCode>
                <c:ptCount val="36"/>
                <c:pt idx="19">
                  <c:v>-6.5999969416452586E-3</c:v>
                </c:pt>
                <c:pt idx="20">
                  <c:v>-6.5999969416452586E-3</c:v>
                </c:pt>
              </c:numCache>
            </c:numRef>
          </c:val>
          <c:extLst>
            <c:ext xmlns:c16="http://schemas.microsoft.com/office/drawing/2014/chart" uri="{C3380CC4-5D6E-409C-BE32-E72D297353CC}">
              <c16:uniqueId val="{00000015-E62D-49BF-AC57-2D9CE68AA384}"/>
            </c:ext>
          </c:extLst>
        </c:ser>
        <c:ser>
          <c:idx val="22"/>
          <c:order val="22"/>
          <c:tx>
            <c:strRef>
              <c:f>'239'!$AM$119</c:f>
              <c:strCache>
                <c:ptCount val="1"/>
                <c:pt idx="0">
                  <c:v>Stg.2 Nozzle Step#17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'239'!$AM$121:$AM$156</c:f>
              <c:numCache>
                <c:formatCode>0.000</c:formatCode>
                <c:ptCount val="36"/>
                <c:pt idx="20">
                  <c:v>-1.2711098735678661E-2</c:v>
                </c:pt>
                <c:pt idx="21">
                  <c:v>-1.2711098735678661E-2</c:v>
                </c:pt>
              </c:numCache>
            </c:numRef>
          </c:val>
          <c:extLst>
            <c:ext xmlns:c16="http://schemas.microsoft.com/office/drawing/2014/chart" uri="{C3380CC4-5D6E-409C-BE32-E72D297353CC}">
              <c16:uniqueId val="{00000016-E62D-49BF-AC57-2D9CE68AA384}"/>
            </c:ext>
          </c:extLst>
        </c:ser>
        <c:ser>
          <c:idx val="23"/>
          <c:order val="23"/>
          <c:tx>
            <c:strRef>
              <c:f>'239'!$AN$119</c:f>
              <c:strCache>
                <c:ptCount val="1"/>
                <c:pt idx="0">
                  <c:v>Stg.2 Nozzle Step#16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'239'!$AN$121:$AN$156</c:f>
              <c:numCache>
                <c:formatCode>0.000</c:formatCode>
                <c:ptCount val="36"/>
                <c:pt idx="21">
                  <c:v>-1.5611095703661704E-2</c:v>
                </c:pt>
                <c:pt idx="22">
                  <c:v>-1.5611095703661704E-2</c:v>
                </c:pt>
              </c:numCache>
            </c:numRef>
          </c:val>
          <c:extLst>
            <c:ext xmlns:c16="http://schemas.microsoft.com/office/drawing/2014/chart" uri="{C3380CC4-5D6E-409C-BE32-E72D297353CC}">
              <c16:uniqueId val="{00000017-E62D-49BF-AC57-2D9CE68AA384}"/>
            </c:ext>
          </c:extLst>
        </c:ser>
        <c:ser>
          <c:idx val="24"/>
          <c:order val="24"/>
          <c:tx>
            <c:strRef>
              <c:f>'239'!$AO$119</c:f>
              <c:strCache>
                <c:ptCount val="1"/>
                <c:pt idx="0">
                  <c:v>Stg.2 Nozzle Step#15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'239'!$AO$121:$AO$156</c:f>
              <c:numCache>
                <c:formatCode>0.000</c:formatCode>
                <c:ptCount val="36"/>
                <c:pt idx="22">
                  <c:v>-1.339999201587716E-2</c:v>
                </c:pt>
                <c:pt idx="23">
                  <c:v>-1.339999201587716E-2</c:v>
                </c:pt>
              </c:numCache>
            </c:numRef>
          </c:val>
          <c:extLst>
            <c:ext xmlns:c16="http://schemas.microsoft.com/office/drawing/2014/chart" uri="{C3380CC4-5D6E-409C-BE32-E72D297353CC}">
              <c16:uniqueId val="{00000018-E62D-49BF-AC57-2D9CE68AA384}"/>
            </c:ext>
          </c:extLst>
        </c:ser>
        <c:ser>
          <c:idx val="25"/>
          <c:order val="25"/>
          <c:tx>
            <c:strRef>
              <c:f>'239'!$AP$119</c:f>
              <c:strCache>
                <c:ptCount val="1"/>
                <c:pt idx="0">
                  <c:v>Stg.2 Nozzle Step#14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'239'!$AP$121:$AP$156</c:f>
              <c:numCache>
                <c:formatCode>0.000</c:formatCode>
                <c:ptCount val="36"/>
                <c:pt idx="23">
                  <c:v>-1.037779210315648E-2</c:v>
                </c:pt>
                <c:pt idx="24">
                  <c:v>-1.037779210315648E-2</c:v>
                </c:pt>
              </c:numCache>
            </c:numRef>
          </c:val>
          <c:extLst>
            <c:ext xmlns:c16="http://schemas.microsoft.com/office/drawing/2014/chart" uri="{C3380CC4-5D6E-409C-BE32-E72D297353CC}">
              <c16:uniqueId val="{00000019-E62D-49BF-AC57-2D9CE68AA384}"/>
            </c:ext>
          </c:extLst>
        </c:ser>
        <c:ser>
          <c:idx val="26"/>
          <c:order val="26"/>
          <c:tx>
            <c:strRef>
              <c:f>'239'!$AQ$119</c:f>
              <c:strCache>
                <c:ptCount val="1"/>
                <c:pt idx="0">
                  <c:v>Stg.2 Nozzle Step#13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'239'!$AQ$121:$AQ$156</c:f>
              <c:numCache>
                <c:formatCode>0.000</c:formatCode>
                <c:ptCount val="36"/>
                <c:pt idx="24">
                  <c:v>-9.800064701721567E-3</c:v>
                </c:pt>
                <c:pt idx="25">
                  <c:v>-9.800064701721567E-3</c:v>
                </c:pt>
              </c:numCache>
            </c:numRef>
          </c:val>
          <c:extLst>
            <c:ext xmlns:c16="http://schemas.microsoft.com/office/drawing/2014/chart" uri="{C3380CC4-5D6E-409C-BE32-E72D297353CC}">
              <c16:uniqueId val="{0000001A-E62D-49BF-AC57-2D9CE68AA384}"/>
            </c:ext>
          </c:extLst>
        </c:ser>
        <c:ser>
          <c:idx val="27"/>
          <c:order val="27"/>
          <c:tx>
            <c:strRef>
              <c:f>'239'!$AR$119</c:f>
              <c:strCache>
                <c:ptCount val="1"/>
                <c:pt idx="0">
                  <c:v>Stg.2 Nozzle Step#12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'239'!$AR$121:$AR$156</c:f>
              <c:numCache>
                <c:formatCode>0.000</c:formatCode>
                <c:ptCount val="36"/>
                <c:pt idx="25">
                  <c:v>-1.0355677297184229E-2</c:v>
                </c:pt>
                <c:pt idx="26">
                  <c:v>-1.0355677297184229E-2</c:v>
                </c:pt>
              </c:numCache>
            </c:numRef>
          </c:val>
          <c:extLst>
            <c:ext xmlns:c16="http://schemas.microsoft.com/office/drawing/2014/chart" uri="{C3380CC4-5D6E-409C-BE32-E72D297353CC}">
              <c16:uniqueId val="{0000001B-E62D-49BF-AC57-2D9CE68AA384}"/>
            </c:ext>
          </c:extLst>
        </c:ser>
        <c:ser>
          <c:idx val="28"/>
          <c:order val="28"/>
          <c:tx>
            <c:strRef>
              <c:f>'239'!$AS$119</c:f>
              <c:strCache>
                <c:ptCount val="1"/>
                <c:pt idx="0">
                  <c:v>Stg.2 Nozzle Step#11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'239'!$AS$121:$AS$156</c:f>
              <c:numCache>
                <c:formatCode>0.000</c:formatCode>
                <c:ptCount val="36"/>
                <c:pt idx="26">
                  <c:v>-8.6889998265178292E-3</c:v>
                </c:pt>
                <c:pt idx="27">
                  <c:v>-8.6889998265178292E-3</c:v>
                </c:pt>
              </c:numCache>
            </c:numRef>
          </c:val>
          <c:extLst>
            <c:ext xmlns:c16="http://schemas.microsoft.com/office/drawing/2014/chart" uri="{C3380CC4-5D6E-409C-BE32-E72D297353CC}">
              <c16:uniqueId val="{0000001C-E62D-49BF-AC57-2D9CE68AA384}"/>
            </c:ext>
          </c:extLst>
        </c:ser>
        <c:ser>
          <c:idx val="29"/>
          <c:order val="29"/>
          <c:tx>
            <c:strRef>
              <c:f>'239'!$AT$119</c:f>
              <c:strCache>
                <c:ptCount val="1"/>
                <c:pt idx="0">
                  <c:v>Stg.2 Nozzle Step#10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'239'!$AT$121:$AT$156</c:f>
              <c:numCache>
                <c:formatCode>0.000</c:formatCode>
                <c:ptCount val="36"/>
                <c:pt idx="27">
                  <c:v>-5.1333757996872009E-3</c:v>
                </c:pt>
                <c:pt idx="28">
                  <c:v>-5.1333757996872009E-3</c:v>
                </c:pt>
              </c:numCache>
            </c:numRef>
          </c:val>
          <c:extLst>
            <c:ext xmlns:c16="http://schemas.microsoft.com/office/drawing/2014/chart" uri="{C3380CC4-5D6E-409C-BE32-E72D297353CC}">
              <c16:uniqueId val="{0000001D-E62D-49BF-AC57-2D9CE68AA384}"/>
            </c:ext>
          </c:extLst>
        </c:ser>
        <c:ser>
          <c:idx val="30"/>
          <c:order val="30"/>
          <c:tx>
            <c:strRef>
              <c:f>'239'!$AU$119</c:f>
              <c:strCache>
                <c:ptCount val="1"/>
                <c:pt idx="0">
                  <c:v>Stg.2 Nozzle Step#9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'239'!$AU$121:$AU$156</c:f>
              <c:numCache>
                <c:formatCode>0.000</c:formatCode>
                <c:ptCount val="36"/>
                <c:pt idx="28">
                  <c:v>-4.1777820426887047E-3</c:v>
                </c:pt>
                <c:pt idx="29">
                  <c:v>-4.1777820426887047E-3</c:v>
                </c:pt>
              </c:numCache>
            </c:numRef>
          </c:val>
          <c:extLst>
            <c:ext xmlns:c16="http://schemas.microsoft.com/office/drawing/2014/chart" uri="{C3380CC4-5D6E-409C-BE32-E72D297353CC}">
              <c16:uniqueId val="{0000001E-E62D-49BF-AC57-2D9CE68AA384}"/>
            </c:ext>
          </c:extLst>
        </c:ser>
        <c:ser>
          <c:idx val="31"/>
          <c:order val="31"/>
          <c:tx>
            <c:strRef>
              <c:f>'239'!$AV$119</c:f>
              <c:strCache>
                <c:ptCount val="1"/>
                <c:pt idx="0">
                  <c:v>Stg.2 Nozzle Step#8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'239'!$AV$121:$AV$156</c:f>
              <c:numCache>
                <c:formatCode>0.000</c:formatCode>
                <c:ptCount val="36"/>
                <c:pt idx="29">
                  <c:v>-6.1111108079785481E-3</c:v>
                </c:pt>
                <c:pt idx="30">
                  <c:v>-6.1111108079785481E-3</c:v>
                </c:pt>
              </c:numCache>
            </c:numRef>
          </c:val>
          <c:extLst>
            <c:ext xmlns:c16="http://schemas.microsoft.com/office/drawing/2014/chart" uri="{C3380CC4-5D6E-409C-BE32-E72D297353CC}">
              <c16:uniqueId val="{0000001F-E62D-49BF-AC57-2D9CE68AA384}"/>
            </c:ext>
          </c:extLst>
        </c:ser>
        <c:ser>
          <c:idx val="32"/>
          <c:order val="32"/>
          <c:tx>
            <c:strRef>
              <c:f>'239'!$AW$119</c:f>
              <c:strCache>
                <c:ptCount val="1"/>
                <c:pt idx="0">
                  <c:v>Stg.2 Nozzle Step#7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'239'!$AW$121:$AW$156</c:f>
              <c:numCache>
                <c:formatCode>0.000</c:formatCode>
                <c:ptCount val="36"/>
                <c:pt idx="30">
                  <c:v>-8.188889763005136E-3</c:v>
                </c:pt>
                <c:pt idx="31">
                  <c:v>-8.188889763005136E-3</c:v>
                </c:pt>
              </c:numCache>
            </c:numRef>
          </c:val>
          <c:extLst>
            <c:ext xmlns:c16="http://schemas.microsoft.com/office/drawing/2014/chart" uri="{C3380CC4-5D6E-409C-BE32-E72D297353CC}">
              <c16:uniqueId val="{00000020-E62D-49BF-AC57-2D9CE68AA384}"/>
            </c:ext>
          </c:extLst>
        </c:ser>
        <c:ser>
          <c:idx val="33"/>
          <c:order val="33"/>
          <c:tx>
            <c:strRef>
              <c:f>'239'!$AX$119</c:f>
              <c:strCache>
                <c:ptCount val="1"/>
                <c:pt idx="0">
                  <c:v>Stg.2 Nozzle Step#6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'239'!$AX$121:$AX$156</c:f>
              <c:numCache>
                <c:formatCode>0.000</c:formatCode>
                <c:ptCount val="36"/>
                <c:pt idx="31">
                  <c:v>-1.0044450160080487E-2</c:v>
                </c:pt>
                <c:pt idx="32">
                  <c:v>-1.0044450160080487E-2</c:v>
                </c:pt>
              </c:numCache>
            </c:numRef>
          </c:val>
          <c:extLst>
            <c:ext xmlns:c16="http://schemas.microsoft.com/office/drawing/2014/chart" uri="{C3380CC4-5D6E-409C-BE32-E72D297353CC}">
              <c16:uniqueId val="{00000021-E62D-49BF-AC57-2D9CE68AA384}"/>
            </c:ext>
          </c:extLst>
        </c:ser>
        <c:ser>
          <c:idx val="34"/>
          <c:order val="34"/>
          <c:tx>
            <c:strRef>
              <c:f>'239'!$AY$119</c:f>
              <c:strCache>
                <c:ptCount val="1"/>
                <c:pt idx="0">
                  <c:v>Stg.2 Nozzle Step#5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'239'!$AY$121:$AY$156</c:f>
              <c:numCache>
                <c:formatCode>0.000</c:formatCode>
                <c:ptCount val="36"/>
                <c:pt idx="32">
                  <c:v>-1.173334296441908E-2</c:v>
                </c:pt>
                <c:pt idx="33">
                  <c:v>-1.173334296441908E-2</c:v>
                </c:pt>
              </c:numCache>
            </c:numRef>
          </c:val>
          <c:extLst>
            <c:ext xmlns:c16="http://schemas.microsoft.com/office/drawing/2014/chart" uri="{C3380CC4-5D6E-409C-BE32-E72D297353CC}">
              <c16:uniqueId val="{00000022-E62D-49BF-AC57-2D9CE68AA384}"/>
            </c:ext>
          </c:extLst>
        </c:ser>
        <c:ser>
          <c:idx val="35"/>
          <c:order val="35"/>
          <c:tx>
            <c:strRef>
              <c:f>'239'!$AZ$119</c:f>
              <c:strCache>
                <c:ptCount val="1"/>
                <c:pt idx="0">
                  <c:v>Stg.2 Nozzle Step#4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'239'!$AZ$121:$AZ$156</c:f>
              <c:numCache>
                <c:formatCode>0.000</c:formatCode>
                <c:ptCount val="36"/>
                <c:pt idx="33">
                  <c:v>-1.3200008024739418E-2</c:v>
                </c:pt>
                <c:pt idx="34">
                  <c:v>-1.3200008024739418E-2</c:v>
                </c:pt>
              </c:numCache>
            </c:numRef>
          </c:val>
          <c:extLst>
            <c:ext xmlns:c16="http://schemas.microsoft.com/office/drawing/2014/chart" uri="{C3380CC4-5D6E-409C-BE32-E72D297353CC}">
              <c16:uniqueId val="{00000023-E62D-49BF-AC57-2D9CE68AA384}"/>
            </c:ext>
          </c:extLst>
        </c:ser>
        <c:ser>
          <c:idx val="36"/>
          <c:order val="36"/>
          <c:tx>
            <c:strRef>
              <c:f>'239'!$BA$119</c:f>
              <c:strCache>
                <c:ptCount val="1"/>
                <c:pt idx="0">
                  <c:v>Stg.2 Nozzle Step#3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'239'!$BA$121:$BA$156</c:f>
              <c:numCache>
                <c:formatCode>0.000</c:formatCode>
                <c:ptCount val="36"/>
                <c:pt idx="34">
                  <c:v>-1.4633336807662545E-2</c:v>
                </c:pt>
                <c:pt idx="35">
                  <c:v>-1.4633336807662545E-2</c:v>
                </c:pt>
              </c:numCache>
            </c:numRef>
          </c:val>
          <c:extLst>
            <c:ext xmlns:c16="http://schemas.microsoft.com/office/drawing/2014/chart" uri="{C3380CC4-5D6E-409C-BE32-E72D297353CC}">
              <c16:uniqueId val="{00000024-E62D-49BF-AC57-2D9CE68AA384}"/>
            </c:ext>
          </c:extLst>
        </c:ser>
        <c:ser>
          <c:idx val="37"/>
          <c:order val="37"/>
          <c:tx>
            <c:strRef>
              <c:f>'239'!$BB$119</c:f>
              <c:strCache>
                <c:ptCount val="1"/>
                <c:pt idx="0">
                  <c:v>Stg.2 Nozzle Step#2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'239'!$BB$121:$BB$156</c:f>
              <c:numCache>
                <c:formatCode>0.000</c:formatCode>
                <c:ptCount val="36"/>
                <c:pt idx="0">
                  <c:v>-1.6733334716946047E-2</c:v>
                </c:pt>
                <c:pt idx="35">
                  <c:v>-1.6733334716946047E-2</c:v>
                </c:pt>
              </c:numCache>
            </c:numRef>
          </c:val>
          <c:extLst>
            <c:ext xmlns:c16="http://schemas.microsoft.com/office/drawing/2014/chart" uri="{C3380CC4-5D6E-409C-BE32-E72D297353CC}">
              <c16:uniqueId val="{00000025-E62D-49BF-AC57-2D9CE68AA384}"/>
            </c:ext>
          </c:extLst>
        </c:ser>
        <c:dLbls>
          <c:showLegendKey val="0"/>
          <c:showVal val="0"/>
          <c:showCatName val="0"/>
          <c:showSerName val="0"/>
          <c:showPercent val="0"/>
          <c:showBubbleSize val="0"/>
        </c:dLbls>
        <c:axId val="184597504"/>
        <c:axId val="182510720"/>
      </c:radarChart>
      <c:catAx>
        <c:axId val="18459750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510720"/>
        <c:crosses val="autoZero"/>
        <c:auto val="1"/>
        <c:lblAlgn val="ctr"/>
        <c:lblOffset val="100"/>
        <c:noMultiLvlLbl val="0"/>
      </c:catAx>
      <c:valAx>
        <c:axId val="18251072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4597504"/>
        <c:crosses val="autoZero"/>
        <c:crossBetween val="between"/>
        <c:majorUnit val="5.000000000000001E-2"/>
      </c:valAx>
    </c:plotArea>
    <c:legend>
      <c:legendPos val="r"/>
      <c:layout>
        <c:manualLayout>
          <c:xMode val="edge"/>
          <c:yMode val="edge"/>
          <c:x val="0.79919115054648016"/>
          <c:y val="0"/>
          <c:w val="0.19334616288635562"/>
          <c:h val="1"/>
        </c:manualLayout>
      </c:layout>
      <c:overlay val="0"/>
      <c:txPr>
        <a:bodyPr/>
        <a:lstStyle/>
        <a:p>
          <a:pPr>
            <a:defRPr lang="ja-JP" sz="600"/>
          </a:pPr>
          <a:endParaRPr lang="en-US"/>
        </a:p>
      </c:txPr>
    </c:legend>
    <c:plotVisOnly val="1"/>
    <c:dispBlanksAs val="gap"/>
    <c:showDLblsOverMax val="0"/>
  </c:chart>
  <c:txPr>
    <a:bodyPr/>
    <a:lstStyle/>
    <a:p>
      <a:pPr>
        <a:defRPr sz="800"/>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'243'!$AP$106</c:f>
              <c:strCache>
                <c:ptCount val="1"/>
                <c:pt idx="0">
                  <c:v>Step Min</c:v>
                </c:pt>
              </c:strCache>
            </c:strRef>
          </c:tx>
          <c:spPr>
            <a:ln w="28575">
              <a:prstDash val="dash"/>
            </a:ln>
          </c:spPr>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'243'!$AP$108:$AP$130</c:f>
              <c:numCache>
                <c:formatCode>General</c:formatCode>
                <c:ptCount val="23"/>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numCache>
            </c:numRef>
          </c:val>
          <c:extLst>
            <c:ext xmlns:c16="http://schemas.microsoft.com/office/drawing/2014/chart" uri="{C3380CC4-5D6E-409C-BE32-E72D297353CC}">
              <c16:uniqueId val="{00000000-3B5F-4358-8CB6-16F5C03EFB2E}"/>
            </c:ext>
          </c:extLst>
        </c:ser>
        <c:ser>
          <c:idx val="1"/>
          <c:order val="1"/>
          <c:tx>
            <c:strRef>
              <c:f>'243'!$AQ$106</c:f>
              <c:strCache>
                <c:ptCount val="1"/>
                <c:pt idx="0">
                  <c:v>Step Max</c:v>
                </c:pt>
              </c:strCache>
            </c:strRef>
          </c:tx>
          <c:spPr>
            <a:ln w="28575">
              <a:prstDash val="dash"/>
            </a:ln>
          </c:spPr>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'243'!$AQ$108:$AQ$130</c:f>
              <c:numCache>
                <c:formatCode>General</c:formatCode>
                <c:ptCount val="23"/>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numCache>
            </c:numRef>
          </c:val>
          <c:extLst>
            <c:ext xmlns:c16="http://schemas.microsoft.com/office/drawing/2014/chart" uri="{C3380CC4-5D6E-409C-BE32-E72D297353CC}">
              <c16:uniqueId val="{00000001-3B5F-4358-8CB6-16F5C03EFB2E}"/>
            </c:ext>
          </c:extLst>
        </c:ser>
        <c:ser>
          <c:idx val="2"/>
          <c:order val="2"/>
          <c:tx>
            <c:strRef>
              <c:f>'243'!$S$106</c:f>
              <c:strCache>
                <c:ptCount val="1"/>
                <c:pt idx="0">
                  <c:v>Stg.3 Nozzle Step#1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'243'!$S$108:$S$130</c:f>
              <c:numCache>
                <c:formatCode>0.000</c:formatCode>
                <c:ptCount val="23"/>
                <c:pt idx="0">
                  <c:v>-5.4689701337906627E-3</c:v>
                </c:pt>
                <c:pt idx="1">
                  <c:v>-5.4689701337906627E-3</c:v>
                </c:pt>
              </c:numCache>
            </c:numRef>
          </c:val>
          <c:extLst>
            <c:ext xmlns:c16="http://schemas.microsoft.com/office/drawing/2014/chart" uri="{C3380CC4-5D6E-409C-BE32-E72D297353CC}">
              <c16:uniqueId val="{00000002-3B5F-4358-8CB6-16F5C03EFB2E}"/>
            </c:ext>
          </c:extLst>
        </c:ser>
        <c:ser>
          <c:idx val="3"/>
          <c:order val="3"/>
          <c:tx>
            <c:strRef>
              <c:f>'243'!$T$106</c:f>
              <c:strCache>
                <c:ptCount val="1"/>
                <c:pt idx="0">
                  <c:v>Stg.3 Nozzle Step#23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'243'!$T$108:$T$130</c:f>
              <c:numCache>
                <c:formatCode>0.000</c:formatCode>
                <c:ptCount val="23"/>
                <c:pt idx="1">
                  <c:v>-1.8547196649478792E-3</c:v>
                </c:pt>
                <c:pt idx="2">
                  <c:v>-1.8547196649478792E-3</c:v>
                </c:pt>
              </c:numCache>
            </c:numRef>
          </c:val>
          <c:extLst>
            <c:ext xmlns:c16="http://schemas.microsoft.com/office/drawing/2014/chart" uri="{C3380CC4-5D6E-409C-BE32-E72D297353CC}">
              <c16:uniqueId val="{00000003-3B5F-4358-8CB6-16F5C03EFB2E}"/>
            </c:ext>
          </c:extLst>
        </c:ser>
        <c:ser>
          <c:idx val="4"/>
          <c:order val="4"/>
          <c:tx>
            <c:strRef>
              <c:f>'243'!$U$106</c:f>
              <c:strCache>
                <c:ptCount val="1"/>
                <c:pt idx="0">
                  <c:v>Stg.3 Nozzle Step#22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'243'!$U$108:$U$130</c:f>
              <c:numCache>
                <c:formatCode>0.000</c:formatCode>
                <c:ptCount val="23"/>
                <c:pt idx="2">
                  <c:v>2.618907629369005E-3</c:v>
                </c:pt>
                <c:pt idx="3">
                  <c:v>2.618907629369005E-3</c:v>
                </c:pt>
              </c:numCache>
            </c:numRef>
          </c:val>
          <c:extLst>
            <c:ext xmlns:c16="http://schemas.microsoft.com/office/drawing/2014/chart" uri="{C3380CC4-5D6E-409C-BE32-E72D297353CC}">
              <c16:uniqueId val="{00000004-3B5F-4358-8CB6-16F5C03EFB2E}"/>
            </c:ext>
          </c:extLst>
        </c:ser>
        <c:ser>
          <c:idx val="5"/>
          <c:order val="5"/>
          <c:tx>
            <c:strRef>
              <c:f>'243'!$V$106</c:f>
              <c:strCache>
                <c:ptCount val="1"/>
                <c:pt idx="0">
                  <c:v>Stg.3 Nozzle Step#21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'243'!$V$108:$V$130</c:f>
              <c:numCache>
                <c:formatCode>0.000</c:formatCode>
                <c:ptCount val="23"/>
                <c:pt idx="3">
                  <c:v>4.427364636967468E-3</c:v>
                </c:pt>
                <c:pt idx="4">
                  <c:v>4.427364636967468E-3</c:v>
                </c:pt>
              </c:numCache>
            </c:numRef>
          </c:val>
          <c:extLst>
            <c:ext xmlns:c16="http://schemas.microsoft.com/office/drawing/2014/chart" uri="{C3380CC4-5D6E-409C-BE32-E72D297353CC}">
              <c16:uniqueId val="{00000005-3B5F-4358-8CB6-16F5C03EFB2E}"/>
            </c:ext>
          </c:extLst>
        </c:ser>
        <c:ser>
          <c:idx val="6"/>
          <c:order val="6"/>
          <c:tx>
            <c:strRef>
              <c:f>'243'!$W$106</c:f>
              <c:strCache>
                <c:ptCount val="1"/>
                <c:pt idx="0">
                  <c:v>Stg.3 Nozzle Step#20</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'243'!$W$108:$W$130</c:f>
              <c:numCache>
                <c:formatCode>0.000</c:formatCode>
                <c:ptCount val="23"/>
                <c:pt idx="4">
                  <c:v>7.1871693688763116E-4</c:v>
                </c:pt>
                <c:pt idx="5">
                  <c:v>7.1871693688763116E-4</c:v>
                </c:pt>
              </c:numCache>
            </c:numRef>
          </c:val>
          <c:extLst>
            <c:ext xmlns:c16="http://schemas.microsoft.com/office/drawing/2014/chart" uri="{C3380CC4-5D6E-409C-BE32-E72D297353CC}">
              <c16:uniqueId val="{00000006-3B5F-4358-8CB6-16F5C03EFB2E}"/>
            </c:ext>
          </c:extLst>
        </c:ser>
        <c:ser>
          <c:idx val="7"/>
          <c:order val="7"/>
          <c:tx>
            <c:strRef>
              <c:f>'243'!$X$106</c:f>
              <c:strCache>
                <c:ptCount val="1"/>
                <c:pt idx="0">
                  <c:v>Stg.3 Nozzle Step#19</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'243'!$X$108:$X$130</c:f>
              <c:numCache>
                <c:formatCode>0.000</c:formatCode>
                <c:ptCount val="23"/>
                <c:pt idx="5">
                  <c:v>-2.2211111285059815E-3</c:v>
                </c:pt>
                <c:pt idx="6">
                  <c:v>-2.2211111285059815E-3</c:v>
                </c:pt>
              </c:numCache>
            </c:numRef>
          </c:val>
          <c:extLst>
            <c:ext xmlns:c16="http://schemas.microsoft.com/office/drawing/2014/chart" uri="{C3380CC4-5D6E-409C-BE32-E72D297353CC}">
              <c16:uniqueId val="{00000007-3B5F-4358-8CB6-16F5C03EFB2E}"/>
            </c:ext>
          </c:extLst>
        </c:ser>
        <c:ser>
          <c:idx val="8"/>
          <c:order val="8"/>
          <c:tx>
            <c:strRef>
              <c:f>'243'!$Y$106</c:f>
              <c:strCache>
                <c:ptCount val="1"/>
                <c:pt idx="0">
                  <c:v>Stg.3 Nozzle Step#18</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'243'!$Y$108:$Y$130</c:f>
              <c:numCache>
                <c:formatCode>0.000</c:formatCode>
                <c:ptCount val="23"/>
                <c:pt idx="6">
                  <c:v>-5.4441040111896655E-4</c:v>
                </c:pt>
                <c:pt idx="7">
                  <c:v>-5.4441040111896655E-4</c:v>
                </c:pt>
              </c:numCache>
            </c:numRef>
          </c:val>
          <c:extLst>
            <c:ext xmlns:c16="http://schemas.microsoft.com/office/drawing/2014/chart" uri="{C3380CC4-5D6E-409C-BE32-E72D297353CC}">
              <c16:uniqueId val="{00000008-3B5F-4358-8CB6-16F5C03EFB2E}"/>
            </c:ext>
          </c:extLst>
        </c:ser>
        <c:ser>
          <c:idx val="9"/>
          <c:order val="9"/>
          <c:tx>
            <c:strRef>
              <c:f>'243'!$Z$106</c:f>
              <c:strCache>
                <c:ptCount val="1"/>
                <c:pt idx="0">
                  <c:v>Stg.3 Nozzle Step#17</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'243'!$Z$108:$Z$130</c:f>
              <c:numCache>
                <c:formatCode>0.000</c:formatCode>
                <c:ptCount val="23"/>
                <c:pt idx="7">
                  <c:v>-2.5365854433516688E-3</c:v>
                </c:pt>
                <c:pt idx="8">
                  <c:v>-2.5365854433516688E-3</c:v>
                </c:pt>
              </c:numCache>
            </c:numRef>
          </c:val>
          <c:extLst>
            <c:ext xmlns:c16="http://schemas.microsoft.com/office/drawing/2014/chart" uri="{C3380CC4-5D6E-409C-BE32-E72D297353CC}">
              <c16:uniqueId val="{00000009-3B5F-4358-8CB6-16F5C03EFB2E}"/>
            </c:ext>
          </c:extLst>
        </c:ser>
        <c:ser>
          <c:idx val="10"/>
          <c:order val="10"/>
          <c:tx>
            <c:strRef>
              <c:f>'243'!$AA$106</c:f>
              <c:strCache>
                <c:ptCount val="1"/>
                <c:pt idx="0">
                  <c:v>Stg.3 Nozzle Step#16</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'243'!$AA$108:$AA$130</c:f>
              <c:numCache>
                <c:formatCode>0.000</c:formatCode>
                <c:ptCount val="23"/>
                <c:pt idx="8">
                  <c:v>-1.9962949504019889E-3</c:v>
                </c:pt>
                <c:pt idx="9">
                  <c:v>-1.9962949504019889E-3</c:v>
                </c:pt>
              </c:numCache>
            </c:numRef>
          </c:val>
          <c:extLst>
            <c:ext xmlns:c16="http://schemas.microsoft.com/office/drawing/2014/chart" uri="{C3380CC4-5D6E-409C-BE32-E72D297353CC}">
              <c16:uniqueId val="{0000000A-3B5F-4358-8CB6-16F5C03EFB2E}"/>
            </c:ext>
          </c:extLst>
        </c:ser>
        <c:ser>
          <c:idx val="11"/>
          <c:order val="11"/>
          <c:tx>
            <c:strRef>
              <c:f>'243'!$AB$106</c:f>
              <c:strCache>
                <c:ptCount val="1"/>
                <c:pt idx="0">
                  <c:v>Stg.3 Nozzle Step#15</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'243'!$AB$108:$AB$130</c:f>
              <c:numCache>
                <c:formatCode>0.000</c:formatCode>
                <c:ptCount val="23"/>
                <c:pt idx="9">
                  <c:v>2.4385372565802754E-3</c:v>
                </c:pt>
                <c:pt idx="10">
                  <c:v>2.4385372565802754E-3</c:v>
                </c:pt>
              </c:numCache>
            </c:numRef>
          </c:val>
          <c:extLst>
            <c:ext xmlns:c16="http://schemas.microsoft.com/office/drawing/2014/chart" uri="{C3380CC4-5D6E-409C-BE32-E72D297353CC}">
              <c16:uniqueId val="{0000000B-3B5F-4358-8CB6-16F5C03EFB2E}"/>
            </c:ext>
          </c:extLst>
        </c:ser>
        <c:ser>
          <c:idx val="12"/>
          <c:order val="12"/>
          <c:tx>
            <c:strRef>
              <c:f>'243'!$AC$106</c:f>
              <c:strCache>
                <c:ptCount val="1"/>
                <c:pt idx="0">
                  <c:v>Stg.3 Nozzle Step#14</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'243'!$AC$108:$AC$130</c:f>
              <c:numCache>
                <c:formatCode>0.000</c:formatCode>
                <c:ptCount val="23"/>
                <c:pt idx="10">
                  <c:v>7.7537442996344907E-4</c:v>
                </c:pt>
                <c:pt idx="11">
                  <c:v>7.7537442996344907E-4</c:v>
                </c:pt>
              </c:numCache>
            </c:numRef>
          </c:val>
          <c:extLst>
            <c:ext xmlns:c16="http://schemas.microsoft.com/office/drawing/2014/chart" uri="{C3380CC4-5D6E-409C-BE32-E72D297353CC}">
              <c16:uniqueId val="{0000000C-3B5F-4358-8CB6-16F5C03EFB2E}"/>
            </c:ext>
          </c:extLst>
        </c:ser>
        <c:ser>
          <c:idx val="13"/>
          <c:order val="13"/>
          <c:tx>
            <c:strRef>
              <c:f>'243'!$AD$106</c:f>
              <c:strCache>
                <c:ptCount val="1"/>
                <c:pt idx="0">
                  <c:v>Stg.3 Nozzle Step#13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'243'!$AD$108:$AD$130</c:f>
              <c:numCache>
                <c:formatCode>0.000</c:formatCode>
                <c:ptCount val="23"/>
                <c:pt idx="11">
                  <c:v>-1.9998166420691632E-3</c:v>
                </c:pt>
                <c:pt idx="12">
                  <c:v>-1.9998166420691632E-3</c:v>
                </c:pt>
              </c:numCache>
            </c:numRef>
          </c:val>
          <c:extLst>
            <c:ext xmlns:c16="http://schemas.microsoft.com/office/drawing/2014/chart" uri="{C3380CC4-5D6E-409C-BE32-E72D297353CC}">
              <c16:uniqueId val="{0000000D-3B5F-4358-8CB6-16F5C03EFB2E}"/>
            </c:ext>
          </c:extLst>
        </c:ser>
        <c:ser>
          <c:idx val="14"/>
          <c:order val="14"/>
          <c:tx>
            <c:strRef>
              <c:f>'243'!$AE$106</c:f>
              <c:strCache>
                <c:ptCount val="1"/>
                <c:pt idx="0">
                  <c:v>Stg.3 Nozzle Step#12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'243'!$AE$108:$AE$130</c:f>
              <c:numCache>
                <c:formatCode>0.000</c:formatCode>
                <c:ptCount val="23"/>
                <c:pt idx="12">
                  <c:v>-3.1794363940207404E-3</c:v>
                </c:pt>
                <c:pt idx="13">
                  <c:v>-3.1794363940207404E-3</c:v>
                </c:pt>
              </c:numCache>
            </c:numRef>
          </c:val>
          <c:extLst>
            <c:ext xmlns:c16="http://schemas.microsoft.com/office/drawing/2014/chart" uri="{C3380CC4-5D6E-409C-BE32-E72D297353CC}">
              <c16:uniqueId val="{0000000E-3B5F-4358-8CB6-16F5C03EFB2E}"/>
            </c:ext>
          </c:extLst>
        </c:ser>
        <c:ser>
          <c:idx val="15"/>
          <c:order val="15"/>
          <c:tx>
            <c:strRef>
              <c:f>'243'!$AF$106</c:f>
              <c:strCache>
                <c:ptCount val="1"/>
                <c:pt idx="0">
                  <c:v>Stg.3 Nozzle Step#11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'243'!$AF$108:$AF$130</c:f>
              <c:numCache>
                <c:formatCode>0.000</c:formatCode>
                <c:ptCount val="23"/>
                <c:pt idx="13">
                  <c:v>-5.7354208658466632E-3</c:v>
                </c:pt>
                <c:pt idx="14">
                  <c:v>-5.7354208658466632E-3</c:v>
                </c:pt>
              </c:numCache>
            </c:numRef>
          </c:val>
          <c:extLst>
            <c:ext xmlns:c16="http://schemas.microsoft.com/office/drawing/2014/chart" uri="{C3380CC4-5D6E-409C-BE32-E72D297353CC}">
              <c16:uniqueId val="{0000000F-3B5F-4358-8CB6-16F5C03EFB2E}"/>
            </c:ext>
          </c:extLst>
        </c:ser>
        <c:ser>
          <c:idx val="16"/>
          <c:order val="16"/>
          <c:tx>
            <c:strRef>
              <c:f>'243'!$AG$106</c:f>
              <c:strCache>
                <c:ptCount val="1"/>
                <c:pt idx="0">
                  <c:v>Stg.3 Nozzle Step#10</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'243'!$AG$108:$AG$130</c:f>
              <c:numCache>
                <c:formatCode>0.000</c:formatCode>
                <c:ptCount val="23"/>
                <c:pt idx="14">
                  <c:v>-3.6336233687848107E-3</c:v>
                </c:pt>
                <c:pt idx="15">
                  <c:v>-3.6336233687848107E-3</c:v>
                </c:pt>
              </c:numCache>
            </c:numRef>
          </c:val>
          <c:extLst>
            <c:ext xmlns:c16="http://schemas.microsoft.com/office/drawing/2014/chart" uri="{C3380CC4-5D6E-409C-BE32-E72D297353CC}">
              <c16:uniqueId val="{00000010-3B5F-4358-8CB6-16F5C03EFB2E}"/>
            </c:ext>
          </c:extLst>
        </c:ser>
        <c:ser>
          <c:idx val="17"/>
          <c:order val="17"/>
          <c:tx>
            <c:strRef>
              <c:f>'243'!$AH$106</c:f>
              <c:strCache>
                <c:ptCount val="1"/>
                <c:pt idx="0">
                  <c:v>Stg.3 Nozzle Step#9</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'243'!$AH$108:$AH$130</c:f>
              <c:numCache>
                <c:formatCode>0.000</c:formatCode>
                <c:ptCount val="23"/>
                <c:pt idx="15">
                  <c:v>-3.7942321228001674E-5</c:v>
                </c:pt>
                <c:pt idx="16">
                  <c:v>-3.7942321228001674E-5</c:v>
                </c:pt>
              </c:numCache>
            </c:numRef>
          </c:val>
          <c:extLst>
            <c:ext xmlns:c16="http://schemas.microsoft.com/office/drawing/2014/chart" uri="{C3380CC4-5D6E-409C-BE32-E72D297353CC}">
              <c16:uniqueId val="{00000011-3B5F-4358-8CB6-16F5C03EFB2E}"/>
            </c:ext>
          </c:extLst>
        </c:ser>
        <c:ser>
          <c:idx val="18"/>
          <c:order val="18"/>
          <c:tx>
            <c:strRef>
              <c:f>'243'!$AI$106</c:f>
              <c:strCache>
                <c:ptCount val="1"/>
                <c:pt idx="0">
                  <c:v>Stg.3 Nozzle Step#8</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'243'!$AI$108:$AI$130</c:f>
              <c:numCache>
                <c:formatCode>0.000</c:formatCode>
                <c:ptCount val="23"/>
                <c:pt idx="16">
                  <c:v>-3.4512299293965043E-4</c:v>
                </c:pt>
                <c:pt idx="17">
                  <c:v>-3.4512299293965043E-4</c:v>
                </c:pt>
              </c:numCache>
            </c:numRef>
          </c:val>
          <c:extLst>
            <c:ext xmlns:c16="http://schemas.microsoft.com/office/drawing/2014/chart" uri="{C3380CC4-5D6E-409C-BE32-E72D297353CC}">
              <c16:uniqueId val="{00000012-3B5F-4358-8CB6-16F5C03EFB2E}"/>
            </c:ext>
          </c:extLst>
        </c:ser>
        <c:ser>
          <c:idx val="19"/>
          <c:order val="19"/>
          <c:tx>
            <c:strRef>
              <c:f>'243'!$AJ$106</c:f>
              <c:strCache>
                <c:ptCount val="1"/>
                <c:pt idx="0">
                  <c:v>Stg.3 Nozzle Step#7</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'243'!$AJ$108:$AJ$130</c:f>
              <c:numCache>
                <c:formatCode>0.000</c:formatCode>
                <c:ptCount val="23"/>
                <c:pt idx="17">
                  <c:v>1.6651007632049186E-3</c:v>
                </c:pt>
                <c:pt idx="18">
                  <c:v>1.6651007632049186E-3</c:v>
                </c:pt>
              </c:numCache>
            </c:numRef>
          </c:val>
          <c:extLst>
            <c:ext xmlns:c16="http://schemas.microsoft.com/office/drawing/2014/chart" uri="{C3380CC4-5D6E-409C-BE32-E72D297353CC}">
              <c16:uniqueId val="{00000013-3B5F-4358-8CB6-16F5C03EFB2E}"/>
            </c:ext>
          </c:extLst>
        </c:ser>
        <c:ser>
          <c:idx val="20"/>
          <c:order val="20"/>
          <c:tx>
            <c:strRef>
              <c:f>'243'!$AK$106</c:f>
              <c:strCache>
                <c:ptCount val="1"/>
                <c:pt idx="0">
                  <c:v>Stg.3 Nozzle Step#6</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'243'!$AK$108:$AK$130</c:f>
              <c:numCache>
                <c:formatCode>0.000</c:formatCode>
                <c:ptCount val="23"/>
                <c:pt idx="18">
                  <c:v>1.4310513055306728E-3</c:v>
                </c:pt>
                <c:pt idx="19">
                  <c:v>1.4310513055306728E-3</c:v>
                </c:pt>
              </c:numCache>
            </c:numRef>
          </c:val>
          <c:extLst>
            <c:ext xmlns:c16="http://schemas.microsoft.com/office/drawing/2014/chart" uri="{C3380CC4-5D6E-409C-BE32-E72D297353CC}">
              <c16:uniqueId val="{00000014-3B5F-4358-8CB6-16F5C03EFB2E}"/>
            </c:ext>
          </c:extLst>
        </c:ser>
        <c:ser>
          <c:idx val="21"/>
          <c:order val="21"/>
          <c:tx>
            <c:strRef>
              <c:f>'243'!$AL$106</c:f>
              <c:strCache>
                <c:ptCount val="1"/>
                <c:pt idx="0">
                  <c:v>Stg.3 Nozzle Step#5</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'243'!$AL$108:$AL$130</c:f>
              <c:numCache>
                <c:formatCode>0.000</c:formatCode>
                <c:ptCount val="23"/>
                <c:pt idx="19">
                  <c:v>-4.4071015157669535E-3</c:v>
                </c:pt>
                <c:pt idx="20">
                  <c:v>-4.4071015157669535E-3</c:v>
                </c:pt>
              </c:numCache>
            </c:numRef>
          </c:val>
          <c:extLst>
            <c:ext xmlns:c16="http://schemas.microsoft.com/office/drawing/2014/chart" uri="{C3380CC4-5D6E-409C-BE32-E72D297353CC}">
              <c16:uniqueId val="{00000015-3B5F-4358-8CB6-16F5C03EFB2E}"/>
            </c:ext>
          </c:extLst>
        </c:ser>
        <c:ser>
          <c:idx val="22"/>
          <c:order val="22"/>
          <c:tx>
            <c:strRef>
              <c:f>'243'!$AM$106</c:f>
              <c:strCache>
                <c:ptCount val="1"/>
                <c:pt idx="0">
                  <c:v>Stg.3 Nozzle Step#4</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'243'!$AM$108:$AM$130</c:f>
              <c:numCache>
                <c:formatCode>0.000</c:formatCode>
                <c:ptCount val="23"/>
                <c:pt idx="20">
                  <c:v>-9.6633215509882575E-3</c:v>
                </c:pt>
                <c:pt idx="21">
                  <c:v>-9.6633215509882575E-3</c:v>
                </c:pt>
              </c:numCache>
            </c:numRef>
          </c:val>
          <c:extLst>
            <c:ext xmlns:c16="http://schemas.microsoft.com/office/drawing/2014/chart" uri="{C3380CC4-5D6E-409C-BE32-E72D297353CC}">
              <c16:uniqueId val="{00000016-3B5F-4358-8CB6-16F5C03EFB2E}"/>
            </c:ext>
          </c:extLst>
        </c:ser>
        <c:ser>
          <c:idx val="23"/>
          <c:order val="23"/>
          <c:tx>
            <c:strRef>
              <c:f>'243'!$AN$106</c:f>
              <c:strCache>
                <c:ptCount val="1"/>
                <c:pt idx="0">
                  <c:v>Stg.3 Nozzle Step#3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'243'!$AN$108:$AN$130</c:f>
              <c:numCache>
                <c:formatCode>0.000</c:formatCode>
                <c:ptCount val="23"/>
                <c:pt idx="21">
                  <c:v>-1.024004295584291E-2</c:v>
                </c:pt>
                <c:pt idx="22">
                  <c:v>-1.024004295584291E-2</c:v>
                </c:pt>
              </c:numCache>
            </c:numRef>
          </c:val>
          <c:extLst>
            <c:ext xmlns:c16="http://schemas.microsoft.com/office/drawing/2014/chart" uri="{C3380CC4-5D6E-409C-BE32-E72D297353CC}">
              <c16:uniqueId val="{00000017-3B5F-4358-8CB6-16F5C03EFB2E}"/>
            </c:ext>
          </c:extLst>
        </c:ser>
        <c:ser>
          <c:idx val="24"/>
          <c:order val="24"/>
          <c:tx>
            <c:strRef>
              <c:f>'243'!$AO$106</c:f>
              <c:strCache>
                <c:ptCount val="1"/>
                <c:pt idx="0">
                  <c:v>Stg.3 Nozzle Step#2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'243'!$AO$108:$AO$130</c:f>
              <c:numCache>
                <c:formatCode>0.000</c:formatCode>
                <c:ptCount val="23"/>
                <c:pt idx="0">
                  <c:v>-7.5152147836092809E-3</c:v>
                </c:pt>
                <c:pt idx="22">
                  <c:v>-7.5152147836092809E-3</c:v>
                </c:pt>
              </c:numCache>
            </c:numRef>
          </c:val>
          <c:extLst>
            <c:ext xmlns:c16="http://schemas.microsoft.com/office/drawing/2014/chart" uri="{C3380CC4-5D6E-409C-BE32-E72D297353CC}">
              <c16:uniqueId val="{00000018-3B5F-4358-8CB6-16F5C03EFB2E}"/>
            </c:ext>
          </c:extLst>
        </c:ser>
        <c:dLbls>
          <c:showLegendKey val="0"/>
          <c:showVal val="0"/>
          <c:showCatName val="0"/>
          <c:showSerName val="0"/>
          <c:showPercent val="0"/>
          <c:showBubbleSize val="0"/>
        </c:dLbls>
        <c:axId val="185162240"/>
        <c:axId val="184547520"/>
      </c:radarChart>
      <c:catAx>
        <c:axId val="18516224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4547520"/>
        <c:crosses val="autoZero"/>
        <c:auto val="1"/>
        <c:lblAlgn val="ctr"/>
        <c:lblOffset val="100"/>
        <c:noMultiLvlLbl val="0"/>
      </c:catAx>
      <c:valAx>
        <c:axId val="18454752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5162240"/>
        <c:crosses val="autoZero"/>
        <c:crossBetween val="between"/>
        <c:majorUnit val="5.000000000000001E-2"/>
      </c:valAx>
    </c:plotArea>
    <c:legend>
      <c:legendPos val="r"/>
      <c:overlay val="0"/>
      <c:txPr>
        <a:bodyPr/>
        <a:lstStyle/>
        <a:p>
          <a:pPr>
            <a:defRPr lang="ja-JP" sz="5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'247'!$AQ$93</c:f>
              <c:strCache>
                <c:ptCount val="1"/>
                <c:pt idx="0">
                  <c:v>Step Min</c:v>
                </c:pt>
              </c:strCache>
            </c:strRef>
          </c:tx>
          <c:spPr>
            <a:ln w="28575">
              <a:prstDash val="dash"/>
            </a:ln>
          </c:spPr>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'247'!$AQ$95:$AQ$118</c:f>
              <c:numCache>
                <c:formatCode>General</c:formatCode>
                <c:ptCount val="24"/>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numCache>
            </c:numRef>
          </c:val>
          <c:extLst>
            <c:ext xmlns:c16="http://schemas.microsoft.com/office/drawing/2014/chart" uri="{C3380CC4-5D6E-409C-BE32-E72D297353CC}">
              <c16:uniqueId val="{00000000-6E2B-48DB-ACB0-612C8A692128}"/>
            </c:ext>
          </c:extLst>
        </c:ser>
        <c:ser>
          <c:idx val="1"/>
          <c:order val="1"/>
          <c:tx>
            <c:strRef>
              <c:f>'247'!$AR$93</c:f>
              <c:strCache>
                <c:ptCount val="1"/>
                <c:pt idx="0">
                  <c:v>Step Max</c:v>
                </c:pt>
              </c:strCache>
            </c:strRef>
          </c:tx>
          <c:spPr>
            <a:ln w="28575">
              <a:prstDash val="dash"/>
            </a:ln>
          </c:spPr>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'247'!$AR$95:$AR$118</c:f>
              <c:numCache>
                <c:formatCode>General</c:formatCode>
                <c:ptCount val="24"/>
                <c:pt idx="0">
                  <c:v>6.399999999996453E-2</c:v>
                </c:pt>
                <c:pt idx="1">
                  <c:v>6.399999999996453E-2</c:v>
                </c:pt>
                <c:pt idx="2">
                  <c:v>6.399999999996453E-2</c:v>
                </c:pt>
                <c:pt idx="3">
                  <c:v>6.399999999996453E-2</c:v>
                </c:pt>
                <c:pt idx="4">
                  <c:v>6.399999999996453E-2</c:v>
                </c:pt>
                <c:pt idx="5">
                  <c:v>6.399999999996453E-2</c:v>
                </c:pt>
                <c:pt idx="6">
                  <c:v>6.399999999996453E-2</c:v>
                </c:pt>
                <c:pt idx="7">
                  <c:v>6.399999999996453E-2</c:v>
                </c:pt>
                <c:pt idx="8">
                  <c:v>6.399999999996453E-2</c:v>
                </c:pt>
                <c:pt idx="9">
                  <c:v>6.399999999996453E-2</c:v>
                </c:pt>
                <c:pt idx="10">
                  <c:v>6.399999999996453E-2</c:v>
                </c:pt>
                <c:pt idx="11">
                  <c:v>6.399999999996453E-2</c:v>
                </c:pt>
                <c:pt idx="12">
                  <c:v>6.399999999996453E-2</c:v>
                </c:pt>
                <c:pt idx="13">
                  <c:v>6.399999999996453E-2</c:v>
                </c:pt>
                <c:pt idx="14">
                  <c:v>6.399999999996453E-2</c:v>
                </c:pt>
                <c:pt idx="15">
                  <c:v>6.399999999996453E-2</c:v>
                </c:pt>
                <c:pt idx="16">
                  <c:v>6.399999999996453E-2</c:v>
                </c:pt>
                <c:pt idx="17">
                  <c:v>6.399999999996453E-2</c:v>
                </c:pt>
                <c:pt idx="18">
                  <c:v>6.399999999996453E-2</c:v>
                </c:pt>
                <c:pt idx="19">
                  <c:v>6.399999999996453E-2</c:v>
                </c:pt>
                <c:pt idx="20">
                  <c:v>6.399999999996453E-2</c:v>
                </c:pt>
                <c:pt idx="21">
                  <c:v>6.399999999996453E-2</c:v>
                </c:pt>
                <c:pt idx="22">
                  <c:v>6.399999999996453E-2</c:v>
                </c:pt>
                <c:pt idx="23">
                  <c:v>6.399999999996453E-2</c:v>
                </c:pt>
              </c:numCache>
            </c:numRef>
          </c:val>
          <c:extLst>
            <c:ext xmlns:c16="http://schemas.microsoft.com/office/drawing/2014/chart" uri="{C3380CC4-5D6E-409C-BE32-E72D297353CC}">
              <c16:uniqueId val="{00000001-6E2B-48DB-ACB0-612C8A692128}"/>
            </c:ext>
          </c:extLst>
        </c:ser>
        <c:ser>
          <c:idx val="2"/>
          <c:order val="2"/>
          <c:tx>
            <c:strRef>
              <c:f>'247'!$S$93</c:f>
              <c:strCache>
                <c:ptCount val="1"/>
                <c:pt idx="0">
                  <c:v>Stg.4 Nozzle Step#1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'247'!$S$95:$S$118</c:f>
              <c:numCache>
                <c:formatCode>0.000_ </c:formatCode>
                <c:ptCount val="24"/>
                <c:pt idx="0">
                  <c:v>-5.8375999511838472E-2</c:v>
                </c:pt>
                <c:pt idx="1">
                  <c:v>-5.8375999511838472E-2</c:v>
                </c:pt>
              </c:numCache>
            </c:numRef>
          </c:val>
          <c:extLst>
            <c:ext xmlns:c16="http://schemas.microsoft.com/office/drawing/2014/chart" uri="{C3380CC4-5D6E-409C-BE32-E72D297353CC}">
              <c16:uniqueId val="{00000002-6E2B-48DB-ACB0-612C8A692128}"/>
            </c:ext>
          </c:extLst>
        </c:ser>
        <c:ser>
          <c:idx val="3"/>
          <c:order val="3"/>
          <c:tx>
            <c:strRef>
              <c:f>'247'!$T$93</c:f>
              <c:strCache>
                <c:ptCount val="1"/>
                <c:pt idx="0">
                  <c:v>Stg.4 Nozzle Step#24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'247'!$T$95:$T$118</c:f>
              <c:numCache>
                <c:formatCode>0.000_ </c:formatCode>
                <c:ptCount val="24"/>
                <c:pt idx="1">
                  <c:v>-2.6447998168634967E-2</c:v>
                </c:pt>
                <c:pt idx="2">
                  <c:v>-2.6447998168634967E-2</c:v>
                </c:pt>
              </c:numCache>
            </c:numRef>
          </c:val>
          <c:extLst>
            <c:ext xmlns:c16="http://schemas.microsoft.com/office/drawing/2014/chart" uri="{C3380CC4-5D6E-409C-BE32-E72D297353CC}">
              <c16:uniqueId val="{00000003-6E2B-48DB-ACB0-612C8A692128}"/>
            </c:ext>
          </c:extLst>
        </c:ser>
        <c:ser>
          <c:idx val="4"/>
          <c:order val="4"/>
          <c:tx>
            <c:strRef>
              <c:f>'247'!$U$93</c:f>
              <c:strCache>
                <c:ptCount val="1"/>
                <c:pt idx="0">
                  <c:v>Stg.4 Nozzle Step#23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'247'!$U$95:$U$118</c:f>
              <c:numCache>
                <c:formatCode>0.000_ </c:formatCode>
                <c:ptCount val="24"/>
                <c:pt idx="2">
                  <c:v>-5.9759965916441615E-3</c:v>
                </c:pt>
                <c:pt idx="3">
                  <c:v>-5.9759965916441615E-3</c:v>
                </c:pt>
              </c:numCache>
            </c:numRef>
          </c:val>
          <c:extLst>
            <c:ext xmlns:c16="http://schemas.microsoft.com/office/drawing/2014/chart" uri="{C3380CC4-5D6E-409C-BE32-E72D297353CC}">
              <c16:uniqueId val="{00000004-6E2B-48DB-ACB0-612C8A692128}"/>
            </c:ext>
          </c:extLst>
        </c:ser>
        <c:ser>
          <c:idx val="5"/>
          <c:order val="5"/>
          <c:tx>
            <c:strRef>
              <c:f>'247'!$V$93</c:f>
              <c:strCache>
                <c:ptCount val="1"/>
                <c:pt idx="0">
                  <c:v>Stg.4 Nozzle Step#22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'247'!$V$95:$V$118</c:f>
              <c:numCache>
                <c:formatCode>0.000_ </c:formatCode>
                <c:ptCount val="24"/>
                <c:pt idx="3">
                  <c:v>2.1873355971706587E-3</c:v>
                </c:pt>
                <c:pt idx="4">
                  <c:v>2.1873355971706587E-3</c:v>
                </c:pt>
              </c:numCache>
            </c:numRef>
          </c:val>
          <c:extLst>
            <c:ext xmlns:c16="http://schemas.microsoft.com/office/drawing/2014/chart" uri="{C3380CC4-5D6E-409C-BE32-E72D297353CC}">
              <c16:uniqueId val="{00000005-6E2B-48DB-ACB0-612C8A692128}"/>
            </c:ext>
          </c:extLst>
        </c:ser>
        <c:ser>
          <c:idx val="6"/>
          <c:order val="6"/>
          <c:tx>
            <c:strRef>
              <c:f>'247'!$W$93</c:f>
              <c:strCache>
                <c:ptCount val="1"/>
                <c:pt idx="0">
                  <c:v>Stg.4 Nozzle Step#21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'247'!$W$95:$W$118</c:f>
              <c:numCache>
                <c:formatCode>0.000_ </c:formatCode>
                <c:ptCount val="24"/>
                <c:pt idx="4">
                  <c:v>-7.2879992655430215E-3</c:v>
                </c:pt>
                <c:pt idx="5">
                  <c:v>-7.2879992655430215E-3</c:v>
                </c:pt>
              </c:numCache>
            </c:numRef>
          </c:val>
          <c:extLst>
            <c:ext xmlns:c16="http://schemas.microsoft.com/office/drawing/2014/chart" uri="{C3380CC4-5D6E-409C-BE32-E72D297353CC}">
              <c16:uniqueId val="{00000006-6E2B-48DB-ACB0-612C8A692128}"/>
            </c:ext>
          </c:extLst>
        </c:ser>
        <c:ser>
          <c:idx val="7"/>
          <c:order val="7"/>
          <c:tx>
            <c:strRef>
              <c:f>'247'!$X$93</c:f>
              <c:strCache>
                <c:ptCount val="1"/>
                <c:pt idx="0">
                  <c:v>Stg.4 Nozzle Step#20</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'247'!$X$95:$X$118</c:f>
              <c:numCache>
                <c:formatCode>0.000_ </c:formatCode>
                <c:ptCount val="24"/>
                <c:pt idx="5">
                  <c:v>-2.2477333164772517E-2</c:v>
                </c:pt>
                <c:pt idx="6">
                  <c:v>-2.2477333164772517E-2</c:v>
                </c:pt>
              </c:numCache>
            </c:numRef>
          </c:val>
          <c:extLst>
            <c:ext xmlns:c16="http://schemas.microsoft.com/office/drawing/2014/chart" uri="{C3380CC4-5D6E-409C-BE32-E72D297353CC}">
              <c16:uniqueId val="{00000007-6E2B-48DB-ACB0-612C8A692128}"/>
            </c:ext>
          </c:extLst>
        </c:ser>
        <c:ser>
          <c:idx val="8"/>
          <c:order val="8"/>
          <c:tx>
            <c:strRef>
              <c:f>'247'!$Y$93</c:f>
              <c:strCache>
                <c:ptCount val="1"/>
                <c:pt idx="0">
                  <c:v>Stg.4 Nozzle Step#19</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'247'!$Y$95:$Y$118</c:f>
              <c:numCache>
                <c:formatCode>0.000_ </c:formatCode>
                <c:ptCount val="24"/>
                <c:pt idx="6">
                  <c:v>-2.6569333333270606E-2</c:v>
                </c:pt>
                <c:pt idx="7">
                  <c:v>-2.6569333333270606E-2</c:v>
                </c:pt>
              </c:numCache>
            </c:numRef>
          </c:val>
          <c:extLst>
            <c:ext xmlns:c16="http://schemas.microsoft.com/office/drawing/2014/chart" uri="{C3380CC4-5D6E-409C-BE32-E72D297353CC}">
              <c16:uniqueId val="{00000008-6E2B-48DB-ACB0-612C8A692128}"/>
            </c:ext>
          </c:extLst>
        </c:ser>
        <c:ser>
          <c:idx val="9"/>
          <c:order val="9"/>
          <c:tx>
            <c:strRef>
              <c:f>'247'!$Z$93</c:f>
              <c:strCache>
                <c:ptCount val="1"/>
                <c:pt idx="0">
                  <c:v>Stg.4 Nozzle Step#18</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'247'!$Z$95:$Z$118</c:f>
              <c:numCache>
                <c:formatCode>0.000_ </c:formatCode>
                <c:ptCount val="24"/>
                <c:pt idx="7">
                  <c:v>-2.0471999999983836E-2</c:v>
                </c:pt>
                <c:pt idx="8">
                  <c:v>-2.0471999999983836E-2</c:v>
                </c:pt>
              </c:numCache>
            </c:numRef>
          </c:val>
          <c:extLst>
            <c:ext xmlns:c16="http://schemas.microsoft.com/office/drawing/2014/chart" uri="{C3380CC4-5D6E-409C-BE32-E72D297353CC}">
              <c16:uniqueId val="{00000009-6E2B-48DB-ACB0-612C8A692128}"/>
            </c:ext>
          </c:extLst>
        </c:ser>
        <c:ser>
          <c:idx val="10"/>
          <c:order val="10"/>
          <c:tx>
            <c:strRef>
              <c:f>'247'!$AA$93</c:f>
              <c:strCache>
                <c:ptCount val="1"/>
                <c:pt idx="0">
                  <c:v>Stg.4 Nozzle Step#17</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'247'!$AA$95:$AA$118</c:f>
              <c:numCache>
                <c:formatCode>0.000_ </c:formatCode>
                <c:ptCount val="24"/>
                <c:pt idx="8">
                  <c:v>-1.6050665750924509E-2</c:v>
                </c:pt>
                <c:pt idx="9">
                  <c:v>-1.6050665750924509E-2</c:v>
                </c:pt>
              </c:numCache>
            </c:numRef>
          </c:val>
          <c:extLst>
            <c:ext xmlns:c16="http://schemas.microsoft.com/office/drawing/2014/chart" uri="{C3380CC4-5D6E-409C-BE32-E72D297353CC}">
              <c16:uniqueId val="{0000000A-6E2B-48DB-ACB0-612C8A692128}"/>
            </c:ext>
          </c:extLst>
        </c:ser>
        <c:ser>
          <c:idx val="11"/>
          <c:order val="11"/>
          <c:tx>
            <c:strRef>
              <c:f>'247'!$AB$93</c:f>
              <c:strCache>
                <c:ptCount val="1"/>
                <c:pt idx="0">
                  <c:v>Stg.4 Nozzle Step#16</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'247'!$AB$95:$AB$118</c:f>
              <c:numCache>
                <c:formatCode>0.000_ </c:formatCode>
                <c:ptCount val="24"/>
                <c:pt idx="9">
                  <c:v>-2.2932663215215143E-2</c:v>
                </c:pt>
                <c:pt idx="10">
                  <c:v>-2.2932663215215143E-2</c:v>
                </c:pt>
              </c:numCache>
            </c:numRef>
          </c:val>
          <c:extLst>
            <c:ext xmlns:c16="http://schemas.microsoft.com/office/drawing/2014/chart" uri="{C3380CC4-5D6E-409C-BE32-E72D297353CC}">
              <c16:uniqueId val="{0000000B-6E2B-48DB-ACB0-612C8A692128}"/>
            </c:ext>
          </c:extLst>
        </c:ser>
        <c:ser>
          <c:idx val="12"/>
          <c:order val="12"/>
          <c:tx>
            <c:strRef>
              <c:f>'247'!$AC$93</c:f>
              <c:strCache>
                <c:ptCount val="1"/>
                <c:pt idx="0">
                  <c:v>Stg.4 Nozzle Step#15</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'247'!$AC$95:$AC$118</c:f>
              <c:numCache>
                <c:formatCode>0.000_ </c:formatCode>
                <c:ptCount val="24"/>
                <c:pt idx="10">
                  <c:v>-2.573599294134965E-2</c:v>
                </c:pt>
                <c:pt idx="11">
                  <c:v>-2.573599294134965E-2</c:v>
                </c:pt>
              </c:numCache>
            </c:numRef>
          </c:val>
          <c:extLst>
            <c:ext xmlns:c16="http://schemas.microsoft.com/office/drawing/2014/chart" uri="{C3380CC4-5D6E-409C-BE32-E72D297353CC}">
              <c16:uniqueId val="{0000000C-6E2B-48DB-ACB0-612C8A692128}"/>
            </c:ext>
          </c:extLst>
        </c:ser>
        <c:ser>
          <c:idx val="13"/>
          <c:order val="13"/>
          <c:tx>
            <c:strRef>
              <c:f>'247'!$AD$93</c:f>
              <c:strCache>
                <c:ptCount val="1"/>
                <c:pt idx="0">
                  <c:v>Stg.4 Nozzle Step#14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'247'!$AD$95:$AD$118</c:f>
              <c:numCache>
                <c:formatCode>0.000_ </c:formatCode>
                <c:ptCount val="24"/>
                <c:pt idx="11">
                  <c:v>-2.8709325505246852E-2</c:v>
                </c:pt>
                <c:pt idx="12">
                  <c:v>-2.8709325505246852E-2</c:v>
                </c:pt>
              </c:numCache>
            </c:numRef>
          </c:val>
          <c:extLst>
            <c:ext xmlns:c16="http://schemas.microsoft.com/office/drawing/2014/chart" uri="{C3380CC4-5D6E-409C-BE32-E72D297353CC}">
              <c16:uniqueId val="{0000000D-6E2B-48DB-ACB0-612C8A692128}"/>
            </c:ext>
          </c:extLst>
        </c:ser>
        <c:ser>
          <c:idx val="14"/>
          <c:order val="14"/>
          <c:tx>
            <c:strRef>
              <c:f>'247'!$AE$93</c:f>
              <c:strCache>
                <c:ptCount val="1"/>
                <c:pt idx="0">
                  <c:v>Stg.4 Nozzle Step#13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'247'!$AE$95:$AE$118</c:f>
              <c:numCache>
                <c:formatCode>0.000_ </c:formatCode>
                <c:ptCount val="24"/>
                <c:pt idx="12">
                  <c:v>-4.6429329997920377E-2</c:v>
                </c:pt>
                <c:pt idx="13">
                  <c:v>-4.6429329997920377E-2</c:v>
                </c:pt>
              </c:numCache>
            </c:numRef>
          </c:val>
          <c:extLst>
            <c:ext xmlns:c16="http://schemas.microsoft.com/office/drawing/2014/chart" uri="{C3380CC4-5D6E-409C-BE32-E72D297353CC}">
              <c16:uniqueId val="{0000000E-6E2B-48DB-ACB0-612C8A692128}"/>
            </c:ext>
          </c:extLst>
        </c:ser>
        <c:ser>
          <c:idx val="15"/>
          <c:order val="15"/>
          <c:tx>
            <c:strRef>
              <c:f>'247'!$AF$93</c:f>
              <c:strCache>
                <c:ptCount val="1"/>
                <c:pt idx="0">
                  <c:v>Stg.4 Nozzle Step#12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'247'!$AF$95:$AF$118</c:f>
              <c:numCache>
                <c:formatCode>0.000_ </c:formatCode>
                <c:ptCount val="24"/>
                <c:pt idx="13">
                  <c:v>-6.717599954203024E-2</c:v>
                </c:pt>
                <c:pt idx="14">
                  <c:v>-6.717599954203024E-2</c:v>
                </c:pt>
              </c:numCache>
            </c:numRef>
          </c:val>
          <c:extLst>
            <c:ext xmlns:c16="http://schemas.microsoft.com/office/drawing/2014/chart" uri="{C3380CC4-5D6E-409C-BE32-E72D297353CC}">
              <c16:uniqueId val="{0000000F-6E2B-48DB-ACB0-612C8A692128}"/>
            </c:ext>
          </c:extLst>
        </c:ser>
        <c:ser>
          <c:idx val="16"/>
          <c:order val="16"/>
          <c:tx>
            <c:strRef>
              <c:f>'247'!$AG$93</c:f>
              <c:strCache>
                <c:ptCount val="1"/>
                <c:pt idx="0">
                  <c:v>Stg.4 Nozzle Step#11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'247'!$AG$95:$AG$118</c:f>
              <c:numCache>
                <c:formatCode>0.000_ </c:formatCode>
                <c:ptCount val="24"/>
                <c:pt idx="14">
                  <c:v>-7.0826665871663863E-2</c:v>
                </c:pt>
                <c:pt idx="15">
                  <c:v>-7.0826665871663863E-2</c:v>
                </c:pt>
              </c:numCache>
            </c:numRef>
          </c:val>
          <c:extLst>
            <c:ext xmlns:c16="http://schemas.microsoft.com/office/drawing/2014/chart" uri="{C3380CC4-5D6E-409C-BE32-E72D297353CC}">
              <c16:uniqueId val="{00000010-6E2B-48DB-ACB0-612C8A692128}"/>
            </c:ext>
          </c:extLst>
        </c:ser>
        <c:ser>
          <c:idx val="17"/>
          <c:order val="17"/>
          <c:tx>
            <c:strRef>
              <c:f>'247'!$AH$93</c:f>
              <c:strCache>
                <c:ptCount val="1"/>
                <c:pt idx="0">
                  <c:v>Stg.4 Nozzle Step#10</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'247'!$AH$95:$AH$118</c:f>
              <c:numCache>
                <c:formatCode>0.000_ </c:formatCode>
                <c:ptCount val="24"/>
                <c:pt idx="15">
                  <c:v>-4.9396666269160505E-2</c:v>
                </c:pt>
                <c:pt idx="16">
                  <c:v>-4.9396666269160505E-2</c:v>
                </c:pt>
              </c:numCache>
            </c:numRef>
          </c:val>
          <c:extLst>
            <c:ext xmlns:c16="http://schemas.microsoft.com/office/drawing/2014/chart" uri="{C3380CC4-5D6E-409C-BE32-E72D297353CC}">
              <c16:uniqueId val="{00000011-6E2B-48DB-ACB0-612C8A692128}"/>
            </c:ext>
          </c:extLst>
        </c:ser>
        <c:ser>
          <c:idx val="18"/>
          <c:order val="18"/>
          <c:tx>
            <c:strRef>
              <c:f>'247'!$AI$93</c:f>
              <c:strCache>
                <c:ptCount val="1"/>
                <c:pt idx="0">
                  <c:v>Stg.4 Nozzle Step#9</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'247'!$AI$95:$AI$118</c:f>
              <c:numCache>
                <c:formatCode>0.000_ </c:formatCode>
                <c:ptCount val="24"/>
                <c:pt idx="16">
                  <c:v>-7.8159995421742678E-3</c:v>
                </c:pt>
                <c:pt idx="17">
                  <c:v>-7.8159995421742678E-3</c:v>
                </c:pt>
              </c:numCache>
            </c:numRef>
          </c:val>
          <c:extLst>
            <c:ext xmlns:c16="http://schemas.microsoft.com/office/drawing/2014/chart" uri="{C3380CC4-5D6E-409C-BE32-E72D297353CC}">
              <c16:uniqueId val="{00000012-6E2B-48DB-ACB0-612C8A692128}"/>
            </c:ext>
          </c:extLst>
        </c:ser>
        <c:ser>
          <c:idx val="19"/>
          <c:order val="19"/>
          <c:tx>
            <c:strRef>
              <c:f>'247'!$AJ$93</c:f>
              <c:strCache>
                <c:ptCount val="1"/>
                <c:pt idx="0">
                  <c:v>Stg.4 Nozzle Step#8</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'247'!$AJ$95:$AJ$118</c:f>
              <c:numCache>
                <c:formatCode>0.000_ </c:formatCode>
                <c:ptCount val="24"/>
                <c:pt idx="17">
                  <c:v>2.9986667461457728E-2</c:v>
                </c:pt>
                <c:pt idx="18">
                  <c:v>2.9986667461457728E-2</c:v>
                </c:pt>
              </c:numCache>
            </c:numRef>
          </c:val>
          <c:extLst>
            <c:ext xmlns:c16="http://schemas.microsoft.com/office/drawing/2014/chart" uri="{C3380CC4-5D6E-409C-BE32-E72D297353CC}">
              <c16:uniqueId val="{00000013-6E2B-48DB-ACB0-612C8A692128}"/>
            </c:ext>
          </c:extLst>
        </c:ser>
        <c:ser>
          <c:idx val="20"/>
          <c:order val="20"/>
          <c:tx>
            <c:strRef>
              <c:f>'247'!$AK$93</c:f>
              <c:strCache>
                <c:ptCount val="1"/>
                <c:pt idx="0">
                  <c:v>Stg.4 Nozzle Step#7</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'247'!$AK$95:$AK$118</c:f>
              <c:numCache>
                <c:formatCode>0.000_ </c:formatCode>
                <c:ptCount val="24"/>
                <c:pt idx="18">
                  <c:v>4.3606667064125304E-2</c:v>
                </c:pt>
                <c:pt idx="19">
                  <c:v>4.3606667064125304E-2</c:v>
                </c:pt>
              </c:numCache>
            </c:numRef>
          </c:val>
          <c:extLst>
            <c:ext xmlns:c16="http://schemas.microsoft.com/office/drawing/2014/chart" uri="{C3380CC4-5D6E-409C-BE32-E72D297353CC}">
              <c16:uniqueId val="{00000014-6E2B-48DB-ACB0-612C8A692128}"/>
            </c:ext>
          </c:extLst>
        </c:ser>
        <c:ser>
          <c:idx val="21"/>
          <c:order val="21"/>
          <c:tx>
            <c:strRef>
              <c:f>'247'!$AL$93</c:f>
              <c:strCache>
                <c:ptCount val="1"/>
                <c:pt idx="0">
                  <c:v>Stg.4 Nozzle Step#6</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'247'!$AL$95:$AL$118</c:f>
              <c:numCache>
                <c:formatCode>0.000_ </c:formatCode>
                <c:ptCount val="24"/>
                <c:pt idx="19">
                  <c:v>2.342400045785098E-2</c:v>
                </c:pt>
                <c:pt idx="20">
                  <c:v>2.342400045785098E-2</c:v>
                </c:pt>
              </c:numCache>
            </c:numRef>
          </c:val>
          <c:extLst>
            <c:ext xmlns:c16="http://schemas.microsoft.com/office/drawing/2014/chart" uri="{C3380CC4-5D6E-409C-BE32-E72D297353CC}">
              <c16:uniqueId val="{00000015-6E2B-48DB-ACB0-612C8A692128}"/>
            </c:ext>
          </c:extLst>
        </c:ser>
        <c:ser>
          <c:idx val="22"/>
          <c:order val="22"/>
          <c:tx>
            <c:strRef>
              <c:f>'247'!$AM$93</c:f>
              <c:strCache>
                <c:ptCount val="1"/>
                <c:pt idx="0">
                  <c:v>Stg.4 Nozzle Step#5</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'247'!$AM$95:$AM$118</c:f>
              <c:numCache>
                <c:formatCode>0.000_ </c:formatCode>
                <c:ptCount val="24"/>
                <c:pt idx="20">
                  <c:v>-2.2698665871757839E-2</c:v>
                </c:pt>
                <c:pt idx="21">
                  <c:v>-2.2698665871757839E-2</c:v>
                </c:pt>
              </c:numCache>
            </c:numRef>
          </c:val>
          <c:extLst>
            <c:ext xmlns:c16="http://schemas.microsoft.com/office/drawing/2014/chart" uri="{C3380CC4-5D6E-409C-BE32-E72D297353CC}">
              <c16:uniqueId val="{00000016-6E2B-48DB-ACB0-612C8A692128}"/>
            </c:ext>
          </c:extLst>
        </c:ser>
        <c:ser>
          <c:idx val="23"/>
          <c:order val="23"/>
          <c:tx>
            <c:strRef>
              <c:f>'247'!$AN$93</c:f>
              <c:strCache>
                <c:ptCount val="1"/>
                <c:pt idx="0">
                  <c:v>Stg.4 Nozzle Step#4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'247'!$AN$95:$AN$118</c:f>
              <c:numCache>
                <c:formatCode>0.000_ </c:formatCode>
                <c:ptCount val="24"/>
                <c:pt idx="21">
                  <c:v>-7.2756666269185644E-2</c:v>
                </c:pt>
                <c:pt idx="22">
                  <c:v>-7.2756666269185644E-2</c:v>
                </c:pt>
              </c:numCache>
            </c:numRef>
          </c:val>
          <c:extLst>
            <c:ext xmlns:c16="http://schemas.microsoft.com/office/drawing/2014/chart" uri="{C3380CC4-5D6E-409C-BE32-E72D297353CC}">
              <c16:uniqueId val="{00000017-6E2B-48DB-ACB0-612C8A692128}"/>
            </c:ext>
          </c:extLst>
        </c:ser>
        <c:ser>
          <c:idx val="24"/>
          <c:order val="24"/>
          <c:tx>
            <c:strRef>
              <c:f>'247'!$AO$93</c:f>
              <c:strCache>
                <c:ptCount val="1"/>
                <c:pt idx="0">
                  <c:v>Stg.4 Nozzle Step#3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'247'!$AO$95:$AO$118</c:f>
              <c:numCache>
                <c:formatCode>0.000_ </c:formatCode>
                <c:ptCount val="24"/>
                <c:pt idx="22">
                  <c:v>-9.8191999542052599E-2</c:v>
                </c:pt>
                <c:pt idx="23">
                  <c:v>-9.8191999542052599E-2</c:v>
                </c:pt>
              </c:numCache>
            </c:numRef>
          </c:val>
          <c:extLst>
            <c:ext xmlns:c16="http://schemas.microsoft.com/office/drawing/2014/chart" uri="{C3380CC4-5D6E-409C-BE32-E72D297353CC}">
              <c16:uniqueId val="{00000018-6E2B-48DB-ACB0-612C8A692128}"/>
            </c:ext>
          </c:extLst>
        </c:ser>
        <c:ser>
          <c:idx val="25"/>
          <c:order val="25"/>
          <c:tx>
            <c:strRef>
              <c:f>'247'!$AP$93</c:f>
              <c:strCache>
                <c:ptCount val="1"/>
                <c:pt idx="0">
                  <c:v>Stg.4 Nozzle Step#2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'247'!$AP$95:$AP$118</c:f>
              <c:numCache>
                <c:formatCode>0.000_ </c:formatCode>
                <c:ptCount val="24"/>
                <c:pt idx="0">
                  <c:v>-8.7414666269125973E-2</c:v>
                </c:pt>
                <c:pt idx="23">
                  <c:v>-8.7414666269125973E-2</c:v>
                </c:pt>
              </c:numCache>
            </c:numRef>
          </c:val>
          <c:extLst>
            <c:ext xmlns:c16="http://schemas.microsoft.com/office/drawing/2014/chart" uri="{C3380CC4-5D6E-409C-BE32-E72D297353CC}">
              <c16:uniqueId val="{00000019-6E2B-48DB-ACB0-612C8A692128}"/>
            </c:ext>
          </c:extLst>
        </c:ser>
        <c:dLbls>
          <c:showLegendKey val="0"/>
          <c:showVal val="0"/>
          <c:showCatName val="0"/>
          <c:showSerName val="0"/>
          <c:showPercent val="0"/>
          <c:showBubbleSize val="0"/>
        </c:dLbls>
        <c:axId val="211277312"/>
        <c:axId val="211673088"/>
      </c:radarChart>
      <c:catAx>
        <c:axId val="21127731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211673088"/>
        <c:crosses val="autoZero"/>
        <c:auto val="1"/>
        <c:lblAlgn val="ctr"/>
        <c:lblOffset val="100"/>
        <c:noMultiLvlLbl val="0"/>
      </c:catAx>
      <c:valAx>
        <c:axId val="211673088"/>
        <c:scaling>
          <c:orientation val="minMax"/>
          <c:min val="-0.1"/>
        </c:scaling>
        <c:delete val="0"/>
        <c:axPos val="l"/>
        <c:majorGridlines/>
        <c:numFmt formatCode="General" sourceLinked="1"/>
        <c:majorTickMark val="cross"/>
        <c:minorTickMark val="none"/>
        <c:tickLblPos val="nextTo"/>
        <c:txPr>
          <a:bodyPr/>
          <a:lstStyle/>
          <a:p>
            <a:pPr>
              <a:defRPr lang="ja-JP"/>
            </a:pPr>
            <a:endParaRPr lang="en-US"/>
          </a:p>
        </c:txPr>
        <c:crossAx val="211277312"/>
        <c:crosses val="autoZero"/>
        <c:crossBetween val="between"/>
        <c:majorUnit val="5.000000000000001E-2"/>
      </c:valAx>
    </c:plotArea>
    <c:legend>
      <c:legendPos val="r"/>
      <c:layout>
        <c:manualLayout>
          <c:xMode val="edge"/>
          <c:yMode val="edge"/>
          <c:x val="0.76020721474167241"/>
          <c:y val="0"/>
          <c:w val="0.22859278290662108"/>
          <c:h val="1"/>
        </c:manualLayout>
      </c:layout>
      <c:overlay val="0"/>
      <c:txPr>
        <a:bodyPr/>
        <a:lstStyle/>
        <a:p>
          <a:pPr>
            <a:defRPr lang="ja-JP" sz="8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'238'!$V$9</c:f>
              <c:strCache>
                <c:ptCount val="1"/>
                <c:pt idx="0">
                  <c:v>Front</c:v>
                </c:pt>
              </c:strCache>
            </c:strRef>
          </c:tx>
          <c:marker>
            <c:symbol val="none"/>
          </c:marker>
          <c:cat>
            <c:numRef>
              <c:f>'238'!$U$11:$U$26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'238'!$V$11:$V$26</c:f>
              <c:numCache>
                <c:formatCode>General</c:formatCode>
                <c:ptCount val="16"/>
                <c:pt idx="0">
                  <c:v>374.50400000133516</c:v>
                </c:pt>
                <c:pt idx="1">
                  <c:v>374.52800001201513</c:v>
                </c:pt>
                <c:pt idx="2">
                  <c:v>374.53</c:v>
                </c:pt>
                <c:pt idx="3">
                  <c:v>374.5630000013349</c:v>
                </c:pt>
                <c:pt idx="4">
                  <c:v>374.56000000133491</c:v>
                </c:pt>
                <c:pt idx="5">
                  <c:v>374.56600000133483</c:v>
                </c:pt>
                <c:pt idx="6">
                  <c:v>374.51</c:v>
                </c:pt>
                <c:pt idx="7">
                  <c:v>374.51100010814105</c:v>
                </c:pt>
                <c:pt idx="8">
                  <c:v>374.49500000133514</c:v>
                </c:pt>
                <c:pt idx="9">
                  <c:v>374.51799999999997</c:v>
                </c:pt>
                <c:pt idx="10">
                  <c:v>374.53800000533994</c:v>
                </c:pt>
                <c:pt idx="11">
                  <c:v>374.56900000133487</c:v>
                </c:pt>
                <c:pt idx="12">
                  <c:v>374.56600000133483</c:v>
                </c:pt>
                <c:pt idx="13">
                  <c:v>374.56200000000001</c:v>
                </c:pt>
                <c:pt idx="14">
                  <c:v>374.51400000133509</c:v>
                </c:pt>
                <c:pt idx="15">
                  <c:v>374.5110000120157</c:v>
                </c:pt>
              </c:numCache>
            </c:numRef>
          </c:val>
          <c:extLst>
            <c:ext xmlns:c16="http://schemas.microsoft.com/office/drawing/2014/chart" uri="{C3380CC4-5D6E-409C-BE32-E72D297353CC}">
              <c16:uniqueId val="{00000000-EB2A-441C-9A3B-AFAA8D77E6B6}"/>
            </c:ext>
          </c:extLst>
        </c:ser>
        <c:ser>
          <c:idx val="1"/>
          <c:order val="1"/>
          <c:tx>
            <c:strRef>
              <c:f>'238'!$W$9</c:f>
              <c:strCache>
                <c:ptCount val="1"/>
                <c:pt idx="0">
                  <c:v>Rear</c:v>
                </c:pt>
              </c:strCache>
            </c:strRef>
          </c:tx>
          <c:marker>
            <c:symbol val="none"/>
          </c:marker>
          <c:cat>
            <c:numRef>
              <c:f>'238'!$U$11:$U$26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'238'!$W$11:$W$26</c:f>
              <c:numCache>
                <c:formatCode>General</c:formatCode>
                <c:ptCount val="16"/>
                <c:pt idx="0">
                  <c:v>374.51500000133507</c:v>
                </c:pt>
                <c:pt idx="1">
                  <c:v>374.53800001201483</c:v>
                </c:pt>
                <c:pt idx="2">
                  <c:v>374.54</c:v>
                </c:pt>
                <c:pt idx="3">
                  <c:v>374.57500002135754</c:v>
                </c:pt>
                <c:pt idx="4">
                  <c:v>374.57000000133485</c:v>
                </c:pt>
                <c:pt idx="5">
                  <c:v>374.57900000533931</c:v>
                </c:pt>
                <c:pt idx="6">
                  <c:v>374.529</c:v>
                </c:pt>
                <c:pt idx="7">
                  <c:v>374.52700000534008</c:v>
                </c:pt>
                <c:pt idx="8">
                  <c:v>374.51400000133509</c:v>
                </c:pt>
                <c:pt idx="9">
                  <c:v>374.52600000534011</c:v>
                </c:pt>
                <c:pt idx="10">
                  <c:v>374.54900001201446</c:v>
                </c:pt>
                <c:pt idx="11">
                  <c:v>374.58100000133487</c:v>
                </c:pt>
                <c:pt idx="12">
                  <c:v>374.58000000133484</c:v>
                </c:pt>
                <c:pt idx="13">
                  <c:v>374.56800000133489</c:v>
                </c:pt>
                <c:pt idx="14">
                  <c:v>374.52000000133506</c:v>
                </c:pt>
                <c:pt idx="15">
                  <c:v>374.51500001201555</c:v>
                </c:pt>
              </c:numCache>
            </c:numRef>
          </c:val>
          <c:extLst>
            <c:ext xmlns:c16="http://schemas.microsoft.com/office/drawing/2014/chart" uri="{C3380CC4-5D6E-409C-BE32-E72D297353CC}">
              <c16:uniqueId val="{00000001-EB2A-441C-9A3B-AFAA8D77E6B6}"/>
            </c:ext>
          </c:extLst>
        </c:ser>
        <c:dLbls>
          <c:showLegendKey val="0"/>
          <c:showVal val="0"/>
          <c:showCatName val="0"/>
          <c:showSerName val="0"/>
          <c:showPercent val="0"/>
          <c:showBubbleSize val="0"/>
        </c:dLbls>
        <c:axId val="211278336"/>
        <c:axId val="182588480"/>
      </c:radarChart>
      <c:valAx>
        <c:axId val="182588480"/>
        <c:scaling>
          <c:orientation val="minMax"/>
        </c:scaling>
        <c:delete val="0"/>
        <c:axPos val="l"/>
        <c:majorGridlines/>
        <c:numFmt formatCode="General" sourceLinked="1"/>
        <c:majorTickMark val="out"/>
        <c:minorTickMark val="none"/>
        <c:tickLblPos val="nextTo"/>
        <c:txPr>
          <a:bodyPr/>
          <a:lstStyle/>
          <a:p>
            <a:pPr>
              <a:defRPr lang="ja-JP"/>
            </a:pPr>
            <a:endParaRPr lang="en-US"/>
          </a:p>
        </c:txPr>
        <c:crossAx val="211278336"/>
        <c:crosses val="max"/>
        <c:crossBetween val="between"/>
      </c:valAx>
      <c:catAx>
        <c:axId val="21127833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588480"/>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'238'!$X$9</c:f>
              <c:strCache>
                <c:ptCount val="1"/>
                <c:pt idx="0">
                  <c:v>Rear-Front</c:v>
                </c:pt>
              </c:strCache>
            </c:strRef>
          </c:tx>
          <c:marker>
            <c:symbol val="none"/>
          </c:marker>
          <c:cat>
            <c:numRef>
              <c:f>'238'!$U$11:$U$26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'238'!$X$11:$X$26</c:f>
              <c:numCache>
                <c:formatCode>General</c:formatCode>
                <c:ptCount val="16"/>
                <c:pt idx="0">
                  <c:v>1.0999999999910415E-2</c:v>
                </c:pt>
                <c:pt idx="1">
                  <c:v>9.999999999706688E-3</c:v>
                </c:pt>
                <c:pt idx="2">
                  <c:v>1.0000000000047748E-2</c:v>
                </c:pt>
                <c:pt idx="3">
                  <c:v>1.2000020022640001E-2</c:v>
                </c:pt>
                <c:pt idx="4">
                  <c:v>9.9999999999340616E-3</c:v>
                </c:pt>
                <c:pt idx="5">
                  <c:v>1.300000400448198E-2</c:v>
                </c:pt>
                <c:pt idx="6">
                  <c:v>1.9000000000005457E-2</c:v>
                </c:pt>
                <c:pt idx="7">
                  <c:v>1.5999897199037605E-2</c:v>
                </c:pt>
                <c:pt idx="8">
                  <c:v>1.8999999999948614E-2</c:v>
                </c:pt>
                <c:pt idx="9">
                  <c:v>8.0000053401363402E-3</c:v>
                </c:pt>
                <c:pt idx="10">
                  <c:v>1.1000006674521501E-2</c:v>
                </c:pt>
                <c:pt idx="11">
                  <c:v>1.2000000000000455E-2</c:v>
                </c:pt>
                <c:pt idx="12">
                  <c:v>1.4000000000010004E-2</c:v>
                </c:pt>
                <c:pt idx="13">
                  <c:v>6.0000013348826542E-3</c:v>
                </c:pt>
                <c:pt idx="14">
                  <c:v>5.9999999999718057E-3</c:v>
                </c:pt>
                <c:pt idx="15">
                  <c:v>3.9999999998485691E-3</c:v>
                </c:pt>
              </c:numCache>
            </c:numRef>
          </c:val>
          <c:extLst>
            <c:ext xmlns:c16="http://schemas.microsoft.com/office/drawing/2014/chart" uri="{C3380CC4-5D6E-409C-BE32-E72D297353CC}">
              <c16:uniqueId val="{00000000-3DFE-4A52-8A46-076A009710D6}"/>
            </c:ext>
          </c:extLst>
        </c:ser>
        <c:dLbls>
          <c:showLegendKey val="0"/>
          <c:showVal val="0"/>
          <c:showCatName val="0"/>
          <c:showSerName val="0"/>
          <c:showPercent val="0"/>
          <c:showBubbleSize val="0"/>
        </c:dLbls>
        <c:axId val="211279360"/>
        <c:axId val="182590784"/>
      </c:radarChart>
      <c:valAx>
        <c:axId val="182590784"/>
        <c:scaling>
          <c:orientation val="minMax"/>
          <c:max val="2.0000000000000004E-2"/>
          <c:min val="-2.0000000000000004E-2"/>
        </c:scaling>
        <c:delete val="0"/>
        <c:axPos val="l"/>
        <c:majorGridlines/>
        <c:numFmt formatCode="General" sourceLinked="1"/>
        <c:majorTickMark val="out"/>
        <c:minorTickMark val="none"/>
        <c:tickLblPos val="nextTo"/>
        <c:txPr>
          <a:bodyPr/>
          <a:lstStyle/>
          <a:p>
            <a:pPr>
              <a:defRPr lang="ja-JP"/>
            </a:pPr>
            <a:endParaRPr lang="en-US"/>
          </a:p>
        </c:txPr>
        <c:crossAx val="211279360"/>
        <c:crosses val="max"/>
        <c:crossBetween val="between"/>
      </c:valAx>
      <c:catAx>
        <c:axId val="2112793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590784"/>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'242'!$V$9</c:f>
              <c:strCache>
                <c:ptCount val="1"/>
                <c:pt idx="0">
                  <c:v>Front</c:v>
                </c:pt>
              </c:strCache>
            </c:strRef>
          </c:tx>
          <c:marker>
            <c:symbol val="none"/>
          </c:marker>
          <c:cat>
            <c:numRef>
              <c:f>'242'!$U$11:$U$26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'242'!$V$11:$V$26</c:f>
              <c:numCache>
                <c:formatCode>General</c:formatCode>
                <c:ptCount val="16"/>
                <c:pt idx="0">
                  <c:v>405.48300000123311</c:v>
                </c:pt>
                <c:pt idx="1">
                  <c:v>405.51000001109713</c:v>
                </c:pt>
                <c:pt idx="2">
                  <c:v>405.51600000000002</c:v>
                </c:pt>
                <c:pt idx="3">
                  <c:v>405.52600000000001</c:v>
                </c:pt>
                <c:pt idx="4">
                  <c:v>405.51600000123301</c:v>
                </c:pt>
                <c:pt idx="5">
                  <c:v>405.51700000123299</c:v>
                </c:pt>
                <c:pt idx="6">
                  <c:v>405.49299999999999</c:v>
                </c:pt>
                <c:pt idx="7">
                  <c:v>405.48300003082744</c:v>
                </c:pt>
                <c:pt idx="8">
                  <c:v>405.47000000493256</c:v>
                </c:pt>
                <c:pt idx="9">
                  <c:v>405.48300003082744</c:v>
                </c:pt>
                <c:pt idx="10">
                  <c:v>405.49800000123304</c:v>
                </c:pt>
                <c:pt idx="11">
                  <c:v>405.54700009986516</c:v>
                </c:pt>
                <c:pt idx="12">
                  <c:v>405.54400000123292</c:v>
                </c:pt>
                <c:pt idx="13">
                  <c:v>405.52200000123298</c:v>
                </c:pt>
                <c:pt idx="14">
                  <c:v>405.47700000493245</c:v>
                </c:pt>
                <c:pt idx="15">
                  <c:v>405.46800000493261</c:v>
                </c:pt>
              </c:numCache>
            </c:numRef>
          </c:val>
          <c:extLst>
            <c:ext xmlns:c16="http://schemas.microsoft.com/office/drawing/2014/chart" uri="{C3380CC4-5D6E-409C-BE32-E72D297353CC}">
              <c16:uniqueId val="{00000000-58BF-40A1-BF00-C98DB3F69559}"/>
            </c:ext>
          </c:extLst>
        </c:ser>
        <c:ser>
          <c:idx val="1"/>
          <c:order val="1"/>
          <c:tx>
            <c:strRef>
              <c:f>'242'!$W$9</c:f>
              <c:strCache>
                <c:ptCount val="1"/>
                <c:pt idx="0">
                  <c:v>Rear</c:v>
                </c:pt>
              </c:strCache>
            </c:strRef>
          </c:tx>
          <c:marker>
            <c:symbol val="none"/>
          </c:marker>
          <c:cat>
            <c:numRef>
              <c:f>'242'!$U$11:$U$26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'242'!$W$11:$W$26</c:f>
              <c:numCache>
                <c:formatCode>General</c:formatCode>
                <c:ptCount val="16"/>
                <c:pt idx="0">
                  <c:v>405.48900000123308</c:v>
                </c:pt>
                <c:pt idx="1">
                  <c:v>405.51700001109697</c:v>
                </c:pt>
                <c:pt idx="2">
                  <c:v>405.52699999999999</c:v>
                </c:pt>
                <c:pt idx="3">
                  <c:v>405.53000004438633</c:v>
                </c:pt>
                <c:pt idx="4">
                  <c:v>405.52700000123298</c:v>
                </c:pt>
                <c:pt idx="5">
                  <c:v>405.52700000493184</c:v>
                </c:pt>
                <c:pt idx="6">
                  <c:v>405.51000000123304</c:v>
                </c:pt>
                <c:pt idx="7">
                  <c:v>405.50100000493217</c:v>
                </c:pt>
                <c:pt idx="8">
                  <c:v>405.47800000123311</c:v>
                </c:pt>
                <c:pt idx="9">
                  <c:v>405.4860000308272</c:v>
                </c:pt>
                <c:pt idx="10">
                  <c:v>405.5110000049321</c:v>
                </c:pt>
                <c:pt idx="11">
                  <c:v>405.55700000000002</c:v>
                </c:pt>
                <c:pt idx="12">
                  <c:v>405.55800000123287</c:v>
                </c:pt>
                <c:pt idx="13">
                  <c:v>405.52800001109665</c:v>
                </c:pt>
                <c:pt idx="14">
                  <c:v>405.47900000493246</c:v>
                </c:pt>
                <c:pt idx="15">
                  <c:v>405.47300001109818</c:v>
                </c:pt>
              </c:numCache>
            </c:numRef>
          </c:val>
          <c:extLst>
            <c:ext xmlns:c16="http://schemas.microsoft.com/office/drawing/2014/chart" uri="{C3380CC4-5D6E-409C-BE32-E72D297353CC}">
              <c16:uniqueId val="{00000001-58BF-40A1-BF00-C98DB3F69559}"/>
            </c:ext>
          </c:extLst>
        </c:ser>
        <c:dLbls>
          <c:showLegendKey val="0"/>
          <c:showVal val="0"/>
          <c:showCatName val="0"/>
          <c:showSerName val="0"/>
          <c:showPercent val="0"/>
          <c:showBubbleSize val="0"/>
        </c:dLbls>
        <c:axId val="212439040"/>
        <c:axId val="183176000"/>
      </c:radarChart>
      <c:valAx>
        <c:axId val="183176000"/>
        <c:scaling>
          <c:orientation val="minMax"/>
          <c:min val="405.34000000000003"/>
        </c:scaling>
        <c:delete val="0"/>
        <c:axPos val="l"/>
        <c:majorGridlines/>
        <c:numFmt formatCode="General" sourceLinked="1"/>
        <c:majorTickMark val="out"/>
        <c:minorTickMark val="none"/>
        <c:tickLblPos val="nextTo"/>
        <c:txPr>
          <a:bodyPr/>
          <a:lstStyle/>
          <a:p>
            <a:pPr>
              <a:defRPr lang="ja-JP"/>
            </a:pPr>
            <a:endParaRPr lang="en-US"/>
          </a:p>
        </c:txPr>
        <c:crossAx val="212439040"/>
        <c:crosses val="max"/>
        <c:crossBetween val="between"/>
      </c:valAx>
      <c:catAx>
        <c:axId val="21243904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3176000"/>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'242'!$X$9</c:f>
              <c:strCache>
                <c:ptCount val="1"/>
                <c:pt idx="0">
                  <c:v>Rear-Front</c:v>
                </c:pt>
              </c:strCache>
            </c:strRef>
          </c:tx>
          <c:marker>
            <c:symbol val="none"/>
          </c:marker>
          <c:cat>
            <c:numRef>
              <c:f>'242'!$U$11:$U$26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'242'!$X$11:$X$26</c:f>
              <c:numCache>
                <c:formatCode>General</c:formatCode>
                <c:ptCount val="16"/>
                <c:pt idx="0">
                  <c:v>5.9999999999718057E-3</c:v>
                </c:pt>
                <c:pt idx="1">
                  <c:v>6.999999999834472E-3</c:v>
                </c:pt>
                <c:pt idx="2">
                  <c:v>1.0999999999967258E-2</c:v>
                </c:pt>
                <c:pt idx="3">
                  <c:v>4.0000443863164037E-3</c:v>
                </c:pt>
                <c:pt idx="4">
                  <c:v>1.0999999999967258E-2</c:v>
                </c:pt>
                <c:pt idx="5">
                  <c:v>1.0000003698849014E-2</c:v>
                </c:pt>
                <c:pt idx="6">
                  <c:v>1.7000001233043349E-2</c:v>
                </c:pt>
                <c:pt idx="7">
                  <c:v>1.7999974104725425E-2</c:v>
                </c:pt>
                <c:pt idx="8">
                  <c:v>7.9999963005548125E-3</c:v>
                </c:pt>
                <c:pt idx="9">
                  <c:v>2.9999999997585292E-3</c:v>
                </c:pt>
                <c:pt idx="10">
                  <c:v>1.300000369906229E-2</c:v>
                </c:pt>
                <c:pt idx="11">
                  <c:v>9.9999001348578531E-3</c:v>
                </c:pt>
                <c:pt idx="12">
                  <c:v>1.3999999999953161E-2</c:v>
                </c:pt>
                <c:pt idx="13">
                  <c:v>6.0000098636692201E-3</c:v>
                </c:pt>
                <c:pt idx="14">
                  <c:v>2.0000000000095497E-3</c:v>
                </c:pt>
                <c:pt idx="15">
                  <c:v>5.0000061655737227E-3</c:v>
                </c:pt>
              </c:numCache>
            </c:numRef>
          </c:val>
          <c:extLst>
            <c:ext xmlns:c16="http://schemas.microsoft.com/office/drawing/2014/chart" uri="{C3380CC4-5D6E-409C-BE32-E72D297353CC}">
              <c16:uniqueId val="{00000000-4D32-403C-99E3-78F5F02F5D7F}"/>
            </c:ext>
          </c:extLst>
        </c:ser>
        <c:dLbls>
          <c:showLegendKey val="0"/>
          <c:showVal val="0"/>
          <c:showCatName val="0"/>
          <c:showSerName val="0"/>
          <c:showPercent val="0"/>
          <c:showBubbleSize val="0"/>
        </c:dLbls>
        <c:axId val="212439552"/>
        <c:axId val="183178304"/>
      </c:radarChart>
      <c:valAx>
        <c:axId val="183178304"/>
        <c:scaling>
          <c:orientation val="minMax"/>
          <c:max val="2.0000000000000004E-2"/>
          <c:min val="-2.0000000000000004E-2"/>
        </c:scaling>
        <c:delete val="0"/>
        <c:axPos val="l"/>
        <c:majorGridlines/>
        <c:numFmt formatCode="General" sourceLinked="1"/>
        <c:majorTickMark val="out"/>
        <c:minorTickMark val="none"/>
        <c:tickLblPos val="nextTo"/>
        <c:txPr>
          <a:bodyPr/>
          <a:lstStyle/>
          <a:p>
            <a:pPr>
              <a:defRPr lang="ja-JP"/>
            </a:pPr>
            <a:endParaRPr lang="en-US"/>
          </a:p>
        </c:txPr>
        <c:crossAx val="212439552"/>
        <c:crosses val="max"/>
        <c:crossBetween val="between"/>
      </c:valAx>
      <c:catAx>
        <c:axId val="21243955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3178304"/>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'246'!$V$9</c:f>
              <c:strCache>
                <c:ptCount val="1"/>
                <c:pt idx="0">
                  <c:v>Front</c:v>
                </c:pt>
              </c:strCache>
            </c:strRef>
          </c:tx>
          <c:marker>
            <c:symbol val="none"/>
          </c:marker>
          <c:cat>
            <c:numRef>
              <c:f>'246'!$U$11:$U$26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'246'!$V$11:$V$26</c:f>
              <c:numCache>
                <c:formatCode>General</c:formatCode>
                <c:ptCount val="16"/>
                <c:pt idx="0">
                  <c:v>417.61400000478909</c:v>
                </c:pt>
                <c:pt idx="1">
                  <c:v>417.6530000011972</c:v>
                </c:pt>
                <c:pt idx="2">
                  <c:v>417.65500000478863</c:v>
                </c:pt>
                <c:pt idx="3">
                  <c:v>417.63100000119721</c:v>
                </c:pt>
                <c:pt idx="4">
                  <c:v>417.63600000119726</c:v>
                </c:pt>
                <c:pt idx="5">
                  <c:v>417.65000000119716</c:v>
                </c:pt>
                <c:pt idx="6">
                  <c:v>417.63400000000001</c:v>
                </c:pt>
                <c:pt idx="7">
                  <c:v>417.63900000478884</c:v>
                </c:pt>
                <c:pt idx="8">
                  <c:v>417.60100000478923</c:v>
                </c:pt>
                <c:pt idx="9">
                  <c:v>417.57100000119743</c:v>
                </c:pt>
                <c:pt idx="10">
                  <c:v>417.62000000119724</c:v>
                </c:pt>
                <c:pt idx="11">
                  <c:v>417.69500000119706</c:v>
                </c:pt>
                <c:pt idx="12">
                  <c:v>417.69800000119704</c:v>
                </c:pt>
                <c:pt idx="13">
                  <c:v>417.64499999999998</c:v>
                </c:pt>
                <c:pt idx="14">
                  <c:v>417.56100000119744</c:v>
                </c:pt>
                <c:pt idx="15">
                  <c:v>417.55500001915914</c:v>
                </c:pt>
              </c:numCache>
            </c:numRef>
          </c:val>
          <c:extLst>
            <c:ext xmlns:c16="http://schemas.microsoft.com/office/drawing/2014/chart" uri="{C3380CC4-5D6E-409C-BE32-E72D297353CC}">
              <c16:uniqueId val="{00000000-AFC2-4CDF-88F1-E4E163127514}"/>
            </c:ext>
          </c:extLst>
        </c:ser>
        <c:ser>
          <c:idx val="1"/>
          <c:order val="1"/>
          <c:tx>
            <c:strRef>
              <c:f>'246'!$W$9</c:f>
              <c:strCache>
                <c:ptCount val="1"/>
                <c:pt idx="0">
                  <c:v>Rear</c:v>
                </c:pt>
              </c:strCache>
            </c:strRef>
          </c:tx>
          <c:marker>
            <c:symbol val="none"/>
          </c:marker>
          <c:cat>
            <c:numRef>
              <c:f>'246'!$U$11:$U$26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'246'!$W$11:$W$26</c:f>
              <c:numCache>
                <c:formatCode>General</c:formatCode>
                <c:ptCount val="16"/>
                <c:pt idx="0">
                  <c:v>417.62400000119732</c:v>
                </c:pt>
                <c:pt idx="1">
                  <c:v>417.6620000011971</c:v>
                </c:pt>
                <c:pt idx="2">
                  <c:v>417.66300000478856</c:v>
                </c:pt>
                <c:pt idx="3">
                  <c:v>417.63600001915546</c:v>
                </c:pt>
                <c:pt idx="4">
                  <c:v>417.63700000119724</c:v>
                </c:pt>
                <c:pt idx="5">
                  <c:v>417.65800000119714</c:v>
                </c:pt>
                <c:pt idx="6">
                  <c:v>417.64200000119718</c:v>
                </c:pt>
                <c:pt idx="7">
                  <c:v>417.649</c:v>
                </c:pt>
                <c:pt idx="8">
                  <c:v>417.60600000119729</c:v>
                </c:pt>
                <c:pt idx="9">
                  <c:v>417.57100020236084</c:v>
                </c:pt>
                <c:pt idx="10">
                  <c:v>417.62400000119732</c:v>
                </c:pt>
                <c:pt idx="11">
                  <c:v>417.70800000478806</c:v>
                </c:pt>
                <c:pt idx="12">
                  <c:v>417.71000000119699</c:v>
                </c:pt>
                <c:pt idx="13">
                  <c:v>417.654</c:v>
                </c:pt>
                <c:pt idx="14">
                  <c:v>417.56000000119747</c:v>
                </c:pt>
                <c:pt idx="15">
                  <c:v>417.56000001077689</c:v>
                </c:pt>
              </c:numCache>
            </c:numRef>
          </c:val>
          <c:extLst>
            <c:ext xmlns:c16="http://schemas.microsoft.com/office/drawing/2014/chart" uri="{C3380CC4-5D6E-409C-BE32-E72D297353CC}">
              <c16:uniqueId val="{00000001-AFC2-4CDF-88F1-E4E163127514}"/>
            </c:ext>
          </c:extLst>
        </c:ser>
        <c:dLbls>
          <c:showLegendKey val="0"/>
          <c:showVal val="0"/>
          <c:showCatName val="0"/>
          <c:showSerName val="0"/>
          <c:showPercent val="0"/>
          <c:showBubbleSize val="0"/>
        </c:dLbls>
        <c:axId val="212440064"/>
        <c:axId val="183378496"/>
      </c:radarChart>
      <c:valAx>
        <c:axId val="183378496"/>
        <c:scaling>
          <c:orientation val="minMax"/>
        </c:scaling>
        <c:delete val="0"/>
        <c:axPos val="l"/>
        <c:majorGridlines/>
        <c:numFmt formatCode="General" sourceLinked="1"/>
        <c:majorTickMark val="out"/>
        <c:minorTickMark val="none"/>
        <c:tickLblPos val="nextTo"/>
        <c:txPr>
          <a:bodyPr/>
          <a:lstStyle/>
          <a:p>
            <a:pPr>
              <a:defRPr lang="ja-JP"/>
            </a:pPr>
            <a:endParaRPr lang="en-US"/>
          </a:p>
        </c:txPr>
        <c:crossAx val="212440064"/>
        <c:crosses val="max"/>
        <c:crossBetween val="between"/>
      </c:valAx>
      <c:catAx>
        <c:axId val="21244006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3378496"/>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'246'!$X$9</c:f>
              <c:strCache>
                <c:ptCount val="1"/>
                <c:pt idx="0">
                  <c:v>Rear-Front</c:v>
                </c:pt>
              </c:strCache>
            </c:strRef>
          </c:tx>
          <c:marker>
            <c:symbol val="none"/>
          </c:marker>
          <c:cat>
            <c:numRef>
              <c:f>'246'!$U$11:$U$26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'246'!$X$11:$X$26</c:f>
              <c:numCache>
                <c:formatCode>General</c:formatCode>
                <c:ptCount val="16"/>
                <c:pt idx="0">
                  <c:v>9.9999964082257975E-3</c:v>
                </c:pt>
                <c:pt idx="1">
                  <c:v>8.9999999999008651E-3</c:v>
                </c:pt>
                <c:pt idx="2">
                  <c:v>7.9999999999245119E-3</c:v>
                </c:pt>
                <c:pt idx="3">
                  <c:v>5.0000179582525561E-3</c:v>
                </c:pt>
                <c:pt idx="4">
                  <c:v>9.9999999997635314E-4</c:v>
                </c:pt>
                <c:pt idx="5">
                  <c:v>7.9999999999813554E-3</c:v>
                </c:pt>
                <c:pt idx="6">
                  <c:v>8.0000011971606E-3</c:v>
                </c:pt>
                <c:pt idx="7">
                  <c:v>9.9999952111602397E-3</c:v>
                </c:pt>
                <c:pt idx="8">
                  <c:v>4.9999964080598147E-3</c:v>
                </c:pt>
                <c:pt idx="9">
                  <c:v>2.0116340238018893E-7</c:v>
                </c:pt>
                <c:pt idx="10">
                  <c:v>4.0000000000759428E-3</c:v>
                </c:pt>
                <c:pt idx="11">
                  <c:v>1.3000003591002951E-2</c:v>
                </c:pt>
                <c:pt idx="12">
                  <c:v>1.1999999999943611E-2</c:v>
                </c:pt>
                <c:pt idx="13">
                  <c:v>9.0000000000145519E-3</c:v>
                </c:pt>
                <c:pt idx="14">
                  <c:v>-9.9999999997635314E-4</c:v>
                </c:pt>
                <c:pt idx="15">
                  <c:v>4.9999916177512205E-3</c:v>
                </c:pt>
              </c:numCache>
            </c:numRef>
          </c:val>
          <c:extLst>
            <c:ext xmlns:c16="http://schemas.microsoft.com/office/drawing/2014/chart" uri="{C3380CC4-5D6E-409C-BE32-E72D297353CC}">
              <c16:uniqueId val="{00000000-FC93-4E19-B711-2E15A73C01D4}"/>
            </c:ext>
          </c:extLst>
        </c:ser>
        <c:dLbls>
          <c:showLegendKey val="0"/>
          <c:showVal val="0"/>
          <c:showCatName val="0"/>
          <c:showSerName val="0"/>
          <c:showPercent val="0"/>
          <c:showBubbleSize val="0"/>
        </c:dLbls>
        <c:axId val="212440576"/>
        <c:axId val="183382528"/>
      </c:radarChart>
      <c:valAx>
        <c:axId val="183382528"/>
        <c:scaling>
          <c:orientation val="minMax"/>
          <c:max val="2.0000000000000004E-2"/>
          <c:min val="-2.0000000000000004E-2"/>
        </c:scaling>
        <c:delete val="0"/>
        <c:axPos val="l"/>
        <c:majorGridlines/>
        <c:numFmt formatCode="General" sourceLinked="1"/>
        <c:majorTickMark val="out"/>
        <c:minorTickMark val="none"/>
        <c:tickLblPos val="nextTo"/>
        <c:txPr>
          <a:bodyPr/>
          <a:lstStyle/>
          <a:p>
            <a:pPr>
              <a:defRPr lang="ja-JP"/>
            </a:pPr>
            <a:endParaRPr lang="en-US"/>
          </a:p>
        </c:txPr>
        <c:crossAx val="212440576"/>
        <c:crosses val="max"/>
        <c:crossBetween val="between"/>
      </c:valAx>
      <c:catAx>
        <c:axId val="2124405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3382528"/>
        <c:crosses val="max"/>
        <c:auto val="1"/>
        <c:lblAlgn val="ctr"/>
        <c:lblOffset val="100"/>
        <c:noMultiLvlLbl val="0"/>
      </c:catAx>
    </c:plotArea>
    <c:legend>
      <c:legendPos val="b"/>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'201'!$AQ$93</c:f>
              <c:strCache>
                <c:ptCount val="1"/>
                <c:pt idx="0">
                  <c:v>Step Min</c:v>
                </c:pt>
              </c:strCache>
            </c:strRef>
          </c:tx>
          <c:spPr>
            <a:ln w="28575">
              <a:prstDash val="dash"/>
            </a:ln>
          </c:spPr>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'201'!$AQ$95:$AQ$118</c:f>
              <c:numCache>
                <c:formatCode>General</c:formatCode>
                <c:ptCount val="24"/>
                <c:pt idx="0">
                  <c:v>-5.7500000000004547E-2</c:v>
                </c:pt>
                <c:pt idx="1">
                  <c:v>-5.7500000000004547E-2</c:v>
                </c:pt>
                <c:pt idx="2">
                  <c:v>-5.7500000000004547E-2</c:v>
                </c:pt>
                <c:pt idx="3">
                  <c:v>-5.7500000000004547E-2</c:v>
                </c:pt>
                <c:pt idx="4">
                  <c:v>-5.7500000000004547E-2</c:v>
                </c:pt>
                <c:pt idx="5">
                  <c:v>-5.7500000000004547E-2</c:v>
                </c:pt>
                <c:pt idx="6">
                  <c:v>-5.7500000000004547E-2</c:v>
                </c:pt>
                <c:pt idx="7">
                  <c:v>-5.7500000000004547E-2</c:v>
                </c:pt>
                <c:pt idx="8">
                  <c:v>-5.7500000000004547E-2</c:v>
                </c:pt>
                <c:pt idx="9">
                  <c:v>-5.7500000000004547E-2</c:v>
                </c:pt>
                <c:pt idx="10">
                  <c:v>-5.7500000000004547E-2</c:v>
                </c:pt>
                <c:pt idx="11">
                  <c:v>-5.7500000000004547E-2</c:v>
                </c:pt>
                <c:pt idx="12">
                  <c:v>-5.7500000000004547E-2</c:v>
                </c:pt>
                <c:pt idx="13">
                  <c:v>-5.7500000000004547E-2</c:v>
                </c:pt>
                <c:pt idx="14">
                  <c:v>-5.7500000000004547E-2</c:v>
                </c:pt>
                <c:pt idx="15">
                  <c:v>-5.7500000000004547E-2</c:v>
                </c:pt>
                <c:pt idx="16">
                  <c:v>-5.7500000000004547E-2</c:v>
                </c:pt>
                <c:pt idx="17">
                  <c:v>-5.7500000000004547E-2</c:v>
                </c:pt>
                <c:pt idx="18">
                  <c:v>-5.7500000000004547E-2</c:v>
                </c:pt>
                <c:pt idx="19">
                  <c:v>-5.7500000000004547E-2</c:v>
                </c:pt>
                <c:pt idx="20">
                  <c:v>-5.7500000000004547E-2</c:v>
                </c:pt>
                <c:pt idx="21">
                  <c:v>-5.7500000000004547E-2</c:v>
                </c:pt>
                <c:pt idx="22">
                  <c:v>-5.7500000000004547E-2</c:v>
                </c:pt>
                <c:pt idx="23">
                  <c:v>-5.7500000000004547E-2</c:v>
                </c:pt>
              </c:numCache>
            </c:numRef>
          </c:val>
          <c:extLst>
            <c:ext xmlns:c16="http://schemas.microsoft.com/office/drawing/2014/chart" uri="{C3380CC4-5D6E-409C-BE32-E72D297353CC}">
              <c16:uniqueId val="{00000000-34F2-4181-B214-34EAFBC598E7}"/>
            </c:ext>
          </c:extLst>
        </c:ser>
        <c:ser>
          <c:idx val="1"/>
          <c:order val="1"/>
          <c:tx>
            <c:strRef>
              <c:f>'201'!$AR$93</c:f>
              <c:strCache>
                <c:ptCount val="1"/>
                <c:pt idx="0">
                  <c:v>Step Max</c:v>
                </c:pt>
              </c:strCache>
            </c:strRef>
          </c:tx>
          <c:spPr>
            <a:ln w="28575">
              <a:prstDash val="dash"/>
            </a:ln>
          </c:spPr>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'201'!$AR$95:$AR$118</c:f>
              <c:numCache>
                <c:formatCode>General</c:formatCode>
                <c:ptCount val="24"/>
                <c:pt idx="0">
                  <c:v>5.7500000000004547E-2</c:v>
                </c:pt>
                <c:pt idx="1">
                  <c:v>5.7500000000004547E-2</c:v>
                </c:pt>
                <c:pt idx="2">
                  <c:v>5.7500000000004547E-2</c:v>
                </c:pt>
                <c:pt idx="3">
                  <c:v>5.7500000000004547E-2</c:v>
                </c:pt>
                <c:pt idx="4">
                  <c:v>5.7500000000004547E-2</c:v>
                </c:pt>
                <c:pt idx="5">
                  <c:v>5.7500000000004547E-2</c:v>
                </c:pt>
                <c:pt idx="6">
                  <c:v>5.7500000000004547E-2</c:v>
                </c:pt>
                <c:pt idx="7">
                  <c:v>5.7500000000004547E-2</c:v>
                </c:pt>
                <c:pt idx="8">
                  <c:v>5.7500000000004547E-2</c:v>
                </c:pt>
                <c:pt idx="9">
                  <c:v>5.7500000000004547E-2</c:v>
                </c:pt>
                <c:pt idx="10">
                  <c:v>5.7500000000004547E-2</c:v>
                </c:pt>
                <c:pt idx="11">
                  <c:v>5.7500000000004547E-2</c:v>
                </c:pt>
                <c:pt idx="12">
                  <c:v>5.7500000000004547E-2</c:v>
                </c:pt>
                <c:pt idx="13">
                  <c:v>5.7500000000004547E-2</c:v>
                </c:pt>
                <c:pt idx="14">
                  <c:v>5.7500000000004547E-2</c:v>
                </c:pt>
                <c:pt idx="15">
                  <c:v>5.7500000000004547E-2</c:v>
                </c:pt>
                <c:pt idx="16">
                  <c:v>5.7500000000004547E-2</c:v>
                </c:pt>
                <c:pt idx="17">
                  <c:v>5.7500000000004547E-2</c:v>
                </c:pt>
                <c:pt idx="18">
                  <c:v>5.7500000000004547E-2</c:v>
                </c:pt>
                <c:pt idx="19">
                  <c:v>5.7500000000004547E-2</c:v>
                </c:pt>
                <c:pt idx="20">
                  <c:v>5.7500000000004547E-2</c:v>
                </c:pt>
                <c:pt idx="21">
                  <c:v>5.7500000000004547E-2</c:v>
                </c:pt>
                <c:pt idx="22">
                  <c:v>5.7500000000004547E-2</c:v>
                </c:pt>
                <c:pt idx="23">
                  <c:v>5.7500000000004547E-2</c:v>
                </c:pt>
              </c:numCache>
            </c:numRef>
          </c:val>
          <c:extLst>
            <c:ext xmlns:c16="http://schemas.microsoft.com/office/drawing/2014/chart" uri="{C3380CC4-5D6E-409C-BE32-E72D297353CC}">
              <c16:uniqueId val="{00000001-34F2-4181-B214-34EAFBC598E7}"/>
            </c:ext>
          </c:extLst>
        </c:ser>
        <c:ser>
          <c:idx val="2"/>
          <c:order val="2"/>
          <c:tx>
            <c:strRef>
              <c:f>'201'!$S$93</c:f>
              <c:strCache>
                <c:ptCount val="1"/>
                <c:pt idx="0">
                  <c:v>Stg.4 Shroud Step#1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'201'!$S$95:$S$118</c:f>
              <c:numCache>
                <c:formatCode>0.000_ </c:formatCode>
                <c:ptCount val="24"/>
                <c:pt idx="0">
                  <c:v>4.8815992901609206E-2</c:v>
                </c:pt>
                <c:pt idx="1">
                  <c:v>4.8815992901609206E-2</c:v>
                </c:pt>
              </c:numCache>
            </c:numRef>
          </c:val>
          <c:extLst>
            <c:ext xmlns:c16="http://schemas.microsoft.com/office/drawing/2014/chart" uri="{C3380CC4-5D6E-409C-BE32-E72D297353CC}">
              <c16:uniqueId val="{00000002-34F2-4181-B214-34EAFBC598E7}"/>
            </c:ext>
          </c:extLst>
        </c:ser>
        <c:ser>
          <c:idx val="3"/>
          <c:order val="3"/>
          <c:tx>
            <c:strRef>
              <c:f>'201'!$T$93</c:f>
              <c:strCache>
                <c:ptCount val="1"/>
                <c:pt idx="0">
                  <c:v>Stg.4 Shroud Step#24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'201'!$T$95:$T$118</c:f>
              <c:numCache>
                <c:formatCode>0.000_ </c:formatCode>
                <c:ptCount val="24"/>
                <c:pt idx="1">
                  <c:v>7.8026664342587537E-2</c:v>
                </c:pt>
                <c:pt idx="2">
                  <c:v>7.8026664342587537E-2</c:v>
                </c:pt>
              </c:numCache>
            </c:numRef>
          </c:val>
          <c:extLst>
            <c:ext xmlns:c16="http://schemas.microsoft.com/office/drawing/2014/chart" uri="{C3380CC4-5D6E-409C-BE32-E72D297353CC}">
              <c16:uniqueId val="{00000003-34F2-4181-B214-34EAFBC598E7}"/>
            </c:ext>
          </c:extLst>
        </c:ser>
        <c:ser>
          <c:idx val="4"/>
          <c:order val="4"/>
          <c:tx>
            <c:strRef>
              <c:f>'201'!$U$93</c:f>
              <c:strCache>
                <c:ptCount val="1"/>
                <c:pt idx="0">
                  <c:v>Stg.4 Shroud Step#23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'201'!$U$95:$U$118</c:f>
              <c:numCache>
                <c:formatCode>0.000_ </c:formatCode>
                <c:ptCount val="24"/>
                <c:pt idx="2">
                  <c:v>9.8957332953830246E-2</c:v>
                </c:pt>
                <c:pt idx="3">
                  <c:v>9.8957332953830246E-2</c:v>
                </c:pt>
              </c:numCache>
            </c:numRef>
          </c:val>
          <c:extLst>
            <c:ext xmlns:c16="http://schemas.microsoft.com/office/drawing/2014/chart" uri="{C3380CC4-5D6E-409C-BE32-E72D297353CC}">
              <c16:uniqueId val="{00000004-34F2-4181-B214-34EAFBC598E7}"/>
            </c:ext>
          </c:extLst>
        </c:ser>
        <c:ser>
          <c:idx val="5"/>
          <c:order val="5"/>
          <c:tx>
            <c:strRef>
              <c:f>'201'!$V$93</c:f>
              <c:strCache>
                <c:ptCount val="1"/>
                <c:pt idx="0">
                  <c:v>Stg.4 Shroud Step#22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'201'!$V$95:$V$118</c:f>
              <c:numCache>
                <c:formatCode>0.000_ </c:formatCode>
                <c:ptCount val="24"/>
                <c:pt idx="3">
                  <c:v>8.7343999970187269E-2</c:v>
                </c:pt>
                <c:pt idx="4">
                  <c:v>8.7343999970187269E-2</c:v>
                </c:pt>
              </c:numCache>
            </c:numRef>
          </c:val>
          <c:extLst>
            <c:ext xmlns:c16="http://schemas.microsoft.com/office/drawing/2014/chart" uri="{C3380CC4-5D6E-409C-BE32-E72D297353CC}">
              <c16:uniqueId val="{00000005-34F2-4181-B214-34EAFBC598E7}"/>
            </c:ext>
          </c:extLst>
        </c:ser>
        <c:ser>
          <c:idx val="6"/>
          <c:order val="6"/>
          <c:tx>
            <c:strRef>
              <c:f>'201'!$W$93</c:f>
              <c:strCache>
                <c:ptCount val="1"/>
                <c:pt idx="0">
                  <c:v>Stg.4 Shroud Step#21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'201'!$W$95:$W$118</c:f>
              <c:numCache>
                <c:formatCode>0.000_ </c:formatCode>
                <c:ptCount val="24"/>
                <c:pt idx="4">
                  <c:v>4.2826662949948968E-2</c:v>
                </c:pt>
                <c:pt idx="5">
                  <c:v>4.2826662949948968E-2</c:v>
                </c:pt>
              </c:numCache>
            </c:numRef>
          </c:val>
          <c:extLst>
            <c:ext xmlns:c16="http://schemas.microsoft.com/office/drawing/2014/chart" uri="{C3380CC4-5D6E-409C-BE32-E72D297353CC}">
              <c16:uniqueId val="{00000006-34F2-4181-B214-34EAFBC598E7}"/>
            </c:ext>
          </c:extLst>
        </c:ser>
        <c:ser>
          <c:idx val="7"/>
          <c:order val="7"/>
          <c:tx>
            <c:strRef>
              <c:f>'201'!$X$93</c:f>
              <c:strCache>
                <c:ptCount val="1"/>
                <c:pt idx="0">
                  <c:v>Stg.4 Shroud Step#20</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'201'!$X$95:$X$118</c:f>
              <c:numCache>
                <c:formatCode>0.000_ </c:formatCode>
                <c:ptCount val="24"/>
                <c:pt idx="5">
                  <c:v>-8.4613461510230081E-3</c:v>
                </c:pt>
                <c:pt idx="6">
                  <c:v>-8.4613461510230081E-3</c:v>
                </c:pt>
              </c:numCache>
            </c:numRef>
          </c:val>
          <c:extLst>
            <c:ext xmlns:c16="http://schemas.microsoft.com/office/drawing/2014/chart" uri="{C3380CC4-5D6E-409C-BE32-E72D297353CC}">
              <c16:uniqueId val="{00000007-34F2-4181-B214-34EAFBC598E7}"/>
            </c:ext>
          </c:extLst>
        </c:ser>
        <c:ser>
          <c:idx val="8"/>
          <c:order val="8"/>
          <c:tx>
            <c:strRef>
              <c:f>'201'!$Y$93</c:f>
              <c:strCache>
                <c:ptCount val="1"/>
                <c:pt idx="0">
                  <c:v>Stg.4 Shroud Step#19</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'201'!$Y$95:$Y$118</c:f>
              <c:numCache>
                <c:formatCode>0.000_ </c:formatCode>
                <c:ptCount val="24"/>
                <c:pt idx="6">
                  <c:v>-3.4232012259508338E-2</c:v>
                </c:pt>
                <c:pt idx="7">
                  <c:v>-3.4232012259508338E-2</c:v>
                </c:pt>
              </c:numCache>
            </c:numRef>
          </c:val>
          <c:extLst>
            <c:ext xmlns:c16="http://schemas.microsoft.com/office/drawing/2014/chart" uri="{C3380CC4-5D6E-409C-BE32-E72D297353CC}">
              <c16:uniqueId val="{00000008-34F2-4181-B214-34EAFBC598E7}"/>
            </c:ext>
          </c:extLst>
        </c:ser>
        <c:ser>
          <c:idx val="9"/>
          <c:order val="9"/>
          <c:tx>
            <c:strRef>
              <c:f>'201'!$Z$93</c:f>
              <c:strCache>
                <c:ptCount val="1"/>
                <c:pt idx="0">
                  <c:v>Stg.4 Shroud Step#18</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'201'!$Z$95:$Z$118</c:f>
              <c:numCache>
                <c:formatCode>0.000_ </c:formatCode>
                <c:ptCount val="24"/>
                <c:pt idx="7">
                  <c:v>-2.6946670401969186E-2</c:v>
                </c:pt>
                <c:pt idx="8">
                  <c:v>-2.6946670401969186E-2</c:v>
                </c:pt>
              </c:numCache>
            </c:numRef>
          </c:val>
          <c:extLst>
            <c:ext xmlns:c16="http://schemas.microsoft.com/office/drawing/2014/chart" uri="{C3380CC4-5D6E-409C-BE32-E72D297353CC}">
              <c16:uniqueId val="{00000009-34F2-4181-B214-34EAFBC598E7}"/>
            </c:ext>
          </c:extLst>
        </c:ser>
        <c:ser>
          <c:idx val="10"/>
          <c:order val="10"/>
          <c:tx>
            <c:strRef>
              <c:f>'201'!$AA$93</c:f>
              <c:strCache>
                <c:ptCount val="1"/>
                <c:pt idx="0">
                  <c:v>Stg.4 Shroud Step#17</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'201'!$AA$95:$AA$118</c:f>
              <c:numCache>
                <c:formatCode>0.000_ </c:formatCode>
                <c:ptCount val="24"/>
                <c:pt idx="8">
                  <c:v>-9.0240011972468892E-3</c:v>
                </c:pt>
                <c:pt idx="9">
                  <c:v>-9.0240011972468892E-3</c:v>
                </c:pt>
              </c:numCache>
            </c:numRef>
          </c:val>
          <c:extLst>
            <c:ext xmlns:c16="http://schemas.microsoft.com/office/drawing/2014/chart" uri="{C3380CC4-5D6E-409C-BE32-E72D297353CC}">
              <c16:uniqueId val="{0000000A-34F2-4181-B214-34EAFBC598E7}"/>
            </c:ext>
          </c:extLst>
        </c:ser>
        <c:ser>
          <c:idx val="11"/>
          <c:order val="11"/>
          <c:tx>
            <c:strRef>
              <c:f>'201'!$AB$93</c:f>
              <c:strCache>
                <c:ptCount val="1"/>
                <c:pt idx="0">
                  <c:v>Stg.4 Shroud Step#16</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'201'!$AB$95:$AB$118</c:f>
              <c:numCache>
                <c:formatCode>0.000_ </c:formatCode>
                <c:ptCount val="24"/>
                <c:pt idx="9">
                  <c:v>1.7279998802735008E-2</c:v>
                </c:pt>
                <c:pt idx="10">
                  <c:v>1.7279998802735008E-2</c:v>
                </c:pt>
              </c:numCache>
            </c:numRef>
          </c:val>
          <c:extLst>
            <c:ext xmlns:c16="http://schemas.microsoft.com/office/drawing/2014/chart" uri="{C3380CC4-5D6E-409C-BE32-E72D297353CC}">
              <c16:uniqueId val="{0000000B-34F2-4181-B214-34EAFBC598E7}"/>
            </c:ext>
          </c:extLst>
        </c:ser>
        <c:ser>
          <c:idx val="12"/>
          <c:order val="12"/>
          <c:tx>
            <c:strRef>
              <c:f>'201'!$AC$93</c:f>
              <c:strCache>
                <c:ptCount val="1"/>
                <c:pt idx="0">
                  <c:v>Stg.4 Shroud Step#15</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'201'!$AC$95:$AC$118</c:f>
              <c:numCache>
                <c:formatCode>0.000_ </c:formatCode>
                <c:ptCount val="24"/>
                <c:pt idx="10">
                  <c:v>3.883200107753737E-2</c:v>
                </c:pt>
                <c:pt idx="11">
                  <c:v>3.883200107753737E-2</c:v>
                </c:pt>
              </c:numCache>
            </c:numRef>
          </c:val>
          <c:extLst>
            <c:ext xmlns:c16="http://schemas.microsoft.com/office/drawing/2014/chart" uri="{C3380CC4-5D6E-409C-BE32-E72D297353CC}">
              <c16:uniqueId val="{0000000C-34F2-4181-B214-34EAFBC598E7}"/>
            </c:ext>
          </c:extLst>
        </c:ser>
        <c:ser>
          <c:idx val="13"/>
          <c:order val="13"/>
          <c:tx>
            <c:strRef>
              <c:f>'201'!$AD$93</c:f>
              <c:strCache>
                <c:ptCount val="1"/>
                <c:pt idx="0">
                  <c:v>Stg.4 Shroud Step#14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'201'!$AD$95:$AD$118</c:f>
              <c:numCache>
                <c:formatCode>0.000_ </c:formatCode>
                <c:ptCount val="24"/>
                <c:pt idx="11">
                  <c:v>4.485600670130907E-2</c:v>
                </c:pt>
                <c:pt idx="12">
                  <c:v>4.485600670130907E-2</c:v>
                </c:pt>
              </c:numCache>
            </c:numRef>
          </c:val>
          <c:extLst>
            <c:ext xmlns:c16="http://schemas.microsoft.com/office/drawing/2014/chart" uri="{C3380CC4-5D6E-409C-BE32-E72D297353CC}">
              <c16:uniqueId val="{0000000D-34F2-4181-B214-34EAFBC598E7}"/>
            </c:ext>
          </c:extLst>
        </c:ser>
        <c:ser>
          <c:idx val="14"/>
          <c:order val="14"/>
          <c:tx>
            <c:strRef>
              <c:f>'201'!$AE$93</c:f>
              <c:strCache>
                <c:ptCount val="1"/>
                <c:pt idx="0">
                  <c:v>Stg.4 Shroud Step#13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'201'!$AE$95:$AE$118</c:f>
              <c:numCache>
                <c:formatCode>0.000_ </c:formatCode>
                <c:ptCount val="24"/>
                <c:pt idx="12">
                  <c:v>3.3328006100987295E-2</c:v>
                </c:pt>
                <c:pt idx="13">
                  <c:v>3.3328006100987295E-2</c:v>
                </c:pt>
              </c:numCache>
            </c:numRef>
          </c:val>
          <c:extLst>
            <c:ext xmlns:c16="http://schemas.microsoft.com/office/drawing/2014/chart" uri="{C3380CC4-5D6E-409C-BE32-E72D297353CC}">
              <c16:uniqueId val="{0000000E-34F2-4181-B214-34EAFBC598E7}"/>
            </c:ext>
          </c:extLst>
        </c:ser>
        <c:ser>
          <c:idx val="15"/>
          <c:order val="15"/>
          <c:tx>
            <c:strRef>
              <c:f>'201'!$AF$93</c:f>
              <c:strCache>
                <c:ptCount val="1"/>
                <c:pt idx="0">
                  <c:v>Stg.4 Shroud Step#12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'201'!$AF$95:$AF$118</c:f>
              <c:numCache>
                <c:formatCode>0.000_ </c:formatCode>
                <c:ptCount val="24"/>
                <c:pt idx="13">
                  <c:v>1.574396549017365E-2</c:v>
                </c:pt>
                <c:pt idx="14">
                  <c:v>1.574396549017365E-2</c:v>
                </c:pt>
              </c:numCache>
            </c:numRef>
          </c:val>
          <c:extLst>
            <c:ext xmlns:c16="http://schemas.microsoft.com/office/drawing/2014/chart" uri="{C3380CC4-5D6E-409C-BE32-E72D297353CC}">
              <c16:uniqueId val="{0000000F-34F2-4181-B214-34EAFBC598E7}"/>
            </c:ext>
          </c:extLst>
        </c:ser>
        <c:ser>
          <c:idx val="16"/>
          <c:order val="16"/>
          <c:tx>
            <c:strRef>
              <c:f>'201'!$AG$93</c:f>
              <c:strCache>
                <c:ptCount val="1"/>
                <c:pt idx="0">
                  <c:v>Stg.4 Shroud Step#11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'201'!$AG$95:$AG$118</c:f>
              <c:numCache>
                <c:formatCode>0.000_ </c:formatCode>
                <c:ptCount val="24"/>
                <c:pt idx="14">
                  <c:v>6.9918773501171927E-3</c:v>
                </c:pt>
                <c:pt idx="15">
                  <c:v>6.9918773501171927E-3</c:v>
                </c:pt>
              </c:numCache>
            </c:numRef>
          </c:val>
          <c:extLst>
            <c:ext xmlns:c16="http://schemas.microsoft.com/office/drawing/2014/chart" uri="{C3380CC4-5D6E-409C-BE32-E72D297353CC}">
              <c16:uniqueId val="{00000010-34F2-4181-B214-34EAFBC598E7}"/>
            </c:ext>
          </c:extLst>
        </c:ser>
        <c:ser>
          <c:idx val="17"/>
          <c:order val="17"/>
          <c:tx>
            <c:strRef>
              <c:f>'201'!$AH$93</c:f>
              <c:strCache>
                <c:ptCount val="1"/>
                <c:pt idx="0">
                  <c:v>Stg.4 Shroud Step#10</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'201'!$AH$95:$AH$118</c:f>
              <c:numCache>
                <c:formatCode>0.000_ </c:formatCode>
                <c:ptCount val="24"/>
                <c:pt idx="15">
                  <c:v>1.6823887007262783E-2</c:v>
                </c:pt>
                <c:pt idx="16">
                  <c:v>1.6823887007262783E-2</c:v>
                </c:pt>
              </c:numCache>
            </c:numRef>
          </c:val>
          <c:extLst>
            <c:ext xmlns:c16="http://schemas.microsoft.com/office/drawing/2014/chart" uri="{C3380CC4-5D6E-409C-BE32-E72D297353CC}">
              <c16:uniqueId val="{00000011-34F2-4181-B214-34EAFBC598E7}"/>
            </c:ext>
          </c:extLst>
        </c:ser>
        <c:ser>
          <c:idx val="18"/>
          <c:order val="18"/>
          <c:tx>
            <c:strRef>
              <c:f>'201'!$AI$93</c:f>
              <c:strCache>
                <c:ptCount val="1"/>
                <c:pt idx="0">
                  <c:v>Stg.4 Shroud Step#9</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'201'!$AI$95:$AI$118</c:f>
              <c:numCache>
                <c:formatCode>0.000_ </c:formatCode>
                <c:ptCount val="24"/>
                <c:pt idx="16">
                  <c:v>3.4679973375148165E-2</c:v>
                </c:pt>
                <c:pt idx="17">
                  <c:v>3.4679973375148165E-2</c:v>
                </c:pt>
              </c:numCache>
            </c:numRef>
          </c:val>
          <c:extLst>
            <c:ext xmlns:c16="http://schemas.microsoft.com/office/drawing/2014/chart" uri="{C3380CC4-5D6E-409C-BE32-E72D297353CC}">
              <c16:uniqueId val="{00000012-34F2-4181-B214-34EAFBC598E7}"/>
            </c:ext>
          </c:extLst>
        </c:ser>
        <c:ser>
          <c:idx val="19"/>
          <c:order val="19"/>
          <c:tx>
            <c:strRef>
              <c:f>'201'!$AJ$93</c:f>
              <c:strCache>
                <c:ptCount val="1"/>
                <c:pt idx="0">
                  <c:v>Stg.4 Shroud Step#8</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'201'!$AJ$95:$AJ$118</c:f>
              <c:numCache>
                <c:formatCode>0.000_ </c:formatCode>
                <c:ptCount val="24"/>
                <c:pt idx="17">
                  <c:v>4.1489330925458034E-2</c:v>
                </c:pt>
                <c:pt idx="18">
                  <c:v>4.1489330925458034E-2</c:v>
                </c:pt>
              </c:numCache>
            </c:numRef>
          </c:val>
          <c:extLst>
            <c:ext xmlns:c16="http://schemas.microsoft.com/office/drawing/2014/chart" uri="{C3380CC4-5D6E-409C-BE32-E72D297353CC}">
              <c16:uniqueId val="{00000013-34F2-4181-B214-34EAFBC598E7}"/>
            </c:ext>
          </c:extLst>
        </c:ser>
        <c:ser>
          <c:idx val="20"/>
          <c:order val="20"/>
          <c:tx>
            <c:strRef>
              <c:f>'201'!$AK$93</c:f>
              <c:strCache>
                <c:ptCount val="1"/>
                <c:pt idx="0">
                  <c:v>Stg.4 Shroud Step#7</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'201'!$AK$95:$AK$118</c:f>
              <c:numCache>
                <c:formatCode>0.000_ </c:formatCode>
                <c:ptCount val="24"/>
                <c:pt idx="18">
                  <c:v>3.8775997774166626E-2</c:v>
                </c:pt>
                <c:pt idx="19">
                  <c:v>3.8775997774166626E-2</c:v>
                </c:pt>
              </c:numCache>
            </c:numRef>
          </c:val>
          <c:extLst>
            <c:ext xmlns:c16="http://schemas.microsoft.com/office/drawing/2014/chart" uri="{C3380CC4-5D6E-409C-BE32-E72D297353CC}">
              <c16:uniqueId val="{00000014-34F2-4181-B214-34EAFBC598E7}"/>
            </c:ext>
          </c:extLst>
        </c:ser>
        <c:ser>
          <c:idx val="21"/>
          <c:order val="21"/>
          <c:tx>
            <c:strRef>
              <c:f>'201'!$AL$93</c:f>
              <c:strCache>
                <c:ptCount val="1"/>
                <c:pt idx="0">
                  <c:v>Stg.4 Shroud Step#6</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'201'!$AL$95:$AL$118</c:f>
              <c:numCache>
                <c:formatCode>0.000_ </c:formatCode>
                <c:ptCount val="24"/>
                <c:pt idx="19">
                  <c:v>2.2226668193241039E-2</c:v>
                </c:pt>
                <c:pt idx="20">
                  <c:v>2.2226668193241039E-2</c:v>
                </c:pt>
              </c:numCache>
            </c:numRef>
          </c:val>
          <c:extLst>
            <c:ext xmlns:c16="http://schemas.microsoft.com/office/drawing/2014/chart" uri="{C3380CC4-5D6E-409C-BE32-E72D297353CC}">
              <c16:uniqueId val="{00000015-34F2-4181-B214-34EAFBC598E7}"/>
            </c:ext>
          </c:extLst>
        </c:ser>
        <c:ser>
          <c:idx val="22"/>
          <c:order val="22"/>
          <c:tx>
            <c:strRef>
              <c:f>'201'!$AM$93</c:f>
              <c:strCache>
                <c:ptCount val="1"/>
                <c:pt idx="0">
                  <c:v>Stg.4 Shroud Step#5</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'201'!$AM$95:$AM$118</c:f>
              <c:numCache>
                <c:formatCode>0.000_ </c:formatCode>
                <c:ptCount val="24"/>
                <c:pt idx="20">
                  <c:v>-8.6506594797697289E-3</c:v>
                </c:pt>
                <c:pt idx="21">
                  <c:v>-8.6506594797697289E-3</c:v>
                </c:pt>
              </c:numCache>
            </c:numRef>
          </c:val>
          <c:extLst>
            <c:ext xmlns:c16="http://schemas.microsoft.com/office/drawing/2014/chart" uri="{C3380CC4-5D6E-409C-BE32-E72D297353CC}">
              <c16:uniqueId val="{00000016-34F2-4181-B214-34EAFBC598E7}"/>
            </c:ext>
          </c:extLst>
        </c:ser>
        <c:ser>
          <c:idx val="23"/>
          <c:order val="23"/>
          <c:tx>
            <c:strRef>
              <c:f>'201'!$AN$93</c:f>
              <c:strCache>
                <c:ptCount val="1"/>
                <c:pt idx="0">
                  <c:v>Stg.4 Shroud Step#4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'201'!$AN$95:$AN$118</c:f>
              <c:numCache>
                <c:formatCode>0.000_ </c:formatCode>
                <c:ptCount val="24"/>
                <c:pt idx="21">
                  <c:v>-2.4311992079731226E-2</c:v>
                </c:pt>
                <c:pt idx="22">
                  <c:v>-2.4311992079731226E-2</c:v>
                </c:pt>
              </c:numCache>
            </c:numRef>
          </c:val>
          <c:extLst>
            <c:ext xmlns:c16="http://schemas.microsoft.com/office/drawing/2014/chart" uri="{C3380CC4-5D6E-409C-BE32-E72D297353CC}">
              <c16:uniqueId val="{00000017-34F2-4181-B214-34EAFBC598E7}"/>
            </c:ext>
          </c:extLst>
        </c:ser>
        <c:ser>
          <c:idx val="24"/>
          <c:order val="24"/>
          <c:tx>
            <c:strRef>
              <c:f>'201'!$AO$93</c:f>
              <c:strCache>
                <c:ptCount val="1"/>
                <c:pt idx="0">
                  <c:v>Stg.4 Shroud Step#3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'201'!$AO$95:$AO$118</c:f>
              <c:numCache>
                <c:formatCode>0.000_ </c:formatCode>
                <c:ptCount val="24"/>
                <c:pt idx="22">
                  <c:v>-1.1389331538453007E-2</c:v>
                </c:pt>
                <c:pt idx="23">
                  <c:v>-1.1389331538453007E-2</c:v>
                </c:pt>
              </c:numCache>
            </c:numRef>
          </c:val>
          <c:extLst>
            <c:ext xmlns:c16="http://schemas.microsoft.com/office/drawing/2014/chart" uri="{C3380CC4-5D6E-409C-BE32-E72D297353CC}">
              <c16:uniqueId val="{00000018-34F2-4181-B214-34EAFBC598E7}"/>
            </c:ext>
          </c:extLst>
        </c:ser>
        <c:ser>
          <c:idx val="25"/>
          <c:order val="25"/>
          <c:tx>
            <c:strRef>
              <c:f>'201'!$AP$93</c:f>
              <c:strCache>
                <c:ptCount val="1"/>
                <c:pt idx="0">
                  <c:v>Stg.4 Shroud Step#2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'201'!$AP$95:$AP$118</c:f>
              <c:numCache>
                <c:formatCode>0.000_ </c:formatCode>
                <c:ptCount val="24"/>
                <c:pt idx="0">
                  <c:v>5.2519976285907433E-3</c:v>
                </c:pt>
                <c:pt idx="23">
                  <c:v>5.2519976285907433E-3</c:v>
                </c:pt>
              </c:numCache>
            </c:numRef>
          </c:val>
          <c:extLst>
            <c:ext xmlns:c16="http://schemas.microsoft.com/office/drawing/2014/chart" uri="{C3380CC4-5D6E-409C-BE32-E72D297353CC}">
              <c16:uniqueId val="{00000019-34F2-4181-B214-34EAFBC598E7}"/>
            </c:ext>
          </c:extLst>
        </c:ser>
        <c:dLbls>
          <c:showLegendKey val="0"/>
          <c:showVal val="0"/>
          <c:showCatName val="0"/>
          <c:showSerName val="0"/>
          <c:showPercent val="0"/>
          <c:showBubbleSize val="0"/>
        </c:dLbls>
        <c:axId val="178394624"/>
        <c:axId val="178340992"/>
      </c:radarChart>
      <c:catAx>
        <c:axId val="17839462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8340992"/>
        <c:crosses val="autoZero"/>
        <c:auto val="1"/>
        <c:lblAlgn val="ctr"/>
        <c:lblOffset val="100"/>
        <c:noMultiLvlLbl val="0"/>
      </c:catAx>
      <c:valAx>
        <c:axId val="178340992"/>
        <c:scaling>
          <c:orientation val="minMax"/>
          <c:max val="0.15000000000000002"/>
          <c:min val="-0.15000000000000002"/>
        </c:scaling>
        <c:delete val="0"/>
        <c:axPos val="l"/>
        <c:majorGridlines/>
        <c:numFmt formatCode="General" sourceLinked="1"/>
        <c:majorTickMark val="cross"/>
        <c:minorTickMark val="none"/>
        <c:tickLblPos val="nextTo"/>
        <c:txPr>
          <a:bodyPr/>
          <a:lstStyle/>
          <a:p>
            <a:pPr>
              <a:defRPr lang="ja-JP"/>
            </a:pPr>
            <a:endParaRPr lang="en-US"/>
          </a:p>
        </c:txPr>
        <c:crossAx val="178394624"/>
        <c:crosses val="autoZero"/>
        <c:crossBetween val="between"/>
      </c:valAx>
    </c:plotArea>
    <c:legend>
      <c:legendPos val="r"/>
      <c:layout>
        <c:manualLayout>
          <c:xMode val="edge"/>
          <c:yMode val="edge"/>
          <c:x val="0.7560631385983716"/>
          <c:y val="0"/>
          <c:w val="0.23273686234231078"/>
          <c:h val="1"/>
        </c:manualLayout>
      </c:layout>
      <c:overlay val="0"/>
      <c:txPr>
        <a:bodyPr/>
        <a:lstStyle/>
        <a:p>
          <a:pPr>
            <a:defRPr lang="ja-JP" sz="800"/>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'105'!$K$9</c:f>
              <c:strCache>
                <c:ptCount val="1"/>
                <c:pt idx="0">
                  <c:v>CMM</c:v>
                </c:pt>
              </c:strCache>
            </c:strRef>
          </c:tx>
          <c:marker>
            <c:symbol val="none"/>
          </c:marker>
          <c:cat>
            <c:numRef>
              <c:f>'105'!$J$11:$J$26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'105'!$K$11:$K$26</c:f>
              <c:numCache>
                <c:formatCode>General</c:formatCode>
                <c:ptCount val="16"/>
                <c:pt idx="0">
                  <c:v>356.15899999999999</c:v>
                </c:pt>
                <c:pt idx="1">
                  <c:v>356.17500001263426</c:v>
                </c:pt>
                <c:pt idx="2">
                  <c:v>356.26500000140345</c:v>
                </c:pt>
                <c:pt idx="3">
                  <c:v>356.35600000140306</c:v>
                </c:pt>
                <c:pt idx="4">
                  <c:v>356.375</c:v>
                </c:pt>
                <c:pt idx="5">
                  <c:v>356.34199999999998</c:v>
                </c:pt>
                <c:pt idx="6">
                  <c:v>356.27800000561359</c:v>
                </c:pt>
                <c:pt idx="7">
                  <c:v>356.24</c:v>
                </c:pt>
                <c:pt idx="8">
                  <c:v>356.24900000000002</c:v>
                </c:pt>
                <c:pt idx="9">
                  <c:v>356.298</c:v>
                </c:pt>
                <c:pt idx="10">
                  <c:v>356.32100000140326</c:v>
                </c:pt>
                <c:pt idx="11">
                  <c:v>356.30600000561316</c:v>
                </c:pt>
                <c:pt idx="12">
                  <c:v>356.30500000000001</c:v>
                </c:pt>
                <c:pt idx="13">
                  <c:v>356.32799999999997</c:v>
                </c:pt>
                <c:pt idx="14">
                  <c:v>356.31</c:v>
                </c:pt>
                <c:pt idx="15">
                  <c:v>356.23500000140359</c:v>
                </c:pt>
              </c:numCache>
            </c:numRef>
          </c:val>
          <c:extLst>
            <c:ext xmlns:c16="http://schemas.microsoft.com/office/drawing/2014/chart" uri="{C3380CC4-5D6E-409C-BE32-E72D297353CC}">
              <c16:uniqueId val="{00000000-3128-4798-B785-7A775C45734B}"/>
            </c:ext>
          </c:extLst>
        </c:ser>
        <c:ser>
          <c:idx val="1"/>
          <c:order val="1"/>
          <c:tx>
            <c:strRef>
              <c:f>'105'!$L$9</c:f>
              <c:strCache>
                <c:ptCount val="1"/>
                <c:pt idx="0">
                  <c:v>Dwg Min</c:v>
                </c:pt>
              </c:strCache>
            </c:strRef>
          </c:tx>
          <c:spPr>
            <a:ln w="28575">
              <a:prstDash val="dash"/>
            </a:ln>
          </c:spPr>
          <c:marker>
            <c:symbol val="none"/>
          </c:marker>
          <c:cat>
            <c:numRef>
              <c:f>'105'!$J$11:$J$26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'105'!$L$11:$L$26</c:f>
              <c:numCache>
                <c:formatCode>General</c:formatCode>
                <c:ptCount val="16"/>
                <c:pt idx="0">
                  <c:v>356.25000000000006</c:v>
                </c:pt>
                <c:pt idx="1">
                  <c:v>356.25000000000006</c:v>
                </c:pt>
                <c:pt idx="2">
                  <c:v>356.25000000000006</c:v>
                </c:pt>
                <c:pt idx="3">
                  <c:v>356.25000000000006</c:v>
                </c:pt>
                <c:pt idx="4">
                  <c:v>356.25000000000006</c:v>
                </c:pt>
                <c:pt idx="5">
                  <c:v>356.25000000000006</c:v>
                </c:pt>
                <c:pt idx="6">
                  <c:v>356.25000000000006</c:v>
                </c:pt>
                <c:pt idx="7">
                  <c:v>356.25000000000006</c:v>
                </c:pt>
                <c:pt idx="8">
                  <c:v>356.25000000000006</c:v>
                </c:pt>
                <c:pt idx="9">
                  <c:v>356.25000000000006</c:v>
                </c:pt>
                <c:pt idx="10">
                  <c:v>356.25000000000006</c:v>
                </c:pt>
                <c:pt idx="11">
                  <c:v>356.25000000000006</c:v>
                </c:pt>
                <c:pt idx="12">
                  <c:v>356.25000000000006</c:v>
                </c:pt>
                <c:pt idx="13">
                  <c:v>356.25000000000006</c:v>
                </c:pt>
                <c:pt idx="14">
                  <c:v>356.25000000000006</c:v>
                </c:pt>
                <c:pt idx="15">
                  <c:v>356.25000000000006</c:v>
                </c:pt>
              </c:numCache>
            </c:numRef>
          </c:val>
          <c:extLst>
            <c:ext xmlns:c16="http://schemas.microsoft.com/office/drawing/2014/chart" uri="{C3380CC4-5D6E-409C-BE32-E72D297353CC}">
              <c16:uniqueId val="{00000001-3128-4798-B785-7A775C45734B}"/>
            </c:ext>
          </c:extLst>
        </c:ser>
        <c:ser>
          <c:idx val="2"/>
          <c:order val="2"/>
          <c:tx>
            <c:strRef>
              <c:f>'105'!$M$9</c:f>
              <c:strCache>
                <c:ptCount val="1"/>
                <c:pt idx="0">
                  <c:v>Dwg Max</c:v>
                </c:pt>
              </c:strCache>
            </c:strRef>
          </c:tx>
          <c:spPr>
            <a:ln w="28575">
              <a:prstDash val="dash"/>
            </a:ln>
          </c:spPr>
          <c:marker>
            <c:symbol val="none"/>
          </c:marker>
          <c:cat>
            <c:numRef>
              <c:f>'105'!$J$11:$J$26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'105'!$M$11:$M$26</c:f>
              <c:numCache>
                <c:formatCode>General</c:formatCode>
                <c:ptCount val="16"/>
                <c:pt idx="0">
                  <c:v>356.34999999999997</c:v>
                </c:pt>
                <c:pt idx="1">
                  <c:v>356.34999999999997</c:v>
                </c:pt>
                <c:pt idx="2">
                  <c:v>356.34999999999997</c:v>
                </c:pt>
                <c:pt idx="3">
                  <c:v>356.34999999999997</c:v>
                </c:pt>
                <c:pt idx="4">
                  <c:v>356.34999999999997</c:v>
                </c:pt>
                <c:pt idx="5">
                  <c:v>356.34999999999997</c:v>
                </c:pt>
                <c:pt idx="6">
                  <c:v>356.34999999999997</c:v>
                </c:pt>
                <c:pt idx="7">
                  <c:v>356.34999999999997</c:v>
                </c:pt>
                <c:pt idx="8">
                  <c:v>356.34999999999997</c:v>
                </c:pt>
                <c:pt idx="9">
                  <c:v>356.34999999999997</c:v>
                </c:pt>
                <c:pt idx="10">
                  <c:v>356.34999999999997</c:v>
                </c:pt>
                <c:pt idx="11">
                  <c:v>356.34999999999997</c:v>
                </c:pt>
                <c:pt idx="12">
                  <c:v>356.34999999999997</c:v>
                </c:pt>
                <c:pt idx="13">
                  <c:v>356.34999999999997</c:v>
                </c:pt>
                <c:pt idx="14">
                  <c:v>356.34999999999997</c:v>
                </c:pt>
                <c:pt idx="15">
                  <c:v>356.34999999999997</c:v>
                </c:pt>
              </c:numCache>
            </c:numRef>
          </c:val>
          <c:extLst>
            <c:ext xmlns:c16="http://schemas.microsoft.com/office/drawing/2014/chart" uri="{C3380CC4-5D6E-409C-BE32-E72D297353CC}">
              <c16:uniqueId val="{00000002-3128-4798-B785-7A775C45734B}"/>
            </c:ext>
          </c:extLst>
        </c:ser>
        <c:dLbls>
          <c:showLegendKey val="0"/>
          <c:showVal val="0"/>
          <c:showCatName val="0"/>
          <c:showSerName val="0"/>
          <c:showPercent val="0"/>
          <c:showBubbleSize val="0"/>
        </c:dLbls>
        <c:axId val="179787264"/>
        <c:axId val="176519936"/>
      </c:radarChart>
      <c:catAx>
        <c:axId val="17978726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6519936"/>
        <c:crosses val="autoZero"/>
        <c:auto val="1"/>
        <c:lblAlgn val="ctr"/>
        <c:lblOffset val="100"/>
        <c:noMultiLvlLbl val="0"/>
      </c:catAx>
      <c:valAx>
        <c:axId val="176519936"/>
        <c:scaling>
          <c:orientation val="minMax"/>
          <c:max val="356.4"/>
        </c:scaling>
        <c:delete val="0"/>
        <c:axPos val="l"/>
        <c:majorGridlines/>
        <c:numFmt formatCode="General" sourceLinked="1"/>
        <c:majorTickMark val="cross"/>
        <c:minorTickMark val="none"/>
        <c:tickLblPos val="nextTo"/>
        <c:txPr>
          <a:bodyPr/>
          <a:lstStyle/>
          <a:p>
            <a:pPr>
              <a:defRPr lang="ja-JP"/>
            </a:pPr>
            <a:endParaRPr lang="en-US"/>
          </a:p>
        </c:txPr>
        <c:crossAx val="179787264"/>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'236'!$AK$34</c:f>
              <c:strCache>
                <c:ptCount val="1"/>
                <c:pt idx="0">
                  <c:v>LPT Case Hook R Min</c:v>
                </c:pt>
              </c:strCache>
            </c:strRef>
          </c:tx>
          <c:spPr>
            <a:ln w="28575">
              <a:prstDash val="dash"/>
            </a:ln>
          </c:spPr>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'236'!$AK$36:$AK$53</c:f>
              <c:numCache>
                <c:formatCode>General</c:formatCode>
                <c:ptCount val="18"/>
                <c:pt idx="0">
                  <c:v>359.36799999999999</c:v>
                </c:pt>
                <c:pt idx="1">
                  <c:v>359.36799999999999</c:v>
                </c:pt>
                <c:pt idx="2">
                  <c:v>359.36799999999999</c:v>
                </c:pt>
                <c:pt idx="3">
                  <c:v>359.36799999999999</c:v>
                </c:pt>
                <c:pt idx="4">
                  <c:v>359.36799999999999</c:v>
                </c:pt>
                <c:pt idx="5">
                  <c:v>359.36799999999999</c:v>
                </c:pt>
                <c:pt idx="6">
                  <c:v>359.36799999999999</c:v>
                </c:pt>
                <c:pt idx="7">
                  <c:v>359.36799999999999</c:v>
                </c:pt>
                <c:pt idx="8">
                  <c:v>359.36799999999999</c:v>
                </c:pt>
                <c:pt idx="9">
                  <c:v>359.36799999999999</c:v>
                </c:pt>
                <c:pt idx="10">
                  <c:v>359.36799999999999</c:v>
                </c:pt>
                <c:pt idx="11">
                  <c:v>359.36799999999999</c:v>
                </c:pt>
                <c:pt idx="12">
                  <c:v>359.36799999999999</c:v>
                </c:pt>
                <c:pt idx="13">
                  <c:v>359.36799999999999</c:v>
                </c:pt>
                <c:pt idx="14">
                  <c:v>359.36799999999999</c:v>
                </c:pt>
                <c:pt idx="15">
                  <c:v>359.36799999999999</c:v>
                </c:pt>
                <c:pt idx="16">
                  <c:v>359.36799999999999</c:v>
                </c:pt>
                <c:pt idx="17">
                  <c:v>359.36799999999999</c:v>
                </c:pt>
              </c:numCache>
            </c:numRef>
          </c:val>
          <c:extLst>
            <c:ext xmlns:c16="http://schemas.microsoft.com/office/drawing/2014/chart" uri="{C3380CC4-5D6E-409C-BE32-E72D297353CC}">
              <c16:uniqueId val="{00000000-0DBF-41A4-85FB-F881B35D0EAA}"/>
            </c:ext>
          </c:extLst>
        </c:ser>
        <c:ser>
          <c:idx val="1"/>
          <c:order val="1"/>
          <c:tx>
            <c:strRef>
              <c:f>'236'!$AL$34</c:f>
              <c:strCache>
                <c:ptCount val="1"/>
                <c:pt idx="0">
                  <c:v>LPT Case Hook R Max</c:v>
                </c:pt>
              </c:strCache>
            </c:strRef>
          </c:tx>
          <c:spPr>
            <a:ln w="28575">
              <a:prstDash val="dash"/>
            </a:ln>
          </c:spPr>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'236'!$AL$36:$AL$53</c:f>
              <c:numCache>
                <c:formatCode>General</c:formatCode>
                <c:ptCount val="18"/>
                <c:pt idx="0">
                  <c:v>359.43199999999996</c:v>
                </c:pt>
                <c:pt idx="1">
                  <c:v>359.43199999999996</c:v>
                </c:pt>
                <c:pt idx="2">
                  <c:v>359.43199999999996</c:v>
                </c:pt>
                <c:pt idx="3">
                  <c:v>359.43199999999996</c:v>
                </c:pt>
                <c:pt idx="4">
                  <c:v>359.43199999999996</c:v>
                </c:pt>
                <c:pt idx="5">
                  <c:v>359.43199999999996</c:v>
                </c:pt>
                <c:pt idx="6">
                  <c:v>359.43199999999996</c:v>
                </c:pt>
                <c:pt idx="7">
                  <c:v>359.43199999999996</c:v>
                </c:pt>
                <c:pt idx="8">
                  <c:v>359.43199999999996</c:v>
                </c:pt>
                <c:pt idx="9">
                  <c:v>359.43199999999996</c:v>
                </c:pt>
                <c:pt idx="10">
                  <c:v>359.43199999999996</c:v>
                </c:pt>
                <c:pt idx="11">
                  <c:v>359.43199999999996</c:v>
                </c:pt>
                <c:pt idx="12">
                  <c:v>359.43199999999996</c:v>
                </c:pt>
                <c:pt idx="13">
                  <c:v>359.43199999999996</c:v>
                </c:pt>
                <c:pt idx="14">
                  <c:v>359.43199999999996</c:v>
                </c:pt>
                <c:pt idx="15">
                  <c:v>359.43199999999996</c:v>
                </c:pt>
                <c:pt idx="16">
                  <c:v>359.43199999999996</c:v>
                </c:pt>
                <c:pt idx="17">
                  <c:v>359.43199999999996</c:v>
                </c:pt>
              </c:numCache>
            </c:numRef>
          </c:val>
          <c:extLst>
            <c:ext xmlns:c16="http://schemas.microsoft.com/office/drawing/2014/chart" uri="{C3380CC4-5D6E-409C-BE32-E72D297353CC}">
              <c16:uniqueId val="{00000001-0DBF-41A4-85FB-F881B35D0EAA}"/>
            </c:ext>
          </c:extLst>
        </c:ser>
        <c:ser>
          <c:idx val="2"/>
          <c:order val="2"/>
          <c:tx>
            <c:strRef>
              <c:f>'236'!$S$34</c:f>
              <c:strCache>
                <c:ptCount val="1"/>
                <c:pt idx="0">
                  <c:v>Stg.1 Shroud Aft#1</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'236'!$S$36:$S$53</c:f>
              <c:numCache>
                <c:formatCode>0.000</c:formatCode>
                <c:ptCount val="18"/>
                <c:pt idx="0">
                  <c:v>359.36160000068026</c:v>
                </c:pt>
                <c:pt idx="1">
                  <c:v>359.36160000068026</c:v>
                </c:pt>
              </c:numCache>
            </c:numRef>
          </c:val>
          <c:extLst>
            <c:ext xmlns:c16="http://schemas.microsoft.com/office/drawing/2014/chart" uri="{C3380CC4-5D6E-409C-BE32-E72D297353CC}">
              <c16:uniqueId val="{00000002-0DBF-41A4-85FB-F881B35D0EAA}"/>
            </c:ext>
          </c:extLst>
        </c:ser>
        <c:ser>
          <c:idx val="3"/>
          <c:order val="3"/>
          <c:tx>
            <c:strRef>
              <c:f>'236'!$T$34</c:f>
              <c:strCache>
                <c:ptCount val="1"/>
                <c:pt idx="0">
                  <c:v>Stg.1 Shroud Aft#18</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'236'!$T$36:$T$53</c:f>
              <c:numCache>
                <c:formatCode>0.000</c:formatCode>
                <c:ptCount val="18"/>
                <c:pt idx="1">
                  <c:v>359.37002224340085</c:v>
                </c:pt>
                <c:pt idx="2">
                  <c:v>359.37002224340085</c:v>
                </c:pt>
              </c:numCache>
            </c:numRef>
          </c:val>
          <c:extLst>
            <c:ext xmlns:c16="http://schemas.microsoft.com/office/drawing/2014/chart" uri="{C3380CC4-5D6E-409C-BE32-E72D297353CC}">
              <c16:uniqueId val="{00000003-0DBF-41A4-85FB-F881B35D0EAA}"/>
            </c:ext>
          </c:extLst>
        </c:ser>
        <c:ser>
          <c:idx val="4"/>
          <c:order val="4"/>
          <c:tx>
            <c:strRef>
              <c:f>'236'!$U$34</c:f>
              <c:strCache>
                <c:ptCount val="1"/>
                <c:pt idx="0">
                  <c:v>Stg.1 Shroud Aft#17</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'236'!$U$36:$U$53</c:f>
              <c:numCache>
                <c:formatCode>General</c:formatCode>
                <c:ptCount val="18"/>
                <c:pt idx="2" formatCode="0.000">
                  <c:v>359.37632225055836</c:v>
                </c:pt>
                <c:pt idx="3" formatCode="0.000">
                  <c:v>359.37632225055836</c:v>
                </c:pt>
              </c:numCache>
            </c:numRef>
          </c:val>
          <c:extLst>
            <c:ext xmlns:c16="http://schemas.microsoft.com/office/drawing/2014/chart" uri="{C3380CC4-5D6E-409C-BE32-E72D297353CC}">
              <c16:uniqueId val="{00000004-0DBF-41A4-85FB-F881B35D0EAA}"/>
            </c:ext>
          </c:extLst>
        </c:ser>
        <c:ser>
          <c:idx val="5"/>
          <c:order val="5"/>
          <c:tx>
            <c:strRef>
              <c:f>'236'!$V$34</c:f>
              <c:strCache>
                <c:ptCount val="1"/>
                <c:pt idx="0">
                  <c:v>Stg.1 Shroud Aft#16</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'236'!$V$36:$V$53</c:f>
              <c:numCache>
                <c:formatCode>General</c:formatCode>
                <c:ptCount val="18"/>
                <c:pt idx="3" formatCode="0.000">
                  <c:v>359.39011111899509</c:v>
                </c:pt>
                <c:pt idx="4" formatCode="0.000">
                  <c:v>359.39011111899509</c:v>
                </c:pt>
              </c:numCache>
            </c:numRef>
          </c:val>
          <c:extLst>
            <c:ext xmlns:c16="http://schemas.microsoft.com/office/drawing/2014/chart" uri="{C3380CC4-5D6E-409C-BE32-E72D297353CC}">
              <c16:uniqueId val="{00000005-0DBF-41A4-85FB-F881B35D0EAA}"/>
            </c:ext>
          </c:extLst>
        </c:ser>
        <c:ser>
          <c:idx val="6"/>
          <c:order val="6"/>
          <c:tx>
            <c:strRef>
              <c:f>'236'!$W$34</c:f>
              <c:strCache>
                <c:ptCount val="1"/>
                <c:pt idx="0">
                  <c:v>Stg.1 Shroud Aft#15</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'236'!$W$36:$W$53</c:f>
              <c:numCache>
                <c:formatCode>General</c:formatCode>
                <c:ptCount val="18"/>
                <c:pt idx="4" formatCode="0.000">
                  <c:v>359.40875555659125</c:v>
                </c:pt>
                <c:pt idx="5" formatCode="0.000">
                  <c:v>359.40875555659125</c:v>
                </c:pt>
              </c:numCache>
            </c:numRef>
          </c:val>
          <c:extLst>
            <c:ext xmlns:c16="http://schemas.microsoft.com/office/drawing/2014/chart" uri="{C3380CC4-5D6E-409C-BE32-E72D297353CC}">
              <c16:uniqueId val="{00000006-0DBF-41A4-85FB-F881B35D0EAA}"/>
            </c:ext>
          </c:extLst>
        </c:ser>
        <c:ser>
          <c:idx val="7"/>
          <c:order val="7"/>
          <c:tx>
            <c:strRef>
              <c:f>'236'!$X$34</c:f>
              <c:strCache>
                <c:ptCount val="1"/>
                <c:pt idx="0">
                  <c:v>Stg.1 Shroud Aft#14</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'236'!$X$36:$X$53</c:f>
              <c:numCache>
                <c:formatCode>General</c:formatCode>
                <c:ptCount val="18"/>
                <c:pt idx="5" formatCode="0.000">
                  <c:v>359.41544444589744</c:v>
                </c:pt>
                <c:pt idx="6" formatCode="0.000">
                  <c:v>359.41544444589744</c:v>
                </c:pt>
              </c:numCache>
            </c:numRef>
          </c:val>
          <c:extLst>
            <c:ext xmlns:c16="http://schemas.microsoft.com/office/drawing/2014/chart" uri="{C3380CC4-5D6E-409C-BE32-E72D297353CC}">
              <c16:uniqueId val="{00000007-0DBF-41A4-85FB-F881B35D0EAA}"/>
            </c:ext>
          </c:extLst>
        </c:ser>
        <c:ser>
          <c:idx val="8"/>
          <c:order val="8"/>
          <c:tx>
            <c:strRef>
              <c:f>'236'!$Y$34</c:f>
              <c:strCache>
                <c:ptCount val="1"/>
                <c:pt idx="0">
                  <c:v>Stg.1 Shroud Aft#13</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'236'!$Y$36:$Y$53</c:f>
              <c:numCache>
                <c:formatCode>General</c:formatCode>
                <c:ptCount val="18"/>
                <c:pt idx="6" formatCode="0.000">
                  <c:v>359.40732222551463</c:v>
                </c:pt>
                <c:pt idx="7" formatCode="0.000">
                  <c:v>359.40732222551463</c:v>
                </c:pt>
              </c:numCache>
            </c:numRef>
          </c:val>
          <c:extLst>
            <c:ext xmlns:c16="http://schemas.microsoft.com/office/drawing/2014/chart" uri="{C3380CC4-5D6E-409C-BE32-E72D297353CC}">
              <c16:uniqueId val="{00000008-0DBF-41A4-85FB-F881B35D0EAA}"/>
            </c:ext>
          </c:extLst>
        </c:ser>
        <c:ser>
          <c:idx val="9"/>
          <c:order val="9"/>
          <c:tx>
            <c:strRef>
              <c:f>'236'!$Z$34</c:f>
              <c:strCache>
                <c:ptCount val="1"/>
                <c:pt idx="0">
                  <c:v>Stg.1 Shroud Aft#12</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'236'!$Z$36:$Z$53</c:f>
              <c:numCache>
                <c:formatCode>General</c:formatCode>
                <c:ptCount val="18"/>
                <c:pt idx="7" formatCode="0.000">
                  <c:v>359.37791111435729</c:v>
                </c:pt>
                <c:pt idx="8" formatCode="0.000">
                  <c:v>359.37791111435729</c:v>
                </c:pt>
              </c:numCache>
            </c:numRef>
          </c:val>
          <c:extLst>
            <c:ext xmlns:c16="http://schemas.microsoft.com/office/drawing/2014/chart" uri="{C3380CC4-5D6E-409C-BE32-E72D297353CC}">
              <c16:uniqueId val="{00000009-0DBF-41A4-85FB-F881B35D0EAA}"/>
            </c:ext>
          </c:extLst>
        </c:ser>
        <c:ser>
          <c:idx val="10"/>
          <c:order val="10"/>
          <c:tx>
            <c:strRef>
              <c:f>'236'!$AA$34</c:f>
              <c:strCache>
                <c:ptCount val="1"/>
                <c:pt idx="0">
                  <c:v>Stg.1 Shroud Aft#11</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'236'!$AA$36:$AA$53</c:f>
              <c:numCache>
                <c:formatCode>General</c:formatCode>
                <c:ptCount val="18"/>
                <c:pt idx="8" formatCode="0.000">
                  <c:v>359.35318889255291</c:v>
                </c:pt>
                <c:pt idx="9" formatCode="0.000">
                  <c:v>359.35318889255291</c:v>
                </c:pt>
              </c:numCache>
            </c:numRef>
          </c:val>
          <c:extLst>
            <c:ext xmlns:c16="http://schemas.microsoft.com/office/drawing/2014/chart" uri="{C3380CC4-5D6E-409C-BE32-E72D297353CC}">
              <c16:uniqueId val="{0000000A-0DBF-41A4-85FB-F881B35D0EAA}"/>
            </c:ext>
          </c:extLst>
        </c:ser>
        <c:ser>
          <c:idx val="11"/>
          <c:order val="11"/>
          <c:tx>
            <c:strRef>
              <c:f>'236'!$AB$34</c:f>
              <c:strCache>
                <c:ptCount val="1"/>
                <c:pt idx="0">
                  <c:v>Stg.1 Shroud Aft#10</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'236'!$AB$36:$AB$53</c:f>
              <c:numCache>
                <c:formatCode>General</c:formatCode>
                <c:ptCount val="18"/>
                <c:pt idx="9" formatCode="0.000">
                  <c:v>359.34846666938768</c:v>
                </c:pt>
                <c:pt idx="10" formatCode="0.000">
                  <c:v>359.34846666938768</c:v>
                </c:pt>
              </c:numCache>
            </c:numRef>
          </c:val>
          <c:extLst>
            <c:ext xmlns:c16="http://schemas.microsoft.com/office/drawing/2014/chart" uri="{C3380CC4-5D6E-409C-BE32-E72D297353CC}">
              <c16:uniqueId val="{0000000B-0DBF-41A4-85FB-F881B35D0EAA}"/>
            </c:ext>
          </c:extLst>
        </c:ser>
        <c:ser>
          <c:idx val="12"/>
          <c:order val="12"/>
          <c:tx>
            <c:strRef>
              <c:f>'236'!$AC$34</c:f>
              <c:strCache>
                <c:ptCount val="1"/>
                <c:pt idx="0">
                  <c:v>Stg.1 Shroud Aft#9</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'236'!$AC$36:$AC$53</c:f>
              <c:numCache>
                <c:formatCode>General</c:formatCode>
                <c:ptCount val="18"/>
                <c:pt idx="10" formatCode="0.000">
                  <c:v>359.35973333874392</c:v>
                </c:pt>
                <c:pt idx="11" formatCode="0.000">
                  <c:v>359.35973333874392</c:v>
                </c:pt>
              </c:numCache>
            </c:numRef>
          </c:val>
          <c:extLst>
            <c:ext xmlns:c16="http://schemas.microsoft.com/office/drawing/2014/chart" uri="{C3380CC4-5D6E-409C-BE32-E72D297353CC}">
              <c16:uniqueId val="{0000000C-0DBF-41A4-85FB-F881B35D0EAA}"/>
            </c:ext>
          </c:extLst>
        </c:ser>
        <c:ser>
          <c:idx val="13"/>
          <c:order val="13"/>
          <c:tx>
            <c:strRef>
              <c:f>'236'!$AD$34</c:f>
              <c:strCache>
                <c:ptCount val="1"/>
                <c:pt idx="0">
                  <c:v>Stg.1 Shroud Aft#8</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'236'!$AD$36:$AD$53</c:f>
              <c:numCache>
                <c:formatCode>General</c:formatCode>
                <c:ptCount val="18"/>
                <c:pt idx="11" formatCode="0.000">
                  <c:v>359.38016667413325</c:v>
                </c:pt>
                <c:pt idx="12" formatCode="0.000">
                  <c:v>359.38016667413325</c:v>
                </c:pt>
              </c:numCache>
            </c:numRef>
          </c:val>
          <c:extLst>
            <c:ext xmlns:c16="http://schemas.microsoft.com/office/drawing/2014/chart" uri="{C3380CC4-5D6E-409C-BE32-E72D297353CC}">
              <c16:uniqueId val="{0000000D-0DBF-41A4-85FB-F881B35D0EAA}"/>
            </c:ext>
          </c:extLst>
        </c:ser>
        <c:ser>
          <c:idx val="14"/>
          <c:order val="14"/>
          <c:tx>
            <c:strRef>
              <c:f>'236'!$AE$34</c:f>
              <c:strCache>
                <c:ptCount val="1"/>
                <c:pt idx="0">
                  <c:v>Stg.1 Shroud Aft#7</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'236'!$AE$36:$AE$53</c:f>
              <c:numCache>
                <c:formatCode>General</c:formatCode>
                <c:ptCount val="18"/>
                <c:pt idx="12" formatCode="0.000">
                  <c:v>359.39964444861812</c:v>
                </c:pt>
                <c:pt idx="13" formatCode="0.000">
                  <c:v>359.39964444861812</c:v>
                </c:pt>
              </c:numCache>
            </c:numRef>
          </c:val>
          <c:extLst>
            <c:ext xmlns:c16="http://schemas.microsoft.com/office/drawing/2014/chart" uri="{C3380CC4-5D6E-409C-BE32-E72D297353CC}">
              <c16:uniqueId val="{0000000E-0DBF-41A4-85FB-F881B35D0EAA}"/>
            </c:ext>
          </c:extLst>
        </c:ser>
        <c:ser>
          <c:idx val="15"/>
          <c:order val="15"/>
          <c:tx>
            <c:strRef>
              <c:f>'236'!$AF$34</c:f>
              <c:strCache>
                <c:ptCount val="1"/>
                <c:pt idx="0">
                  <c:v>Stg.1 Shroud Aft#6</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'236'!$AF$36:$AF$53</c:f>
              <c:numCache>
                <c:formatCode>General</c:formatCode>
                <c:ptCount val="18"/>
                <c:pt idx="13" formatCode="0.000">
                  <c:v>359.41331111446527</c:v>
                </c:pt>
                <c:pt idx="14" formatCode="0.000">
                  <c:v>359.41331111446527</c:v>
                </c:pt>
              </c:numCache>
            </c:numRef>
          </c:val>
          <c:extLst>
            <c:ext xmlns:c16="http://schemas.microsoft.com/office/drawing/2014/chart" uri="{C3380CC4-5D6E-409C-BE32-E72D297353CC}">
              <c16:uniqueId val="{0000000F-0DBF-41A4-85FB-F881B35D0EAA}"/>
            </c:ext>
          </c:extLst>
        </c:ser>
        <c:ser>
          <c:idx val="16"/>
          <c:order val="16"/>
          <c:tx>
            <c:strRef>
              <c:f>'236'!$AG$34</c:f>
              <c:strCache>
                <c:ptCount val="1"/>
                <c:pt idx="0">
                  <c:v>Stg.1 Shroud Aft#5</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'236'!$AG$36:$AG$53</c:f>
              <c:numCache>
                <c:formatCode>General</c:formatCode>
                <c:ptCount val="18"/>
                <c:pt idx="14" formatCode="0.000">
                  <c:v>359.4118666724786</c:v>
                </c:pt>
                <c:pt idx="15" formatCode="0.000">
                  <c:v>359.4118666724786</c:v>
                </c:pt>
              </c:numCache>
            </c:numRef>
          </c:val>
          <c:extLst>
            <c:ext xmlns:c16="http://schemas.microsoft.com/office/drawing/2014/chart" uri="{C3380CC4-5D6E-409C-BE32-E72D297353CC}">
              <c16:uniqueId val="{00000010-0DBF-41A4-85FB-F881B35D0EAA}"/>
            </c:ext>
          </c:extLst>
        </c:ser>
        <c:ser>
          <c:idx val="17"/>
          <c:order val="17"/>
          <c:tx>
            <c:strRef>
              <c:f>'236'!$AH$34</c:f>
              <c:strCache>
                <c:ptCount val="1"/>
                <c:pt idx="0">
                  <c:v>Stg.1 Shroud Aft#4</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'236'!$AH$36:$AH$53</c:f>
              <c:numCache>
                <c:formatCode>General</c:formatCode>
                <c:ptCount val="18"/>
                <c:pt idx="15" formatCode="0.000">
                  <c:v>359.40277779034477</c:v>
                </c:pt>
                <c:pt idx="16" formatCode="0.000">
                  <c:v>359.40277779034477</c:v>
                </c:pt>
              </c:numCache>
            </c:numRef>
          </c:val>
          <c:extLst>
            <c:ext xmlns:c16="http://schemas.microsoft.com/office/drawing/2014/chart" uri="{C3380CC4-5D6E-409C-BE32-E72D297353CC}">
              <c16:uniqueId val="{00000011-0DBF-41A4-85FB-F881B35D0EAA}"/>
            </c:ext>
          </c:extLst>
        </c:ser>
        <c:ser>
          <c:idx val="18"/>
          <c:order val="18"/>
          <c:tx>
            <c:strRef>
              <c:f>'236'!$AI$34</c:f>
              <c:strCache>
                <c:ptCount val="1"/>
                <c:pt idx="0">
                  <c:v>Stg.1 Shroud Aft#3</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'236'!$AI$36:$AI$53</c:f>
              <c:numCache>
                <c:formatCode>General</c:formatCode>
                <c:ptCount val="18"/>
                <c:pt idx="16" formatCode="0.000">
                  <c:v>359.38160000881089</c:v>
                </c:pt>
                <c:pt idx="17" formatCode="0.000">
                  <c:v>359.38160000881089</c:v>
                </c:pt>
              </c:numCache>
            </c:numRef>
          </c:val>
          <c:extLst>
            <c:ext xmlns:c16="http://schemas.microsoft.com/office/drawing/2014/chart" uri="{C3380CC4-5D6E-409C-BE32-E72D297353CC}">
              <c16:uniqueId val="{00000012-0DBF-41A4-85FB-F881B35D0EAA}"/>
            </c:ext>
          </c:extLst>
        </c:ser>
        <c:ser>
          <c:idx val="19"/>
          <c:order val="19"/>
          <c:tx>
            <c:strRef>
              <c:f>'236'!$AJ$34</c:f>
              <c:strCache>
                <c:ptCount val="1"/>
                <c:pt idx="0">
                  <c:v>Stg.1 Shroud Aft#2</c:v>
                </c:pt>
              </c:strCache>
            </c:strRef>
          </c:tx>
          <c:marker>
            <c:symbol val="none"/>
          </c:marker>
          <c:cat>
            <c:numRef>
              <c:f>'236'!$J$36:$J$53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'236'!$AJ$36:$AJ$53</c:f>
              <c:numCache>
                <c:formatCode>General</c:formatCode>
                <c:ptCount val="18"/>
                <c:pt idx="0" formatCode="0.000">
                  <c:v>359.36182222356717</c:v>
                </c:pt>
                <c:pt idx="17" formatCode="0.000">
                  <c:v>359.36182222356717</c:v>
                </c:pt>
              </c:numCache>
            </c:numRef>
          </c:val>
          <c:extLst>
            <c:ext xmlns:c16="http://schemas.microsoft.com/office/drawing/2014/chart" uri="{C3380CC4-5D6E-409C-BE32-E72D297353CC}">
              <c16:uniqueId val="{00000013-0DBF-41A4-85FB-F881B35D0EAA}"/>
            </c:ext>
          </c:extLst>
        </c:ser>
        <c:dLbls>
          <c:showLegendKey val="0"/>
          <c:showVal val="0"/>
          <c:showCatName val="0"/>
          <c:showSerName val="0"/>
          <c:showPercent val="0"/>
          <c:showBubbleSize val="0"/>
        </c:dLbls>
        <c:axId val="179788800"/>
        <c:axId val="176696128"/>
      </c:radarChart>
      <c:catAx>
        <c:axId val="17978880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6696128"/>
        <c:crosses val="autoZero"/>
        <c:auto val="1"/>
        <c:lblAlgn val="ctr"/>
        <c:lblOffset val="100"/>
        <c:noMultiLvlLbl val="0"/>
      </c:catAx>
      <c:valAx>
        <c:axId val="17669612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9788800"/>
        <c:crosses val="autoZero"/>
        <c:crossBetween val="between"/>
        <c:majorUnit val="5.000000000000001E-2"/>
      </c:valAx>
    </c:plotArea>
    <c:legend>
      <c:legendPos val="r"/>
      <c:overlay val="0"/>
      <c:txPr>
        <a:bodyPr/>
        <a:lstStyle/>
        <a:p>
          <a:pPr>
            <a:defRPr lang="ja-JP" sz="600"/>
          </a:pPr>
          <a:endParaRPr lang="en-US"/>
        </a:p>
      </c:txPr>
    </c:legend>
    <c:plotVisOnly val="1"/>
    <c:dispBlanksAs val="gap"/>
    <c:showDLblsOverMax val="0"/>
  </c:chart>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'105'!$AK$34</c:f>
              <c:strCache>
                <c:ptCount val="1"/>
                <c:pt idx="0">
                  <c:v>LPT Case Hook R Min</c:v>
                </c:pt>
              </c:strCache>
            </c:strRef>
          </c:tx>
          <c:spPr>
            <a:ln w="28575">
              <a:prstDash val="dash"/>
            </a:ln>
          </c:spPr>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'105'!$AK$36:$AK$53</c:f>
              <c:numCache>
                <c:formatCode>General</c:formatCode>
                <c:ptCount val="18"/>
                <c:pt idx="0">
                  <c:v>356.25000000000006</c:v>
                </c:pt>
                <c:pt idx="1">
                  <c:v>356.25000000000006</c:v>
                </c:pt>
                <c:pt idx="2">
                  <c:v>356.25000000000006</c:v>
                </c:pt>
                <c:pt idx="3">
                  <c:v>356.25000000000006</c:v>
                </c:pt>
                <c:pt idx="4">
                  <c:v>356.25000000000006</c:v>
                </c:pt>
                <c:pt idx="5">
                  <c:v>356.25000000000006</c:v>
                </c:pt>
                <c:pt idx="6">
                  <c:v>356.25000000000006</c:v>
                </c:pt>
                <c:pt idx="7">
                  <c:v>356.25000000000006</c:v>
                </c:pt>
                <c:pt idx="8">
                  <c:v>356.25000000000006</c:v>
                </c:pt>
                <c:pt idx="9">
                  <c:v>356.25000000000006</c:v>
                </c:pt>
                <c:pt idx="10">
                  <c:v>356.25000000000006</c:v>
                </c:pt>
                <c:pt idx="11">
                  <c:v>356.25000000000006</c:v>
                </c:pt>
                <c:pt idx="12">
                  <c:v>356.25000000000006</c:v>
                </c:pt>
                <c:pt idx="13">
                  <c:v>356.25000000000006</c:v>
                </c:pt>
                <c:pt idx="14">
                  <c:v>356.25000000000006</c:v>
                </c:pt>
                <c:pt idx="15">
                  <c:v>356.25000000000006</c:v>
                </c:pt>
                <c:pt idx="16">
                  <c:v>356.25000000000006</c:v>
                </c:pt>
                <c:pt idx="17">
                  <c:v>356.25000000000006</c:v>
                </c:pt>
              </c:numCache>
            </c:numRef>
          </c:val>
          <c:extLst>
            <c:ext xmlns:c16="http://schemas.microsoft.com/office/drawing/2014/chart" uri="{C3380CC4-5D6E-409C-BE32-E72D297353CC}">
              <c16:uniqueId val="{00000000-F027-4AE5-B90C-07B7AF297004}"/>
            </c:ext>
          </c:extLst>
        </c:ser>
        <c:ser>
          <c:idx val="1"/>
          <c:order val="1"/>
          <c:tx>
            <c:strRef>
              <c:f>'105'!$AL$34</c:f>
              <c:strCache>
                <c:ptCount val="1"/>
                <c:pt idx="0">
                  <c:v>LPT Case Hook R Max</c:v>
                </c:pt>
              </c:strCache>
            </c:strRef>
          </c:tx>
          <c:spPr>
            <a:ln w="28575">
              <a:prstDash val="dash"/>
            </a:ln>
          </c:spPr>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'105'!$AL$36:$AL$53</c:f>
              <c:numCache>
                <c:formatCode>General</c:formatCode>
                <c:ptCount val="18"/>
                <c:pt idx="0">
                  <c:v>356.34999999999997</c:v>
                </c:pt>
                <c:pt idx="1">
                  <c:v>356.34999999999997</c:v>
                </c:pt>
                <c:pt idx="2">
                  <c:v>356.34999999999997</c:v>
                </c:pt>
                <c:pt idx="3">
                  <c:v>356.34999999999997</c:v>
                </c:pt>
                <c:pt idx="4">
                  <c:v>356.34999999999997</c:v>
                </c:pt>
                <c:pt idx="5">
                  <c:v>356.34999999999997</c:v>
                </c:pt>
                <c:pt idx="6">
                  <c:v>356.34999999999997</c:v>
                </c:pt>
                <c:pt idx="7">
                  <c:v>356.34999999999997</c:v>
                </c:pt>
                <c:pt idx="8">
                  <c:v>356.34999999999997</c:v>
                </c:pt>
                <c:pt idx="9">
                  <c:v>356.34999999999997</c:v>
                </c:pt>
                <c:pt idx="10">
                  <c:v>356.34999999999997</c:v>
                </c:pt>
                <c:pt idx="11">
                  <c:v>356.34999999999997</c:v>
                </c:pt>
                <c:pt idx="12">
                  <c:v>356.34999999999997</c:v>
                </c:pt>
                <c:pt idx="13">
                  <c:v>356.34999999999997</c:v>
                </c:pt>
                <c:pt idx="14">
                  <c:v>356.34999999999997</c:v>
                </c:pt>
                <c:pt idx="15">
                  <c:v>356.34999999999997</c:v>
                </c:pt>
                <c:pt idx="16">
                  <c:v>356.34999999999997</c:v>
                </c:pt>
                <c:pt idx="17">
                  <c:v>356.34999999999997</c:v>
                </c:pt>
              </c:numCache>
            </c:numRef>
          </c:val>
          <c:extLst>
            <c:ext xmlns:c16="http://schemas.microsoft.com/office/drawing/2014/chart" uri="{C3380CC4-5D6E-409C-BE32-E72D297353CC}">
              <c16:uniqueId val="{00000001-F027-4AE5-B90C-07B7AF297004}"/>
            </c:ext>
          </c:extLst>
        </c:ser>
        <c:ser>
          <c:idx val="2"/>
          <c:order val="2"/>
          <c:tx>
            <c:strRef>
              <c:f>'105'!$S$34</c:f>
              <c:strCache>
                <c:ptCount val="1"/>
                <c:pt idx="0">
                  <c:v>Stg.1 Shroud Fwd#1</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'105'!$S$36:$S$53</c:f>
              <c:numCache>
                <c:formatCode>0.000</c:formatCode>
                <c:ptCount val="18"/>
                <c:pt idx="0">
                  <c:v>356.19615555624176</c:v>
                </c:pt>
                <c:pt idx="1">
                  <c:v>356.19615555624176</c:v>
                </c:pt>
              </c:numCache>
            </c:numRef>
          </c:val>
          <c:extLst>
            <c:ext xmlns:c16="http://schemas.microsoft.com/office/drawing/2014/chart" uri="{C3380CC4-5D6E-409C-BE32-E72D297353CC}">
              <c16:uniqueId val="{00000002-F027-4AE5-B90C-07B7AF297004}"/>
            </c:ext>
          </c:extLst>
        </c:ser>
        <c:ser>
          <c:idx val="3"/>
          <c:order val="3"/>
          <c:tx>
            <c:strRef>
              <c:f>'105'!$T$34</c:f>
              <c:strCache>
                <c:ptCount val="1"/>
                <c:pt idx="0">
                  <c:v>Stg.1 Shroud Fwd#18</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'105'!$T$36:$T$53</c:f>
              <c:numCache>
                <c:formatCode>0.000</c:formatCode>
                <c:ptCount val="18"/>
                <c:pt idx="1">
                  <c:v>356.16744444981009</c:v>
                </c:pt>
                <c:pt idx="2">
                  <c:v>356.16744444981009</c:v>
                </c:pt>
              </c:numCache>
            </c:numRef>
          </c:val>
          <c:extLst>
            <c:ext xmlns:c16="http://schemas.microsoft.com/office/drawing/2014/chart" uri="{C3380CC4-5D6E-409C-BE32-E72D297353CC}">
              <c16:uniqueId val="{00000003-F027-4AE5-B90C-07B7AF297004}"/>
            </c:ext>
          </c:extLst>
        </c:ser>
        <c:ser>
          <c:idx val="4"/>
          <c:order val="4"/>
          <c:tx>
            <c:strRef>
              <c:f>'105'!$U$34</c:f>
              <c:strCache>
                <c:ptCount val="1"/>
                <c:pt idx="0">
                  <c:v>Stg.1 Shroud Fwd#17</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'105'!$U$36:$U$53</c:f>
              <c:numCache>
                <c:formatCode>General</c:formatCode>
                <c:ptCount val="18"/>
                <c:pt idx="2" formatCode="0.000">
                  <c:v>356.20675556308919</c:v>
                </c:pt>
                <c:pt idx="3" formatCode="0.000">
                  <c:v>356.20675556308919</c:v>
                </c:pt>
              </c:numCache>
            </c:numRef>
          </c:val>
          <c:extLst>
            <c:ext xmlns:c16="http://schemas.microsoft.com/office/drawing/2014/chart" uri="{C3380CC4-5D6E-409C-BE32-E72D297353CC}">
              <c16:uniqueId val="{00000004-F027-4AE5-B90C-07B7AF297004}"/>
            </c:ext>
          </c:extLst>
        </c:ser>
        <c:ser>
          <c:idx val="5"/>
          <c:order val="5"/>
          <c:tx>
            <c:strRef>
              <c:f>'105'!$V$34</c:f>
              <c:strCache>
                <c:ptCount val="1"/>
                <c:pt idx="0">
                  <c:v>Stg.1 Shroud Fwd#16</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'105'!$V$36:$V$53</c:f>
              <c:numCache>
                <c:formatCode>General</c:formatCode>
                <c:ptCount val="18"/>
                <c:pt idx="3" formatCode="0.000">
                  <c:v>356.28131111401188</c:v>
                </c:pt>
                <c:pt idx="4" formatCode="0.000">
                  <c:v>356.28131111401188</c:v>
                </c:pt>
              </c:numCache>
            </c:numRef>
          </c:val>
          <c:extLst>
            <c:ext xmlns:c16="http://schemas.microsoft.com/office/drawing/2014/chart" uri="{C3380CC4-5D6E-409C-BE32-E72D297353CC}">
              <c16:uniqueId val="{00000005-F027-4AE5-B90C-07B7AF297004}"/>
            </c:ext>
          </c:extLst>
        </c:ser>
        <c:ser>
          <c:idx val="6"/>
          <c:order val="6"/>
          <c:tx>
            <c:strRef>
              <c:f>'105'!$W$34</c:f>
              <c:strCache>
                <c:ptCount val="1"/>
                <c:pt idx="0">
                  <c:v>Stg.1 Shroud Fwd#15</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'105'!$W$36:$W$53</c:f>
              <c:numCache>
                <c:formatCode>General</c:formatCode>
                <c:ptCount val="18"/>
                <c:pt idx="4" formatCode="0.000">
                  <c:v>356.3436666677112</c:v>
                </c:pt>
                <c:pt idx="5" formatCode="0.000">
                  <c:v>356.3436666677112</c:v>
                </c:pt>
              </c:numCache>
            </c:numRef>
          </c:val>
          <c:extLst>
            <c:ext xmlns:c16="http://schemas.microsoft.com/office/drawing/2014/chart" uri="{C3380CC4-5D6E-409C-BE32-E72D297353CC}">
              <c16:uniqueId val="{00000006-F027-4AE5-B90C-07B7AF297004}"/>
            </c:ext>
          </c:extLst>
        </c:ser>
        <c:ser>
          <c:idx val="7"/>
          <c:order val="7"/>
          <c:tx>
            <c:strRef>
              <c:f>'105'!$X$34</c:f>
              <c:strCache>
                <c:ptCount val="1"/>
                <c:pt idx="0">
                  <c:v>Stg.1 Shroud Fwd#14</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'105'!$X$36:$X$53</c:f>
              <c:numCache>
                <c:formatCode>General</c:formatCode>
                <c:ptCount val="18"/>
                <c:pt idx="5" formatCode="0.000">
                  <c:v>356.36375555589854</c:v>
                </c:pt>
                <c:pt idx="6" formatCode="0.000">
                  <c:v>356.36375555589854</c:v>
                </c:pt>
              </c:numCache>
            </c:numRef>
          </c:val>
          <c:extLst>
            <c:ext xmlns:c16="http://schemas.microsoft.com/office/drawing/2014/chart" uri="{C3380CC4-5D6E-409C-BE32-E72D297353CC}">
              <c16:uniqueId val="{00000007-F027-4AE5-B90C-07B7AF297004}"/>
            </c:ext>
          </c:extLst>
        </c:ser>
        <c:ser>
          <c:idx val="8"/>
          <c:order val="8"/>
          <c:tx>
            <c:strRef>
              <c:f>'105'!$Y$34</c:f>
              <c:strCache>
                <c:ptCount val="1"/>
                <c:pt idx="0">
                  <c:v>Stg.1 Shroud Fwd#13</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'105'!$Y$36:$Y$53</c:f>
              <c:numCache>
                <c:formatCode>General</c:formatCode>
                <c:ptCount val="18"/>
                <c:pt idx="6" formatCode="0.000">
                  <c:v>356.34265555636642</c:v>
                </c:pt>
                <c:pt idx="7" formatCode="0.000">
                  <c:v>356.34265555636642</c:v>
                </c:pt>
              </c:numCache>
            </c:numRef>
          </c:val>
          <c:extLst>
            <c:ext xmlns:c16="http://schemas.microsoft.com/office/drawing/2014/chart" uri="{C3380CC4-5D6E-409C-BE32-E72D297353CC}">
              <c16:uniqueId val="{00000008-F027-4AE5-B90C-07B7AF297004}"/>
            </c:ext>
          </c:extLst>
        </c:ser>
        <c:ser>
          <c:idx val="9"/>
          <c:order val="9"/>
          <c:tx>
            <c:strRef>
              <c:f>'105'!$Z$34</c:f>
              <c:strCache>
                <c:ptCount val="1"/>
                <c:pt idx="0">
                  <c:v>Stg.1 Shroud Fwd#12</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'105'!$Z$36:$Z$53</c:f>
              <c:numCache>
                <c:formatCode>General</c:formatCode>
                <c:ptCount val="18"/>
                <c:pt idx="7" formatCode="0.000">
                  <c:v>356.29737778089645</c:v>
                </c:pt>
                <c:pt idx="8" formatCode="0.000">
                  <c:v>356.29737778089645</c:v>
                </c:pt>
              </c:numCache>
            </c:numRef>
          </c:val>
          <c:extLst>
            <c:ext xmlns:c16="http://schemas.microsoft.com/office/drawing/2014/chart" uri="{C3380CC4-5D6E-409C-BE32-E72D297353CC}">
              <c16:uniqueId val="{00000009-F027-4AE5-B90C-07B7AF297004}"/>
            </c:ext>
          </c:extLst>
        </c:ser>
        <c:ser>
          <c:idx val="10"/>
          <c:order val="10"/>
          <c:tx>
            <c:strRef>
              <c:f>'105'!$AA$34</c:f>
              <c:strCache>
                <c:ptCount val="1"/>
                <c:pt idx="0">
                  <c:v>Stg.1 Shroud Fwd#11</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'105'!$AA$36:$AA$53</c:f>
              <c:numCache>
                <c:formatCode>General</c:formatCode>
                <c:ptCount val="18"/>
                <c:pt idx="8" formatCode="0.000">
                  <c:v>356.25592222453008</c:v>
                </c:pt>
                <c:pt idx="9" formatCode="0.000">
                  <c:v>356.25592222453008</c:v>
                </c:pt>
              </c:numCache>
            </c:numRef>
          </c:val>
          <c:extLst>
            <c:ext xmlns:c16="http://schemas.microsoft.com/office/drawing/2014/chart" uri="{C3380CC4-5D6E-409C-BE32-E72D297353CC}">
              <c16:uniqueId val="{0000000A-F027-4AE5-B90C-07B7AF297004}"/>
            </c:ext>
          </c:extLst>
        </c:ser>
        <c:ser>
          <c:idx val="11"/>
          <c:order val="11"/>
          <c:tx>
            <c:strRef>
              <c:f>'105'!$AB$34</c:f>
              <c:strCache>
                <c:ptCount val="1"/>
                <c:pt idx="0">
                  <c:v>Stg.1 Shroud Fwd#10</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'105'!$AB$36:$AB$53</c:f>
              <c:numCache>
                <c:formatCode>General</c:formatCode>
                <c:ptCount val="18"/>
                <c:pt idx="9" formatCode="0.000">
                  <c:v>356.24459999999999</c:v>
                </c:pt>
                <c:pt idx="10" formatCode="0.000">
                  <c:v>356.24459999999999</c:v>
                </c:pt>
              </c:numCache>
            </c:numRef>
          </c:val>
          <c:extLst>
            <c:ext xmlns:c16="http://schemas.microsoft.com/office/drawing/2014/chart" uri="{C3380CC4-5D6E-409C-BE32-E72D297353CC}">
              <c16:uniqueId val="{0000000B-F027-4AE5-B90C-07B7AF297004}"/>
            </c:ext>
          </c:extLst>
        </c:ser>
        <c:ser>
          <c:idx val="12"/>
          <c:order val="12"/>
          <c:tx>
            <c:strRef>
              <c:f>'105'!$AC$34</c:f>
              <c:strCache>
                <c:ptCount val="1"/>
                <c:pt idx="0">
                  <c:v>Stg.1 Shroud Fwd#9</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'105'!$AC$36:$AC$53</c:f>
              <c:numCache>
                <c:formatCode>General</c:formatCode>
                <c:ptCount val="18"/>
                <c:pt idx="10" formatCode="0.000">
                  <c:v>356.26948888888887</c:v>
                </c:pt>
                <c:pt idx="11" formatCode="0.000">
                  <c:v>356.26948888888887</c:v>
                </c:pt>
              </c:numCache>
            </c:numRef>
          </c:val>
          <c:extLst>
            <c:ext xmlns:c16="http://schemas.microsoft.com/office/drawing/2014/chart" uri="{C3380CC4-5D6E-409C-BE32-E72D297353CC}">
              <c16:uniqueId val="{0000000C-F027-4AE5-B90C-07B7AF297004}"/>
            </c:ext>
          </c:extLst>
        </c:ser>
        <c:ser>
          <c:idx val="13"/>
          <c:order val="13"/>
          <c:tx>
            <c:strRef>
              <c:f>'105'!$AD$34</c:f>
              <c:strCache>
                <c:ptCount val="1"/>
                <c:pt idx="0">
                  <c:v>Stg.1 Shroud Fwd#8</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'105'!$AD$36:$AD$53</c:f>
              <c:numCache>
                <c:formatCode>General</c:formatCode>
                <c:ptCount val="18"/>
                <c:pt idx="11" formatCode="0.000">
                  <c:v>356.30262222273677</c:v>
                </c:pt>
                <c:pt idx="12" formatCode="0.000">
                  <c:v>356.30262222273677</c:v>
                </c:pt>
              </c:numCache>
            </c:numRef>
          </c:val>
          <c:extLst>
            <c:ext xmlns:c16="http://schemas.microsoft.com/office/drawing/2014/chart" uri="{C3380CC4-5D6E-409C-BE32-E72D297353CC}">
              <c16:uniqueId val="{0000000D-F027-4AE5-B90C-07B7AF297004}"/>
            </c:ext>
          </c:extLst>
        </c:ser>
        <c:ser>
          <c:idx val="14"/>
          <c:order val="14"/>
          <c:tx>
            <c:strRef>
              <c:f>'105'!$AE$34</c:f>
              <c:strCache>
                <c:ptCount val="1"/>
                <c:pt idx="0">
                  <c:v>Stg.1 Shroud Fwd#7</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'105'!$AE$36:$AE$53</c:f>
              <c:numCache>
                <c:formatCode>General</c:formatCode>
                <c:ptCount val="18"/>
                <c:pt idx="12" formatCode="0.000">
                  <c:v>356.31326666919256</c:v>
                </c:pt>
                <c:pt idx="13" formatCode="0.000">
                  <c:v>356.31326666919256</c:v>
                </c:pt>
              </c:numCache>
            </c:numRef>
          </c:val>
          <c:extLst>
            <c:ext xmlns:c16="http://schemas.microsoft.com/office/drawing/2014/chart" uri="{C3380CC4-5D6E-409C-BE32-E72D297353CC}">
              <c16:uniqueId val="{0000000E-F027-4AE5-B90C-07B7AF297004}"/>
            </c:ext>
          </c:extLst>
        </c:ser>
        <c:ser>
          <c:idx val="15"/>
          <c:order val="15"/>
          <c:tx>
            <c:strRef>
              <c:f>'105'!$AF$34</c:f>
              <c:strCache>
                <c:ptCount val="1"/>
                <c:pt idx="0">
                  <c:v>Stg.1 Shroud Fwd#6</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'105'!$AF$36:$AF$53</c:f>
              <c:numCache>
                <c:formatCode>General</c:formatCode>
                <c:ptCount val="18"/>
                <c:pt idx="13" formatCode="0.000">
                  <c:v>356.30857778116126</c:v>
                </c:pt>
                <c:pt idx="14" formatCode="0.000">
                  <c:v>356.30857778116126</c:v>
                </c:pt>
              </c:numCache>
            </c:numRef>
          </c:val>
          <c:extLst>
            <c:ext xmlns:c16="http://schemas.microsoft.com/office/drawing/2014/chart" uri="{C3380CC4-5D6E-409C-BE32-E72D297353CC}">
              <c16:uniqueId val="{0000000F-F027-4AE5-B90C-07B7AF297004}"/>
            </c:ext>
          </c:extLst>
        </c:ser>
        <c:ser>
          <c:idx val="16"/>
          <c:order val="16"/>
          <c:tx>
            <c:strRef>
              <c:f>'105'!$AG$34</c:f>
              <c:strCache>
                <c:ptCount val="1"/>
                <c:pt idx="0">
                  <c:v>Stg.1 Shroud Fwd#5</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'105'!$AG$36:$AG$53</c:f>
              <c:numCache>
                <c:formatCode>General</c:formatCode>
                <c:ptCount val="18"/>
                <c:pt idx="14" formatCode="0.000">
                  <c:v>356.30984444581657</c:v>
                </c:pt>
                <c:pt idx="15" formatCode="0.000">
                  <c:v>356.30984444581657</c:v>
                </c:pt>
              </c:numCache>
            </c:numRef>
          </c:val>
          <c:extLst>
            <c:ext xmlns:c16="http://schemas.microsoft.com/office/drawing/2014/chart" uri="{C3380CC4-5D6E-409C-BE32-E72D297353CC}">
              <c16:uniqueId val="{00000010-F027-4AE5-B90C-07B7AF297004}"/>
            </c:ext>
          </c:extLst>
        </c:ser>
        <c:ser>
          <c:idx val="17"/>
          <c:order val="17"/>
          <c:tx>
            <c:strRef>
              <c:f>'105'!$AH$34</c:f>
              <c:strCache>
                <c:ptCount val="1"/>
                <c:pt idx="0">
                  <c:v>Stg.1 Shroud Fwd#4</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'105'!$AH$36:$AH$53</c:f>
              <c:numCache>
                <c:formatCode>General</c:formatCode>
                <c:ptCount val="18"/>
                <c:pt idx="15" formatCode="0.000">
                  <c:v>356.31849999999997</c:v>
                </c:pt>
                <c:pt idx="16" formatCode="0.000">
                  <c:v>356.31849999999997</c:v>
                </c:pt>
              </c:numCache>
            </c:numRef>
          </c:val>
          <c:extLst>
            <c:ext xmlns:c16="http://schemas.microsoft.com/office/drawing/2014/chart" uri="{C3380CC4-5D6E-409C-BE32-E72D297353CC}">
              <c16:uniqueId val="{00000011-F027-4AE5-B90C-07B7AF297004}"/>
            </c:ext>
          </c:extLst>
        </c:ser>
        <c:ser>
          <c:idx val="18"/>
          <c:order val="18"/>
          <c:tx>
            <c:strRef>
              <c:f>'105'!$AI$34</c:f>
              <c:strCache>
                <c:ptCount val="1"/>
                <c:pt idx="0">
                  <c:v>Stg.1 Shroud Fwd#3</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'105'!$AI$36:$AI$53</c:f>
              <c:numCache>
                <c:formatCode>General</c:formatCode>
                <c:ptCount val="18"/>
                <c:pt idx="16" formatCode="0.000">
                  <c:v>356.3097333334581</c:v>
                </c:pt>
                <c:pt idx="17" formatCode="0.000">
                  <c:v>356.3097333334581</c:v>
                </c:pt>
              </c:numCache>
            </c:numRef>
          </c:val>
          <c:extLst>
            <c:ext xmlns:c16="http://schemas.microsoft.com/office/drawing/2014/chart" uri="{C3380CC4-5D6E-409C-BE32-E72D297353CC}">
              <c16:uniqueId val="{00000012-F027-4AE5-B90C-07B7AF297004}"/>
            </c:ext>
          </c:extLst>
        </c:ser>
        <c:ser>
          <c:idx val="19"/>
          <c:order val="19"/>
          <c:tx>
            <c:strRef>
              <c:f>'105'!$AJ$34</c:f>
              <c:strCache>
                <c:ptCount val="1"/>
                <c:pt idx="0">
                  <c:v>Stg.1 Shroud Fwd#2</c:v>
                </c:pt>
              </c:strCache>
            </c:strRef>
          </c:tx>
          <c:marker>
            <c:symbol val="none"/>
          </c:marker>
          <c:cat>
            <c:numRef>
              <c:f>'105'!$J$36:$J$53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'105'!$AJ$36:$AJ$53</c:f>
              <c:numCache>
                <c:formatCode>General</c:formatCode>
                <c:ptCount val="18"/>
                <c:pt idx="0" formatCode="0.000">
                  <c:v>356.26330000077979</c:v>
                </c:pt>
                <c:pt idx="17" formatCode="0.000">
                  <c:v>356.26330000077979</c:v>
                </c:pt>
              </c:numCache>
            </c:numRef>
          </c:val>
          <c:extLst>
            <c:ext xmlns:c16="http://schemas.microsoft.com/office/drawing/2014/chart" uri="{C3380CC4-5D6E-409C-BE32-E72D297353CC}">
              <c16:uniqueId val="{00000013-F027-4AE5-B90C-07B7AF297004}"/>
            </c:ext>
          </c:extLst>
        </c:ser>
        <c:dLbls>
          <c:showLegendKey val="0"/>
          <c:showVal val="0"/>
          <c:showCatName val="0"/>
          <c:showSerName val="0"/>
          <c:showPercent val="0"/>
          <c:showBubbleSize val="0"/>
        </c:dLbls>
        <c:axId val="181314048"/>
        <c:axId val="176699584"/>
      </c:radarChart>
      <c:catAx>
        <c:axId val="18131404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6699584"/>
        <c:crosses val="autoZero"/>
        <c:auto val="1"/>
        <c:lblAlgn val="ctr"/>
        <c:lblOffset val="100"/>
        <c:noMultiLvlLbl val="0"/>
      </c:catAx>
      <c:valAx>
        <c:axId val="176699584"/>
        <c:scaling>
          <c:orientation val="minMax"/>
          <c:max val="356.4"/>
        </c:scaling>
        <c:delete val="0"/>
        <c:axPos val="l"/>
        <c:majorGridlines/>
        <c:numFmt formatCode="General" sourceLinked="1"/>
        <c:majorTickMark val="cross"/>
        <c:minorTickMark val="none"/>
        <c:tickLblPos val="nextTo"/>
        <c:txPr>
          <a:bodyPr/>
          <a:lstStyle/>
          <a:p>
            <a:pPr>
              <a:defRPr lang="ja-JP"/>
            </a:pPr>
            <a:endParaRPr lang="en-US"/>
          </a:p>
        </c:txPr>
        <c:crossAx val="181314048"/>
        <c:crosses val="autoZero"/>
        <c:crossBetween val="between"/>
        <c:majorUnit val="5.000000000000001E-2"/>
      </c:valAx>
    </c:plotArea>
    <c:legend>
      <c:legendPos val="r"/>
      <c:overlay val="0"/>
      <c:txPr>
        <a:bodyPr/>
        <a:lstStyle/>
        <a:p>
          <a:pPr>
            <a:defRPr lang="ja-JP" sz="600"/>
          </a:pPr>
          <a:endParaRPr lang="en-US"/>
        </a:p>
      </c:txPr>
    </c:legend>
    <c:plotVisOnly val="1"/>
    <c:dispBlanksAs val="gap"/>
    <c:showDLblsOverMax val="0"/>
  </c:chart>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'236'!$K$9</c:f>
              <c:strCache>
                <c:ptCount val="1"/>
                <c:pt idx="0">
                  <c:v>CMM</c:v>
                </c:pt>
              </c:strCache>
            </c:strRef>
          </c:tx>
          <c:marker>
            <c:symbol val="none"/>
          </c:marker>
          <c:cat>
            <c:numRef>
              <c:f>'236'!$J$11:$J$26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'236'!$K$11:$K$26</c:f>
              <c:numCache>
                <c:formatCode>General</c:formatCode>
                <c:ptCount val="16"/>
                <c:pt idx="0">
                  <c:v>359.36599999999999</c:v>
                </c:pt>
                <c:pt idx="1">
                  <c:v>359.37600005008676</c:v>
                </c:pt>
                <c:pt idx="2">
                  <c:v>359.37900000139132</c:v>
                </c:pt>
                <c:pt idx="3">
                  <c:v>359.41600000139113</c:v>
                </c:pt>
                <c:pt idx="4">
                  <c:v>359.41500000000002</c:v>
                </c:pt>
                <c:pt idx="5">
                  <c:v>359.41600000556457</c:v>
                </c:pt>
                <c:pt idx="6">
                  <c:v>359.35800000139136</c:v>
                </c:pt>
                <c:pt idx="7">
                  <c:v>359.35000000556562</c:v>
                </c:pt>
                <c:pt idx="8">
                  <c:v>359.34699999999998</c:v>
                </c:pt>
                <c:pt idx="9">
                  <c:v>359.37700001252165</c:v>
                </c:pt>
                <c:pt idx="10">
                  <c:v>359.39200000139124</c:v>
                </c:pt>
                <c:pt idx="11">
                  <c:v>359.42300000556446</c:v>
                </c:pt>
                <c:pt idx="12">
                  <c:v>359.40800000000002</c:v>
                </c:pt>
                <c:pt idx="13">
                  <c:v>359.40900002225879</c:v>
                </c:pt>
                <c:pt idx="14">
                  <c:v>359.36800000139129</c:v>
                </c:pt>
                <c:pt idx="15">
                  <c:v>359.35700000139138</c:v>
                </c:pt>
              </c:numCache>
            </c:numRef>
          </c:val>
          <c:extLst>
            <c:ext xmlns:c16="http://schemas.microsoft.com/office/drawing/2014/chart" uri="{C3380CC4-5D6E-409C-BE32-E72D297353CC}">
              <c16:uniqueId val="{00000000-869C-4E86-9E0B-EE488A30499D}"/>
            </c:ext>
          </c:extLst>
        </c:ser>
        <c:ser>
          <c:idx val="1"/>
          <c:order val="1"/>
          <c:tx>
            <c:strRef>
              <c:f>'236'!$L$9</c:f>
              <c:strCache>
                <c:ptCount val="1"/>
                <c:pt idx="0">
                  <c:v>Dwg Min</c:v>
                </c:pt>
              </c:strCache>
            </c:strRef>
          </c:tx>
          <c:spPr>
            <a:ln w="28575">
              <a:prstDash val="dash"/>
            </a:ln>
          </c:spPr>
          <c:marker>
            <c:symbol val="none"/>
          </c:marker>
          <c:val>
            <c:numRef>
              <c:f>'236'!$L$11:$L$26</c:f>
              <c:numCache>
                <c:formatCode>General</c:formatCode>
                <c:ptCount val="16"/>
                <c:pt idx="0">
                  <c:v>359.31</c:v>
                </c:pt>
                <c:pt idx="1">
                  <c:v>359.31</c:v>
                </c:pt>
                <c:pt idx="2">
                  <c:v>359.31</c:v>
                </c:pt>
                <c:pt idx="3">
                  <c:v>359.31</c:v>
                </c:pt>
                <c:pt idx="4">
                  <c:v>359.31</c:v>
                </c:pt>
                <c:pt idx="5">
                  <c:v>359.31</c:v>
                </c:pt>
                <c:pt idx="6">
                  <c:v>359.31</c:v>
                </c:pt>
                <c:pt idx="7">
                  <c:v>359.31</c:v>
                </c:pt>
                <c:pt idx="8">
                  <c:v>359.31</c:v>
                </c:pt>
                <c:pt idx="9">
                  <c:v>359.31</c:v>
                </c:pt>
                <c:pt idx="10">
                  <c:v>359.31</c:v>
                </c:pt>
                <c:pt idx="11">
                  <c:v>359.31</c:v>
                </c:pt>
                <c:pt idx="12">
                  <c:v>359.31</c:v>
                </c:pt>
                <c:pt idx="13">
                  <c:v>359.31</c:v>
                </c:pt>
                <c:pt idx="14">
                  <c:v>359.31</c:v>
                </c:pt>
                <c:pt idx="15">
                  <c:v>359.31</c:v>
                </c:pt>
              </c:numCache>
            </c:numRef>
          </c:val>
          <c:extLst>
            <c:ext xmlns:c16="http://schemas.microsoft.com/office/drawing/2014/chart" uri="{C3380CC4-5D6E-409C-BE32-E72D297353CC}">
              <c16:uniqueId val="{00000001-869C-4E86-9E0B-EE488A30499D}"/>
            </c:ext>
          </c:extLst>
        </c:ser>
        <c:ser>
          <c:idx val="2"/>
          <c:order val="2"/>
          <c:tx>
            <c:strRef>
              <c:f>'236'!$M$9</c:f>
              <c:strCache>
                <c:ptCount val="1"/>
                <c:pt idx="0">
                  <c:v>Dwg Max</c:v>
                </c:pt>
              </c:strCache>
            </c:strRef>
          </c:tx>
          <c:spPr>
            <a:ln w="28575">
              <a:prstDash val="dash"/>
            </a:ln>
          </c:spPr>
          <c:marker>
            <c:symbol val="none"/>
          </c:marker>
          <c:val>
            <c:numRef>
              <c:f>'236'!$M$11:$M$26</c:f>
              <c:numCache>
                <c:formatCode>General</c:formatCode>
                <c:ptCount val="16"/>
                <c:pt idx="0">
                  <c:v>359.48999999999995</c:v>
                </c:pt>
                <c:pt idx="1">
                  <c:v>359.48999999999995</c:v>
                </c:pt>
                <c:pt idx="2">
                  <c:v>359.48999999999995</c:v>
                </c:pt>
                <c:pt idx="3">
                  <c:v>359.48999999999995</c:v>
                </c:pt>
                <c:pt idx="4">
                  <c:v>359.48999999999995</c:v>
                </c:pt>
                <c:pt idx="5">
                  <c:v>359.48999999999995</c:v>
                </c:pt>
                <c:pt idx="6">
                  <c:v>359.48999999999995</c:v>
                </c:pt>
                <c:pt idx="7">
                  <c:v>359.48999999999995</c:v>
                </c:pt>
                <c:pt idx="8">
                  <c:v>359.48999999999995</c:v>
                </c:pt>
                <c:pt idx="9">
                  <c:v>359.48999999999995</c:v>
                </c:pt>
                <c:pt idx="10">
                  <c:v>359.48999999999995</c:v>
                </c:pt>
                <c:pt idx="11">
                  <c:v>359.48999999999995</c:v>
                </c:pt>
                <c:pt idx="12">
                  <c:v>359.48999999999995</c:v>
                </c:pt>
                <c:pt idx="13">
                  <c:v>359.48999999999995</c:v>
                </c:pt>
                <c:pt idx="14">
                  <c:v>359.48999999999995</c:v>
                </c:pt>
                <c:pt idx="15">
                  <c:v>359.48999999999995</c:v>
                </c:pt>
              </c:numCache>
            </c:numRef>
          </c:val>
          <c:extLst>
            <c:ext xmlns:c16="http://schemas.microsoft.com/office/drawing/2014/chart" uri="{C3380CC4-5D6E-409C-BE32-E72D297353CC}">
              <c16:uniqueId val="{00000002-869C-4E86-9E0B-EE488A30499D}"/>
            </c:ext>
          </c:extLst>
        </c:ser>
        <c:dLbls>
          <c:showLegendKey val="0"/>
          <c:showVal val="0"/>
          <c:showCatName val="0"/>
          <c:showSerName val="0"/>
          <c:showPercent val="0"/>
          <c:showBubbleSize val="0"/>
        </c:dLbls>
        <c:axId val="181315072"/>
        <c:axId val="178343872"/>
      </c:radarChart>
      <c:catAx>
        <c:axId val="18131507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8343872"/>
        <c:crosses val="autoZero"/>
        <c:auto val="1"/>
        <c:lblAlgn val="ctr"/>
        <c:lblOffset val="100"/>
        <c:noMultiLvlLbl val="0"/>
      </c:catAx>
      <c:valAx>
        <c:axId val="17834387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1315072"/>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'238'!$K$9</c:f>
              <c:strCache>
                <c:ptCount val="1"/>
                <c:pt idx="0">
                  <c:v>CMM - Rear</c:v>
                </c:pt>
              </c:strCache>
            </c:strRef>
          </c:tx>
          <c:marker>
            <c:symbol val="none"/>
          </c:marker>
          <c:cat>
            <c:numRef>
              <c:f>'238'!$J$11:$J$26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'238'!$K$11:$K$26</c:f>
              <c:numCache>
                <c:formatCode>General</c:formatCode>
                <c:ptCount val="16"/>
                <c:pt idx="0">
                  <c:v>374.51500000133507</c:v>
                </c:pt>
                <c:pt idx="1">
                  <c:v>374.53800001201483</c:v>
                </c:pt>
                <c:pt idx="2">
                  <c:v>374.54</c:v>
                </c:pt>
                <c:pt idx="3">
                  <c:v>374.57500002135754</c:v>
                </c:pt>
                <c:pt idx="4">
                  <c:v>374.57000000133485</c:v>
                </c:pt>
                <c:pt idx="5">
                  <c:v>374.57900000533931</c:v>
                </c:pt>
                <c:pt idx="6">
                  <c:v>374.529</c:v>
                </c:pt>
                <c:pt idx="7">
                  <c:v>374.52700000534008</c:v>
                </c:pt>
                <c:pt idx="8">
                  <c:v>374.51400000133509</c:v>
                </c:pt>
                <c:pt idx="9">
                  <c:v>374.52600000534011</c:v>
                </c:pt>
                <c:pt idx="10">
                  <c:v>374.54900001201446</c:v>
                </c:pt>
                <c:pt idx="11">
                  <c:v>374.58100000133487</c:v>
                </c:pt>
                <c:pt idx="12">
                  <c:v>374.58000000133484</c:v>
                </c:pt>
                <c:pt idx="13">
                  <c:v>374.56800000133489</c:v>
                </c:pt>
                <c:pt idx="14">
                  <c:v>374.52000000133506</c:v>
                </c:pt>
                <c:pt idx="15">
                  <c:v>374.51500001201555</c:v>
                </c:pt>
              </c:numCache>
            </c:numRef>
          </c:val>
          <c:extLst>
            <c:ext xmlns:c16="http://schemas.microsoft.com/office/drawing/2014/chart" uri="{C3380CC4-5D6E-409C-BE32-E72D297353CC}">
              <c16:uniqueId val="{00000000-1B49-4A3D-ABBB-9F95851BC96B}"/>
            </c:ext>
          </c:extLst>
        </c:ser>
        <c:ser>
          <c:idx val="1"/>
          <c:order val="1"/>
          <c:tx>
            <c:strRef>
              <c:f>'238'!$L$9</c:f>
              <c:strCache>
                <c:ptCount val="1"/>
                <c:pt idx="0">
                  <c:v>Dwg Min</c:v>
                </c:pt>
              </c:strCache>
            </c:strRef>
          </c:tx>
          <c:spPr>
            <a:ln>
              <a:prstDash val="dash"/>
            </a:ln>
          </c:spPr>
          <c:marker>
            <c:symbol val="none"/>
          </c:marker>
          <c:val>
            <c:numRef>
              <c:f>'238'!$L$11:$L$26</c:f>
              <c:numCache>
                <c:formatCode>General</c:formatCode>
                <c:ptCount val="16"/>
                <c:pt idx="0">
                  <c:v>374.46000000000004</c:v>
                </c:pt>
                <c:pt idx="1">
                  <c:v>374.46000000000004</c:v>
                </c:pt>
                <c:pt idx="2">
                  <c:v>374.46000000000004</c:v>
                </c:pt>
                <c:pt idx="3">
                  <c:v>374.46000000000004</c:v>
                </c:pt>
                <c:pt idx="4">
                  <c:v>374.46000000000004</c:v>
                </c:pt>
                <c:pt idx="5">
                  <c:v>374.46000000000004</c:v>
                </c:pt>
                <c:pt idx="6">
                  <c:v>374.46000000000004</c:v>
                </c:pt>
                <c:pt idx="7">
                  <c:v>374.46000000000004</c:v>
                </c:pt>
                <c:pt idx="8">
                  <c:v>374.46000000000004</c:v>
                </c:pt>
                <c:pt idx="9">
                  <c:v>374.46000000000004</c:v>
                </c:pt>
                <c:pt idx="10">
                  <c:v>374.46000000000004</c:v>
                </c:pt>
                <c:pt idx="11">
                  <c:v>374.46000000000004</c:v>
                </c:pt>
                <c:pt idx="12">
                  <c:v>374.46000000000004</c:v>
                </c:pt>
                <c:pt idx="13">
                  <c:v>374.46000000000004</c:v>
                </c:pt>
                <c:pt idx="14">
                  <c:v>374.46000000000004</c:v>
                </c:pt>
                <c:pt idx="15">
                  <c:v>374.46000000000004</c:v>
                </c:pt>
              </c:numCache>
            </c:numRef>
          </c:val>
          <c:extLst>
            <c:ext xmlns:c16="http://schemas.microsoft.com/office/drawing/2014/chart" uri="{C3380CC4-5D6E-409C-BE32-E72D297353CC}">
              <c16:uniqueId val="{00000001-1B49-4A3D-ABBB-9F95851BC96B}"/>
            </c:ext>
          </c:extLst>
        </c:ser>
        <c:ser>
          <c:idx val="2"/>
          <c:order val="2"/>
          <c:tx>
            <c:strRef>
              <c:f>'238'!$M$9</c:f>
              <c:strCache>
                <c:ptCount val="1"/>
                <c:pt idx="0">
                  <c:v>Dwg Max</c:v>
                </c:pt>
              </c:strCache>
            </c:strRef>
          </c:tx>
          <c:spPr>
            <a:ln>
              <a:prstDash val="dash"/>
            </a:ln>
          </c:spPr>
          <c:marker>
            <c:symbol val="none"/>
          </c:marker>
          <c:val>
            <c:numRef>
              <c:f>'238'!$M$11:$M$26</c:f>
              <c:numCache>
                <c:formatCode>General</c:formatCode>
                <c:ptCount val="16"/>
                <c:pt idx="0">
                  <c:v>374.64</c:v>
                </c:pt>
                <c:pt idx="1">
                  <c:v>374.64</c:v>
                </c:pt>
                <c:pt idx="2">
                  <c:v>374.64</c:v>
                </c:pt>
                <c:pt idx="3">
                  <c:v>374.64</c:v>
                </c:pt>
                <c:pt idx="4">
                  <c:v>374.64</c:v>
                </c:pt>
                <c:pt idx="5">
                  <c:v>374.64</c:v>
                </c:pt>
                <c:pt idx="6">
                  <c:v>374.64</c:v>
                </c:pt>
                <c:pt idx="7">
                  <c:v>374.64</c:v>
                </c:pt>
                <c:pt idx="8">
                  <c:v>374.64</c:v>
                </c:pt>
                <c:pt idx="9">
                  <c:v>374.64</c:v>
                </c:pt>
                <c:pt idx="10">
                  <c:v>374.64</c:v>
                </c:pt>
                <c:pt idx="11">
                  <c:v>374.64</c:v>
                </c:pt>
                <c:pt idx="12">
                  <c:v>374.64</c:v>
                </c:pt>
                <c:pt idx="13">
                  <c:v>374.64</c:v>
                </c:pt>
                <c:pt idx="14">
                  <c:v>374.64</c:v>
                </c:pt>
                <c:pt idx="15">
                  <c:v>374.64</c:v>
                </c:pt>
              </c:numCache>
            </c:numRef>
          </c:val>
          <c:extLst>
            <c:ext xmlns:c16="http://schemas.microsoft.com/office/drawing/2014/chart" uri="{C3380CC4-5D6E-409C-BE32-E72D297353CC}">
              <c16:uniqueId val="{00000002-1B49-4A3D-ABBB-9F95851BC96B}"/>
            </c:ext>
          </c:extLst>
        </c:ser>
        <c:dLbls>
          <c:showLegendKey val="0"/>
          <c:showVal val="0"/>
          <c:showCatName val="0"/>
          <c:showSerName val="0"/>
          <c:showPercent val="0"/>
          <c:showBubbleSize val="0"/>
        </c:dLbls>
        <c:axId val="181315584"/>
        <c:axId val="178346752"/>
      </c:radarChart>
      <c:catAx>
        <c:axId val="18131558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8346752"/>
        <c:crosses val="autoZero"/>
        <c:auto val="1"/>
        <c:lblAlgn val="ctr"/>
        <c:lblOffset val="100"/>
        <c:noMultiLvlLbl val="0"/>
      </c:catAx>
      <c:valAx>
        <c:axId val="17834675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1315584"/>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'238'!$AK$34</c:f>
              <c:strCache>
                <c:ptCount val="1"/>
                <c:pt idx="0">
                  <c:v>LPT Case Hook R Min</c:v>
                </c:pt>
              </c:strCache>
            </c:strRef>
          </c:tx>
          <c:spPr>
            <a:ln w="28575">
              <a:prstDash val="dash"/>
            </a:ln>
          </c:spPr>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'238'!$AK$36:$AK$53</c:f>
              <c:numCache>
                <c:formatCode>General</c:formatCode>
                <c:ptCount val="18"/>
                <c:pt idx="0">
                  <c:v>374.51800000000003</c:v>
                </c:pt>
                <c:pt idx="1">
                  <c:v>374.51800000000003</c:v>
                </c:pt>
                <c:pt idx="2">
                  <c:v>374.51800000000003</c:v>
                </c:pt>
                <c:pt idx="3">
                  <c:v>374.51800000000003</c:v>
                </c:pt>
                <c:pt idx="4">
                  <c:v>374.51800000000003</c:v>
                </c:pt>
                <c:pt idx="5">
                  <c:v>374.51800000000003</c:v>
                </c:pt>
                <c:pt idx="6">
                  <c:v>374.51800000000003</c:v>
                </c:pt>
                <c:pt idx="7">
                  <c:v>374.51800000000003</c:v>
                </c:pt>
                <c:pt idx="8">
                  <c:v>374.51800000000003</c:v>
                </c:pt>
                <c:pt idx="9">
                  <c:v>374.51800000000003</c:v>
                </c:pt>
                <c:pt idx="10">
                  <c:v>374.51800000000003</c:v>
                </c:pt>
                <c:pt idx="11">
                  <c:v>374.51800000000003</c:v>
                </c:pt>
                <c:pt idx="12">
                  <c:v>374.51800000000003</c:v>
                </c:pt>
                <c:pt idx="13">
                  <c:v>374.51800000000003</c:v>
                </c:pt>
                <c:pt idx="14">
                  <c:v>374.51800000000003</c:v>
                </c:pt>
                <c:pt idx="15">
                  <c:v>374.51800000000003</c:v>
                </c:pt>
                <c:pt idx="16">
                  <c:v>374.51800000000003</c:v>
                </c:pt>
                <c:pt idx="17">
                  <c:v>374.51800000000003</c:v>
                </c:pt>
              </c:numCache>
            </c:numRef>
          </c:val>
          <c:extLst>
            <c:ext xmlns:c16="http://schemas.microsoft.com/office/drawing/2014/chart" uri="{C3380CC4-5D6E-409C-BE32-E72D297353CC}">
              <c16:uniqueId val="{00000000-7820-4B8F-998B-D6C13B3618E5}"/>
            </c:ext>
          </c:extLst>
        </c:ser>
        <c:ser>
          <c:idx val="1"/>
          <c:order val="1"/>
          <c:tx>
            <c:strRef>
              <c:f>'238'!$AL$34</c:f>
              <c:strCache>
                <c:ptCount val="1"/>
                <c:pt idx="0">
                  <c:v>LPT Case Hook R Max</c:v>
                </c:pt>
              </c:strCache>
            </c:strRef>
          </c:tx>
          <c:spPr>
            <a:ln w="28575">
              <a:prstDash val="dash"/>
            </a:ln>
          </c:spPr>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'238'!$AL$36:$AL$53</c:f>
              <c:numCache>
                <c:formatCode>General</c:formatCode>
                <c:ptCount val="18"/>
                <c:pt idx="0">
                  <c:v>374.58199999999999</c:v>
                </c:pt>
                <c:pt idx="1">
                  <c:v>374.58199999999999</c:v>
                </c:pt>
                <c:pt idx="2">
                  <c:v>374.58199999999999</c:v>
                </c:pt>
                <c:pt idx="3">
                  <c:v>374.58199999999999</c:v>
                </c:pt>
                <c:pt idx="4">
                  <c:v>374.58199999999999</c:v>
                </c:pt>
                <c:pt idx="5">
                  <c:v>374.58199999999999</c:v>
                </c:pt>
                <c:pt idx="6">
                  <c:v>374.58199999999999</c:v>
                </c:pt>
                <c:pt idx="7">
                  <c:v>374.58199999999999</c:v>
                </c:pt>
                <c:pt idx="8">
                  <c:v>374.58199999999999</c:v>
                </c:pt>
                <c:pt idx="9">
                  <c:v>374.58199999999999</c:v>
                </c:pt>
                <c:pt idx="10">
                  <c:v>374.58199999999999</c:v>
                </c:pt>
                <c:pt idx="11">
                  <c:v>374.58199999999999</c:v>
                </c:pt>
                <c:pt idx="12">
                  <c:v>374.58199999999999</c:v>
                </c:pt>
                <c:pt idx="13">
                  <c:v>374.58199999999999</c:v>
                </c:pt>
                <c:pt idx="14">
                  <c:v>374.58199999999999</c:v>
                </c:pt>
                <c:pt idx="15">
                  <c:v>374.58199999999999</c:v>
                </c:pt>
                <c:pt idx="16">
                  <c:v>374.58199999999999</c:v>
                </c:pt>
                <c:pt idx="17">
                  <c:v>374.58199999999999</c:v>
                </c:pt>
              </c:numCache>
            </c:numRef>
          </c:val>
          <c:extLst>
            <c:ext xmlns:c16="http://schemas.microsoft.com/office/drawing/2014/chart" uri="{C3380CC4-5D6E-409C-BE32-E72D297353CC}">
              <c16:uniqueId val="{00000001-7820-4B8F-998B-D6C13B3618E5}"/>
            </c:ext>
          </c:extLst>
        </c:ser>
        <c:ser>
          <c:idx val="2"/>
          <c:order val="2"/>
          <c:tx>
            <c:strRef>
              <c:f>'238'!$S$34</c:f>
              <c:strCache>
                <c:ptCount val="1"/>
                <c:pt idx="0">
                  <c:v>Stg.2 Shroud Fwd#1</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'238'!$S$36:$S$53</c:f>
              <c:numCache>
                <c:formatCode>0.000</c:formatCode>
                <c:ptCount val="18"/>
                <c:pt idx="0">
                  <c:v>374.51556111837976</c:v>
                </c:pt>
                <c:pt idx="1">
                  <c:v>374.51556111837976</c:v>
                </c:pt>
              </c:numCache>
            </c:numRef>
          </c:val>
          <c:extLst>
            <c:ext xmlns:c16="http://schemas.microsoft.com/office/drawing/2014/chart" uri="{C3380CC4-5D6E-409C-BE32-E72D297353CC}">
              <c16:uniqueId val="{00000002-7820-4B8F-998B-D6C13B3618E5}"/>
            </c:ext>
          </c:extLst>
        </c:ser>
        <c:ser>
          <c:idx val="3"/>
          <c:order val="3"/>
          <c:tx>
            <c:strRef>
              <c:f>'238'!$T$34</c:f>
              <c:strCache>
                <c:ptCount val="1"/>
                <c:pt idx="0">
                  <c:v>Stg.2 Shroud Fwd#18</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'238'!$T$36:$T$53</c:f>
              <c:numCache>
                <c:formatCode>0.000</c:formatCode>
                <c:ptCount val="18"/>
                <c:pt idx="1">
                  <c:v>374.52136333941507</c:v>
                </c:pt>
                <c:pt idx="2">
                  <c:v>374.52136333941507</c:v>
                </c:pt>
              </c:numCache>
            </c:numRef>
          </c:val>
          <c:extLst>
            <c:ext xmlns:c16="http://schemas.microsoft.com/office/drawing/2014/chart" uri="{C3380CC4-5D6E-409C-BE32-E72D297353CC}">
              <c16:uniqueId val="{00000003-7820-4B8F-998B-D6C13B3618E5}"/>
            </c:ext>
          </c:extLst>
        </c:ser>
        <c:ser>
          <c:idx val="4"/>
          <c:order val="4"/>
          <c:tx>
            <c:strRef>
              <c:f>'238'!$U$34</c:f>
              <c:strCache>
                <c:ptCount val="1"/>
                <c:pt idx="0">
                  <c:v>Stg.2 Shroud Fwd#17</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'238'!$U$36:$U$53</c:f>
              <c:numCache>
                <c:formatCode>General</c:formatCode>
                <c:ptCount val="18"/>
                <c:pt idx="2" formatCode="0.000">
                  <c:v>374.53330556252865</c:v>
                </c:pt>
                <c:pt idx="3" formatCode="0.000">
                  <c:v>374.53330556252865</c:v>
                </c:pt>
              </c:numCache>
            </c:numRef>
          </c:val>
          <c:extLst>
            <c:ext xmlns:c16="http://schemas.microsoft.com/office/drawing/2014/chart" uri="{C3380CC4-5D6E-409C-BE32-E72D297353CC}">
              <c16:uniqueId val="{00000004-7820-4B8F-998B-D6C13B3618E5}"/>
            </c:ext>
          </c:extLst>
        </c:ser>
        <c:ser>
          <c:idx val="5"/>
          <c:order val="5"/>
          <c:tx>
            <c:strRef>
              <c:f>'238'!$V$34</c:f>
              <c:strCache>
                <c:ptCount val="1"/>
                <c:pt idx="0">
                  <c:v>Stg.2 Shroud Fwd#16</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'238'!$V$36:$V$53</c:f>
              <c:numCache>
                <c:formatCode>General</c:formatCode>
                <c:ptCount val="18"/>
                <c:pt idx="3" formatCode="0.000">
                  <c:v>374.54523667355335</c:v>
                </c:pt>
                <c:pt idx="4" formatCode="0.000">
                  <c:v>374.54523667355335</c:v>
                </c:pt>
              </c:numCache>
            </c:numRef>
          </c:val>
          <c:extLst>
            <c:ext xmlns:c16="http://schemas.microsoft.com/office/drawing/2014/chart" uri="{C3380CC4-5D6E-409C-BE32-E72D297353CC}">
              <c16:uniqueId val="{00000005-7820-4B8F-998B-D6C13B3618E5}"/>
            </c:ext>
          </c:extLst>
        </c:ser>
        <c:ser>
          <c:idx val="6"/>
          <c:order val="6"/>
          <c:tx>
            <c:strRef>
              <c:f>'238'!$W$34</c:f>
              <c:strCache>
                <c:ptCount val="1"/>
                <c:pt idx="0">
                  <c:v>Stg.2 Shroud Fwd#15</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'238'!$W$36:$W$53</c:f>
              <c:numCache>
                <c:formatCode>General</c:formatCode>
                <c:ptCount val="18"/>
                <c:pt idx="4" formatCode="0.000">
                  <c:v>374.56274445645658</c:v>
                </c:pt>
                <c:pt idx="5" formatCode="0.000">
                  <c:v>374.56274445645658</c:v>
                </c:pt>
              </c:numCache>
            </c:numRef>
          </c:val>
          <c:extLst>
            <c:ext xmlns:c16="http://schemas.microsoft.com/office/drawing/2014/chart" uri="{C3380CC4-5D6E-409C-BE32-E72D297353CC}">
              <c16:uniqueId val="{00000006-7820-4B8F-998B-D6C13B3618E5}"/>
            </c:ext>
          </c:extLst>
        </c:ser>
        <c:ser>
          <c:idx val="7"/>
          <c:order val="7"/>
          <c:tx>
            <c:strRef>
              <c:f>'238'!$X$34</c:f>
              <c:strCache>
                <c:ptCount val="1"/>
                <c:pt idx="0">
                  <c:v>Stg.2 Shroud Fwd#14</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'238'!$X$36:$X$53</c:f>
              <c:numCache>
                <c:formatCode>General</c:formatCode>
                <c:ptCount val="18"/>
                <c:pt idx="5" formatCode="0.000">
                  <c:v>374.57244000936169</c:v>
                </c:pt>
                <c:pt idx="6" formatCode="0.000">
                  <c:v>374.57244000936169</c:v>
                </c:pt>
              </c:numCache>
            </c:numRef>
          </c:val>
          <c:extLst>
            <c:ext xmlns:c16="http://schemas.microsoft.com/office/drawing/2014/chart" uri="{C3380CC4-5D6E-409C-BE32-E72D297353CC}">
              <c16:uniqueId val="{00000007-7820-4B8F-998B-D6C13B3618E5}"/>
            </c:ext>
          </c:extLst>
        </c:ser>
        <c:ser>
          <c:idx val="8"/>
          <c:order val="8"/>
          <c:tx>
            <c:strRef>
              <c:f>'238'!$Y$34</c:f>
              <c:strCache>
                <c:ptCount val="1"/>
                <c:pt idx="0">
                  <c:v>Stg.2 Shroud Fwd#13</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'238'!$Y$36:$Y$53</c:f>
              <c:numCache>
                <c:formatCode>General</c:formatCode>
                <c:ptCount val="18"/>
                <c:pt idx="6" formatCode="0.000">
                  <c:v>374.57498000355065</c:v>
                </c:pt>
                <c:pt idx="7" formatCode="0.000">
                  <c:v>374.57498000355065</c:v>
                </c:pt>
              </c:numCache>
            </c:numRef>
          </c:val>
          <c:extLst>
            <c:ext xmlns:c16="http://schemas.microsoft.com/office/drawing/2014/chart" uri="{C3380CC4-5D6E-409C-BE32-E72D297353CC}">
              <c16:uniqueId val="{00000008-7820-4B8F-998B-D6C13B3618E5}"/>
            </c:ext>
          </c:extLst>
        </c:ser>
        <c:ser>
          <c:idx val="9"/>
          <c:order val="9"/>
          <c:tx>
            <c:strRef>
              <c:f>'238'!$Z$34</c:f>
              <c:strCache>
                <c:ptCount val="1"/>
                <c:pt idx="0">
                  <c:v>Stg.2 Shroud Fwd#12</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'238'!$Z$36:$Z$53</c:f>
              <c:numCache>
                <c:formatCode>General</c:formatCode>
                <c:ptCount val="18"/>
                <c:pt idx="7" formatCode="0.000">
                  <c:v>374.55682333630114</c:v>
                </c:pt>
                <c:pt idx="8" formatCode="0.000">
                  <c:v>374.55682333630114</c:v>
                </c:pt>
              </c:numCache>
            </c:numRef>
          </c:val>
          <c:extLst>
            <c:ext xmlns:c16="http://schemas.microsoft.com/office/drawing/2014/chart" uri="{C3380CC4-5D6E-409C-BE32-E72D297353CC}">
              <c16:uniqueId val="{00000009-7820-4B8F-998B-D6C13B3618E5}"/>
            </c:ext>
          </c:extLst>
        </c:ser>
        <c:ser>
          <c:idx val="10"/>
          <c:order val="10"/>
          <c:tx>
            <c:strRef>
              <c:f>'238'!$AA$34</c:f>
              <c:strCache>
                <c:ptCount val="1"/>
                <c:pt idx="0">
                  <c:v>Stg.2 Shroud Fwd#11</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'238'!$AA$36:$AA$53</c:f>
              <c:numCache>
                <c:formatCode>General</c:formatCode>
                <c:ptCount val="18"/>
                <c:pt idx="8" formatCode="0.000">
                  <c:v>374.53105778015106</c:v>
                </c:pt>
                <c:pt idx="9" formatCode="0.000">
                  <c:v>374.53105778015106</c:v>
                </c:pt>
              </c:numCache>
            </c:numRef>
          </c:val>
          <c:extLst>
            <c:ext xmlns:c16="http://schemas.microsoft.com/office/drawing/2014/chart" uri="{C3380CC4-5D6E-409C-BE32-E72D297353CC}">
              <c16:uniqueId val="{0000000A-7820-4B8F-998B-D6C13B3618E5}"/>
            </c:ext>
          </c:extLst>
        </c:ser>
        <c:ser>
          <c:idx val="11"/>
          <c:order val="11"/>
          <c:tx>
            <c:strRef>
              <c:f>'238'!$AB$34</c:f>
              <c:strCache>
                <c:ptCount val="1"/>
                <c:pt idx="0">
                  <c:v>Stg.2 Shroud Fwd#10</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'238'!$AB$36:$AB$53</c:f>
              <c:numCache>
                <c:formatCode>General</c:formatCode>
                <c:ptCount val="18"/>
                <c:pt idx="9" formatCode="0.000">
                  <c:v>374.52290555896582</c:v>
                </c:pt>
                <c:pt idx="10" formatCode="0.000">
                  <c:v>374.52290555896582</c:v>
                </c:pt>
              </c:numCache>
            </c:numRef>
          </c:val>
          <c:extLst>
            <c:ext xmlns:c16="http://schemas.microsoft.com/office/drawing/2014/chart" uri="{C3380CC4-5D6E-409C-BE32-E72D297353CC}">
              <c16:uniqueId val="{0000000B-7820-4B8F-998B-D6C13B3618E5}"/>
            </c:ext>
          </c:extLst>
        </c:ser>
        <c:ser>
          <c:idx val="12"/>
          <c:order val="12"/>
          <c:tx>
            <c:strRef>
              <c:f>'238'!$AC$34</c:f>
              <c:strCache>
                <c:ptCount val="1"/>
                <c:pt idx="0">
                  <c:v>Stg.2 Shroud Fwd#9</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'238'!$AC$36:$AC$53</c:f>
              <c:numCache>
                <c:formatCode>General</c:formatCode>
                <c:ptCount val="18"/>
                <c:pt idx="10" formatCode="0.000">
                  <c:v>374.51950111422622</c:v>
                </c:pt>
                <c:pt idx="11" formatCode="0.000">
                  <c:v>374.51950111422622</c:v>
                </c:pt>
              </c:numCache>
            </c:numRef>
          </c:val>
          <c:extLst>
            <c:ext xmlns:c16="http://schemas.microsoft.com/office/drawing/2014/chart" uri="{C3380CC4-5D6E-409C-BE32-E72D297353CC}">
              <c16:uniqueId val="{0000000C-7820-4B8F-998B-D6C13B3618E5}"/>
            </c:ext>
          </c:extLst>
        </c:ser>
        <c:ser>
          <c:idx val="13"/>
          <c:order val="13"/>
          <c:tx>
            <c:strRef>
              <c:f>'238'!$AD$34</c:f>
              <c:strCache>
                <c:ptCount val="1"/>
                <c:pt idx="0">
                  <c:v>Stg.2 Shroud Fwd#8</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'238'!$AD$36:$AD$53</c:f>
              <c:numCache>
                <c:formatCode>General</c:formatCode>
                <c:ptCount val="18"/>
                <c:pt idx="11" formatCode="0.000">
                  <c:v>374.52840556147697</c:v>
                </c:pt>
                <c:pt idx="12" formatCode="0.000">
                  <c:v>374.52840556147697</c:v>
                </c:pt>
              </c:numCache>
            </c:numRef>
          </c:val>
          <c:extLst>
            <c:ext xmlns:c16="http://schemas.microsoft.com/office/drawing/2014/chart" uri="{C3380CC4-5D6E-409C-BE32-E72D297353CC}">
              <c16:uniqueId val="{0000000D-7820-4B8F-998B-D6C13B3618E5}"/>
            </c:ext>
          </c:extLst>
        </c:ser>
        <c:ser>
          <c:idx val="14"/>
          <c:order val="14"/>
          <c:tx>
            <c:strRef>
              <c:f>'238'!$AE$34</c:f>
              <c:strCache>
                <c:ptCount val="1"/>
                <c:pt idx="0">
                  <c:v>Stg.2 Shroud Fwd#7</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'238'!$AE$36:$AE$53</c:f>
              <c:numCache>
                <c:formatCode>General</c:formatCode>
                <c:ptCount val="18"/>
                <c:pt idx="12" formatCode="0.000">
                  <c:v>374.54788334171832</c:v>
                </c:pt>
                <c:pt idx="13" formatCode="0.000">
                  <c:v>374.54788334171832</c:v>
                </c:pt>
              </c:numCache>
            </c:numRef>
          </c:val>
          <c:extLst>
            <c:ext xmlns:c16="http://schemas.microsoft.com/office/drawing/2014/chart" uri="{C3380CC4-5D6E-409C-BE32-E72D297353CC}">
              <c16:uniqueId val="{0000000E-7820-4B8F-998B-D6C13B3618E5}"/>
            </c:ext>
          </c:extLst>
        </c:ser>
        <c:ser>
          <c:idx val="15"/>
          <c:order val="15"/>
          <c:tx>
            <c:strRef>
              <c:f>'238'!$AF$34</c:f>
              <c:strCache>
                <c:ptCount val="1"/>
                <c:pt idx="0">
                  <c:v>Stg.2 Shroud Fwd#6</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'238'!$AF$36:$AF$53</c:f>
              <c:numCache>
                <c:formatCode>General</c:formatCode>
                <c:ptCount val="18"/>
                <c:pt idx="13" formatCode="0.000">
                  <c:v>374.57018778268434</c:v>
                </c:pt>
                <c:pt idx="14" formatCode="0.000">
                  <c:v>374.57018778268434</c:v>
                </c:pt>
              </c:numCache>
            </c:numRef>
          </c:val>
          <c:extLst>
            <c:ext xmlns:c16="http://schemas.microsoft.com/office/drawing/2014/chart" uri="{C3380CC4-5D6E-409C-BE32-E72D297353CC}">
              <c16:uniqueId val="{0000000F-7820-4B8F-998B-D6C13B3618E5}"/>
            </c:ext>
          </c:extLst>
        </c:ser>
        <c:ser>
          <c:idx val="16"/>
          <c:order val="16"/>
          <c:tx>
            <c:strRef>
              <c:f>'238'!$AG$34</c:f>
              <c:strCache>
                <c:ptCount val="1"/>
                <c:pt idx="0">
                  <c:v>Stg.2 Shroud Fwd#5</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'238'!$AG$36:$AG$53</c:f>
              <c:numCache>
                <c:formatCode>General</c:formatCode>
                <c:ptCount val="18"/>
                <c:pt idx="14" formatCode="0.000">
                  <c:v>374.57973666800149</c:v>
                </c:pt>
                <c:pt idx="15" formatCode="0.000">
                  <c:v>374.57973666800149</c:v>
                </c:pt>
              </c:numCache>
            </c:numRef>
          </c:val>
          <c:extLst>
            <c:ext xmlns:c16="http://schemas.microsoft.com/office/drawing/2014/chart" uri="{C3380CC4-5D6E-409C-BE32-E72D297353CC}">
              <c16:uniqueId val="{00000010-7820-4B8F-998B-D6C13B3618E5}"/>
            </c:ext>
          </c:extLst>
        </c:ser>
        <c:ser>
          <c:idx val="17"/>
          <c:order val="17"/>
          <c:tx>
            <c:strRef>
              <c:f>'238'!$AH$34</c:f>
              <c:strCache>
                <c:ptCount val="1"/>
                <c:pt idx="0">
                  <c:v>Stg.2 Shroud Fwd#4</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'238'!$AH$36:$AH$52</c:f>
              <c:numCache>
                <c:formatCode>General</c:formatCode>
                <c:ptCount val="17"/>
                <c:pt idx="15" formatCode="0.000">
                  <c:v>374.57336000133489</c:v>
                </c:pt>
                <c:pt idx="16" formatCode="0.000">
                  <c:v>374.57336000133489</c:v>
                </c:pt>
              </c:numCache>
            </c:numRef>
          </c:val>
          <c:extLst>
            <c:ext xmlns:c16="http://schemas.microsoft.com/office/drawing/2014/chart" uri="{C3380CC4-5D6E-409C-BE32-E72D297353CC}">
              <c16:uniqueId val="{00000011-7820-4B8F-998B-D6C13B3618E5}"/>
            </c:ext>
          </c:extLst>
        </c:ser>
        <c:ser>
          <c:idx val="18"/>
          <c:order val="18"/>
          <c:tx>
            <c:strRef>
              <c:f>'238'!$AI$34</c:f>
              <c:strCache>
                <c:ptCount val="1"/>
                <c:pt idx="0">
                  <c:v>Stg.2 Shroud Fwd#3</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'238'!$AI$36:$AI$53</c:f>
              <c:numCache>
                <c:formatCode>General</c:formatCode>
                <c:ptCount val="18"/>
                <c:pt idx="16" formatCode="0.000">
                  <c:v>374.54673333466826</c:v>
                </c:pt>
                <c:pt idx="17" formatCode="0.000">
                  <c:v>374.54673333466826</c:v>
                </c:pt>
              </c:numCache>
            </c:numRef>
          </c:val>
          <c:extLst>
            <c:ext xmlns:c16="http://schemas.microsoft.com/office/drawing/2014/chart" uri="{C3380CC4-5D6E-409C-BE32-E72D297353CC}">
              <c16:uniqueId val="{00000012-7820-4B8F-998B-D6C13B3618E5}"/>
            </c:ext>
          </c:extLst>
        </c:ser>
        <c:ser>
          <c:idx val="19"/>
          <c:order val="19"/>
          <c:tx>
            <c:strRef>
              <c:f>'238'!$AJ$34</c:f>
              <c:strCache>
                <c:ptCount val="1"/>
                <c:pt idx="0">
                  <c:v>Stg.2 Shroud Fwd#2</c:v>
                </c:pt>
              </c:strCache>
            </c:strRef>
          </c:tx>
          <c:marker>
            <c:symbol val="none"/>
          </c:marker>
          <c:cat>
            <c:numRef>
              <c:f>'238'!$J$36:$J$53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'238'!$AJ$36:$AJ$53</c:f>
              <c:numCache>
                <c:formatCode>General</c:formatCode>
                <c:ptCount val="18"/>
                <c:pt idx="0" formatCode="0.000">
                  <c:v>374.52078111658784</c:v>
                </c:pt>
                <c:pt idx="17" formatCode="0.000">
                  <c:v>374.52078111658784</c:v>
                </c:pt>
              </c:numCache>
            </c:numRef>
          </c:val>
          <c:extLst>
            <c:ext xmlns:c16="http://schemas.microsoft.com/office/drawing/2014/chart" uri="{C3380CC4-5D6E-409C-BE32-E72D297353CC}">
              <c16:uniqueId val="{00000013-7820-4B8F-998B-D6C13B3618E5}"/>
            </c:ext>
          </c:extLst>
        </c:ser>
        <c:dLbls>
          <c:showLegendKey val="0"/>
          <c:showVal val="0"/>
          <c:showCatName val="0"/>
          <c:showSerName val="0"/>
          <c:showPercent val="0"/>
          <c:showBubbleSize val="0"/>
        </c:dLbls>
        <c:axId val="181314560"/>
        <c:axId val="181411840"/>
      </c:radarChart>
      <c:catAx>
        <c:axId val="1813145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1411840"/>
        <c:crosses val="autoZero"/>
        <c:auto val="1"/>
        <c:lblAlgn val="ctr"/>
        <c:lblOffset val="100"/>
        <c:noMultiLvlLbl val="0"/>
      </c:catAx>
      <c:valAx>
        <c:axId val="18141184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1314560"/>
        <c:crosses val="autoZero"/>
        <c:crossBetween val="between"/>
        <c:majorUnit val="5.000000000000001E-2"/>
      </c:valAx>
    </c:plotArea>
    <c:legend>
      <c:legendPos val="r"/>
      <c:overlay val="0"/>
      <c:txPr>
        <a:bodyPr/>
        <a:lstStyle/>
        <a:p>
          <a:pPr>
            <a:defRPr lang="ja-JP" sz="600"/>
          </a:pPr>
          <a:endParaRPr lang="en-US"/>
        </a:p>
      </c:txPr>
    </c:legend>
    <c:plotVisOnly val="1"/>
    <c:dispBlanksAs val="gap"/>
    <c:showDLblsOverMax val="0"/>
  </c:chart>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'240'!$K$9</c:f>
              <c:strCache>
                <c:ptCount val="1"/>
                <c:pt idx="0">
                  <c:v>CMM</c:v>
                </c:pt>
              </c:strCache>
            </c:strRef>
          </c:tx>
          <c:marker>
            <c:symbol val="none"/>
          </c:marker>
          <c:cat>
            <c:numRef>
              <c:f>'240'!$J$11:$J$26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'240'!$K$11:$K$26</c:f>
              <c:numCache>
                <c:formatCode>General</c:formatCode>
                <c:ptCount val="16"/>
                <c:pt idx="0">
                  <c:v>394.86599999999999</c:v>
                </c:pt>
                <c:pt idx="1">
                  <c:v>394.89100000126621</c:v>
                </c:pt>
                <c:pt idx="2">
                  <c:v>394.9</c:v>
                </c:pt>
                <c:pt idx="3">
                  <c:v>394.91700000506432</c:v>
                </c:pt>
                <c:pt idx="4">
                  <c:v>394.91</c:v>
                </c:pt>
                <c:pt idx="5">
                  <c:v>394.91400000506439</c:v>
                </c:pt>
                <c:pt idx="6">
                  <c:v>394.88500000126618</c:v>
                </c:pt>
                <c:pt idx="7">
                  <c:v>394.88000000126624</c:v>
                </c:pt>
                <c:pt idx="8">
                  <c:v>394.86399999999998</c:v>
                </c:pt>
                <c:pt idx="9">
                  <c:v>394.87400002025964</c:v>
                </c:pt>
                <c:pt idx="10">
                  <c:v>394.89000000506468</c:v>
                </c:pt>
                <c:pt idx="11">
                  <c:v>394.93500001139432</c:v>
                </c:pt>
                <c:pt idx="12">
                  <c:v>394.93</c:v>
                </c:pt>
                <c:pt idx="13">
                  <c:v>394.911</c:v>
                </c:pt>
                <c:pt idx="14">
                  <c:v>394.86799999999999</c:v>
                </c:pt>
                <c:pt idx="15">
                  <c:v>394.85700000126633</c:v>
                </c:pt>
              </c:numCache>
            </c:numRef>
          </c:val>
          <c:extLst>
            <c:ext xmlns:c16="http://schemas.microsoft.com/office/drawing/2014/chart" uri="{C3380CC4-5D6E-409C-BE32-E72D297353CC}">
              <c16:uniqueId val="{00000000-2754-4ED1-80F6-3BF96606BFD0}"/>
            </c:ext>
          </c:extLst>
        </c:ser>
        <c:ser>
          <c:idx val="1"/>
          <c:order val="1"/>
          <c:tx>
            <c:strRef>
              <c:f>'240'!$L$9</c:f>
              <c:strCache>
                <c:ptCount val="1"/>
                <c:pt idx="0">
                  <c:v>Dwg Min</c:v>
                </c:pt>
              </c:strCache>
            </c:strRef>
          </c:tx>
          <c:spPr>
            <a:ln>
              <a:prstDash val="dash"/>
            </a:ln>
          </c:spPr>
          <c:marker>
            <c:symbol val="none"/>
          </c:marker>
          <c:val>
            <c:numRef>
              <c:f>'240'!$L$11:$L$26</c:f>
              <c:numCache>
                <c:formatCode>General</c:formatCode>
                <c:ptCount val="16"/>
                <c:pt idx="0">
                  <c:v>394.81</c:v>
                </c:pt>
                <c:pt idx="1">
                  <c:v>394.81</c:v>
                </c:pt>
                <c:pt idx="2">
                  <c:v>394.81</c:v>
                </c:pt>
                <c:pt idx="3">
                  <c:v>394.81</c:v>
                </c:pt>
                <c:pt idx="4">
                  <c:v>394.81</c:v>
                </c:pt>
                <c:pt idx="5">
                  <c:v>394.81</c:v>
                </c:pt>
                <c:pt idx="6">
                  <c:v>394.81</c:v>
                </c:pt>
                <c:pt idx="7">
                  <c:v>394.81</c:v>
                </c:pt>
                <c:pt idx="8">
                  <c:v>394.81</c:v>
                </c:pt>
                <c:pt idx="9">
                  <c:v>394.81</c:v>
                </c:pt>
                <c:pt idx="10">
                  <c:v>394.81</c:v>
                </c:pt>
                <c:pt idx="11">
                  <c:v>394.81</c:v>
                </c:pt>
                <c:pt idx="12">
                  <c:v>394.81</c:v>
                </c:pt>
                <c:pt idx="13">
                  <c:v>394.81</c:v>
                </c:pt>
                <c:pt idx="14">
                  <c:v>394.81</c:v>
                </c:pt>
                <c:pt idx="15">
                  <c:v>394.81</c:v>
                </c:pt>
              </c:numCache>
            </c:numRef>
          </c:val>
          <c:extLst>
            <c:ext xmlns:c16="http://schemas.microsoft.com/office/drawing/2014/chart" uri="{C3380CC4-5D6E-409C-BE32-E72D297353CC}">
              <c16:uniqueId val="{00000001-2754-4ED1-80F6-3BF96606BFD0}"/>
            </c:ext>
          </c:extLst>
        </c:ser>
        <c:ser>
          <c:idx val="2"/>
          <c:order val="2"/>
          <c:tx>
            <c:strRef>
              <c:f>'240'!$M$9</c:f>
              <c:strCache>
                <c:ptCount val="1"/>
                <c:pt idx="0">
                  <c:v>Dwg Max</c:v>
                </c:pt>
              </c:strCache>
            </c:strRef>
          </c:tx>
          <c:spPr>
            <a:ln>
              <a:prstDash val="dash"/>
            </a:ln>
          </c:spPr>
          <c:marker>
            <c:symbol val="none"/>
          </c:marker>
          <c:val>
            <c:numRef>
              <c:f>'240'!$M$11:$M$26</c:f>
              <c:numCache>
                <c:formatCode>General</c:formatCode>
                <c:ptCount val="16"/>
                <c:pt idx="0">
                  <c:v>394.98999999999995</c:v>
                </c:pt>
                <c:pt idx="1">
                  <c:v>394.98999999999995</c:v>
                </c:pt>
                <c:pt idx="2">
                  <c:v>394.98999999999995</c:v>
                </c:pt>
                <c:pt idx="3">
                  <c:v>394.98999999999995</c:v>
                </c:pt>
                <c:pt idx="4">
                  <c:v>394.98999999999995</c:v>
                </c:pt>
                <c:pt idx="5">
                  <c:v>394.98999999999995</c:v>
                </c:pt>
                <c:pt idx="6">
                  <c:v>394.98999999999995</c:v>
                </c:pt>
                <c:pt idx="7">
                  <c:v>394.98999999999995</c:v>
                </c:pt>
                <c:pt idx="8">
                  <c:v>394.98999999999995</c:v>
                </c:pt>
                <c:pt idx="9">
                  <c:v>394.98999999999995</c:v>
                </c:pt>
                <c:pt idx="10">
                  <c:v>394.98999999999995</c:v>
                </c:pt>
                <c:pt idx="11">
                  <c:v>394.98999999999995</c:v>
                </c:pt>
                <c:pt idx="12">
                  <c:v>394.98999999999995</c:v>
                </c:pt>
                <c:pt idx="13">
                  <c:v>394.98999999999995</c:v>
                </c:pt>
                <c:pt idx="14">
                  <c:v>394.98999999999995</c:v>
                </c:pt>
                <c:pt idx="15">
                  <c:v>394.98999999999995</c:v>
                </c:pt>
              </c:numCache>
            </c:numRef>
          </c:val>
          <c:extLst>
            <c:ext xmlns:c16="http://schemas.microsoft.com/office/drawing/2014/chart" uri="{C3380CC4-5D6E-409C-BE32-E72D297353CC}">
              <c16:uniqueId val="{00000002-2754-4ED1-80F6-3BF96606BFD0}"/>
            </c:ext>
          </c:extLst>
        </c:ser>
        <c:dLbls>
          <c:showLegendKey val="0"/>
          <c:showVal val="0"/>
          <c:showCatName val="0"/>
          <c:showSerName val="0"/>
          <c:showPercent val="0"/>
          <c:showBubbleSize val="0"/>
        </c:dLbls>
        <c:axId val="181317120"/>
        <c:axId val="181415296"/>
      </c:radarChart>
      <c:catAx>
        <c:axId val="18131712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1415296"/>
        <c:crosses val="autoZero"/>
        <c:auto val="1"/>
        <c:lblAlgn val="ctr"/>
        <c:lblOffset val="100"/>
        <c:noMultiLvlLbl val="0"/>
      </c:catAx>
      <c:valAx>
        <c:axId val="18141529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1317120"/>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'240'!$AK$34</c:f>
              <c:strCache>
                <c:ptCount val="1"/>
                <c:pt idx="0">
                  <c:v>LPT Case Hook R Min</c:v>
                </c:pt>
              </c:strCache>
            </c:strRef>
          </c:tx>
          <c:spPr>
            <a:ln w="28575">
              <a:prstDash val="dash"/>
            </a:ln>
          </c:spPr>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'240'!$AK$36:$AK$53</c:f>
              <c:numCache>
                <c:formatCode>General</c:formatCode>
                <c:ptCount val="18"/>
                <c:pt idx="0">
                  <c:v>394.86799999999999</c:v>
                </c:pt>
                <c:pt idx="1">
                  <c:v>394.86799999999999</c:v>
                </c:pt>
                <c:pt idx="2">
                  <c:v>394.86799999999999</c:v>
                </c:pt>
                <c:pt idx="3">
                  <c:v>394.86799999999999</c:v>
                </c:pt>
                <c:pt idx="4">
                  <c:v>394.86799999999999</c:v>
                </c:pt>
                <c:pt idx="5">
                  <c:v>394.86799999999999</c:v>
                </c:pt>
                <c:pt idx="6">
                  <c:v>394.86799999999999</c:v>
                </c:pt>
                <c:pt idx="7">
                  <c:v>394.86799999999999</c:v>
                </c:pt>
                <c:pt idx="8">
                  <c:v>394.86799999999999</c:v>
                </c:pt>
                <c:pt idx="9">
                  <c:v>394.86799999999999</c:v>
                </c:pt>
                <c:pt idx="10">
                  <c:v>394.86799999999999</c:v>
                </c:pt>
                <c:pt idx="11">
                  <c:v>394.86799999999999</c:v>
                </c:pt>
                <c:pt idx="12">
                  <c:v>394.86799999999999</c:v>
                </c:pt>
                <c:pt idx="13">
                  <c:v>394.86799999999999</c:v>
                </c:pt>
                <c:pt idx="14">
                  <c:v>394.86799999999999</c:v>
                </c:pt>
                <c:pt idx="15">
                  <c:v>394.86799999999999</c:v>
                </c:pt>
                <c:pt idx="16">
                  <c:v>394.86799999999999</c:v>
                </c:pt>
                <c:pt idx="17">
                  <c:v>394.86799999999999</c:v>
                </c:pt>
              </c:numCache>
            </c:numRef>
          </c:val>
          <c:extLst>
            <c:ext xmlns:c16="http://schemas.microsoft.com/office/drawing/2014/chart" uri="{C3380CC4-5D6E-409C-BE32-E72D297353CC}">
              <c16:uniqueId val="{00000000-4072-406C-AD5C-F7810CB4E2B4}"/>
            </c:ext>
          </c:extLst>
        </c:ser>
        <c:ser>
          <c:idx val="1"/>
          <c:order val="1"/>
          <c:tx>
            <c:strRef>
              <c:f>'240'!$AL$34</c:f>
              <c:strCache>
                <c:ptCount val="1"/>
                <c:pt idx="0">
                  <c:v>LPT Case Hook R Max</c:v>
                </c:pt>
              </c:strCache>
            </c:strRef>
          </c:tx>
          <c:spPr>
            <a:ln w="28575">
              <a:prstDash val="dash"/>
            </a:ln>
          </c:spPr>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'240'!$AL$36:$AL$53</c:f>
              <c:numCache>
                <c:formatCode>General</c:formatCode>
                <c:ptCount val="18"/>
                <c:pt idx="0">
                  <c:v>394.93199999999996</c:v>
                </c:pt>
                <c:pt idx="1">
                  <c:v>394.93199999999996</c:v>
                </c:pt>
                <c:pt idx="2">
                  <c:v>394.93199999999996</c:v>
                </c:pt>
                <c:pt idx="3">
                  <c:v>394.93199999999996</c:v>
                </c:pt>
                <c:pt idx="4">
                  <c:v>394.93199999999996</c:v>
                </c:pt>
                <c:pt idx="5">
                  <c:v>394.93199999999996</c:v>
                </c:pt>
                <c:pt idx="6">
                  <c:v>394.93199999999996</c:v>
                </c:pt>
                <c:pt idx="7">
                  <c:v>394.93199999999996</c:v>
                </c:pt>
                <c:pt idx="8">
                  <c:v>394.93199999999996</c:v>
                </c:pt>
                <c:pt idx="9">
                  <c:v>394.93199999999996</c:v>
                </c:pt>
                <c:pt idx="10">
                  <c:v>394.93199999999996</c:v>
                </c:pt>
                <c:pt idx="11">
                  <c:v>394.93199999999996</c:v>
                </c:pt>
                <c:pt idx="12">
                  <c:v>394.93199999999996</c:v>
                </c:pt>
                <c:pt idx="13">
                  <c:v>394.93199999999996</c:v>
                </c:pt>
                <c:pt idx="14">
                  <c:v>394.93199999999996</c:v>
                </c:pt>
                <c:pt idx="15">
                  <c:v>394.93199999999996</c:v>
                </c:pt>
                <c:pt idx="16">
                  <c:v>394.93199999999996</c:v>
                </c:pt>
                <c:pt idx="17">
                  <c:v>394.93199999999996</c:v>
                </c:pt>
              </c:numCache>
            </c:numRef>
          </c:val>
          <c:extLst>
            <c:ext xmlns:c16="http://schemas.microsoft.com/office/drawing/2014/chart" uri="{C3380CC4-5D6E-409C-BE32-E72D297353CC}">
              <c16:uniqueId val="{00000001-4072-406C-AD5C-F7810CB4E2B4}"/>
            </c:ext>
          </c:extLst>
        </c:ser>
        <c:ser>
          <c:idx val="2"/>
          <c:order val="2"/>
          <c:tx>
            <c:strRef>
              <c:f>'240'!$S$34</c:f>
              <c:strCache>
                <c:ptCount val="1"/>
                <c:pt idx="0">
                  <c:v>Stg.2 Shroud Aft#1</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'240'!$S$36:$S$53</c:f>
              <c:numCache>
                <c:formatCode>0.000</c:formatCode>
                <c:ptCount val="18"/>
                <c:pt idx="0">
                  <c:v>394.86122444514797</c:v>
                </c:pt>
                <c:pt idx="1">
                  <c:v>394.86122444514797</c:v>
                </c:pt>
              </c:numCache>
            </c:numRef>
          </c:val>
          <c:extLst>
            <c:ext xmlns:c16="http://schemas.microsoft.com/office/drawing/2014/chart" uri="{C3380CC4-5D6E-409C-BE32-E72D297353CC}">
              <c16:uniqueId val="{00000002-4072-406C-AD5C-F7810CB4E2B4}"/>
            </c:ext>
          </c:extLst>
        </c:ser>
        <c:ser>
          <c:idx val="3"/>
          <c:order val="3"/>
          <c:tx>
            <c:strRef>
              <c:f>'240'!$T$34</c:f>
              <c:strCache>
                <c:ptCount val="1"/>
                <c:pt idx="0">
                  <c:v>Stg.2 Shroud Aft#18</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'240'!$T$36:$T$53</c:f>
              <c:numCache>
                <c:formatCode>0.000</c:formatCode>
                <c:ptCount val="18"/>
                <c:pt idx="1">
                  <c:v>394.87140666722939</c:v>
                </c:pt>
                <c:pt idx="2">
                  <c:v>394.87140666722939</c:v>
                </c:pt>
              </c:numCache>
            </c:numRef>
          </c:val>
          <c:extLst>
            <c:ext xmlns:c16="http://schemas.microsoft.com/office/drawing/2014/chart" uri="{C3380CC4-5D6E-409C-BE32-E72D297353CC}">
              <c16:uniqueId val="{00000003-4072-406C-AD5C-F7810CB4E2B4}"/>
            </c:ext>
          </c:extLst>
        </c:ser>
        <c:ser>
          <c:idx val="4"/>
          <c:order val="4"/>
          <c:tx>
            <c:strRef>
              <c:f>'240'!$U$34</c:f>
              <c:strCache>
                <c:ptCount val="1"/>
                <c:pt idx="0">
                  <c:v>Stg.2 Shroud Aft#17</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'240'!$U$36:$U$53</c:f>
              <c:numCache>
                <c:formatCode>General</c:formatCode>
                <c:ptCount val="18"/>
                <c:pt idx="2" formatCode="0.000">
                  <c:v>394.8874066673701</c:v>
                </c:pt>
                <c:pt idx="3" formatCode="0.000">
                  <c:v>394.8874066673701</c:v>
                </c:pt>
              </c:numCache>
            </c:numRef>
          </c:val>
          <c:extLst>
            <c:ext xmlns:c16="http://schemas.microsoft.com/office/drawing/2014/chart" uri="{C3380CC4-5D6E-409C-BE32-E72D297353CC}">
              <c16:uniqueId val="{00000004-4072-406C-AD5C-F7810CB4E2B4}"/>
            </c:ext>
          </c:extLst>
        </c:ser>
        <c:ser>
          <c:idx val="5"/>
          <c:order val="5"/>
          <c:tx>
            <c:strRef>
              <c:f>'240'!$V$34</c:f>
              <c:strCache>
                <c:ptCount val="1"/>
                <c:pt idx="0">
                  <c:v>Stg.2 Shroud Aft#16</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'240'!$V$36:$V$53</c:f>
              <c:numCache>
                <c:formatCode>General</c:formatCode>
                <c:ptCount val="18"/>
                <c:pt idx="3" formatCode="0.000">
                  <c:v>394.90030444563598</c:v>
                </c:pt>
                <c:pt idx="4" formatCode="0.000">
                  <c:v>394.90030444563598</c:v>
                </c:pt>
              </c:numCache>
            </c:numRef>
          </c:val>
          <c:extLst>
            <c:ext xmlns:c16="http://schemas.microsoft.com/office/drawing/2014/chart" uri="{C3380CC4-5D6E-409C-BE32-E72D297353CC}">
              <c16:uniqueId val="{00000005-4072-406C-AD5C-F7810CB4E2B4}"/>
            </c:ext>
          </c:extLst>
        </c:ser>
        <c:ser>
          <c:idx val="6"/>
          <c:order val="6"/>
          <c:tx>
            <c:strRef>
              <c:f>'240'!$W$34</c:f>
              <c:strCache>
                <c:ptCount val="1"/>
                <c:pt idx="0">
                  <c:v>Stg.2 Shroud Aft#15</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'240'!$W$36:$W$53</c:f>
              <c:numCache>
                <c:formatCode>General</c:formatCode>
                <c:ptCount val="18"/>
                <c:pt idx="4" formatCode="0.000">
                  <c:v>394.91054444725796</c:v>
                </c:pt>
                <c:pt idx="5" formatCode="0.000">
                  <c:v>394.91054444725796</c:v>
                </c:pt>
              </c:numCache>
            </c:numRef>
          </c:val>
          <c:extLst>
            <c:ext xmlns:c16="http://schemas.microsoft.com/office/drawing/2014/chart" uri="{C3380CC4-5D6E-409C-BE32-E72D297353CC}">
              <c16:uniqueId val="{00000006-4072-406C-AD5C-F7810CB4E2B4}"/>
            </c:ext>
          </c:extLst>
        </c:ser>
        <c:ser>
          <c:idx val="7"/>
          <c:order val="7"/>
          <c:tx>
            <c:strRef>
              <c:f>'240'!$X$34</c:f>
              <c:strCache>
                <c:ptCount val="1"/>
                <c:pt idx="0">
                  <c:v>Stg.2 Shroud Aft#14</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'240'!$X$36:$X$53</c:f>
              <c:numCache>
                <c:formatCode>General</c:formatCode>
                <c:ptCount val="18"/>
                <c:pt idx="5" formatCode="0.000">
                  <c:v>394.91294778002862</c:v>
                </c:pt>
                <c:pt idx="6" formatCode="0.000">
                  <c:v>394.91294778002862</c:v>
                </c:pt>
              </c:numCache>
            </c:numRef>
          </c:val>
          <c:extLst>
            <c:ext xmlns:c16="http://schemas.microsoft.com/office/drawing/2014/chart" uri="{C3380CC4-5D6E-409C-BE32-E72D297353CC}">
              <c16:uniqueId val="{00000007-4072-406C-AD5C-F7810CB4E2B4}"/>
            </c:ext>
          </c:extLst>
        </c:ser>
        <c:ser>
          <c:idx val="8"/>
          <c:order val="8"/>
          <c:tx>
            <c:strRef>
              <c:f>'240'!$Y$34</c:f>
              <c:strCache>
                <c:ptCount val="1"/>
                <c:pt idx="0">
                  <c:v>Stg.2 Shroud Aft#13</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'240'!$Y$36:$Y$53</c:f>
              <c:numCache>
                <c:formatCode>General</c:formatCode>
                <c:ptCount val="18"/>
                <c:pt idx="6" formatCode="0.000">
                  <c:v>394.91221333613566</c:v>
                </c:pt>
                <c:pt idx="7" formatCode="0.000">
                  <c:v>394.91221333613566</c:v>
                </c:pt>
              </c:numCache>
            </c:numRef>
          </c:val>
          <c:extLst>
            <c:ext xmlns:c16="http://schemas.microsoft.com/office/drawing/2014/chart" uri="{C3380CC4-5D6E-409C-BE32-E72D297353CC}">
              <c16:uniqueId val="{00000008-4072-406C-AD5C-F7810CB4E2B4}"/>
            </c:ext>
          </c:extLst>
        </c:ser>
        <c:ser>
          <c:idx val="9"/>
          <c:order val="9"/>
          <c:tx>
            <c:strRef>
              <c:f>'240'!$Z$34</c:f>
              <c:strCache>
                <c:ptCount val="1"/>
                <c:pt idx="0">
                  <c:v>Stg.2 Shroud Aft#12</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'240'!$Z$36:$Z$53</c:f>
              <c:numCache>
                <c:formatCode>General</c:formatCode>
                <c:ptCount val="18"/>
                <c:pt idx="7" formatCode="0.000">
                  <c:v>394.90113889226382</c:v>
                </c:pt>
                <c:pt idx="8" formatCode="0.000">
                  <c:v>394.90113889226382</c:v>
                </c:pt>
              </c:numCache>
            </c:numRef>
          </c:val>
          <c:extLst>
            <c:ext xmlns:c16="http://schemas.microsoft.com/office/drawing/2014/chart" uri="{C3380CC4-5D6E-409C-BE32-E72D297353CC}">
              <c16:uniqueId val="{00000009-4072-406C-AD5C-F7810CB4E2B4}"/>
            </c:ext>
          </c:extLst>
        </c:ser>
        <c:ser>
          <c:idx val="10"/>
          <c:order val="10"/>
          <c:tx>
            <c:strRef>
              <c:f>'240'!$AA$34</c:f>
              <c:strCache>
                <c:ptCount val="1"/>
                <c:pt idx="0">
                  <c:v>Stg.2 Shroud Aft#11</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'240'!$AA$36:$AA$53</c:f>
              <c:numCache>
                <c:formatCode>General</c:formatCode>
                <c:ptCount val="18"/>
                <c:pt idx="8" formatCode="0.000">
                  <c:v>394.88470444592588</c:v>
                </c:pt>
                <c:pt idx="9" formatCode="0.000">
                  <c:v>394.88470444592588</c:v>
                </c:pt>
              </c:numCache>
            </c:numRef>
          </c:val>
          <c:extLst>
            <c:ext xmlns:c16="http://schemas.microsoft.com/office/drawing/2014/chart" uri="{C3380CC4-5D6E-409C-BE32-E72D297353CC}">
              <c16:uniqueId val="{0000000A-4072-406C-AD5C-F7810CB4E2B4}"/>
            </c:ext>
          </c:extLst>
        </c:ser>
        <c:ser>
          <c:idx val="11"/>
          <c:order val="11"/>
          <c:tx>
            <c:strRef>
              <c:f>'240'!$AB$34</c:f>
              <c:strCache>
                <c:ptCount val="1"/>
                <c:pt idx="0">
                  <c:v>Stg.2 Shroud Aft#10</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'240'!$AB$36:$AB$53</c:f>
              <c:numCache>
                <c:formatCode>General</c:formatCode>
                <c:ptCount val="18"/>
                <c:pt idx="9" formatCode="0.000">
                  <c:v>394.87524555640107</c:v>
                </c:pt>
                <c:pt idx="10" formatCode="0.000">
                  <c:v>394.87524555640107</c:v>
                </c:pt>
              </c:numCache>
            </c:numRef>
          </c:val>
          <c:extLst>
            <c:ext xmlns:c16="http://schemas.microsoft.com/office/drawing/2014/chart" uri="{C3380CC4-5D6E-409C-BE32-E72D297353CC}">
              <c16:uniqueId val="{0000000B-4072-406C-AD5C-F7810CB4E2B4}"/>
            </c:ext>
          </c:extLst>
        </c:ser>
        <c:ser>
          <c:idx val="12"/>
          <c:order val="12"/>
          <c:tx>
            <c:strRef>
              <c:f>'240'!$AC$34</c:f>
              <c:strCache>
                <c:ptCount val="1"/>
                <c:pt idx="0">
                  <c:v>Stg.2 Shroud Aft#9</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'240'!$AC$36:$AC$53</c:f>
              <c:numCache>
                <c:formatCode>General</c:formatCode>
                <c:ptCount val="18"/>
                <c:pt idx="10" formatCode="0.000">
                  <c:v>394.8694511169287</c:v>
                </c:pt>
                <c:pt idx="11" formatCode="0.000">
                  <c:v>394.8694511169287</c:v>
                </c:pt>
              </c:numCache>
            </c:numRef>
          </c:val>
          <c:extLst>
            <c:ext xmlns:c16="http://schemas.microsoft.com/office/drawing/2014/chart" uri="{C3380CC4-5D6E-409C-BE32-E72D297353CC}">
              <c16:uniqueId val="{0000000C-4072-406C-AD5C-F7810CB4E2B4}"/>
            </c:ext>
          </c:extLst>
        </c:ser>
        <c:ser>
          <c:idx val="13"/>
          <c:order val="13"/>
          <c:tx>
            <c:strRef>
              <c:f>'240'!$AD$34</c:f>
              <c:strCache>
                <c:ptCount val="1"/>
                <c:pt idx="0">
                  <c:v>Stg.2 Shroud Aft#8</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'240'!$AD$36:$AD$53</c:f>
              <c:numCache>
                <c:formatCode>General</c:formatCode>
                <c:ptCount val="18"/>
                <c:pt idx="11" formatCode="0.000">
                  <c:v>394.87530445681966</c:v>
                </c:pt>
                <c:pt idx="12" formatCode="0.000">
                  <c:v>394.87530445681966</c:v>
                </c:pt>
              </c:numCache>
            </c:numRef>
          </c:val>
          <c:extLst>
            <c:ext xmlns:c16="http://schemas.microsoft.com/office/drawing/2014/chart" uri="{C3380CC4-5D6E-409C-BE32-E72D297353CC}">
              <c16:uniqueId val="{0000000D-4072-406C-AD5C-F7810CB4E2B4}"/>
            </c:ext>
          </c:extLst>
        </c:ser>
        <c:ser>
          <c:idx val="14"/>
          <c:order val="14"/>
          <c:tx>
            <c:strRef>
              <c:f>'240'!$AE$34</c:f>
              <c:strCache>
                <c:ptCount val="1"/>
                <c:pt idx="0">
                  <c:v>Stg.2 Shroud Aft#7</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'240'!$AE$36:$AE$53</c:f>
              <c:numCache>
                <c:formatCode>General</c:formatCode>
                <c:ptCount val="18"/>
                <c:pt idx="12" formatCode="0.000">
                  <c:v>394.89298778812804</c:v>
                </c:pt>
                <c:pt idx="13" formatCode="0.000">
                  <c:v>394.89298778812804</c:v>
                </c:pt>
              </c:numCache>
            </c:numRef>
          </c:val>
          <c:extLst>
            <c:ext xmlns:c16="http://schemas.microsoft.com/office/drawing/2014/chart" uri="{C3380CC4-5D6E-409C-BE32-E72D297353CC}">
              <c16:uniqueId val="{0000000E-4072-406C-AD5C-F7810CB4E2B4}"/>
            </c:ext>
          </c:extLst>
        </c:ser>
        <c:ser>
          <c:idx val="15"/>
          <c:order val="15"/>
          <c:tx>
            <c:strRef>
              <c:f>'240'!$AF$34</c:f>
              <c:strCache>
                <c:ptCount val="1"/>
                <c:pt idx="0">
                  <c:v>Stg.2 Shroud Aft#6</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'240'!$AF$36:$AF$53</c:f>
              <c:numCache>
                <c:formatCode>General</c:formatCode>
                <c:ptCount val="18"/>
                <c:pt idx="13" formatCode="0.000">
                  <c:v>394.91940000802401</c:v>
                </c:pt>
                <c:pt idx="14" formatCode="0.000">
                  <c:v>394.91940000802401</c:v>
                </c:pt>
              </c:numCache>
            </c:numRef>
          </c:val>
          <c:extLst>
            <c:ext xmlns:c16="http://schemas.microsoft.com/office/drawing/2014/chart" uri="{C3380CC4-5D6E-409C-BE32-E72D297353CC}">
              <c16:uniqueId val="{0000000F-4072-406C-AD5C-F7810CB4E2B4}"/>
            </c:ext>
          </c:extLst>
        </c:ser>
        <c:ser>
          <c:idx val="16"/>
          <c:order val="16"/>
          <c:tx>
            <c:strRef>
              <c:f>'240'!$AG$34</c:f>
              <c:strCache>
                <c:ptCount val="1"/>
                <c:pt idx="0">
                  <c:v>Stg.2 Shroud Aft#5</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'240'!$AG$36:$AG$53</c:f>
              <c:numCache>
                <c:formatCode>General</c:formatCode>
                <c:ptCount val="18"/>
                <c:pt idx="14" formatCode="0.000">
                  <c:v>394.93091555999933</c:v>
                </c:pt>
                <c:pt idx="15" formatCode="0.000">
                  <c:v>394.93091555999933</c:v>
                </c:pt>
              </c:numCache>
            </c:numRef>
          </c:val>
          <c:extLst>
            <c:ext xmlns:c16="http://schemas.microsoft.com/office/drawing/2014/chart" uri="{C3380CC4-5D6E-409C-BE32-E72D297353CC}">
              <c16:uniqueId val="{00000010-4072-406C-AD5C-F7810CB4E2B4}"/>
            </c:ext>
          </c:extLst>
        </c:ser>
        <c:ser>
          <c:idx val="17"/>
          <c:order val="17"/>
          <c:tx>
            <c:strRef>
              <c:f>'240'!$AH$34</c:f>
              <c:strCache>
                <c:ptCount val="1"/>
                <c:pt idx="0">
                  <c:v>Stg.2 Shroud Aft#4</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'240'!$AH$36:$AH$52</c:f>
              <c:numCache>
                <c:formatCode>General</c:formatCode>
                <c:ptCount val="17"/>
                <c:pt idx="15" formatCode="0.000">
                  <c:v>394.91948666666667</c:v>
                </c:pt>
                <c:pt idx="16" formatCode="0.000">
                  <c:v>394.91948666666667</c:v>
                </c:pt>
              </c:numCache>
            </c:numRef>
          </c:val>
          <c:extLst>
            <c:ext xmlns:c16="http://schemas.microsoft.com/office/drawing/2014/chart" uri="{C3380CC4-5D6E-409C-BE32-E72D297353CC}">
              <c16:uniqueId val="{00000011-4072-406C-AD5C-F7810CB4E2B4}"/>
            </c:ext>
          </c:extLst>
        </c:ser>
        <c:ser>
          <c:idx val="18"/>
          <c:order val="18"/>
          <c:tx>
            <c:strRef>
              <c:f>'240'!$AI$34</c:f>
              <c:strCache>
                <c:ptCount val="1"/>
                <c:pt idx="0">
                  <c:v>Stg.2 Shroud Aft#3</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'240'!$AI$36:$AI$53</c:f>
              <c:numCache>
                <c:formatCode>General</c:formatCode>
                <c:ptCount val="18"/>
                <c:pt idx="16" formatCode="0.000">
                  <c:v>394.89195777777775</c:v>
                </c:pt>
                <c:pt idx="17" formatCode="0.000">
                  <c:v>394.89195777777775</c:v>
                </c:pt>
              </c:numCache>
            </c:numRef>
          </c:val>
          <c:extLst>
            <c:ext xmlns:c16="http://schemas.microsoft.com/office/drawing/2014/chart" uri="{C3380CC4-5D6E-409C-BE32-E72D297353CC}">
              <c16:uniqueId val="{00000012-4072-406C-AD5C-F7810CB4E2B4}"/>
            </c:ext>
          </c:extLst>
        </c:ser>
        <c:ser>
          <c:idx val="19"/>
          <c:order val="19"/>
          <c:tx>
            <c:strRef>
              <c:f>'240'!$AJ$34</c:f>
              <c:strCache>
                <c:ptCount val="1"/>
                <c:pt idx="0">
                  <c:v>Stg.2 Shroud Aft#2</c:v>
                </c:pt>
              </c:strCache>
            </c:strRef>
          </c:tx>
          <c:marker>
            <c:symbol val="none"/>
          </c:marker>
          <c:cat>
            <c:numRef>
              <c:f>'240'!$J$36:$J$53</c:f>
              <c:numCache>
                <c:formatCode>General</c:formatCode>
                <c:ptCount val="18"/>
                <c:pt idx="0">
                  <c:v>1</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numCache>
            </c:numRef>
          </c:cat>
          <c:val>
            <c:numRef>
              <c:f>'240'!$AJ$36:$AJ$53</c:f>
              <c:numCache>
                <c:formatCode>General</c:formatCode>
                <c:ptCount val="18"/>
                <c:pt idx="0" formatCode="0.000">
                  <c:v>394.86617111160217</c:v>
                </c:pt>
                <c:pt idx="17" formatCode="0.000">
                  <c:v>394.86617111160217</c:v>
                </c:pt>
              </c:numCache>
            </c:numRef>
          </c:val>
          <c:extLst>
            <c:ext xmlns:c16="http://schemas.microsoft.com/office/drawing/2014/chart" uri="{C3380CC4-5D6E-409C-BE32-E72D297353CC}">
              <c16:uniqueId val="{00000013-4072-406C-AD5C-F7810CB4E2B4}"/>
            </c:ext>
          </c:extLst>
        </c:ser>
        <c:dLbls>
          <c:showLegendKey val="0"/>
          <c:showVal val="0"/>
          <c:showCatName val="0"/>
          <c:showSerName val="0"/>
          <c:showPercent val="0"/>
          <c:showBubbleSize val="0"/>
        </c:dLbls>
        <c:axId val="181543936"/>
        <c:axId val="181417600"/>
      </c:radarChart>
      <c:catAx>
        <c:axId val="18154393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1417600"/>
        <c:crosses val="autoZero"/>
        <c:auto val="1"/>
        <c:lblAlgn val="ctr"/>
        <c:lblOffset val="100"/>
        <c:noMultiLvlLbl val="0"/>
      </c:catAx>
      <c:valAx>
        <c:axId val="18141760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1543936"/>
        <c:crosses val="autoZero"/>
        <c:crossBetween val="between"/>
        <c:majorUnit val="5.000000000000001E-2"/>
      </c:valAx>
    </c:plotArea>
    <c:legend>
      <c:legendPos val="r"/>
      <c:overlay val="0"/>
      <c:txPr>
        <a:bodyPr/>
        <a:lstStyle/>
        <a:p>
          <a:pPr>
            <a:defRPr lang="ja-JP" sz="600"/>
          </a:pPr>
          <a:endParaRPr lang="en-US"/>
        </a:p>
      </c:txPr>
    </c:legend>
    <c:plotVisOnly val="1"/>
    <c:dispBlanksAs val="gap"/>
    <c:showDLblsOverMax val="0"/>
  </c:chart>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'242'!$K$9</c:f>
              <c:strCache>
                <c:ptCount val="1"/>
                <c:pt idx="0">
                  <c:v>CMM - Rear</c:v>
                </c:pt>
              </c:strCache>
            </c:strRef>
          </c:tx>
          <c:marker>
            <c:symbol val="none"/>
          </c:marker>
          <c:cat>
            <c:numRef>
              <c:f>'242'!$J$11:$J$26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'242'!$K$11:$K$26</c:f>
              <c:numCache>
                <c:formatCode>General</c:formatCode>
                <c:ptCount val="16"/>
                <c:pt idx="0">
                  <c:v>405.48900000123308</c:v>
                </c:pt>
                <c:pt idx="1">
                  <c:v>405.51700001109697</c:v>
                </c:pt>
                <c:pt idx="2">
                  <c:v>405.52699999999999</c:v>
                </c:pt>
                <c:pt idx="3">
                  <c:v>405.53000004438633</c:v>
                </c:pt>
                <c:pt idx="4">
                  <c:v>405.52700000123298</c:v>
                </c:pt>
                <c:pt idx="5">
                  <c:v>405.52700000493184</c:v>
                </c:pt>
                <c:pt idx="6">
                  <c:v>405.51000000123304</c:v>
                </c:pt>
                <c:pt idx="7">
                  <c:v>405.50100000493217</c:v>
                </c:pt>
                <c:pt idx="8">
                  <c:v>405.47800000123311</c:v>
                </c:pt>
                <c:pt idx="9">
                  <c:v>405.4860000308272</c:v>
                </c:pt>
                <c:pt idx="10">
                  <c:v>405.5110000049321</c:v>
                </c:pt>
                <c:pt idx="11">
                  <c:v>405.55700000000002</c:v>
                </c:pt>
                <c:pt idx="12">
                  <c:v>405.55800000123287</c:v>
                </c:pt>
                <c:pt idx="13">
                  <c:v>405.52800001109665</c:v>
                </c:pt>
                <c:pt idx="14">
                  <c:v>405.47900000493246</c:v>
                </c:pt>
                <c:pt idx="15">
                  <c:v>405.47300001109818</c:v>
                </c:pt>
              </c:numCache>
            </c:numRef>
          </c:val>
          <c:extLst>
            <c:ext xmlns:c16="http://schemas.microsoft.com/office/drawing/2014/chart" uri="{C3380CC4-5D6E-409C-BE32-E72D297353CC}">
              <c16:uniqueId val="{00000000-29D7-49A9-938D-6C78F5B2DA4A}"/>
            </c:ext>
          </c:extLst>
        </c:ser>
        <c:ser>
          <c:idx val="1"/>
          <c:order val="1"/>
          <c:tx>
            <c:strRef>
              <c:f>'242'!$L$9</c:f>
              <c:strCache>
                <c:ptCount val="1"/>
                <c:pt idx="0">
                  <c:v>Dwg Min</c:v>
                </c:pt>
              </c:strCache>
            </c:strRef>
          </c:tx>
          <c:spPr>
            <a:ln>
              <a:prstDash val="dash"/>
            </a:ln>
          </c:spPr>
          <c:marker>
            <c:symbol val="none"/>
          </c:marker>
          <c:val>
            <c:numRef>
              <c:f>'242'!$L$11:$L$26</c:f>
              <c:numCache>
                <c:formatCode>General</c:formatCode>
                <c:ptCount val="16"/>
                <c:pt idx="0">
                  <c:v>405.41</c:v>
                </c:pt>
                <c:pt idx="1">
                  <c:v>405.41</c:v>
                </c:pt>
                <c:pt idx="2">
                  <c:v>405.41</c:v>
                </c:pt>
                <c:pt idx="3">
                  <c:v>405.41</c:v>
                </c:pt>
                <c:pt idx="4">
                  <c:v>405.41</c:v>
                </c:pt>
                <c:pt idx="5">
                  <c:v>405.41</c:v>
                </c:pt>
                <c:pt idx="6">
                  <c:v>405.41</c:v>
                </c:pt>
                <c:pt idx="7">
                  <c:v>405.41</c:v>
                </c:pt>
                <c:pt idx="8">
                  <c:v>405.41</c:v>
                </c:pt>
                <c:pt idx="9">
                  <c:v>405.41</c:v>
                </c:pt>
                <c:pt idx="10">
                  <c:v>405.41</c:v>
                </c:pt>
                <c:pt idx="11">
                  <c:v>405.41</c:v>
                </c:pt>
                <c:pt idx="12">
                  <c:v>405.41</c:v>
                </c:pt>
                <c:pt idx="13">
                  <c:v>405.41</c:v>
                </c:pt>
                <c:pt idx="14">
                  <c:v>405.41</c:v>
                </c:pt>
                <c:pt idx="15">
                  <c:v>405.41</c:v>
                </c:pt>
              </c:numCache>
            </c:numRef>
          </c:val>
          <c:extLst>
            <c:ext xmlns:c16="http://schemas.microsoft.com/office/drawing/2014/chart" uri="{C3380CC4-5D6E-409C-BE32-E72D297353CC}">
              <c16:uniqueId val="{00000001-29D7-49A9-938D-6C78F5B2DA4A}"/>
            </c:ext>
          </c:extLst>
        </c:ser>
        <c:ser>
          <c:idx val="2"/>
          <c:order val="2"/>
          <c:tx>
            <c:strRef>
              <c:f>'242'!$M$9</c:f>
              <c:strCache>
                <c:ptCount val="1"/>
                <c:pt idx="0">
                  <c:v>Dwg Max</c:v>
                </c:pt>
              </c:strCache>
            </c:strRef>
          </c:tx>
          <c:spPr>
            <a:ln>
              <a:prstDash val="dash"/>
            </a:ln>
          </c:spPr>
          <c:marker>
            <c:symbol val="none"/>
          </c:marker>
          <c:val>
            <c:numRef>
              <c:f>'242'!$M$11:$M$26</c:f>
              <c:numCache>
                <c:formatCode>General</c:formatCode>
                <c:ptCount val="16"/>
                <c:pt idx="0">
                  <c:v>405.59</c:v>
                </c:pt>
                <c:pt idx="1">
                  <c:v>405.59</c:v>
                </c:pt>
                <c:pt idx="2">
                  <c:v>405.59</c:v>
                </c:pt>
                <c:pt idx="3">
                  <c:v>405.59</c:v>
                </c:pt>
                <c:pt idx="4">
                  <c:v>405.59</c:v>
                </c:pt>
                <c:pt idx="5">
                  <c:v>405.59</c:v>
                </c:pt>
                <c:pt idx="6">
                  <c:v>405.59</c:v>
                </c:pt>
                <c:pt idx="7">
                  <c:v>405.59</c:v>
                </c:pt>
                <c:pt idx="8">
                  <c:v>405.59</c:v>
                </c:pt>
                <c:pt idx="9">
                  <c:v>405.59</c:v>
                </c:pt>
                <c:pt idx="10">
                  <c:v>405.59</c:v>
                </c:pt>
                <c:pt idx="11">
                  <c:v>405.59</c:v>
                </c:pt>
                <c:pt idx="12">
                  <c:v>405.59</c:v>
                </c:pt>
                <c:pt idx="13">
                  <c:v>405.59</c:v>
                </c:pt>
                <c:pt idx="14">
                  <c:v>405.59</c:v>
                </c:pt>
                <c:pt idx="15">
                  <c:v>405.59</c:v>
                </c:pt>
              </c:numCache>
            </c:numRef>
          </c:val>
          <c:extLst>
            <c:ext xmlns:c16="http://schemas.microsoft.com/office/drawing/2014/chart" uri="{C3380CC4-5D6E-409C-BE32-E72D297353CC}">
              <c16:uniqueId val="{00000002-29D7-49A9-938D-6C78F5B2DA4A}"/>
            </c:ext>
          </c:extLst>
        </c:ser>
        <c:dLbls>
          <c:showLegendKey val="0"/>
          <c:showVal val="0"/>
          <c:showCatName val="0"/>
          <c:showSerName val="0"/>
          <c:showPercent val="0"/>
          <c:showBubbleSize val="0"/>
        </c:dLbls>
        <c:axId val="181546496"/>
        <c:axId val="181965312"/>
      </c:radarChart>
      <c:catAx>
        <c:axId val="18154649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1965312"/>
        <c:crosses val="autoZero"/>
        <c:auto val="1"/>
        <c:lblAlgn val="ctr"/>
        <c:lblOffset val="100"/>
        <c:noMultiLvlLbl val="0"/>
      </c:catAx>
      <c:valAx>
        <c:axId val="18196531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1546496"/>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'242'!$AP$34</c:f>
              <c:strCache>
                <c:ptCount val="1"/>
                <c:pt idx="0">
                  <c:v>LPT Case Hook R Min</c:v>
                </c:pt>
              </c:strCache>
            </c:strRef>
          </c:tx>
          <c:spPr>
            <a:ln w="28575">
              <a:prstDash val="dash"/>
            </a:ln>
          </c:spPr>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'242'!$AP$36:$AP$58</c:f>
              <c:numCache>
                <c:formatCode>General</c:formatCode>
                <c:ptCount val="23"/>
                <c:pt idx="0">
                  <c:v>405.46800000000002</c:v>
                </c:pt>
                <c:pt idx="1">
                  <c:v>405.46800000000002</c:v>
                </c:pt>
                <c:pt idx="2">
                  <c:v>405.46800000000002</c:v>
                </c:pt>
                <c:pt idx="3">
                  <c:v>405.46800000000002</c:v>
                </c:pt>
                <c:pt idx="4">
                  <c:v>405.46800000000002</c:v>
                </c:pt>
                <c:pt idx="5">
                  <c:v>405.46800000000002</c:v>
                </c:pt>
                <c:pt idx="6">
                  <c:v>405.46800000000002</c:v>
                </c:pt>
                <c:pt idx="7">
                  <c:v>405.46800000000002</c:v>
                </c:pt>
                <c:pt idx="8">
                  <c:v>405.46800000000002</c:v>
                </c:pt>
                <c:pt idx="9">
                  <c:v>405.46800000000002</c:v>
                </c:pt>
                <c:pt idx="10">
                  <c:v>405.46800000000002</c:v>
                </c:pt>
                <c:pt idx="11">
                  <c:v>405.46800000000002</c:v>
                </c:pt>
                <c:pt idx="12">
                  <c:v>405.46800000000002</c:v>
                </c:pt>
                <c:pt idx="13">
                  <c:v>405.46800000000002</c:v>
                </c:pt>
                <c:pt idx="14">
                  <c:v>405.46800000000002</c:v>
                </c:pt>
                <c:pt idx="15">
                  <c:v>405.46800000000002</c:v>
                </c:pt>
                <c:pt idx="16">
                  <c:v>405.46800000000002</c:v>
                </c:pt>
                <c:pt idx="17">
                  <c:v>405.46800000000002</c:v>
                </c:pt>
                <c:pt idx="18">
                  <c:v>405.46800000000002</c:v>
                </c:pt>
                <c:pt idx="19">
                  <c:v>405.46800000000002</c:v>
                </c:pt>
                <c:pt idx="20">
                  <c:v>405.46800000000002</c:v>
                </c:pt>
                <c:pt idx="21">
                  <c:v>405.46800000000002</c:v>
                </c:pt>
                <c:pt idx="22">
                  <c:v>405.46800000000002</c:v>
                </c:pt>
              </c:numCache>
            </c:numRef>
          </c:val>
          <c:extLst>
            <c:ext xmlns:c16="http://schemas.microsoft.com/office/drawing/2014/chart" uri="{C3380CC4-5D6E-409C-BE32-E72D297353CC}">
              <c16:uniqueId val="{00000000-EB91-4AF5-89A4-A79C61F7A133}"/>
            </c:ext>
          </c:extLst>
        </c:ser>
        <c:ser>
          <c:idx val="1"/>
          <c:order val="1"/>
          <c:tx>
            <c:strRef>
              <c:f>'242'!$AQ$34</c:f>
              <c:strCache>
                <c:ptCount val="1"/>
                <c:pt idx="0">
                  <c:v>LPT Case Hook R Max</c:v>
                </c:pt>
              </c:strCache>
            </c:strRef>
          </c:tx>
          <c:spPr>
            <a:ln w="28575">
              <a:prstDash val="dash"/>
            </a:ln>
          </c:spPr>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'242'!$AQ$36:$AQ$58</c:f>
              <c:numCache>
                <c:formatCode>General</c:formatCode>
                <c:ptCount val="23"/>
                <c:pt idx="0">
                  <c:v>405.53199999999998</c:v>
                </c:pt>
                <c:pt idx="1">
                  <c:v>405.53199999999998</c:v>
                </c:pt>
                <c:pt idx="2">
                  <c:v>405.53199999999998</c:v>
                </c:pt>
                <c:pt idx="3">
                  <c:v>405.53199999999998</c:v>
                </c:pt>
                <c:pt idx="4">
                  <c:v>405.53199999999998</c:v>
                </c:pt>
                <c:pt idx="5">
                  <c:v>405.53199999999998</c:v>
                </c:pt>
                <c:pt idx="6">
                  <c:v>405.53199999999998</c:v>
                </c:pt>
                <c:pt idx="7">
                  <c:v>405.53199999999998</c:v>
                </c:pt>
                <c:pt idx="8">
                  <c:v>405.53199999999998</c:v>
                </c:pt>
                <c:pt idx="9">
                  <c:v>405.53199999999998</c:v>
                </c:pt>
                <c:pt idx="10">
                  <c:v>405.53199999999998</c:v>
                </c:pt>
                <c:pt idx="11">
                  <c:v>405.53199999999998</c:v>
                </c:pt>
                <c:pt idx="12">
                  <c:v>405.53199999999998</c:v>
                </c:pt>
                <c:pt idx="13">
                  <c:v>405.53199999999998</c:v>
                </c:pt>
                <c:pt idx="14">
                  <c:v>405.53199999999998</c:v>
                </c:pt>
                <c:pt idx="15">
                  <c:v>405.53199999999998</c:v>
                </c:pt>
                <c:pt idx="16">
                  <c:v>405.53199999999998</c:v>
                </c:pt>
                <c:pt idx="17">
                  <c:v>405.53199999999998</c:v>
                </c:pt>
                <c:pt idx="18">
                  <c:v>405.53199999999998</c:v>
                </c:pt>
                <c:pt idx="19">
                  <c:v>405.53199999999998</c:v>
                </c:pt>
                <c:pt idx="20">
                  <c:v>405.53199999999998</c:v>
                </c:pt>
                <c:pt idx="21">
                  <c:v>405.53199999999998</c:v>
                </c:pt>
                <c:pt idx="22">
                  <c:v>405.53199999999998</c:v>
                </c:pt>
              </c:numCache>
            </c:numRef>
          </c:val>
          <c:extLst>
            <c:ext xmlns:c16="http://schemas.microsoft.com/office/drawing/2014/chart" uri="{C3380CC4-5D6E-409C-BE32-E72D297353CC}">
              <c16:uniqueId val="{00000001-EB91-4AF5-89A4-A79C61F7A133}"/>
            </c:ext>
          </c:extLst>
        </c:ser>
        <c:ser>
          <c:idx val="2"/>
          <c:order val="2"/>
          <c:tx>
            <c:strRef>
              <c:f>'242'!$S$34</c:f>
              <c:strCache>
                <c:ptCount val="1"/>
                <c:pt idx="0">
                  <c:v>Stg.3 Shroud Fwd#1</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'242'!$S$36:$S$58</c:f>
              <c:numCache>
                <c:formatCode>0.000</c:formatCode>
                <c:ptCount val="23"/>
                <c:pt idx="0">
                  <c:v>405.47880545679408</c:v>
                </c:pt>
                <c:pt idx="1">
                  <c:v>405.47880545679408</c:v>
                </c:pt>
              </c:numCache>
            </c:numRef>
          </c:val>
          <c:extLst>
            <c:ext xmlns:c16="http://schemas.microsoft.com/office/drawing/2014/chart" uri="{C3380CC4-5D6E-409C-BE32-E72D297353CC}">
              <c16:uniqueId val="{00000002-EB91-4AF5-89A4-A79C61F7A133}"/>
            </c:ext>
          </c:extLst>
        </c:ser>
        <c:ser>
          <c:idx val="3"/>
          <c:order val="3"/>
          <c:tx>
            <c:strRef>
              <c:f>'242'!$T$34</c:f>
              <c:strCache>
                <c:ptCount val="1"/>
                <c:pt idx="0">
                  <c:v>Stg.3 Shroud Fwd#23</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'242'!$T$36:$T$58</c:f>
              <c:numCache>
                <c:formatCode>0.000</c:formatCode>
                <c:ptCount val="23"/>
                <c:pt idx="1">
                  <c:v>405.49237380176567</c:v>
                </c:pt>
                <c:pt idx="2">
                  <c:v>405.49237380176567</c:v>
                </c:pt>
              </c:numCache>
            </c:numRef>
          </c:val>
          <c:extLst>
            <c:ext xmlns:c16="http://schemas.microsoft.com/office/drawing/2014/chart" uri="{C3380CC4-5D6E-409C-BE32-E72D297353CC}">
              <c16:uniqueId val="{00000003-EB91-4AF5-89A4-A79C61F7A133}"/>
            </c:ext>
          </c:extLst>
        </c:ser>
        <c:ser>
          <c:idx val="4"/>
          <c:order val="4"/>
          <c:tx>
            <c:strRef>
              <c:f>'242'!$U$34</c:f>
              <c:strCache>
                <c:ptCount val="1"/>
                <c:pt idx="0">
                  <c:v>Stg.3 Shroud Fwd#22</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'242'!$U$36:$U$58</c:f>
              <c:numCache>
                <c:formatCode>General</c:formatCode>
                <c:ptCount val="23"/>
                <c:pt idx="2" formatCode="0.000">
                  <c:v>405.50919832644377</c:v>
                </c:pt>
                <c:pt idx="3" formatCode="0.000">
                  <c:v>405.50919832644377</c:v>
                </c:pt>
              </c:numCache>
            </c:numRef>
          </c:val>
          <c:extLst>
            <c:ext xmlns:c16="http://schemas.microsoft.com/office/drawing/2014/chart" uri="{C3380CC4-5D6E-409C-BE32-E72D297353CC}">
              <c16:uniqueId val="{00000004-EB91-4AF5-89A4-A79C61F7A133}"/>
            </c:ext>
          </c:extLst>
        </c:ser>
        <c:ser>
          <c:idx val="5"/>
          <c:order val="5"/>
          <c:tx>
            <c:strRef>
              <c:f>'242'!$V$34</c:f>
              <c:strCache>
                <c:ptCount val="1"/>
                <c:pt idx="0">
                  <c:v>Stg.3 Shroud Fwd#21</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'242'!$V$36:$V$58</c:f>
              <c:numCache>
                <c:formatCode>General</c:formatCode>
                <c:ptCount val="23"/>
                <c:pt idx="3" formatCode="0.000">
                  <c:v>405.52149797712008</c:v>
                </c:pt>
                <c:pt idx="4" formatCode="0.000">
                  <c:v>405.52149797712008</c:v>
                </c:pt>
              </c:numCache>
            </c:numRef>
          </c:val>
          <c:extLst>
            <c:ext xmlns:c16="http://schemas.microsoft.com/office/drawing/2014/chart" uri="{C3380CC4-5D6E-409C-BE32-E72D297353CC}">
              <c16:uniqueId val="{00000005-EB91-4AF5-89A4-A79C61F7A133}"/>
            </c:ext>
          </c:extLst>
        </c:ser>
        <c:ser>
          <c:idx val="6"/>
          <c:order val="6"/>
          <c:tx>
            <c:strRef>
              <c:f>'242'!$W$34</c:f>
              <c:strCache>
                <c:ptCount val="1"/>
                <c:pt idx="0">
                  <c:v>Stg.3 Shroud Fwd#20</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'242'!$W$36:$W$58</c:f>
              <c:numCache>
                <c:formatCode>General</c:formatCode>
                <c:ptCount val="23"/>
                <c:pt idx="4" formatCode="0.000">
                  <c:v>405.52672804105578</c:v>
                </c:pt>
                <c:pt idx="5" formatCode="0.000">
                  <c:v>405.52672804105578</c:v>
                </c:pt>
              </c:numCache>
            </c:numRef>
          </c:val>
          <c:extLst>
            <c:ext xmlns:c16="http://schemas.microsoft.com/office/drawing/2014/chart" uri="{C3380CC4-5D6E-409C-BE32-E72D297353CC}">
              <c16:uniqueId val="{00000006-EB91-4AF5-89A4-A79C61F7A133}"/>
            </c:ext>
          </c:extLst>
        </c:ser>
        <c:ser>
          <c:idx val="7"/>
          <c:order val="7"/>
          <c:tx>
            <c:strRef>
              <c:f>'242'!$X$34</c:f>
              <c:strCache>
                <c:ptCount val="1"/>
                <c:pt idx="0">
                  <c:v>Stg.3 Shroud Fwd#19</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'242'!$X$36:$X$58</c:f>
              <c:numCache>
                <c:formatCode>General</c:formatCode>
                <c:ptCount val="23"/>
                <c:pt idx="5" formatCode="0.000">
                  <c:v>405.52895655080323</c:v>
                </c:pt>
                <c:pt idx="6" formatCode="0.000">
                  <c:v>405.52895655080323</c:v>
                </c:pt>
              </c:numCache>
            </c:numRef>
          </c:val>
          <c:extLst>
            <c:ext xmlns:c16="http://schemas.microsoft.com/office/drawing/2014/chart" uri="{C3380CC4-5D6E-409C-BE32-E72D297353CC}">
              <c16:uniqueId val="{00000007-EB91-4AF5-89A4-A79C61F7A133}"/>
            </c:ext>
          </c:extLst>
        </c:ser>
        <c:ser>
          <c:idx val="8"/>
          <c:order val="8"/>
          <c:tx>
            <c:strRef>
              <c:f>'242'!$Y$34</c:f>
              <c:strCache>
                <c:ptCount val="1"/>
                <c:pt idx="0">
                  <c:v>Stg.3 Shroud Fwd#18</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'242'!$Y$36:$Y$58</c:f>
              <c:numCache>
                <c:formatCode>General</c:formatCode>
                <c:ptCount val="23"/>
                <c:pt idx="6" formatCode="0.000">
                  <c:v>405.52838976035406</c:v>
                </c:pt>
                <c:pt idx="7" formatCode="0.000">
                  <c:v>405.52838976035406</c:v>
                </c:pt>
              </c:numCache>
            </c:numRef>
          </c:val>
          <c:extLst>
            <c:ext xmlns:c16="http://schemas.microsoft.com/office/drawing/2014/chart" uri="{C3380CC4-5D6E-409C-BE32-E72D297353CC}">
              <c16:uniqueId val="{00000008-EB91-4AF5-89A4-A79C61F7A133}"/>
            </c:ext>
          </c:extLst>
        </c:ser>
        <c:ser>
          <c:idx val="9"/>
          <c:order val="9"/>
          <c:tx>
            <c:strRef>
              <c:f>'242'!$Z$34</c:f>
              <c:strCache>
                <c:ptCount val="1"/>
                <c:pt idx="0">
                  <c:v>Stg.3 Shroud Fwd#17</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'242'!$Z$36:$Z$58</c:f>
              <c:numCache>
                <c:formatCode>General</c:formatCode>
                <c:ptCount val="23"/>
                <c:pt idx="7" formatCode="0.000">
                  <c:v>405.52717313523124</c:v>
                </c:pt>
                <c:pt idx="8" formatCode="0.000">
                  <c:v>405.52717313523124</c:v>
                </c:pt>
              </c:numCache>
            </c:numRef>
          </c:val>
          <c:extLst>
            <c:ext xmlns:c16="http://schemas.microsoft.com/office/drawing/2014/chart" uri="{C3380CC4-5D6E-409C-BE32-E72D297353CC}">
              <c16:uniqueId val="{00000009-EB91-4AF5-89A4-A79C61F7A133}"/>
            </c:ext>
          </c:extLst>
        </c:ser>
        <c:ser>
          <c:idx val="10"/>
          <c:order val="10"/>
          <c:tx>
            <c:strRef>
              <c:f>'242'!$AA$34</c:f>
              <c:strCache>
                <c:ptCount val="1"/>
                <c:pt idx="0">
                  <c:v>Stg.3 Shroud Fwd#16</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'242'!$AA$36:$AA$58</c:f>
              <c:numCache>
                <c:formatCode>General</c:formatCode>
                <c:ptCount val="23"/>
                <c:pt idx="8" formatCode="0.000">
                  <c:v>405.52465498915251</c:v>
                </c:pt>
                <c:pt idx="9" formatCode="0.000">
                  <c:v>405.52465498915251</c:v>
                </c:pt>
              </c:numCache>
            </c:numRef>
          </c:val>
          <c:extLst>
            <c:ext xmlns:c16="http://schemas.microsoft.com/office/drawing/2014/chart" uri="{C3380CC4-5D6E-409C-BE32-E72D297353CC}">
              <c16:uniqueId val="{0000000A-EB91-4AF5-89A4-A79C61F7A133}"/>
            </c:ext>
          </c:extLst>
        </c:ser>
        <c:ser>
          <c:idx val="11"/>
          <c:order val="11"/>
          <c:tx>
            <c:strRef>
              <c:f>'242'!$AB$34</c:f>
              <c:strCache>
                <c:ptCount val="1"/>
                <c:pt idx="0">
                  <c:v>Stg.3 Shroud Fwd#15</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'242'!$AB$36:$AB$58</c:f>
              <c:numCache>
                <c:formatCode>General</c:formatCode>
                <c:ptCount val="23"/>
                <c:pt idx="9" formatCode="0.000">
                  <c:v>405.51639693016108</c:v>
                </c:pt>
                <c:pt idx="10" formatCode="0.000">
                  <c:v>405.51639693016108</c:v>
                </c:pt>
              </c:numCache>
            </c:numRef>
          </c:val>
          <c:extLst>
            <c:ext xmlns:c16="http://schemas.microsoft.com/office/drawing/2014/chart" uri="{C3380CC4-5D6E-409C-BE32-E72D297353CC}">
              <c16:uniqueId val="{0000000B-EB91-4AF5-89A4-A79C61F7A133}"/>
            </c:ext>
          </c:extLst>
        </c:ser>
        <c:ser>
          <c:idx val="12"/>
          <c:order val="12"/>
          <c:tx>
            <c:strRef>
              <c:f>'242'!$AC$34</c:f>
              <c:strCache>
                <c:ptCount val="1"/>
                <c:pt idx="0">
                  <c:v>Stg.3 Shroud Fwd#14</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'242'!$AC$36:$AC$58</c:f>
              <c:numCache>
                <c:formatCode>General</c:formatCode>
                <c:ptCount val="23"/>
                <c:pt idx="10" formatCode="0.000">
                  <c:v>405.50723959672257</c:v>
                </c:pt>
                <c:pt idx="11" formatCode="0.000">
                  <c:v>405.50723959672257</c:v>
                </c:pt>
              </c:numCache>
            </c:numRef>
          </c:val>
          <c:extLst>
            <c:ext xmlns:c16="http://schemas.microsoft.com/office/drawing/2014/chart" uri="{C3380CC4-5D6E-409C-BE32-E72D297353CC}">
              <c16:uniqueId val="{0000000C-EB91-4AF5-89A4-A79C61F7A133}"/>
            </c:ext>
          </c:extLst>
        </c:ser>
        <c:ser>
          <c:idx val="13"/>
          <c:order val="13"/>
          <c:tx>
            <c:strRef>
              <c:f>'242'!$AD$34</c:f>
              <c:strCache>
                <c:ptCount val="1"/>
                <c:pt idx="0">
                  <c:v>Stg.3 Shroud Fwd#13</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'242'!$AD$36:$AD$58</c:f>
              <c:numCache>
                <c:formatCode>General</c:formatCode>
                <c:ptCount val="23"/>
                <c:pt idx="11" formatCode="0.000">
                  <c:v>405.49832498915282</c:v>
                </c:pt>
                <c:pt idx="12" formatCode="0.000">
                  <c:v>405.49832498915282</c:v>
                </c:pt>
              </c:numCache>
            </c:numRef>
          </c:val>
          <c:extLst>
            <c:ext xmlns:c16="http://schemas.microsoft.com/office/drawing/2014/chart" uri="{C3380CC4-5D6E-409C-BE32-E72D297353CC}">
              <c16:uniqueId val="{0000000D-EB91-4AF5-89A4-A79C61F7A133}"/>
            </c:ext>
          </c:extLst>
        </c:ser>
        <c:ser>
          <c:idx val="14"/>
          <c:order val="14"/>
          <c:tx>
            <c:strRef>
              <c:f>'242'!$AE$34</c:f>
              <c:strCache>
                <c:ptCount val="1"/>
                <c:pt idx="0">
                  <c:v>Stg.3 Shroud Fwd#12</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'242'!$AE$36:$AE$58</c:f>
              <c:numCache>
                <c:formatCode>General</c:formatCode>
                <c:ptCount val="23"/>
                <c:pt idx="12" formatCode="0.000">
                  <c:v>405.48556130762495</c:v>
                </c:pt>
                <c:pt idx="13" formatCode="0.000">
                  <c:v>405.48556130762495</c:v>
                </c:pt>
              </c:numCache>
            </c:numRef>
          </c:val>
          <c:extLst>
            <c:ext xmlns:c16="http://schemas.microsoft.com/office/drawing/2014/chart" uri="{C3380CC4-5D6E-409C-BE32-E72D297353CC}">
              <c16:uniqueId val="{0000000E-EB91-4AF5-89A4-A79C61F7A133}"/>
            </c:ext>
          </c:extLst>
        </c:ser>
        <c:ser>
          <c:idx val="15"/>
          <c:order val="15"/>
          <c:tx>
            <c:strRef>
              <c:f>'242'!$AF$34</c:f>
              <c:strCache>
                <c:ptCount val="1"/>
                <c:pt idx="0">
                  <c:v>Stg.3 Shroud Fwd#11</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'242'!$AF$36:$AF$58</c:f>
              <c:numCache>
                <c:formatCode>General</c:formatCode>
                <c:ptCount val="23"/>
                <c:pt idx="13" formatCode="0.000">
                  <c:v>405.48125056398237</c:v>
                </c:pt>
                <c:pt idx="14" formatCode="0.000">
                  <c:v>405.48125056398237</c:v>
                </c:pt>
              </c:numCache>
            </c:numRef>
          </c:val>
          <c:extLst>
            <c:ext xmlns:c16="http://schemas.microsoft.com/office/drawing/2014/chart" uri="{C3380CC4-5D6E-409C-BE32-E72D297353CC}">
              <c16:uniqueId val="{0000000F-EB91-4AF5-89A4-A79C61F7A133}"/>
            </c:ext>
          </c:extLst>
        </c:ser>
        <c:ser>
          <c:idx val="16"/>
          <c:order val="16"/>
          <c:tx>
            <c:strRef>
              <c:f>'242'!$AG$34</c:f>
              <c:strCache>
                <c:ptCount val="1"/>
                <c:pt idx="0">
                  <c:v>Stg.3 Shroud Fwd#10</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'242'!$AG$36:$AG$58</c:f>
              <c:numCache>
                <c:formatCode>General</c:formatCode>
                <c:ptCount val="23"/>
                <c:pt idx="14" formatCode="0.000">
                  <c:v>405.49063906484378</c:v>
                </c:pt>
                <c:pt idx="15" formatCode="0.000">
                  <c:v>405.49063906484378</c:v>
                </c:pt>
              </c:numCache>
            </c:numRef>
          </c:val>
          <c:extLst>
            <c:ext xmlns:c16="http://schemas.microsoft.com/office/drawing/2014/chart" uri="{C3380CC4-5D6E-409C-BE32-E72D297353CC}">
              <c16:uniqueId val="{00000010-EB91-4AF5-89A4-A79C61F7A133}"/>
            </c:ext>
          </c:extLst>
        </c:ser>
        <c:ser>
          <c:idx val="17"/>
          <c:order val="17"/>
          <c:tx>
            <c:strRef>
              <c:f>'242'!$AH$34</c:f>
              <c:strCache>
                <c:ptCount val="1"/>
                <c:pt idx="0">
                  <c:v>Stg.3 Shroud Fwd#9</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'242'!$AH$36:$AH$58</c:f>
              <c:numCache>
                <c:formatCode>General</c:formatCode>
                <c:ptCount val="23"/>
                <c:pt idx="15" formatCode="0.000">
                  <c:v>405.50746780879865</c:v>
                </c:pt>
                <c:pt idx="16" formatCode="0.000">
                  <c:v>405.50746780879865</c:v>
                </c:pt>
              </c:numCache>
            </c:numRef>
          </c:val>
          <c:extLst>
            <c:ext xmlns:c16="http://schemas.microsoft.com/office/drawing/2014/chart" uri="{C3380CC4-5D6E-409C-BE32-E72D297353CC}">
              <c16:uniqueId val="{00000011-EB91-4AF5-89A4-A79C61F7A133}"/>
            </c:ext>
          </c:extLst>
        </c:ser>
        <c:ser>
          <c:idx val="18"/>
          <c:order val="18"/>
          <c:tx>
            <c:strRef>
              <c:f>'242'!$AI$34</c:f>
              <c:strCache>
                <c:ptCount val="1"/>
                <c:pt idx="0">
                  <c:v>Stg.3 Shroud Fwd#8</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'242'!$AI$36:$AI$58</c:f>
              <c:numCache>
                <c:formatCode>General</c:formatCode>
                <c:ptCount val="23"/>
                <c:pt idx="16" formatCode="0.000">
                  <c:v>405.53369066916588</c:v>
                </c:pt>
                <c:pt idx="17" formatCode="0.000">
                  <c:v>405.53369066916588</c:v>
                </c:pt>
              </c:numCache>
            </c:numRef>
          </c:val>
          <c:extLst>
            <c:ext xmlns:c16="http://schemas.microsoft.com/office/drawing/2014/chart" uri="{C3380CC4-5D6E-409C-BE32-E72D297353CC}">
              <c16:uniqueId val="{00000012-EB91-4AF5-89A4-A79C61F7A133}"/>
            </c:ext>
          </c:extLst>
        </c:ser>
        <c:ser>
          <c:idx val="19"/>
          <c:order val="19"/>
          <c:tx>
            <c:strRef>
              <c:f>'242'!$AJ$34</c:f>
              <c:strCache>
                <c:ptCount val="1"/>
                <c:pt idx="0">
                  <c:v>Stg.3 Shroud Fwd#7</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'242'!$AJ$36:$AJ$58</c:f>
              <c:numCache>
                <c:formatCode>General</c:formatCode>
                <c:ptCount val="23"/>
                <c:pt idx="17" formatCode="0.000">
                  <c:v>405.55361371086769</c:v>
                </c:pt>
                <c:pt idx="18" formatCode="0.000">
                  <c:v>405.55361371086769</c:v>
                </c:pt>
              </c:numCache>
            </c:numRef>
          </c:val>
          <c:extLst>
            <c:ext xmlns:c16="http://schemas.microsoft.com/office/drawing/2014/chart" uri="{C3380CC4-5D6E-409C-BE32-E72D297353CC}">
              <c16:uniqueId val="{00000013-EB91-4AF5-89A4-A79C61F7A133}"/>
            </c:ext>
          </c:extLst>
        </c:ser>
        <c:ser>
          <c:idx val="20"/>
          <c:order val="20"/>
          <c:tx>
            <c:strRef>
              <c:f>'242'!$AK$34</c:f>
              <c:strCache>
                <c:ptCount val="1"/>
                <c:pt idx="0">
                  <c:v>Stg.3 Shroud Fwd#6</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'242'!$AK$36:$AK$58</c:f>
              <c:numCache>
                <c:formatCode>General</c:formatCode>
                <c:ptCount val="23"/>
                <c:pt idx="18" formatCode="0.000">
                  <c:v>405.5542822919486</c:v>
                </c:pt>
                <c:pt idx="19" formatCode="0.000">
                  <c:v>405.5542822919486</c:v>
                </c:pt>
              </c:numCache>
            </c:numRef>
          </c:val>
          <c:extLst>
            <c:ext xmlns:c16="http://schemas.microsoft.com/office/drawing/2014/chart" uri="{C3380CC4-5D6E-409C-BE32-E72D297353CC}">
              <c16:uniqueId val="{00000014-EB91-4AF5-89A4-A79C61F7A133}"/>
            </c:ext>
          </c:extLst>
        </c:ser>
        <c:ser>
          <c:idx val="21"/>
          <c:order val="21"/>
          <c:tx>
            <c:strRef>
              <c:f>'242'!$AL$34</c:f>
              <c:strCache>
                <c:ptCount val="1"/>
                <c:pt idx="0">
                  <c:v>Stg.3 Shroud Fwd#5</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'242'!$AL$36:$AL$58</c:f>
              <c:numCache>
                <c:formatCode>General</c:formatCode>
                <c:ptCount val="23"/>
                <c:pt idx="19" formatCode="0.000">
                  <c:v>405.54059305043438</c:v>
                </c:pt>
                <c:pt idx="20" formatCode="0.000">
                  <c:v>405.54059305043438</c:v>
                </c:pt>
              </c:numCache>
            </c:numRef>
          </c:val>
          <c:extLst>
            <c:ext xmlns:c16="http://schemas.microsoft.com/office/drawing/2014/chart" uri="{C3380CC4-5D6E-409C-BE32-E72D297353CC}">
              <c16:uniqueId val="{00000015-EB91-4AF5-89A4-A79C61F7A133}"/>
            </c:ext>
          </c:extLst>
        </c:ser>
        <c:ser>
          <c:idx val="22"/>
          <c:order val="22"/>
          <c:tx>
            <c:strRef>
              <c:f>'242'!$AM$34</c:f>
              <c:strCache>
                <c:ptCount val="1"/>
                <c:pt idx="0">
                  <c:v>Stg.3 Shroud Fwd#4</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'242'!$AM$36:$AM$58</c:f>
              <c:numCache>
                <c:formatCode>General</c:formatCode>
                <c:ptCount val="23"/>
                <c:pt idx="20" formatCode="0.000">
                  <c:v>405.51379824070352</c:v>
                </c:pt>
                <c:pt idx="21" formatCode="0.000">
                  <c:v>405.51379824070352</c:v>
                </c:pt>
              </c:numCache>
            </c:numRef>
          </c:val>
          <c:extLst>
            <c:ext xmlns:c16="http://schemas.microsoft.com/office/drawing/2014/chart" uri="{C3380CC4-5D6E-409C-BE32-E72D297353CC}">
              <c16:uniqueId val="{00000016-EB91-4AF5-89A4-A79C61F7A133}"/>
            </c:ext>
          </c:extLst>
        </c:ser>
        <c:ser>
          <c:idx val="23"/>
          <c:order val="23"/>
          <c:tx>
            <c:strRef>
              <c:f>'242'!$AN$34</c:f>
              <c:strCache>
                <c:ptCount val="1"/>
                <c:pt idx="0">
                  <c:v>Stg.3 Shroud Fwd#3</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'242'!$AN$36:$AN$58</c:f>
              <c:numCache>
                <c:formatCode>General</c:formatCode>
                <c:ptCount val="23"/>
                <c:pt idx="21" formatCode="0.000">
                  <c:v>405.48726102156951</c:v>
                </c:pt>
                <c:pt idx="22" formatCode="0.000">
                  <c:v>405.48726102156951</c:v>
                </c:pt>
              </c:numCache>
            </c:numRef>
          </c:val>
          <c:extLst>
            <c:ext xmlns:c16="http://schemas.microsoft.com/office/drawing/2014/chart" uri="{C3380CC4-5D6E-409C-BE32-E72D297353CC}">
              <c16:uniqueId val="{00000017-EB91-4AF5-89A4-A79C61F7A133}"/>
            </c:ext>
          </c:extLst>
        </c:ser>
        <c:ser>
          <c:idx val="24"/>
          <c:order val="24"/>
          <c:tx>
            <c:strRef>
              <c:f>'242'!$AO$34</c:f>
              <c:strCache>
                <c:ptCount val="1"/>
                <c:pt idx="0">
                  <c:v>Stg.3 Shroud Fwd#2</c:v>
                </c:pt>
              </c:strCache>
            </c:strRef>
          </c:tx>
          <c:marker>
            <c:symbol val="none"/>
          </c:marker>
          <c:cat>
            <c:numRef>
              <c:f>'242'!$J$36:$J$58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'242'!$AO$36:$AO$58</c:f>
              <c:numCache>
                <c:formatCode>General</c:formatCode>
                <c:ptCount val="23"/>
                <c:pt idx="0" formatCode="0.000">
                  <c:v>405.47516203791133</c:v>
                </c:pt>
                <c:pt idx="22" formatCode="0.000">
                  <c:v>405.47516203791133</c:v>
                </c:pt>
              </c:numCache>
            </c:numRef>
          </c:val>
          <c:extLst>
            <c:ext xmlns:c16="http://schemas.microsoft.com/office/drawing/2014/chart" uri="{C3380CC4-5D6E-409C-BE32-E72D297353CC}">
              <c16:uniqueId val="{00000018-EB91-4AF5-89A4-A79C61F7A133}"/>
            </c:ext>
          </c:extLst>
        </c:ser>
        <c:dLbls>
          <c:showLegendKey val="0"/>
          <c:showVal val="0"/>
          <c:showCatName val="0"/>
          <c:showSerName val="0"/>
          <c:showPercent val="0"/>
          <c:showBubbleSize val="0"/>
        </c:dLbls>
        <c:axId val="182194176"/>
        <c:axId val="182283648"/>
      </c:radarChart>
      <c:catAx>
        <c:axId val="1821941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283648"/>
        <c:crosses val="autoZero"/>
        <c:auto val="1"/>
        <c:lblAlgn val="ctr"/>
        <c:lblOffset val="100"/>
        <c:noMultiLvlLbl val="0"/>
      </c:catAx>
      <c:valAx>
        <c:axId val="18228364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2194176"/>
        <c:crosses val="autoZero"/>
        <c:crossBetween val="between"/>
        <c:majorUnit val="5.000000000000001E-2"/>
      </c:valAx>
    </c:plotArea>
    <c:legend>
      <c:legendPos val="r"/>
      <c:layout>
        <c:manualLayout>
          <c:xMode val="edge"/>
          <c:yMode val="edge"/>
          <c:x val="0.75693150597950609"/>
          <c:y val="0"/>
          <c:w val="0.23186849496117629"/>
          <c:h val="1"/>
        </c:manualLayout>
      </c:layout>
      <c:overlay val="0"/>
      <c:txPr>
        <a:bodyPr/>
        <a:lstStyle/>
        <a:p>
          <a:pPr>
            <a:defRPr lang="ja-JP" sz="6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'244'!$K$9</c:f>
              <c:strCache>
                <c:ptCount val="1"/>
                <c:pt idx="0">
                  <c:v>CMM</c:v>
                </c:pt>
              </c:strCache>
            </c:strRef>
          </c:tx>
          <c:marker>
            <c:symbol val="none"/>
          </c:marker>
          <c:cat>
            <c:numRef>
              <c:f>'244'!$J$11:$J$26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'244'!$K$11:$K$26</c:f>
              <c:numCache>
                <c:formatCode>General</c:formatCode>
                <c:ptCount val="16"/>
                <c:pt idx="0">
                  <c:v>417.26400000000001</c:v>
                </c:pt>
                <c:pt idx="1">
                  <c:v>417.30000007668343</c:v>
                </c:pt>
                <c:pt idx="2">
                  <c:v>417.30800000119814</c:v>
                </c:pt>
                <c:pt idx="3">
                  <c:v>417.29500000479277</c:v>
                </c:pt>
                <c:pt idx="4">
                  <c:v>417.298</c:v>
                </c:pt>
                <c:pt idx="5">
                  <c:v>417.30900000000003</c:v>
                </c:pt>
                <c:pt idx="6">
                  <c:v>417.29400000119819</c:v>
                </c:pt>
                <c:pt idx="7">
                  <c:v>417.28900002995522</c:v>
                </c:pt>
                <c:pt idx="8">
                  <c:v>417.25900000000001</c:v>
                </c:pt>
                <c:pt idx="9">
                  <c:v>417.24400009706557</c:v>
                </c:pt>
                <c:pt idx="10">
                  <c:v>417.28000000119823</c:v>
                </c:pt>
                <c:pt idx="11">
                  <c:v>417.34100000000001</c:v>
                </c:pt>
                <c:pt idx="12">
                  <c:v>417.346</c:v>
                </c:pt>
                <c:pt idx="13">
                  <c:v>417.29600000119819</c:v>
                </c:pt>
                <c:pt idx="14">
                  <c:v>417.233</c:v>
                </c:pt>
                <c:pt idx="15">
                  <c:v>417.21800000479368</c:v>
                </c:pt>
              </c:numCache>
            </c:numRef>
          </c:val>
          <c:extLst>
            <c:ext xmlns:c16="http://schemas.microsoft.com/office/drawing/2014/chart" uri="{C3380CC4-5D6E-409C-BE32-E72D297353CC}">
              <c16:uniqueId val="{00000000-0CA4-4916-B7C0-BD1724823EFE}"/>
            </c:ext>
          </c:extLst>
        </c:ser>
        <c:ser>
          <c:idx val="1"/>
          <c:order val="1"/>
          <c:tx>
            <c:strRef>
              <c:f>'244'!$L$9</c:f>
              <c:strCache>
                <c:ptCount val="1"/>
                <c:pt idx="0">
                  <c:v>Dwg Min</c:v>
                </c:pt>
              </c:strCache>
            </c:strRef>
          </c:tx>
          <c:spPr>
            <a:ln>
              <a:prstDash val="dash"/>
            </a:ln>
          </c:spPr>
          <c:marker>
            <c:symbol val="none"/>
          </c:marker>
          <c:val>
            <c:numRef>
              <c:f>'244'!$L$11:$L$26</c:f>
              <c:numCache>
                <c:formatCode>General</c:formatCode>
                <c:ptCount val="16"/>
                <c:pt idx="0">
                  <c:v>417.23200000000003</c:v>
                </c:pt>
                <c:pt idx="1">
                  <c:v>417.23200000000003</c:v>
                </c:pt>
                <c:pt idx="2">
                  <c:v>417.23200000000003</c:v>
                </c:pt>
                <c:pt idx="3">
                  <c:v>417.23200000000003</c:v>
                </c:pt>
                <c:pt idx="4">
                  <c:v>417.23200000000003</c:v>
                </c:pt>
                <c:pt idx="5">
                  <c:v>417.23200000000003</c:v>
                </c:pt>
                <c:pt idx="6">
                  <c:v>417.23200000000003</c:v>
                </c:pt>
                <c:pt idx="7">
                  <c:v>417.23200000000003</c:v>
                </c:pt>
                <c:pt idx="8">
                  <c:v>417.23200000000003</c:v>
                </c:pt>
                <c:pt idx="9">
                  <c:v>417.23200000000003</c:v>
                </c:pt>
                <c:pt idx="10">
                  <c:v>417.23200000000003</c:v>
                </c:pt>
                <c:pt idx="11">
                  <c:v>417.23200000000003</c:v>
                </c:pt>
                <c:pt idx="12">
                  <c:v>417.23200000000003</c:v>
                </c:pt>
                <c:pt idx="13">
                  <c:v>417.23200000000003</c:v>
                </c:pt>
                <c:pt idx="14">
                  <c:v>417.23200000000003</c:v>
                </c:pt>
                <c:pt idx="15">
                  <c:v>417.23200000000003</c:v>
                </c:pt>
              </c:numCache>
            </c:numRef>
          </c:val>
          <c:extLst>
            <c:ext xmlns:c16="http://schemas.microsoft.com/office/drawing/2014/chart" uri="{C3380CC4-5D6E-409C-BE32-E72D297353CC}">
              <c16:uniqueId val="{00000001-0CA4-4916-B7C0-BD1724823EFE}"/>
            </c:ext>
          </c:extLst>
        </c:ser>
        <c:ser>
          <c:idx val="2"/>
          <c:order val="2"/>
          <c:tx>
            <c:strRef>
              <c:f>'244'!$M$9</c:f>
              <c:strCache>
                <c:ptCount val="1"/>
                <c:pt idx="0">
                  <c:v>Dwg Max</c:v>
                </c:pt>
              </c:strCache>
            </c:strRef>
          </c:tx>
          <c:spPr>
            <a:ln>
              <a:prstDash val="dash"/>
            </a:ln>
          </c:spPr>
          <c:marker>
            <c:symbol val="none"/>
          </c:marker>
          <c:val>
            <c:numRef>
              <c:f>'244'!$M$11:$M$26</c:f>
              <c:numCache>
                <c:formatCode>General</c:formatCode>
                <c:ptCount val="16"/>
                <c:pt idx="0">
                  <c:v>417.36799999999999</c:v>
                </c:pt>
                <c:pt idx="1">
                  <c:v>417.36799999999999</c:v>
                </c:pt>
                <c:pt idx="2">
                  <c:v>417.36799999999999</c:v>
                </c:pt>
                <c:pt idx="3">
                  <c:v>417.36799999999999</c:v>
                </c:pt>
                <c:pt idx="4">
                  <c:v>417.36799999999999</c:v>
                </c:pt>
                <c:pt idx="5">
                  <c:v>417.36799999999999</c:v>
                </c:pt>
                <c:pt idx="6">
                  <c:v>417.36799999999999</c:v>
                </c:pt>
                <c:pt idx="7">
                  <c:v>417.36799999999999</c:v>
                </c:pt>
                <c:pt idx="8">
                  <c:v>417.36799999999999</c:v>
                </c:pt>
                <c:pt idx="9">
                  <c:v>417.36799999999999</c:v>
                </c:pt>
                <c:pt idx="10">
                  <c:v>417.36799999999999</c:v>
                </c:pt>
                <c:pt idx="11">
                  <c:v>417.36799999999999</c:v>
                </c:pt>
                <c:pt idx="12">
                  <c:v>417.36799999999999</c:v>
                </c:pt>
                <c:pt idx="13">
                  <c:v>417.36799999999999</c:v>
                </c:pt>
                <c:pt idx="14">
                  <c:v>417.36799999999999</c:v>
                </c:pt>
                <c:pt idx="15">
                  <c:v>417.36799999999999</c:v>
                </c:pt>
              </c:numCache>
            </c:numRef>
          </c:val>
          <c:extLst>
            <c:ext xmlns:c16="http://schemas.microsoft.com/office/drawing/2014/chart" uri="{C3380CC4-5D6E-409C-BE32-E72D297353CC}">
              <c16:uniqueId val="{00000002-0CA4-4916-B7C0-BD1724823EFE}"/>
            </c:ext>
          </c:extLst>
        </c:ser>
        <c:dLbls>
          <c:showLegendKey val="0"/>
          <c:showVal val="0"/>
          <c:showCatName val="0"/>
          <c:showSerName val="0"/>
          <c:showPercent val="0"/>
          <c:showBubbleSize val="0"/>
        </c:dLbls>
        <c:axId val="173166592"/>
        <c:axId val="182255616"/>
      </c:radarChart>
      <c:catAx>
        <c:axId val="17316659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255616"/>
        <c:crosses val="autoZero"/>
        <c:auto val="1"/>
        <c:lblAlgn val="ctr"/>
        <c:lblOffset val="100"/>
        <c:noMultiLvlLbl val="0"/>
      </c:catAx>
      <c:valAx>
        <c:axId val="18225561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3166592"/>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'244'!$AP$34</c:f>
              <c:strCache>
                <c:ptCount val="1"/>
                <c:pt idx="0">
                  <c:v>LPT Case Hook R Min</c:v>
                </c:pt>
              </c:strCache>
            </c:strRef>
          </c:tx>
          <c:spPr>
            <a:ln w="28575">
              <a:prstDash val="dash"/>
            </a:ln>
          </c:spPr>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'244'!$AP$36:$AP$58</c:f>
              <c:numCache>
                <c:formatCode>General</c:formatCode>
                <c:ptCount val="23"/>
                <c:pt idx="0">
                  <c:v>417.26800000000003</c:v>
                </c:pt>
                <c:pt idx="1">
                  <c:v>417.26800000000003</c:v>
                </c:pt>
                <c:pt idx="2">
                  <c:v>417.26800000000003</c:v>
                </c:pt>
                <c:pt idx="3">
                  <c:v>417.26800000000003</c:v>
                </c:pt>
                <c:pt idx="4">
                  <c:v>417.26800000000003</c:v>
                </c:pt>
                <c:pt idx="5">
                  <c:v>417.26800000000003</c:v>
                </c:pt>
                <c:pt idx="6">
                  <c:v>417.26800000000003</c:v>
                </c:pt>
                <c:pt idx="7">
                  <c:v>417.26800000000003</c:v>
                </c:pt>
                <c:pt idx="8">
                  <c:v>417.26800000000003</c:v>
                </c:pt>
                <c:pt idx="9">
                  <c:v>417.26800000000003</c:v>
                </c:pt>
                <c:pt idx="10">
                  <c:v>417.26800000000003</c:v>
                </c:pt>
                <c:pt idx="11">
                  <c:v>417.26800000000003</c:v>
                </c:pt>
                <c:pt idx="12">
                  <c:v>417.26800000000003</c:v>
                </c:pt>
                <c:pt idx="13">
                  <c:v>417.26800000000003</c:v>
                </c:pt>
                <c:pt idx="14">
                  <c:v>417.26800000000003</c:v>
                </c:pt>
                <c:pt idx="15">
                  <c:v>417.26800000000003</c:v>
                </c:pt>
                <c:pt idx="16">
                  <c:v>417.26800000000003</c:v>
                </c:pt>
                <c:pt idx="17">
                  <c:v>417.26800000000003</c:v>
                </c:pt>
                <c:pt idx="18">
                  <c:v>417.26800000000003</c:v>
                </c:pt>
                <c:pt idx="19">
                  <c:v>417.26800000000003</c:v>
                </c:pt>
                <c:pt idx="20">
                  <c:v>417.26800000000003</c:v>
                </c:pt>
                <c:pt idx="21">
                  <c:v>417.26800000000003</c:v>
                </c:pt>
                <c:pt idx="22">
                  <c:v>417.26800000000003</c:v>
                </c:pt>
              </c:numCache>
            </c:numRef>
          </c:val>
          <c:extLst>
            <c:ext xmlns:c16="http://schemas.microsoft.com/office/drawing/2014/chart" uri="{C3380CC4-5D6E-409C-BE32-E72D297353CC}">
              <c16:uniqueId val="{00000000-373A-4B64-B761-809AF7091EB2}"/>
            </c:ext>
          </c:extLst>
        </c:ser>
        <c:ser>
          <c:idx val="1"/>
          <c:order val="1"/>
          <c:tx>
            <c:strRef>
              <c:f>'244'!$AQ$34</c:f>
              <c:strCache>
                <c:ptCount val="1"/>
                <c:pt idx="0">
                  <c:v>LPT Case Hook R Max</c:v>
                </c:pt>
              </c:strCache>
            </c:strRef>
          </c:tx>
          <c:spPr>
            <a:ln w="28575">
              <a:prstDash val="dash"/>
            </a:ln>
          </c:spPr>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'244'!$AQ$36:$AQ$58</c:f>
              <c:numCache>
                <c:formatCode>General</c:formatCode>
                <c:ptCount val="23"/>
                <c:pt idx="0">
                  <c:v>417.33199999999999</c:v>
                </c:pt>
                <c:pt idx="1">
                  <c:v>417.33199999999999</c:v>
                </c:pt>
                <c:pt idx="2">
                  <c:v>417.33199999999999</c:v>
                </c:pt>
                <c:pt idx="3">
                  <c:v>417.33199999999999</c:v>
                </c:pt>
                <c:pt idx="4">
                  <c:v>417.33199999999999</c:v>
                </c:pt>
                <c:pt idx="5">
                  <c:v>417.33199999999999</c:v>
                </c:pt>
                <c:pt idx="6">
                  <c:v>417.33199999999999</c:v>
                </c:pt>
                <c:pt idx="7">
                  <c:v>417.33199999999999</c:v>
                </c:pt>
                <c:pt idx="8">
                  <c:v>417.33199999999999</c:v>
                </c:pt>
                <c:pt idx="9">
                  <c:v>417.33199999999999</c:v>
                </c:pt>
                <c:pt idx="10">
                  <c:v>417.33199999999999</c:v>
                </c:pt>
                <c:pt idx="11">
                  <c:v>417.33199999999999</c:v>
                </c:pt>
                <c:pt idx="12">
                  <c:v>417.33199999999999</c:v>
                </c:pt>
                <c:pt idx="13">
                  <c:v>417.33199999999999</c:v>
                </c:pt>
                <c:pt idx="14">
                  <c:v>417.33199999999999</c:v>
                </c:pt>
                <c:pt idx="15">
                  <c:v>417.33199999999999</c:v>
                </c:pt>
                <c:pt idx="16">
                  <c:v>417.33199999999999</c:v>
                </c:pt>
                <c:pt idx="17">
                  <c:v>417.33199999999999</c:v>
                </c:pt>
                <c:pt idx="18">
                  <c:v>417.33199999999999</c:v>
                </c:pt>
                <c:pt idx="19">
                  <c:v>417.33199999999999</c:v>
                </c:pt>
                <c:pt idx="20">
                  <c:v>417.33199999999999</c:v>
                </c:pt>
                <c:pt idx="21">
                  <c:v>417.33199999999999</c:v>
                </c:pt>
                <c:pt idx="22">
                  <c:v>417.33199999999999</c:v>
                </c:pt>
              </c:numCache>
            </c:numRef>
          </c:val>
          <c:extLst>
            <c:ext xmlns:c16="http://schemas.microsoft.com/office/drawing/2014/chart" uri="{C3380CC4-5D6E-409C-BE32-E72D297353CC}">
              <c16:uniqueId val="{00000001-373A-4B64-B761-809AF7091EB2}"/>
            </c:ext>
          </c:extLst>
        </c:ser>
        <c:ser>
          <c:idx val="2"/>
          <c:order val="2"/>
          <c:tx>
            <c:strRef>
              <c:f>'244'!$S$34</c:f>
              <c:strCache>
                <c:ptCount val="1"/>
                <c:pt idx="0">
                  <c:v>Stg.3 Shroud Aft#1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'244'!$S$36:$S$58</c:f>
              <c:numCache>
                <c:formatCode>0.000</c:formatCode>
                <c:ptCount val="23"/>
                <c:pt idx="0">
                  <c:v>417.23469066972098</c:v>
                </c:pt>
                <c:pt idx="1">
                  <c:v>417.23469066972098</c:v>
                </c:pt>
              </c:numCache>
            </c:numRef>
          </c:val>
          <c:extLst>
            <c:ext xmlns:c16="http://schemas.microsoft.com/office/drawing/2014/chart" uri="{C3380CC4-5D6E-409C-BE32-E72D297353CC}">
              <c16:uniqueId val="{00000002-373A-4B64-B761-809AF7091EB2}"/>
            </c:ext>
          </c:extLst>
        </c:ser>
        <c:ser>
          <c:idx val="3"/>
          <c:order val="3"/>
          <c:tx>
            <c:strRef>
              <c:f>'244'!$T$34</c:f>
              <c:strCache>
                <c:ptCount val="1"/>
                <c:pt idx="0">
                  <c:v>Stg.3 Shroud Aft#23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'244'!$T$36:$T$58</c:f>
              <c:numCache>
                <c:formatCode>0.000</c:formatCode>
                <c:ptCount val="23"/>
                <c:pt idx="1">
                  <c:v>417.26465908873627</c:v>
                </c:pt>
                <c:pt idx="2">
                  <c:v>417.26465908873627</c:v>
                </c:pt>
              </c:numCache>
            </c:numRef>
          </c:val>
          <c:extLst>
            <c:ext xmlns:c16="http://schemas.microsoft.com/office/drawing/2014/chart" uri="{C3380CC4-5D6E-409C-BE32-E72D297353CC}">
              <c16:uniqueId val="{00000003-373A-4B64-B761-809AF7091EB2}"/>
            </c:ext>
          </c:extLst>
        </c:ser>
        <c:ser>
          <c:idx val="4"/>
          <c:order val="4"/>
          <c:tx>
            <c:strRef>
              <c:f>'244'!$U$34</c:f>
              <c:strCache>
                <c:ptCount val="1"/>
                <c:pt idx="0">
                  <c:v>Stg.3 Shroud Aft#22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'244'!$U$36:$U$58</c:f>
              <c:numCache>
                <c:formatCode>General</c:formatCode>
                <c:ptCount val="23"/>
                <c:pt idx="2" formatCode="0.000">
                  <c:v>417.28972167326043</c:v>
                </c:pt>
                <c:pt idx="3" formatCode="0.000">
                  <c:v>417.28972167326043</c:v>
                </c:pt>
              </c:numCache>
            </c:numRef>
          </c:val>
          <c:extLst>
            <c:ext xmlns:c16="http://schemas.microsoft.com/office/drawing/2014/chart" uri="{C3380CC4-5D6E-409C-BE32-E72D297353CC}">
              <c16:uniqueId val="{00000004-373A-4B64-B761-809AF7091EB2}"/>
            </c:ext>
          </c:extLst>
        </c:ser>
        <c:ser>
          <c:idx val="5"/>
          <c:order val="5"/>
          <c:tx>
            <c:strRef>
              <c:f>'244'!$V$34</c:f>
              <c:strCache>
                <c:ptCount val="1"/>
                <c:pt idx="0">
                  <c:v>Stg.3 Shroud Aft#21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'244'!$V$36:$V$58</c:f>
              <c:numCache>
                <c:formatCode>General</c:formatCode>
                <c:ptCount val="23"/>
                <c:pt idx="3" formatCode="0.000">
                  <c:v>417.30359841954191</c:v>
                </c:pt>
                <c:pt idx="4" formatCode="0.000">
                  <c:v>417.30359841954191</c:v>
                </c:pt>
              </c:numCache>
            </c:numRef>
          </c:val>
          <c:extLst>
            <c:ext xmlns:c16="http://schemas.microsoft.com/office/drawing/2014/chart" uri="{C3380CC4-5D6E-409C-BE32-E72D297353CC}">
              <c16:uniqueId val="{00000005-373A-4B64-B761-809AF7091EB2}"/>
            </c:ext>
          </c:extLst>
        </c:ser>
        <c:ser>
          <c:idx val="6"/>
          <c:order val="6"/>
          <c:tx>
            <c:strRef>
              <c:f>'244'!$W$34</c:f>
              <c:strCache>
                <c:ptCount val="1"/>
                <c:pt idx="0">
                  <c:v>Stg.3 Shroud Aft#20</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'244'!$W$36:$W$58</c:f>
              <c:numCache>
                <c:formatCode>General</c:formatCode>
                <c:ptCount val="23"/>
                <c:pt idx="4" formatCode="0.000">
                  <c:v>417.30398421262146</c:v>
                </c:pt>
                <c:pt idx="5" formatCode="0.000">
                  <c:v>417.30398421262146</c:v>
                </c:pt>
              </c:numCache>
            </c:numRef>
          </c:val>
          <c:extLst>
            <c:ext xmlns:c16="http://schemas.microsoft.com/office/drawing/2014/chart" uri="{C3380CC4-5D6E-409C-BE32-E72D297353CC}">
              <c16:uniqueId val="{00000006-373A-4B64-B761-809AF7091EB2}"/>
            </c:ext>
          </c:extLst>
        </c:ser>
        <c:ser>
          <c:idx val="7"/>
          <c:order val="7"/>
          <c:tx>
            <c:strRef>
              <c:f>'244'!$X$34</c:f>
              <c:strCache>
                <c:ptCount val="1"/>
                <c:pt idx="0">
                  <c:v>Stg.3 Shroud Aft#19</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'244'!$X$36:$X$58</c:f>
              <c:numCache>
                <c:formatCode>General</c:formatCode>
                <c:ptCount val="23"/>
                <c:pt idx="5" formatCode="0.000">
                  <c:v>417.29857710487852</c:v>
                </c:pt>
                <c:pt idx="6" formatCode="0.000">
                  <c:v>417.29857710487852</c:v>
                </c:pt>
              </c:numCache>
            </c:numRef>
          </c:val>
          <c:extLst>
            <c:ext xmlns:c16="http://schemas.microsoft.com/office/drawing/2014/chart" uri="{C3380CC4-5D6E-409C-BE32-E72D297353CC}">
              <c16:uniqueId val="{00000007-373A-4B64-B761-809AF7091EB2}"/>
            </c:ext>
          </c:extLst>
        </c:ser>
        <c:ser>
          <c:idx val="8"/>
          <c:order val="8"/>
          <c:tx>
            <c:strRef>
              <c:f>'244'!$Y$34</c:f>
              <c:strCache>
                <c:ptCount val="1"/>
                <c:pt idx="0">
                  <c:v>Stg.3 Shroud Aft#18</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'244'!$Y$36:$Y$58</c:f>
              <c:numCache>
                <c:formatCode>General</c:formatCode>
                <c:ptCount val="23"/>
                <c:pt idx="6" formatCode="0.000">
                  <c:v>417.29661026308975</c:v>
                </c:pt>
                <c:pt idx="7" formatCode="0.000">
                  <c:v>417.29661026308975</c:v>
                </c:pt>
              </c:numCache>
            </c:numRef>
          </c:val>
          <c:extLst>
            <c:ext xmlns:c16="http://schemas.microsoft.com/office/drawing/2014/chart" uri="{C3380CC4-5D6E-409C-BE32-E72D297353CC}">
              <c16:uniqueId val="{00000008-373A-4B64-B761-809AF7091EB2}"/>
            </c:ext>
          </c:extLst>
        </c:ser>
        <c:ser>
          <c:idx val="9"/>
          <c:order val="9"/>
          <c:tx>
            <c:strRef>
              <c:f>'244'!$Z$34</c:f>
              <c:strCache>
                <c:ptCount val="1"/>
                <c:pt idx="0">
                  <c:v>Stg.3 Shroud Aft#17</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'244'!$Z$36:$Z$58</c:f>
              <c:numCache>
                <c:formatCode>General</c:formatCode>
                <c:ptCount val="23"/>
                <c:pt idx="7" formatCode="0.000">
                  <c:v>417.30101814520413</c:v>
                </c:pt>
                <c:pt idx="8" formatCode="0.000">
                  <c:v>417.30101814520413</c:v>
                </c:pt>
              </c:numCache>
            </c:numRef>
          </c:val>
          <c:extLst>
            <c:ext xmlns:c16="http://schemas.microsoft.com/office/drawing/2014/chart" uri="{C3380CC4-5D6E-409C-BE32-E72D297353CC}">
              <c16:uniqueId val="{00000009-373A-4B64-B761-809AF7091EB2}"/>
            </c:ext>
          </c:extLst>
        </c:ser>
        <c:ser>
          <c:idx val="10"/>
          <c:order val="10"/>
          <c:tx>
            <c:strRef>
              <c:f>'244'!$AA$34</c:f>
              <c:strCache>
                <c:ptCount val="1"/>
                <c:pt idx="0">
                  <c:v>Stg.3 Shroud Aft#16</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'244'!$AA$36:$AA$58</c:f>
              <c:numCache>
                <c:formatCode>General</c:formatCode>
                <c:ptCount val="23"/>
                <c:pt idx="8" formatCode="0.000">
                  <c:v>417.30462214509282</c:v>
                </c:pt>
                <c:pt idx="9" formatCode="0.000">
                  <c:v>417.30462214509282</c:v>
                </c:pt>
              </c:numCache>
            </c:numRef>
          </c:val>
          <c:extLst>
            <c:ext xmlns:c16="http://schemas.microsoft.com/office/drawing/2014/chart" uri="{C3380CC4-5D6E-409C-BE32-E72D297353CC}">
              <c16:uniqueId val="{0000000A-373A-4B64-B761-809AF7091EB2}"/>
            </c:ext>
          </c:extLst>
        </c:ser>
        <c:ser>
          <c:idx val="11"/>
          <c:order val="11"/>
          <c:tx>
            <c:strRef>
              <c:f>'244'!$AB$34</c:f>
              <c:strCache>
                <c:ptCount val="1"/>
                <c:pt idx="0">
                  <c:v>Stg.3 Shroud Aft#15</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'244'!$AB$36:$AB$58</c:f>
              <c:numCache>
                <c:formatCode>General</c:formatCode>
                <c:ptCount val="23"/>
                <c:pt idx="9" formatCode="0.000">
                  <c:v>417.29964434857339</c:v>
                </c:pt>
                <c:pt idx="10" formatCode="0.000">
                  <c:v>417.29964434857339</c:v>
                </c:pt>
              </c:numCache>
            </c:numRef>
          </c:val>
          <c:extLst>
            <c:ext xmlns:c16="http://schemas.microsoft.com/office/drawing/2014/chart" uri="{C3380CC4-5D6E-409C-BE32-E72D297353CC}">
              <c16:uniqueId val="{0000000B-373A-4B64-B761-809AF7091EB2}"/>
            </c:ext>
          </c:extLst>
        </c:ser>
        <c:ser>
          <c:idx val="12"/>
          <c:order val="12"/>
          <c:tx>
            <c:strRef>
              <c:f>'244'!$AC$34</c:f>
              <c:strCache>
                <c:ptCount val="1"/>
                <c:pt idx="0">
                  <c:v>Stg.3 Shroud Aft#14</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'244'!$AC$36:$AC$58</c:f>
              <c:numCache>
                <c:formatCode>General</c:formatCode>
                <c:ptCount val="23"/>
                <c:pt idx="10" formatCode="0.000">
                  <c:v>417.29254551802069</c:v>
                </c:pt>
                <c:pt idx="11" formatCode="0.000">
                  <c:v>417.29254551802069</c:v>
                </c:pt>
              </c:numCache>
            </c:numRef>
          </c:val>
          <c:extLst>
            <c:ext xmlns:c16="http://schemas.microsoft.com/office/drawing/2014/chart" uri="{C3380CC4-5D6E-409C-BE32-E72D297353CC}">
              <c16:uniqueId val="{0000000C-373A-4B64-B761-809AF7091EB2}"/>
            </c:ext>
          </c:extLst>
        </c:ser>
        <c:ser>
          <c:idx val="13"/>
          <c:order val="13"/>
          <c:tx>
            <c:strRef>
              <c:f>'244'!$AD$34</c:f>
              <c:strCache>
                <c:ptCount val="1"/>
                <c:pt idx="0">
                  <c:v>Stg.3 Shroud Aft#13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'244'!$AD$36:$AD$58</c:f>
              <c:numCache>
                <c:formatCode>General</c:formatCode>
                <c:ptCount val="23"/>
                <c:pt idx="11" formatCode="0.000">
                  <c:v>417.28438944002528</c:v>
                </c:pt>
                <c:pt idx="12" formatCode="0.000">
                  <c:v>417.28438944002528</c:v>
                </c:pt>
              </c:numCache>
            </c:numRef>
          </c:val>
          <c:extLst>
            <c:ext xmlns:c16="http://schemas.microsoft.com/office/drawing/2014/chart" uri="{C3380CC4-5D6E-409C-BE32-E72D297353CC}">
              <c16:uniqueId val="{0000000D-373A-4B64-B761-809AF7091EB2}"/>
            </c:ext>
          </c:extLst>
        </c:ser>
        <c:ser>
          <c:idx val="14"/>
          <c:order val="14"/>
          <c:tx>
            <c:strRef>
              <c:f>'244'!$AE$34</c:f>
              <c:strCache>
                <c:ptCount val="1"/>
                <c:pt idx="0">
                  <c:v>Stg.3 Shroud Aft#12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'244'!$AE$36:$AE$58</c:f>
              <c:numCache>
                <c:formatCode>General</c:formatCode>
                <c:ptCount val="23"/>
                <c:pt idx="12" formatCode="0.000">
                  <c:v>417.26811870803408</c:v>
                </c:pt>
                <c:pt idx="13" formatCode="0.000">
                  <c:v>417.26811870803408</c:v>
                </c:pt>
              </c:numCache>
            </c:numRef>
          </c:val>
          <c:extLst>
            <c:ext xmlns:c16="http://schemas.microsoft.com/office/drawing/2014/chart" uri="{C3380CC4-5D6E-409C-BE32-E72D297353CC}">
              <c16:uniqueId val="{0000000E-373A-4B64-B761-809AF7091EB2}"/>
            </c:ext>
          </c:extLst>
        </c:ser>
        <c:ser>
          <c:idx val="15"/>
          <c:order val="15"/>
          <c:tx>
            <c:strRef>
              <c:f>'244'!$AF$34</c:f>
              <c:strCache>
                <c:ptCount val="1"/>
                <c:pt idx="0">
                  <c:v>Stg.3 Shroud Aft#11</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'244'!$AF$36:$AF$58</c:f>
              <c:numCache>
                <c:formatCode>General</c:formatCode>
                <c:ptCount val="23"/>
                <c:pt idx="13" formatCode="0.000">
                  <c:v>417.2529052568309</c:v>
                </c:pt>
                <c:pt idx="14" formatCode="0.000">
                  <c:v>417.2529052568309</c:v>
                </c:pt>
              </c:numCache>
            </c:numRef>
          </c:val>
          <c:extLst>
            <c:ext xmlns:c16="http://schemas.microsoft.com/office/drawing/2014/chart" uri="{C3380CC4-5D6E-409C-BE32-E72D297353CC}">
              <c16:uniqueId val="{0000000F-373A-4B64-B761-809AF7091EB2}"/>
            </c:ext>
          </c:extLst>
        </c:ser>
        <c:ser>
          <c:idx val="16"/>
          <c:order val="16"/>
          <c:tx>
            <c:strRef>
              <c:f>'244'!$AG$34</c:f>
              <c:strCache>
                <c:ptCount val="1"/>
                <c:pt idx="0">
                  <c:v>Stg.3 Shroud Aft#10</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'244'!$AG$36:$AG$58</c:f>
              <c:numCache>
                <c:formatCode>General</c:formatCode>
                <c:ptCount val="23"/>
                <c:pt idx="14" formatCode="0.000">
                  <c:v>417.25394032444268</c:v>
                </c:pt>
                <c:pt idx="15" formatCode="0.000">
                  <c:v>417.25394032444268</c:v>
                </c:pt>
              </c:numCache>
            </c:numRef>
          </c:val>
          <c:extLst>
            <c:ext xmlns:c16="http://schemas.microsoft.com/office/drawing/2014/chart" uri="{C3380CC4-5D6E-409C-BE32-E72D297353CC}">
              <c16:uniqueId val="{00000010-373A-4B64-B761-809AF7091EB2}"/>
            </c:ext>
          </c:extLst>
        </c:ser>
        <c:ser>
          <c:idx val="17"/>
          <c:order val="17"/>
          <c:tx>
            <c:strRef>
              <c:f>'244'!$AH$34</c:f>
              <c:strCache>
                <c:ptCount val="1"/>
                <c:pt idx="0">
                  <c:v>Stg.3 Shroud Aft#9</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'244'!$AH$36:$AH$58</c:f>
              <c:numCache>
                <c:formatCode>General</c:formatCode>
                <c:ptCount val="23"/>
                <c:pt idx="15" formatCode="0.000">
                  <c:v>417.274532578209</c:v>
                </c:pt>
                <c:pt idx="16" formatCode="0.000">
                  <c:v>417.274532578209</c:v>
                </c:pt>
              </c:numCache>
            </c:numRef>
          </c:val>
          <c:extLst>
            <c:ext xmlns:c16="http://schemas.microsoft.com/office/drawing/2014/chart" uri="{C3380CC4-5D6E-409C-BE32-E72D297353CC}">
              <c16:uniqueId val="{00000011-373A-4B64-B761-809AF7091EB2}"/>
            </c:ext>
          </c:extLst>
        </c:ser>
        <c:ser>
          <c:idx val="18"/>
          <c:order val="18"/>
          <c:tx>
            <c:strRef>
              <c:f>'244'!$AI$34</c:f>
              <c:strCache>
                <c:ptCount val="1"/>
                <c:pt idx="0">
                  <c:v>Stg.3 Shroud Aft#8</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'244'!$AI$36:$AI$58</c:f>
              <c:numCache>
                <c:formatCode>General</c:formatCode>
                <c:ptCount val="23"/>
                <c:pt idx="16" formatCode="0.000">
                  <c:v>417.31008979770866</c:v>
                </c:pt>
                <c:pt idx="17" formatCode="0.000">
                  <c:v>417.31008979770866</c:v>
                </c:pt>
              </c:numCache>
            </c:numRef>
          </c:val>
          <c:extLst>
            <c:ext xmlns:c16="http://schemas.microsoft.com/office/drawing/2014/chart" uri="{C3380CC4-5D6E-409C-BE32-E72D297353CC}">
              <c16:uniqueId val="{00000012-373A-4B64-B761-809AF7091EB2}"/>
            </c:ext>
          </c:extLst>
        </c:ser>
        <c:ser>
          <c:idx val="19"/>
          <c:order val="19"/>
          <c:tx>
            <c:strRef>
              <c:f>'244'!$AJ$34</c:f>
              <c:strCache>
                <c:ptCount val="1"/>
                <c:pt idx="0">
                  <c:v>Stg.3 Shroud Aft#7</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'244'!$AJ$36:$AJ$58</c:f>
              <c:numCache>
                <c:formatCode>General</c:formatCode>
                <c:ptCount val="23"/>
                <c:pt idx="17" formatCode="0.000">
                  <c:v>417.33749547835612</c:v>
                </c:pt>
                <c:pt idx="18" formatCode="0.000">
                  <c:v>417.33749547835612</c:v>
                </c:pt>
              </c:numCache>
            </c:numRef>
          </c:val>
          <c:extLst>
            <c:ext xmlns:c16="http://schemas.microsoft.com/office/drawing/2014/chart" uri="{C3380CC4-5D6E-409C-BE32-E72D297353CC}">
              <c16:uniqueId val="{00000013-373A-4B64-B761-809AF7091EB2}"/>
            </c:ext>
          </c:extLst>
        </c:ser>
        <c:ser>
          <c:idx val="20"/>
          <c:order val="20"/>
          <c:tx>
            <c:strRef>
              <c:f>'244'!$AK$34</c:f>
              <c:strCache>
                <c:ptCount val="1"/>
                <c:pt idx="0">
                  <c:v>Stg.3 Shroud Aft#6</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'244'!$AK$36:$AK$58</c:f>
              <c:numCache>
                <c:formatCode>General</c:formatCode>
                <c:ptCount val="23"/>
                <c:pt idx="18" formatCode="0.000">
                  <c:v>417.33903173926967</c:v>
                </c:pt>
                <c:pt idx="19" formatCode="0.000">
                  <c:v>417.33903173926967</c:v>
                </c:pt>
              </c:numCache>
            </c:numRef>
          </c:val>
          <c:extLst>
            <c:ext xmlns:c16="http://schemas.microsoft.com/office/drawing/2014/chart" uri="{C3380CC4-5D6E-409C-BE32-E72D297353CC}">
              <c16:uniqueId val="{00000014-373A-4B64-B761-809AF7091EB2}"/>
            </c:ext>
          </c:extLst>
        </c:ser>
        <c:ser>
          <c:idx val="21"/>
          <c:order val="21"/>
          <c:tx>
            <c:strRef>
              <c:f>'244'!$AL$34</c:f>
              <c:strCache>
                <c:ptCount val="1"/>
                <c:pt idx="0">
                  <c:v>Stg.3 Shroud Aft#5</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'244'!$AL$36:$AL$58</c:f>
              <c:numCache>
                <c:formatCode>General</c:formatCode>
                <c:ptCount val="23"/>
                <c:pt idx="19" formatCode="0.000">
                  <c:v>417.31698840649233</c:v>
                </c:pt>
                <c:pt idx="20" formatCode="0.000">
                  <c:v>417.31698840649233</c:v>
                </c:pt>
              </c:numCache>
            </c:numRef>
          </c:val>
          <c:extLst>
            <c:ext xmlns:c16="http://schemas.microsoft.com/office/drawing/2014/chart" uri="{C3380CC4-5D6E-409C-BE32-E72D297353CC}">
              <c16:uniqueId val="{00000015-373A-4B64-B761-809AF7091EB2}"/>
            </c:ext>
          </c:extLst>
        </c:ser>
        <c:ser>
          <c:idx val="22"/>
          <c:order val="22"/>
          <c:tx>
            <c:strRef>
              <c:f>'244'!$AM$34</c:f>
              <c:strCache>
                <c:ptCount val="1"/>
                <c:pt idx="0">
                  <c:v>Stg.3 Shroud Aft#4</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'244'!$AM$36:$AM$58</c:f>
              <c:numCache>
                <c:formatCode>General</c:formatCode>
                <c:ptCount val="23"/>
                <c:pt idx="20" formatCode="0.000">
                  <c:v>417.27815168194087</c:v>
                </c:pt>
                <c:pt idx="21" formatCode="0.000">
                  <c:v>417.27815168194087</c:v>
                </c:pt>
              </c:numCache>
            </c:numRef>
          </c:val>
          <c:extLst>
            <c:ext xmlns:c16="http://schemas.microsoft.com/office/drawing/2014/chart" uri="{C3380CC4-5D6E-409C-BE32-E72D297353CC}">
              <c16:uniqueId val="{00000016-373A-4B64-B761-809AF7091EB2}"/>
            </c:ext>
          </c:extLst>
        </c:ser>
        <c:ser>
          <c:idx val="23"/>
          <c:order val="23"/>
          <c:tx>
            <c:strRef>
              <c:f>'244'!$AN$34</c:f>
              <c:strCache>
                <c:ptCount val="1"/>
                <c:pt idx="0">
                  <c:v>Stg.3 Shroud Aft#3</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'244'!$AN$36:$AN$58</c:f>
              <c:numCache>
                <c:formatCode>General</c:formatCode>
                <c:ptCount val="23"/>
                <c:pt idx="21" formatCode="0.000">
                  <c:v>417.24245791403439</c:v>
                </c:pt>
                <c:pt idx="22" formatCode="0.000">
                  <c:v>417.24245791403439</c:v>
                </c:pt>
              </c:numCache>
            </c:numRef>
          </c:val>
          <c:extLst>
            <c:ext xmlns:c16="http://schemas.microsoft.com/office/drawing/2014/chart" uri="{C3380CC4-5D6E-409C-BE32-E72D297353CC}">
              <c16:uniqueId val="{00000017-373A-4B64-B761-809AF7091EB2}"/>
            </c:ext>
          </c:extLst>
        </c:ser>
        <c:ser>
          <c:idx val="24"/>
          <c:order val="24"/>
          <c:tx>
            <c:strRef>
              <c:f>'244'!$AO$34</c:f>
              <c:strCache>
                <c:ptCount val="1"/>
                <c:pt idx="0">
                  <c:v>Stg.3 Shroud Aft#2</c:v>
                </c:pt>
              </c:strCache>
            </c:strRef>
          </c:tx>
          <c:marker>
            <c:symbol val="none"/>
          </c:marker>
          <c:cat>
            <c:numRef>
              <c:f>'244'!$J$36:$J$58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'244'!$AO$36:$AO$58</c:f>
              <c:numCache>
                <c:formatCode>General</c:formatCode>
                <c:ptCount val="23"/>
                <c:pt idx="0" formatCode="0.000">
                  <c:v>417.22345011906833</c:v>
                </c:pt>
                <c:pt idx="22" formatCode="0.000">
                  <c:v>417.22345011906833</c:v>
                </c:pt>
              </c:numCache>
            </c:numRef>
          </c:val>
          <c:extLst>
            <c:ext xmlns:c16="http://schemas.microsoft.com/office/drawing/2014/chart" uri="{C3380CC4-5D6E-409C-BE32-E72D297353CC}">
              <c16:uniqueId val="{00000018-373A-4B64-B761-809AF7091EB2}"/>
            </c:ext>
          </c:extLst>
        </c:ser>
        <c:dLbls>
          <c:showLegendKey val="0"/>
          <c:showVal val="0"/>
          <c:showCatName val="0"/>
          <c:showSerName val="0"/>
          <c:showPercent val="0"/>
          <c:showBubbleSize val="0"/>
        </c:dLbls>
        <c:axId val="182195712"/>
        <c:axId val="182517056"/>
      </c:radarChart>
      <c:catAx>
        <c:axId val="18219571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517056"/>
        <c:crosses val="autoZero"/>
        <c:auto val="1"/>
        <c:lblAlgn val="ctr"/>
        <c:lblOffset val="100"/>
        <c:noMultiLvlLbl val="0"/>
      </c:catAx>
      <c:valAx>
        <c:axId val="18251705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2195712"/>
        <c:crosses val="autoZero"/>
        <c:crossBetween val="between"/>
        <c:majorUnit val="5.000000000000001E-2"/>
      </c:valAx>
    </c:plotArea>
    <c:legend>
      <c:legendPos val="r"/>
      <c:layout>
        <c:manualLayout>
          <c:xMode val="edge"/>
          <c:yMode val="edge"/>
          <c:x val="0.75693147025290097"/>
          <c:y val="0"/>
          <c:w val="0.23186852904158714"/>
          <c:h val="1"/>
        </c:manualLayout>
      </c:layout>
      <c:overlay val="0"/>
      <c:txPr>
        <a:bodyPr/>
        <a:lstStyle/>
        <a:p>
          <a:pPr>
            <a:defRPr lang="ja-JP" sz="7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'237'!$K$9</c:f>
              <c:strCache>
                <c:ptCount val="1"/>
                <c:pt idx="0">
                  <c:v>CMM</c:v>
                </c:pt>
              </c:strCache>
            </c:strRef>
          </c:tx>
          <c:marker>
            <c:symbol val="none"/>
          </c:marker>
          <c:cat>
            <c:numRef>
              <c:f>'237'!$J$11:$J$26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'237'!$K$11:$K$26</c:f>
              <c:numCache>
                <c:formatCode>General</c:formatCode>
                <c:ptCount val="16"/>
                <c:pt idx="0">
                  <c:v>361.38300000138355</c:v>
                </c:pt>
                <c:pt idx="1">
                  <c:v>361.39000002213675</c:v>
                </c:pt>
                <c:pt idx="2">
                  <c:v>361.38900000000001</c:v>
                </c:pt>
                <c:pt idx="3">
                  <c:v>361.43000004980217</c:v>
                </c:pt>
                <c:pt idx="4">
                  <c:v>361.4230000013834</c:v>
                </c:pt>
                <c:pt idx="5">
                  <c:v>361.43300002213414</c:v>
                </c:pt>
                <c:pt idx="6">
                  <c:v>361.37300000138362</c:v>
                </c:pt>
                <c:pt idx="7">
                  <c:v>361.36100001245291</c:v>
                </c:pt>
                <c:pt idx="8">
                  <c:v>361.35900000138366</c:v>
                </c:pt>
                <c:pt idx="9">
                  <c:v>361.38600001245209</c:v>
                </c:pt>
                <c:pt idx="10">
                  <c:v>361.401000005534</c:v>
                </c:pt>
                <c:pt idx="11">
                  <c:v>361.43700016738745</c:v>
                </c:pt>
                <c:pt idx="12">
                  <c:v>361.4230000013834</c:v>
                </c:pt>
                <c:pt idx="13">
                  <c:v>361.42599999999999</c:v>
                </c:pt>
                <c:pt idx="14">
                  <c:v>361.38000001245223</c:v>
                </c:pt>
                <c:pt idx="15">
                  <c:v>361.37300000138362</c:v>
                </c:pt>
              </c:numCache>
            </c:numRef>
          </c:val>
          <c:extLst>
            <c:ext xmlns:c16="http://schemas.microsoft.com/office/drawing/2014/chart" uri="{C3380CC4-5D6E-409C-BE32-E72D297353CC}">
              <c16:uniqueId val="{00000000-703A-4B32-BF8B-765670711B02}"/>
            </c:ext>
          </c:extLst>
        </c:ser>
        <c:ser>
          <c:idx val="1"/>
          <c:order val="1"/>
          <c:tx>
            <c:strRef>
              <c:f>'237'!$L$9</c:f>
              <c:strCache>
                <c:ptCount val="1"/>
                <c:pt idx="0">
                  <c:v>Dwg Min</c:v>
                </c:pt>
              </c:strCache>
            </c:strRef>
          </c:tx>
          <c:spPr>
            <a:ln>
              <a:prstDash val="dash"/>
            </a:ln>
          </c:spPr>
          <c:marker>
            <c:symbol val="none"/>
          </c:marker>
          <c:val>
            <c:numRef>
              <c:f>'237'!$L$11:$L$26</c:f>
              <c:numCache>
                <c:formatCode>General</c:formatCode>
                <c:ptCount val="16"/>
                <c:pt idx="0">
                  <c:v>361.31</c:v>
                </c:pt>
                <c:pt idx="1">
                  <c:v>361.31</c:v>
                </c:pt>
                <c:pt idx="2">
                  <c:v>361.31</c:v>
                </c:pt>
                <c:pt idx="3">
                  <c:v>361.31</c:v>
                </c:pt>
                <c:pt idx="4">
                  <c:v>361.31</c:v>
                </c:pt>
                <c:pt idx="5">
                  <c:v>361.31</c:v>
                </c:pt>
                <c:pt idx="6">
                  <c:v>361.31</c:v>
                </c:pt>
                <c:pt idx="7">
                  <c:v>361.31</c:v>
                </c:pt>
                <c:pt idx="8">
                  <c:v>361.31</c:v>
                </c:pt>
                <c:pt idx="9">
                  <c:v>361.31</c:v>
                </c:pt>
                <c:pt idx="10">
                  <c:v>361.31</c:v>
                </c:pt>
                <c:pt idx="11">
                  <c:v>361.31</c:v>
                </c:pt>
                <c:pt idx="12">
                  <c:v>361.31</c:v>
                </c:pt>
                <c:pt idx="13">
                  <c:v>361.31</c:v>
                </c:pt>
                <c:pt idx="14">
                  <c:v>361.31</c:v>
                </c:pt>
                <c:pt idx="15">
                  <c:v>361.31</c:v>
                </c:pt>
              </c:numCache>
            </c:numRef>
          </c:val>
          <c:extLst>
            <c:ext xmlns:c16="http://schemas.microsoft.com/office/drawing/2014/chart" uri="{C3380CC4-5D6E-409C-BE32-E72D297353CC}">
              <c16:uniqueId val="{00000001-703A-4B32-BF8B-765670711B02}"/>
            </c:ext>
          </c:extLst>
        </c:ser>
        <c:ser>
          <c:idx val="2"/>
          <c:order val="2"/>
          <c:tx>
            <c:strRef>
              <c:f>'237'!$M$9</c:f>
              <c:strCache>
                <c:ptCount val="1"/>
                <c:pt idx="0">
                  <c:v>Dwg Max</c:v>
                </c:pt>
              </c:strCache>
            </c:strRef>
          </c:tx>
          <c:spPr>
            <a:ln>
              <a:prstDash val="dash"/>
            </a:ln>
          </c:spPr>
          <c:marker>
            <c:symbol val="none"/>
          </c:marker>
          <c:val>
            <c:numRef>
              <c:f>'237'!$M$11:$M$26</c:f>
              <c:numCache>
                <c:formatCode>General</c:formatCode>
                <c:ptCount val="16"/>
                <c:pt idx="0">
                  <c:v>361.48999999999995</c:v>
                </c:pt>
                <c:pt idx="1">
                  <c:v>361.48999999999995</c:v>
                </c:pt>
                <c:pt idx="2">
                  <c:v>361.48999999999995</c:v>
                </c:pt>
                <c:pt idx="3">
                  <c:v>361.48999999999995</c:v>
                </c:pt>
                <c:pt idx="4">
                  <c:v>361.48999999999995</c:v>
                </c:pt>
                <c:pt idx="5">
                  <c:v>361.48999999999995</c:v>
                </c:pt>
                <c:pt idx="6">
                  <c:v>361.48999999999995</c:v>
                </c:pt>
                <c:pt idx="7">
                  <c:v>361.48999999999995</c:v>
                </c:pt>
                <c:pt idx="8">
                  <c:v>361.48999999999995</c:v>
                </c:pt>
                <c:pt idx="9">
                  <c:v>361.48999999999995</c:v>
                </c:pt>
                <c:pt idx="10">
                  <c:v>361.48999999999995</c:v>
                </c:pt>
                <c:pt idx="11">
                  <c:v>361.48999999999995</c:v>
                </c:pt>
                <c:pt idx="12">
                  <c:v>361.48999999999995</c:v>
                </c:pt>
                <c:pt idx="13">
                  <c:v>361.48999999999995</c:v>
                </c:pt>
                <c:pt idx="14">
                  <c:v>361.48999999999995</c:v>
                </c:pt>
                <c:pt idx="15">
                  <c:v>361.48999999999995</c:v>
                </c:pt>
              </c:numCache>
            </c:numRef>
          </c:val>
          <c:extLst>
            <c:ext xmlns:c16="http://schemas.microsoft.com/office/drawing/2014/chart" uri="{C3380CC4-5D6E-409C-BE32-E72D297353CC}">
              <c16:uniqueId val="{00000002-703A-4B32-BF8B-765670711B02}"/>
            </c:ext>
          </c:extLst>
        </c:ser>
        <c:dLbls>
          <c:showLegendKey val="0"/>
          <c:showVal val="0"/>
          <c:showCatName val="0"/>
          <c:showSerName val="0"/>
          <c:showPercent val="0"/>
          <c:showBubbleSize val="0"/>
        </c:dLbls>
        <c:axId val="183032320"/>
        <c:axId val="183383104"/>
      </c:radarChart>
      <c:catAx>
        <c:axId val="18303232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3383104"/>
        <c:crosses val="autoZero"/>
        <c:auto val="1"/>
        <c:lblAlgn val="ctr"/>
        <c:lblOffset val="100"/>
        <c:noMultiLvlLbl val="0"/>
      </c:catAx>
      <c:valAx>
        <c:axId val="18338310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3032320"/>
        <c:crosses val="autoZero"/>
        <c:crossBetween val="between"/>
      </c:valAx>
    </c:plotArea>
    <c:legend>
      <c:legendPos val="r"/>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'237'!$BC$34</c:f>
              <c:strCache>
                <c:ptCount val="1"/>
                <c:pt idx="0">
                  <c:v>LPT Case Hook R Min</c:v>
                </c:pt>
              </c:strCache>
            </c:strRef>
          </c:tx>
          <c:spPr>
            <a:ln w="28575">
              <a:prstDash val="dash"/>
            </a:ln>
          </c:spPr>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'237'!$BC$36:$BC$71</c:f>
              <c:numCache>
                <c:formatCode>General</c:formatCode>
                <c:ptCount val="36"/>
                <c:pt idx="0">
                  <c:v>361.36799999999999</c:v>
                </c:pt>
                <c:pt idx="1">
                  <c:v>361.36799999999999</c:v>
                </c:pt>
                <c:pt idx="2">
                  <c:v>361.36799999999999</c:v>
                </c:pt>
                <c:pt idx="3">
                  <c:v>361.36799999999999</c:v>
                </c:pt>
                <c:pt idx="4">
                  <c:v>361.36799999999999</c:v>
                </c:pt>
                <c:pt idx="5">
                  <c:v>361.36799999999999</c:v>
                </c:pt>
                <c:pt idx="6">
                  <c:v>361.36799999999999</c:v>
                </c:pt>
                <c:pt idx="7">
                  <c:v>361.36799999999999</c:v>
                </c:pt>
                <c:pt idx="8">
                  <c:v>361.36799999999999</c:v>
                </c:pt>
                <c:pt idx="9">
                  <c:v>361.36799999999999</c:v>
                </c:pt>
                <c:pt idx="10">
                  <c:v>361.36799999999999</c:v>
                </c:pt>
                <c:pt idx="11">
                  <c:v>361.36799999999999</c:v>
                </c:pt>
                <c:pt idx="12">
                  <c:v>361.36799999999999</c:v>
                </c:pt>
                <c:pt idx="13">
                  <c:v>361.36799999999999</c:v>
                </c:pt>
                <c:pt idx="14">
                  <c:v>361.36799999999999</c:v>
                </c:pt>
                <c:pt idx="15">
                  <c:v>361.36799999999999</c:v>
                </c:pt>
                <c:pt idx="16">
                  <c:v>361.36799999999999</c:v>
                </c:pt>
                <c:pt idx="17">
                  <c:v>361.36799999999999</c:v>
                </c:pt>
                <c:pt idx="18">
                  <c:v>361.36799999999999</c:v>
                </c:pt>
                <c:pt idx="19">
                  <c:v>361.36799999999999</c:v>
                </c:pt>
                <c:pt idx="20">
                  <c:v>361.36799999999999</c:v>
                </c:pt>
                <c:pt idx="21">
                  <c:v>361.36799999999999</c:v>
                </c:pt>
                <c:pt idx="22">
                  <c:v>361.36799999999999</c:v>
                </c:pt>
                <c:pt idx="23">
                  <c:v>361.36799999999999</c:v>
                </c:pt>
                <c:pt idx="24">
                  <c:v>361.36799999999999</c:v>
                </c:pt>
                <c:pt idx="25">
                  <c:v>361.36799999999999</c:v>
                </c:pt>
                <c:pt idx="26">
                  <c:v>361.36799999999999</c:v>
                </c:pt>
                <c:pt idx="27">
                  <c:v>361.36799999999999</c:v>
                </c:pt>
                <c:pt idx="28">
                  <c:v>361.36799999999999</c:v>
                </c:pt>
                <c:pt idx="29">
                  <c:v>361.36799999999999</c:v>
                </c:pt>
                <c:pt idx="30">
                  <c:v>361.36799999999999</c:v>
                </c:pt>
                <c:pt idx="31">
                  <c:v>361.36799999999999</c:v>
                </c:pt>
                <c:pt idx="32">
                  <c:v>361.36799999999999</c:v>
                </c:pt>
                <c:pt idx="33">
                  <c:v>361.36799999999999</c:v>
                </c:pt>
                <c:pt idx="34">
                  <c:v>361.36799999999999</c:v>
                </c:pt>
                <c:pt idx="35">
                  <c:v>361.36799999999999</c:v>
                </c:pt>
              </c:numCache>
            </c:numRef>
          </c:val>
          <c:extLst>
            <c:ext xmlns:c16="http://schemas.microsoft.com/office/drawing/2014/chart" uri="{C3380CC4-5D6E-409C-BE32-E72D297353CC}">
              <c16:uniqueId val="{00000000-F89C-4F79-B7E9-C9ED873808C9}"/>
            </c:ext>
          </c:extLst>
        </c:ser>
        <c:ser>
          <c:idx val="1"/>
          <c:order val="1"/>
          <c:tx>
            <c:strRef>
              <c:f>'237'!$BD$34</c:f>
              <c:strCache>
                <c:ptCount val="1"/>
                <c:pt idx="0">
                  <c:v>LPT Case Hook R Max</c:v>
                </c:pt>
              </c:strCache>
            </c:strRef>
          </c:tx>
          <c:spPr>
            <a:ln w="28575">
              <a:prstDash val="dash"/>
            </a:ln>
          </c:spPr>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'237'!$BD$36:$BD$71</c:f>
              <c:numCache>
                <c:formatCode>General</c:formatCode>
                <c:ptCount val="36"/>
                <c:pt idx="0">
                  <c:v>361.43199999999996</c:v>
                </c:pt>
                <c:pt idx="1">
                  <c:v>361.43199999999996</c:v>
                </c:pt>
                <c:pt idx="2">
                  <c:v>361.43199999999996</c:v>
                </c:pt>
                <c:pt idx="3">
                  <c:v>361.43199999999996</c:v>
                </c:pt>
                <c:pt idx="4">
                  <c:v>361.43199999999996</c:v>
                </c:pt>
                <c:pt idx="5">
                  <c:v>361.43199999999996</c:v>
                </c:pt>
                <c:pt idx="6">
                  <c:v>361.43199999999996</c:v>
                </c:pt>
                <c:pt idx="7">
                  <c:v>361.43199999999996</c:v>
                </c:pt>
                <c:pt idx="8">
                  <c:v>361.43199999999996</c:v>
                </c:pt>
                <c:pt idx="9">
                  <c:v>361.43199999999996</c:v>
                </c:pt>
                <c:pt idx="10">
                  <c:v>361.43199999999996</c:v>
                </c:pt>
                <c:pt idx="11">
                  <c:v>361.43199999999996</c:v>
                </c:pt>
                <c:pt idx="12">
                  <c:v>361.43199999999996</c:v>
                </c:pt>
                <c:pt idx="13">
                  <c:v>361.43199999999996</c:v>
                </c:pt>
                <c:pt idx="14">
                  <c:v>361.43199999999996</c:v>
                </c:pt>
                <c:pt idx="15">
                  <c:v>361.43199999999996</c:v>
                </c:pt>
                <c:pt idx="16">
                  <c:v>361.43199999999996</c:v>
                </c:pt>
                <c:pt idx="17">
                  <c:v>361.43199999999996</c:v>
                </c:pt>
                <c:pt idx="18">
                  <c:v>361.43199999999996</c:v>
                </c:pt>
                <c:pt idx="19">
                  <c:v>361.43199999999996</c:v>
                </c:pt>
                <c:pt idx="20">
                  <c:v>361.43199999999996</c:v>
                </c:pt>
                <c:pt idx="21">
                  <c:v>361.43199999999996</c:v>
                </c:pt>
                <c:pt idx="22">
                  <c:v>361.43199999999996</c:v>
                </c:pt>
                <c:pt idx="23">
                  <c:v>361.43199999999996</c:v>
                </c:pt>
                <c:pt idx="24">
                  <c:v>361.43199999999996</c:v>
                </c:pt>
                <c:pt idx="25">
                  <c:v>361.43199999999996</c:v>
                </c:pt>
                <c:pt idx="26">
                  <c:v>361.43199999999996</c:v>
                </c:pt>
                <c:pt idx="27">
                  <c:v>361.43199999999996</c:v>
                </c:pt>
                <c:pt idx="28">
                  <c:v>361.43199999999996</c:v>
                </c:pt>
                <c:pt idx="29">
                  <c:v>361.43199999999996</c:v>
                </c:pt>
                <c:pt idx="30">
                  <c:v>361.43199999999996</c:v>
                </c:pt>
                <c:pt idx="31">
                  <c:v>361.43199999999996</c:v>
                </c:pt>
                <c:pt idx="32">
                  <c:v>361.43199999999996</c:v>
                </c:pt>
                <c:pt idx="33">
                  <c:v>361.43199999999996</c:v>
                </c:pt>
                <c:pt idx="34">
                  <c:v>361.43199999999996</c:v>
                </c:pt>
                <c:pt idx="35">
                  <c:v>361.43199999999996</c:v>
                </c:pt>
              </c:numCache>
            </c:numRef>
          </c:val>
          <c:extLst>
            <c:ext xmlns:c16="http://schemas.microsoft.com/office/drawing/2014/chart" uri="{C3380CC4-5D6E-409C-BE32-E72D297353CC}">
              <c16:uniqueId val="{00000001-F89C-4F79-B7E9-C9ED873808C9}"/>
            </c:ext>
          </c:extLst>
        </c:ser>
        <c:ser>
          <c:idx val="2"/>
          <c:order val="2"/>
          <c:tx>
            <c:strRef>
              <c:f>'237'!$S$34</c:f>
              <c:strCache>
                <c:ptCount val="1"/>
                <c:pt idx="0">
                  <c:v>Stg.2 Nozzle Fwd#1</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'237'!$S$36:$S$71</c:f>
              <c:numCache>
                <c:formatCode>0.000</c:formatCode>
                <c:ptCount val="36"/>
                <c:pt idx="0">
                  <c:v>361.38033333471691</c:v>
                </c:pt>
                <c:pt idx="1">
                  <c:v>361.38033333471691</c:v>
                </c:pt>
              </c:numCache>
            </c:numRef>
          </c:val>
          <c:extLst>
            <c:ext xmlns:c16="http://schemas.microsoft.com/office/drawing/2014/chart" uri="{C3380CC4-5D6E-409C-BE32-E72D297353CC}">
              <c16:uniqueId val="{00000002-F89C-4F79-B7E9-C9ED873808C9}"/>
            </c:ext>
          </c:extLst>
        </c:ser>
        <c:ser>
          <c:idx val="3"/>
          <c:order val="3"/>
          <c:tx>
            <c:strRef>
              <c:f>'237'!$T$34</c:f>
              <c:strCache>
                <c:ptCount val="1"/>
                <c:pt idx="0">
                  <c:v>Stg.2 Nozzle Fwd#36</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'237'!$T$36:$T$71</c:f>
              <c:numCache>
                <c:formatCode>0.000</c:formatCode>
                <c:ptCount val="36"/>
                <c:pt idx="1">
                  <c:v>361.384177783312</c:v>
                </c:pt>
                <c:pt idx="2">
                  <c:v>361.384177783312</c:v>
                </c:pt>
              </c:numCache>
            </c:numRef>
          </c:val>
          <c:extLst>
            <c:ext xmlns:c16="http://schemas.microsoft.com/office/drawing/2014/chart" uri="{C3380CC4-5D6E-409C-BE32-E72D297353CC}">
              <c16:uniqueId val="{00000003-F89C-4F79-B7E9-C9ED873808C9}"/>
            </c:ext>
          </c:extLst>
        </c:ser>
        <c:ser>
          <c:idx val="4"/>
          <c:order val="4"/>
          <c:tx>
            <c:strRef>
              <c:f>'237'!$U$34</c:f>
              <c:strCache>
                <c:ptCount val="1"/>
                <c:pt idx="0">
                  <c:v>Stg.2 Nozzle Fwd#35</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'237'!$U$36:$U$71</c:f>
              <c:numCache>
                <c:formatCode>General</c:formatCode>
                <c:ptCount val="36"/>
                <c:pt idx="2" formatCode="0.000">
                  <c:v>361.38735556985222</c:v>
                </c:pt>
                <c:pt idx="3" formatCode="0.000">
                  <c:v>361.38735556985222</c:v>
                </c:pt>
              </c:numCache>
            </c:numRef>
          </c:val>
          <c:extLst>
            <c:ext xmlns:c16="http://schemas.microsoft.com/office/drawing/2014/chart" uri="{C3380CC4-5D6E-409C-BE32-E72D297353CC}">
              <c16:uniqueId val="{00000004-F89C-4F79-B7E9-C9ED873808C9}"/>
            </c:ext>
          </c:extLst>
        </c:ser>
        <c:ser>
          <c:idx val="5"/>
          <c:order val="5"/>
          <c:tx>
            <c:strRef>
              <c:f>'237'!$V$34</c:f>
              <c:strCache>
                <c:ptCount val="1"/>
                <c:pt idx="0">
                  <c:v>Stg.2 Nozzle Fwd#34</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'237'!$V$36:$V$71</c:f>
              <c:numCache>
                <c:formatCode>General</c:formatCode>
                <c:ptCount val="36"/>
                <c:pt idx="3" formatCode="0.000">
                  <c:v>361.38931112843619</c:v>
                </c:pt>
                <c:pt idx="4" formatCode="0.000">
                  <c:v>361.38931112843619</c:v>
                </c:pt>
              </c:numCache>
            </c:numRef>
          </c:val>
          <c:extLst>
            <c:ext xmlns:c16="http://schemas.microsoft.com/office/drawing/2014/chart" uri="{C3380CC4-5D6E-409C-BE32-E72D297353CC}">
              <c16:uniqueId val="{00000005-F89C-4F79-B7E9-C9ED873808C9}"/>
            </c:ext>
          </c:extLst>
        </c:ser>
        <c:ser>
          <c:idx val="6"/>
          <c:order val="6"/>
          <c:tx>
            <c:strRef>
              <c:f>'237'!$W$34</c:f>
              <c:strCache>
                <c:ptCount val="1"/>
                <c:pt idx="0">
                  <c:v>Stg.2 Nozzle Fwd#33</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'237'!$W$36:$W$71</c:f>
              <c:numCache>
                <c:formatCode>General</c:formatCode>
                <c:ptCount val="36"/>
                <c:pt idx="4" formatCode="0.000">
                  <c:v>361.3894888997113</c:v>
                </c:pt>
                <c:pt idx="5" formatCode="0.000">
                  <c:v>361.3894888997113</c:v>
                </c:pt>
              </c:numCache>
            </c:numRef>
          </c:val>
          <c:extLst>
            <c:ext xmlns:c16="http://schemas.microsoft.com/office/drawing/2014/chart" uri="{C3380CC4-5D6E-409C-BE32-E72D297353CC}">
              <c16:uniqueId val="{00000006-F89C-4F79-B7E9-C9ED873808C9}"/>
            </c:ext>
          </c:extLst>
        </c:ser>
        <c:ser>
          <c:idx val="7"/>
          <c:order val="7"/>
          <c:tx>
            <c:strRef>
              <c:f>'237'!$X$34</c:f>
              <c:strCache>
                <c:ptCount val="1"/>
                <c:pt idx="0">
                  <c:v>Stg.2 Nozzle Fwd#32</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'237'!$X$36:$X$71</c:f>
              <c:numCache>
                <c:formatCode>General</c:formatCode>
                <c:ptCount val="36"/>
                <c:pt idx="5" formatCode="0.000">
                  <c:v>361.39277778515623</c:v>
                </c:pt>
                <c:pt idx="6" formatCode="0.000">
                  <c:v>361.39277778515623</c:v>
                </c:pt>
              </c:numCache>
            </c:numRef>
          </c:val>
          <c:extLst>
            <c:ext xmlns:c16="http://schemas.microsoft.com/office/drawing/2014/chart" uri="{C3380CC4-5D6E-409C-BE32-E72D297353CC}">
              <c16:uniqueId val="{00000007-F89C-4F79-B7E9-C9ED873808C9}"/>
            </c:ext>
          </c:extLst>
        </c:ser>
        <c:ser>
          <c:idx val="8"/>
          <c:order val="8"/>
          <c:tx>
            <c:strRef>
              <c:f>'237'!$Y$34</c:f>
              <c:strCache>
                <c:ptCount val="1"/>
                <c:pt idx="0">
                  <c:v>Stg.2 Nozzle Fwd#31</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'237'!$Y$36:$Y$71</c:f>
              <c:numCache>
                <c:formatCode>General</c:formatCode>
                <c:ptCount val="36"/>
                <c:pt idx="6" formatCode="0.000">
                  <c:v>361.40540001992088</c:v>
                </c:pt>
                <c:pt idx="7" formatCode="0.000">
                  <c:v>361.40540001992088</c:v>
                </c:pt>
              </c:numCache>
            </c:numRef>
          </c:val>
          <c:extLst>
            <c:ext xmlns:c16="http://schemas.microsoft.com/office/drawing/2014/chart" uri="{C3380CC4-5D6E-409C-BE32-E72D297353CC}">
              <c16:uniqueId val="{00000008-F89C-4F79-B7E9-C9ED873808C9}"/>
            </c:ext>
          </c:extLst>
        </c:ser>
        <c:ser>
          <c:idx val="9"/>
          <c:order val="9"/>
          <c:tx>
            <c:strRef>
              <c:f>'237'!$Z$34</c:f>
              <c:strCache>
                <c:ptCount val="1"/>
                <c:pt idx="0">
                  <c:v>Stg.2 Nozzle Fwd#30</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'237'!$Z$36:$Z$71</c:f>
              <c:numCache>
                <c:formatCode>General</c:formatCode>
                <c:ptCount val="36"/>
                <c:pt idx="7" formatCode="0.000">
                  <c:v>361.42202226100335</c:v>
                </c:pt>
                <c:pt idx="8" formatCode="0.000">
                  <c:v>361.42202226100335</c:v>
                </c:pt>
              </c:numCache>
            </c:numRef>
          </c:val>
          <c:extLst>
            <c:ext xmlns:c16="http://schemas.microsoft.com/office/drawing/2014/chart" uri="{C3380CC4-5D6E-409C-BE32-E72D297353CC}">
              <c16:uniqueId val="{00000009-F89C-4F79-B7E9-C9ED873808C9}"/>
            </c:ext>
          </c:extLst>
        </c:ser>
        <c:ser>
          <c:idx val="10"/>
          <c:order val="10"/>
          <c:tx>
            <c:strRef>
              <c:f>'237'!$AA$34</c:f>
              <c:strCache>
                <c:ptCount val="1"/>
                <c:pt idx="0">
                  <c:v>Stg.2 Nozzle Fwd#29</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'237'!$AA$36:$AA$71</c:f>
              <c:numCache>
                <c:formatCode>General</c:formatCode>
                <c:ptCount val="36"/>
                <c:pt idx="8" formatCode="0.000">
                  <c:v>361.42797781359229</c:v>
                </c:pt>
                <c:pt idx="9" formatCode="0.000">
                  <c:v>361.42797781359229</c:v>
                </c:pt>
              </c:numCache>
            </c:numRef>
          </c:val>
          <c:extLst>
            <c:ext xmlns:c16="http://schemas.microsoft.com/office/drawing/2014/chart" uri="{C3380CC4-5D6E-409C-BE32-E72D297353CC}">
              <c16:uniqueId val="{0000000A-F89C-4F79-B7E9-C9ED873808C9}"/>
            </c:ext>
          </c:extLst>
        </c:ser>
        <c:ser>
          <c:idx val="11"/>
          <c:order val="11"/>
          <c:tx>
            <c:strRef>
              <c:f>'237'!$AB$34</c:f>
              <c:strCache>
                <c:ptCount val="1"/>
                <c:pt idx="0">
                  <c:v>Stg.2 Nozzle Fwd#28</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'237'!$AB$36:$AB$71</c:f>
              <c:numCache>
                <c:formatCode>General</c:formatCode>
                <c:ptCount val="36"/>
                <c:pt idx="9" formatCode="0.000">
                  <c:v>361.42486668096171</c:v>
                </c:pt>
                <c:pt idx="10" formatCode="0.000">
                  <c:v>361.42486668096171</c:v>
                </c:pt>
              </c:numCache>
            </c:numRef>
          </c:val>
          <c:extLst>
            <c:ext xmlns:c16="http://schemas.microsoft.com/office/drawing/2014/chart" uri="{C3380CC4-5D6E-409C-BE32-E72D297353CC}">
              <c16:uniqueId val="{0000000B-F89C-4F79-B7E9-C9ED873808C9}"/>
            </c:ext>
          </c:extLst>
        </c:ser>
        <c:ser>
          <c:idx val="12"/>
          <c:order val="12"/>
          <c:tx>
            <c:strRef>
              <c:f>'237'!$AC$34</c:f>
              <c:strCache>
                <c:ptCount val="1"/>
                <c:pt idx="0">
                  <c:v>Stg.2 Nozzle Fwd#27</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'237'!$AC$36:$AC$71</c:f>
              <c:numCache>
                <c:formatCode>General</c:formatCode>
                <c:ptCount val="36"/>
                <c:pt idx="10" formatCode="0.000">
                  <c:v>361.42515556216506</c:v>
                </c:pt>
                <c:pt idx="11" formatCode="0.000">
                  <c:v>361.42515556216506</c:v>
                </c:pt>
              </c:numCache>
            </c:numRef>
          </c:val>
          <c:extLst>
            <c:ext xmlns:c16="http://schemas.microsoft.com/office/drawing/2014/chart" uri="{C3380CC4-5D6E-409C-BE32-E72D297353CC}">
              <c16:uniqueId val="{0000000C-F89C-4F79-B7E9-C9ED873808C9}"/>
            </c:ext>
          </c:extLst>
        </c:ser>
        <c:ser>
          <c:idx val="13"/>
          <c:order val="13"/>
          <c:tx>
            <c:strRef>
              <c:f>'237'!$AD$34</c:f>
              <c:strCache>
                <c:ptCount val="1"/>
                <c:pt idx="0">
                  <c:v>Stg.2 Nozzle Fwd#26</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'237'!$AD$36:$AD$71</c:f>
              <c:numCache>
                <c:formatCode>General</c:formatCode>
                <c:ptCount val="36"/>
                <c:pt idx="11" formatCode="0.000">
                  <c:v>361.42922223651721</c:v>
                </c:pt>
                <c:pt idx="12" formatCode="0.000">
                  <c:v>361.42922223651721</c:v>
                </c:pt>
              </c:numCache>
            </c:numRef>
          </c:val>
          <c:extLst>
            <c:ext xmlns:c16="http://schemas.microsoft.com/office/drawing/2014/chart" uri="{C3380CC4-5D6E-409C-BE32-E72D297353CC}">
              <c16:uniqueId val="{0000000D-F89C-4F79-B7E9-C9ED873808C9}"/>
            </c:ext>
          </c:extLst>
        </c:ser>
        <c:ser>
          <c:idx val="14"/>
          <c:order val="14"/>
          <c:tx>
            <c:strRef>
              <c:f>'237'!$AE$34</c:f>
              <c:strCache>
                <c:ptCount val="1"/>
                <c:pt idx="0">
                  <c:v>Stg.2 Nozzle Fwd#25</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'237'!$AE$36:$AE$71</c:f>
              <c:numCache>
                <c:formatCode>General</c:formatCode>
                <c:ptCount val="36"/>
                <c:pt idx="12" formatCode="0.000">
                  <c:v>361.42355557307849</c:v>
                </c:pt>
                <c:pt idx="13" formatCode="0.000">
                  <c:v>361.42355557307849</c:v>
                </c:pt>
              </c:numCache>
            </c:numRef>
          </c:val>
          <c:extLst>
            <c:ext xmlns:c16="http://schemas.microsoft.com/office/drawing/2014/chart" uri="{C3380CC4-5D6E-409C-BE32-E72D297353CC}">
              <c16:uniqueId val="{0000000E-F89C-4F79-B7E9-C9ED873808C9}"/>
            </c:ext>
          </c:extLst>
        </c:ser>
        <c:ser>
          <c:idx val="15"/>
          <c:order val="15"/>
          <c:tx>
            <c:strRef>
              <c:f>'237'!$AF$34</c:f>
              <c:strCache>
                <c:ptCount val="1"/>
                <c:pt idx="0">
                  <c:v>Stg.2 Nozzle Fwd#24</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'237'!$AF$36:$AF$71</c:f>
              <c:numCache>
                <c:formatCode>General</c:formatCode>
                <c:ptCount val="36"/>
                <c:pt idx="13" formatCode="0.000">
                  <c:v>361.40233334486163</c:v>
                </c:pt>
                <c:pt idx="14" formatCode="0.000">
                  <c:v>361.40233334486163</c:v>
                </c:pt>
              </c:numCache>
            </c:numRef>
          </c:val>
          <c:extLst>
            <c:ext xmlns:c16="http://schemas.microsoft.com/office/drawing/2014/chart" uri="{C3380CC4-5D6E-409C-BE32-E72D297353CC}">
              <c16:uniqueId val="{0000000F-F89C-4F79-B7E9-C9ED873808C9}"/>
            </c:ext>
          </c:extLst>
        </c:ser>
        <c:ser>
          <c:idx val="16"/>
          <c:order val="16"/>
          <c:tx>
            <c:strRef>
              <c:f>'237'!$AG$34</c:f>
              <c:strCache>
                <c:ptCount val="1"/>
                <c:pt idx="0">
                  <c:v>Stg.2 Nozzle Fwd#23</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'237'!$AG$36:$AG$71</c:f>
              <c:numCache>
                <c:formatCode>General</c:formatCode>
                <c:ptCount val="36"/>
                <c:pt idx="14" formatCode="0.000">
                  <c:v>361.37993333846759</c:v>
                </c:pt>
                <c:pt idx="15" formatCode="0.000">
                  <c:v>361.37993333846759</c:v>
                </c:pt>
              </c:numCache>
            </c:numRef>
          </c:val>
          <c:extLst>
            <c:ext xmlns:c16="http://schemas.microsoft.com/office/drawing/2014/chart" uri="{C3380CC4-5D6E-409C-BE32-E72D297353CC}">
              <c16:uniqueId val="{00000010-F89C-4F79-B7E9-C9ED873808C9}"/>
            </c:ext>
          </c:extLst>
        </c:ser>
        <c:ser>
          <c:idx val="17"/>
          <c:order val="17"/>
          <c:tx>
            <c:strRef>
              <c:f>'237'!$AH$34</c:f>
              <c:strCache>
                <c:ptCount val="1"/>
                <c:pt idx="0">
                  <c:v>Stg.2 Nozzle Fwd#22</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'237'!$AH$36:$AH$71</c:f>
              <c:numCache>
                <c:formatCode>General</c:formatCode>
                <c:ptCount val="36"/>
                <c:pt idx="15" formatCode="0.000">
                  <c:v>361.36820000581133</c:v>
                </c:pt>
                <c:pt idx="16" formatCode="0.000">
                  <c:v>361.36820000581133</c:v>
                </c:pt>
              </c:numCache>
            </c:numRef>
          </c:val>
          <c:extLst>
            <c:ext xmlns:c16="http://schemas.microsoft.com/office/drawing/2014/chart" uri="{C3380CC4-5D6E-409C-BE32-E72D297353CC}">
              <c16:uniqueId val="{00000011-F89C-4F79-B7E9-C9ED873808C9}"/>
            </c:ext>
          </c:extLst>
        </c:ser>
        <c:ser>
          <c:idx val="18"/>
          <c:order val="18"/>
          <c:tx>
            <c:strRef>
              <c:f>'237'!$AI$34</c:f>
              <c:strCache>
                <c:ptCount val="1"/>
                <c:pt idx="0">
                  <c:v>Stg.2 Nozzle Fwd#21</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'237'!$AI$36:$AI$71</c:f>
              <c:numCache>
                <c:formatCode>General</c:formatCode>
                <c:ptCount val="36"/>
                <c:pt idx="16" formatCode="0.000">
                  <c:v>361.36320000999308</c:v>
                </c:pt>
                <c:pt idx="17" formatCode="0.000">
                  <c:v>361.36320000999308</c:v>
                </c:pt>
              </c:numCache>
            </c:numRef>
          </c:val>
          <c:extLst>
            <c:ext xmlns:c16="http://schemas.microsoft.com/office/drawing/2014/chart" uri="{C3380CC4-5D6E-409C-BE32-E72D297353CC}">
              <c16:uniqueId val="{00000012-F89C-4F79-B7E9-C9ED873808C9}"/>
            </c:ext>
          </c:extLst>
        </c:ser>
        <c:ser>
          <c:idx val="19"/>
          <c:order val="19"/>
          <c:tx>
            <c:strRef>
              <c:f>'237'!$AJ$34</c:f>
              <c:strCache>
                <c:ptCount val="1"/>
                <c:pt idx="0">
                  <c:v>Stg.2 Nozzle Fwd#20</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'237'!$AJ$36:$AJ$71</c:f>
              <c:numCache>
                <c:formatCode>General</c:formatCode>
                <c:ptCount val="36"/>
                <c:pt idx="17" formatCode="0.000">
                  <c:v>361.36042223147734</c:v>
                </c:pt>
                <c:pt idx="18" formatCode="0.000">
                  <c:v>361.36042223147734</c:v>
                </c:pt>
              </c:numCache>
            </c:numRef>
          </c:val>
          <c:extLst>
            <c:ext xmlns:c16="http://schemas.microsoft.com/office/drawing/2014/chart" uri="{C3380CC4-5D6E-409C-BE32-E72D297353CC}">
              <c16:uniqueId val="{00000013-F89C-4F79-B7E9-C9ED873808C9}"/>
            </c:ext>
          </c:extLst>
        </c:ser>
        <c:ser>
          <c:idx val="20"/>
          <c:order val="20"/>
          <c:tx>
            <c:strRef>
              <c:f>'237'!$AK$34</c:f>
              <c:strCache>
                <c:ptCount val="1"/>
                <c:pt idx="0">
                  <c:v>Stg.2 Nozzle Fwd#19</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'237'!$AK$36:$AK$71</c:f>
              <c:numCache>
                <c:formatCode>General</c:formatCode>
                <c:ptCount val="36"/>
                <c:pt idx="18" formatCode="0.000">
                  <c:v>361.35953333766878</c:v>
                </c:pt>
                <c:pt idx="19" formatCode="0.000">
                  <c:v>361.35953333766878</c:v>
                </c:pt>
              </c:numCache>
            </c:numRef>
          </c:val>
          <c:extLst>
            <c:ext xmlns:c16="http://schemas.microsoft.com/office/drawing/2014/chart" uri="{C3380CC4-5D6E-409C-BE32-E72D297353CC}">
              <c16:uniqueId val="{00000014-F89C-4F79-B7E9-C9ED873808C9}"/>
            </c:ext>
          </c:extLst>
        </c:ser>
        <c:ser>
          <c:idx val="21"/>
          <c:order val="21"/>
          <c:tx>
            <c:strRef>
              <c:f>'237'!$AL$34</c:f>
              <c:strCache>
                <c:ptCount val="1"/>
                <c:pt idx="0">
                  <c:v>Stg.2 Nozzle Fwd#18</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'237'!$AL$36:$AL$71</c:f>
              <c:numCache>
                <c:formatCode>General</c:formatCode>
                <c:ptCount val="36"/>
                <c:pt idx="19" formatCode="0.000">
                  <c:v>361.36444444828777</c:v>
                </c:pt>
                <c:pt idx="20" formatCode="0.000">
                  <c:v>361.36444444828777</c:v>
                </c:pt>
              </c:numCache>
            </c:numRef>
          </c:val>
          <c:extLst>
            <c:ext xmlns:c16="http://schemas.microsoft.com/office/drawing/2014/chart" uri="{C3380CC4-5D6E-409C-BE32-E72D297353CC}">
              <c16:uniqueId val="{00000015-F89C-4F79-B7E9-C9ED873808C9}"/>
            </c:ext>
          </c:extLst>
        </c:ser>
        <c:ser>
          <c:idx val="22"/>
          <c:order val="22"/>
          <c:tx>
            <c:strRef>
              <c:f>'237'!$AM$34</c:f>
              <c:strCache>
                <c:ptCount val="1"/>
                <c:pt idx="0">
                  <c:v>Stg.2 Nozzle Fwd#17</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'237'!$AM$36:$AM$71</c:f>
              <c:numCache>
                <c:formatCode>General</c:formatCode>
                <c:ptCount val="36"/>
                <c:pt idx="20" formatCode="0.000">
                  <c:v>361.37580000827069</c:v>
                </c:pt>
                <c:pt idx="21" formatCode="0.000">
                  <c:v>361.37580000827069</c:v>
                </c:pt>
              </c:numCache>
            </c:numRef>
          </c:val>
          <c:extLst>
            <c:ext xmlns:c16="http://schemas.microsoft.com/office/drawing/2014/chart" uri="{C3380CC4-5D6E-409C-BE32-E72D297353CC}">
              <c16:uniqueId val="{00000016-F89C-4F79-B7E9-C9ED873808C9}"/>
            </c:ext>
          </c:extLst>
        </c:ser>
        <c:ser>
          <c:idx val="23"/>
          <c:order val="23"/>
          <c:tx>
            <c:strRef>
              <c:f>'237'!$AN$34</c:f>
              <c:strCache>
                <c:ptCount val="1"/>
                <c:pt idx="0">
                  <c:v>Stg.2 Nozzle Fwd#16</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'237'!$AN$36:$AN$71</c:f>
              <c:numCache>
                <c:formatCode>General</c:formatCode>
                <c:ptCount val="36"/>
                <c:pt idx="21" formatCode="0.000">
                  <c:v>361.38606667725855</c:v>
                </c:pt>
                <c:pt idx="22" formatCode="0.000">
                  <c:v>361.38606667725855</c:v>
                </c:pt>
              </c:numCache>
            </c:numRef>
          </c:val>
          <c:extLst>
            <c:ext xmlns:c16="http://schemas.microsoft.com/office/drawing/2014/chart" uri="{C3380CC4-5D6E-409C-BE32-E72D297353CC}">
              <c16:uniqueId val="{00000017-F89C-4F79-B7E9-C9ED873808C9}"/>
            </c:ext>
          </c:extLst>
        </c:ser>
        <c:ser>
          <c:idx val="24"/>
          <c:order val="24"/>
          <c:tx>
            <c:strRef>
              <c:f>'237'!$AO$34</c:f>
              <c:strCache>
                <c:ptCount val="1"/>
                <c:pt idx="0">
                  <c:v>Stg.2 Nozzle Fwd#15</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'237'!$AO$36:$AO$71</c:f>
              <c:numCache>
                <c:formatCode>General</c:formatCode>
                <c:ptCount val="36"/>
                <c:pt idx="22" formatCode="0.000">
                  <c:v>361.39366667558284</c:v>
                </c:pt>
                <c:pt idx="23" formatCode="0.000">
                  <c:v>361.39366667558284</c:v>
                </c:pt>
              </c:numCache>
            </c:numRef>
          </c:val>
          <c:extLst>
            <c:ext xmlns:c16="http://schemas.microsoft.com/office/drawing/2014/chart" uri="{C3380CC4-5D6E-409C-BE32-E72D297353CC}">
              <c16:uniqueId val="{00000018-F89C-4F79-B7E9-C9ED873808C9}"/>
            </c:ext>
          </c:extLst>
        </c:ser>
        <c:ser>
          <c:idx val="25"/>
          <c:order val="25"/>
          <c:tx>
            <c:strRef>
              <c:f>'237'!$AP$34</c:f>
              <c:strCache>
                <c:ptCount val="1"/>
                <c:pt idx="0">
                  <c:v>Stg.2 Nozzle Fwd#14</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'237'!$AP$36:$AP$71</c:f>
              <c:numCache>
                <c:formatCode>General</c:formatCode>
                <c:ptCount val="36"/>
                <c:pt idx="23" formatCode="0.000">
                  <c:v>361.4022000208434</c:v>
                </c:pt>
                <c:pt idx="24" formatCode="0.000">
                  <c:v>361.4022000208434</c:v>
                </c:pt>
              </c:numCache>
            </c:numRef>
          </c:val>
          <c:extLst>
            <c:ext xmlns:c16="http://schemas.microsoft.com/office/drawing/2014/chart" uri="{C3380CC4-5D6E-409C-BE32-E72D297353CC}">
              <c16:uniqueId val="{00000019-F89C-4F79-B7E9-C9ED873808C9}"/>
            </c:ext>
          </c:extLst>
        </c:ser>
        <c:ser>
          <c:idx val="26"/>
          <c:order val="26"/>
          <c:tx>
            <c:strRef>
              <c:f>'237'!$AQ$34</c:f>
              <c:strCache>
                <c:ptCount val="1"/>
                <c:pt idx="0">
                  <c:v>Stg.2 Nozzle Fwd#13</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'237'!$AQ$36:$AQ$71</c:f>
              <c:numCache>
                <c:formatCode>General</c:formatCode>
                <c:ptCount val="36"/>
                <c:pt idx="24" formatCode="0.000">
                  <c:v>361.41540007027538</c:v>
                </c:pt>
                <c:pt idx="25" formatCode="0.000">
                  <c:v>361.41540007027538</c:v>
                </c:pt>
              </c:numCache>
            </c:numRef>
          </c:val>
          <c:extLst>
            <c:ext xmlns:c16="http://schemas.microsoft.com/office/drawing/2014/chart" uri="{C3380CC4-5D6E-409C-BE32-E72D297353CC}">
              <c16:uniqueId val="{0000001A-F89C-4F79-B7E9-C9ED873808C9}"/>
            </c:ext>
          </c:extLst>
        </c:ser>
        <c:ser>
          <c:idx val="27"/>
          <c:order val="27"/>
          <c:tx>
            <c:strRef>
              <c:f>'237'!$AR$34</c:f>
              <c:strCache>
                <c:ptCount val="1"/>
                <c:pt idx="0">
                  <c:v>Stg.2 Nozzle Fwd#12</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'237'!$AR$36:$AR$71</c:f>
              <c:numCache>
                <c:formatCode>General</c:formatCode>
                <c:ptCount val="36"/>
                <c:pt idx="25" formatCode="0.000">
                  <c:v>361.42973346461497</c:v>
                </c:pt>
                <c:pt idx="26" formatCode="0.000">
                  <c:v>361.42973346461497</c:v>
                </c:pt>
              </c:numCache>
            </c:numRef>
          </c:val>
          <c:extLst>
            <c:ext xmlns:c16="http://schemas.microsoft.com/office/drawing/2014/chart" uri="{C3380CC4-5D6E-409C-BE32-E72D297353CC}">
              <c16:uniqueId val="{0000001B-F89C-4F79-B7E9-C9ED873808C9}"/>
            </c:ext>
          </c:extLst>
        </c:ser>
        <c:ser>
          <c:idx val="28"/>
          <c:order val="28"/>
          <c:tx>
            <c:strRef>
              <c:f>'237'!$AS$34</c:f>
              <c:strCache>
                <c:ptCount val="1"/>
                <c:pt idx="0">
                  <c:v>Stg.2 Nozzle Fwd#11</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'237'!$AS$36:$AS$71</c:f>
              <c:numCache>
                <c:formatCode>General</c:formatCode>
                <c:ptCount val="36"/>
                <c:pt idx="26" formatCode="0.000">
                  <c:v>361.43295567498626</c:v>
                </c:pt>
                <c:pt idx="27" formatCode="0.000">
                  <c:v>361.43295567498626</c:v>
                </c:pt>
              </c:numCache>
            </c:numRef>
          </c:val>
          <c:extLst>
            <c:ext xmlns:c16="http://schemas.microsoft.com/office/drawing/2014/chart" uri="{C3380CC4-5D6E-409C-BE32-E72D297353CC}">
              <c16:uniqueId val="{0000001C-F89C-4F79-B7E9-C9ED873808C9}"/>
            </c:ext>
          </c:extLst>
        </c:ser>
        <c:ser>
          <c:idx val="29"/>
          <c:order val="29"/>
          <c:tx>
            <c:strRef>
              <c:f>'237'!$AT$34</c:f>
              <c:strCache>
                <c:ptCount val="1"/>
                <c:pt idx="0">
                  <c:v>Stg.2 Nozzle Fwd#10</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'237'!$AT$36:$AT$71</c:f>
              <c:numCache>
                <c:formatCode>General</c:formatCode>
                <c:ptCount val="36"/>
                <c:pt idx="27" formatCode="0.000">
                  <c:v>361.42673337898452</c:v>
                </c:pt>
                <c:pt idx="28" formatCode="0.000">
                  <c:v>361.42673337898452</c:v>
                </c:pt>
              </c:numCache>
            </c:numRef>
          </c:val>
          <c:extLst>
            <c:ext xmlns:c16="http://schemas.microsoft.com/office/drawing/2014/chart" uri="{C3380CC4-5D6E-409C-BE32-E72D297353CC}">
              <c16:uniqueId val="{0000001D-F89C-4F79-B7E9-C9ED873808C9}"/>
            </c:ext>
          </c:extLst>
        </c:ser>
        <c:ser>
          <c:idx val="30"/>
          <c:order val="30"/>
          <c:tx>
            <c:strRef>
              <c:f>'237'!$AU$34</c:f>
              <c:strCache>
                <c:ptCount val="1"/>
                <c:pt idx="0">
                  <c:v>Stg.2 Nozzle Fwd#9</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'237'!$AU$36:$AU$71</c:f>
              <c:numCache>
                <c:formatCode>General</c:formatCode>
                <c:ptCount val="36"/>
                <c:pt idx="28" formatCode="0.000">
                  <c:v>361.42391111590678</c:v>
                </c:pt>
                <c:pt idx="29" formatCode="0.000">
                  <c:v>361.42391111590678</c:v>
                </c:pt>
              </c:numCache>
            </c:numRef>
          </c:val>
          <c:extLst>
            <c:ext xmlns:c16="http://schemas.microsoft.com/office/drawing/2014/chart" uri="{C3380CC4-5D6E-409C-BE32-E72D297353CC}">
              <c16:uniqueId val="{0000001E-F89C-4F79-B7E9-C9ED873808C9}"/>
            </c:ext>
          </c:extLst>
        </c:ser>
        <c:ser>
          <c:idx val="31"/>
          <c:order val="31"/>
          <c:tx>
            <c:strRef>
              <c:f>'237'!$AV$34</c:f>
              <c:strCache>
                <c:ptCount val="1"/>
                <c:pt idx="0">
                  <c:v>Stg.2 Nozzle Fwd#8</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'237'!$AV$36:$AV$71</c:f>
              <c:numCache>
                <c:formatCode>General</c:formatCode>
                <c:ptCount val="36"/>
                <c:pt idx="29" formatCode="0.000">
                  <c:v>361.42486666718924</c:v>
                </c:pt>
                <c:pt idx="30" formatCode="0.000">
                  <c:v>361.42486666718924</c:v>
                </c:pt>
              </c:numCache>
            </c:numRef>
          </c:val>
          <c:extLst>
            <c:ext xmlns:c16="http://schemas.microsoft.com/office/drawing/2014/chart" uri="{C3380CC4-5D6E-409C-BE32-E72D297353CC}">
              <c16:uniqueId val="{0000001F-F89C-4F79-B7E9-C9ED873808C9}"/>
            </c:ext>
          </c:extLst>
        </c:ser>
        <c:ser>
          <c:idx val="32"/>
          <c:order val="32"/>
          <c:tx>
            <c:strRef>
              <c:f>'237'!$AW$34</c:f>
              <c:strCache>
                <c:ptCount val="1"/>
                <c:pt idx="0">
                  <c:v>Stg.2 Nozzle Fwd#7</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'237'!$AW$36:$AW$71</c:f>
              <c:numCache>
                <c:formatCode>General</c:formatCode>
                <c:ptCount val="36"/>
                <c:pt idx="30" formatCode="0.000">
                  <c:v>361.4191222241285</c:v>
                </c:pt>
                <c:pt idx="31" formatCode="0.000">
                  <c:v>361.4191222241285</c:v>
                </c:pt>
              </c:numCache>
            </c:numRef>
          </c:val>
          <c:extLst>
            <c:ext xmlns:c16="http://schemas.microsoft.com/office/drawing/2014/chart" uri="{C3380CC4-5D6E-409C-BE32-E72D297353CC}">
              <c16:uniqueId val="{00000020-F89C-4F79-B7E9-C9ED873808C9}"/>
            </c:ext>
          </c:extLst>
        </c:ser>
        <c:ser>
          <c:idx val="33"/>
          <c:order val="33"/>
          <c:tx>
            <c:strRef>
              <c:f>'237'!$AX$34</c:f>
              <c:strCache>
                <c:ptCount val="1"/>
                <c:pt idx="0">
                  <c:v>Stg.2 Nozzle Fwd#6</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'237'!$AX$36:$AX$71</c:f>
              <c:numCache>
                <c:formatCode>General</c:formatCode>
                <c:ptCount val="36"/>
                <c:pt idx="31" formatCode="0.000">
                  <c:v>361.40248889525333</c:v>
                </c:pt>
                <c:pt idx="32" formatCode="0.000">
                  <c:v>361.40248889525333</c:v>
                </c:pt>
              </c:numCache>
            </c:numRef>
          </c:val>
          <c:extLst>
            <c:ext xmlns:c16="http://schemas.microsoft.com/office/drawing/2014/chart" uri="{C3380CC4-5D6E-409C-BE32-E72D297353CC}">
              <c16:uniqueId val="{00000021-F89C-4F79-B7E9-C9ED873808C9}"/>
            </c:ext>
          </c:extLst>
        </c:ser>
        <c:ser>
          <c:idx val="34"/>
          <c:order val="34"/>
          <c:tx>
            <c:strRef>
              <c:f>'237'!$AY$34</c:f>
              <c:strCache>
                <c:ptCount val="1"/>
                <c:pt idx="0">
                  <c:v>Stg.2 Nozzle Fwd#5</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'237'!$AY$36:$AY$71</c:f>
              <c:numCache>
                <c:formatCode>General</c:formatCode>
                <c:ptCount val="36"/>
                <c:pt idx="32" formatCode="0.000">
                  <c:v>361.38551112091915</c:v>
                </c:pt>
                <c:pt idx="33" formatCode="0.000">
                  <c:v>361.38551112091915</c:v>
                </c:pt>
              </c:numCache>
            </c:numRef>
          </c:val>
          <c:extLst>
            <c:ext xmlns:c16="http://schemas.microsoft.com/office/drawing/2014/chart" uri="{C3380CC4-5D6E-409C-BE32-E72D297353CC}">
              <c16:uniqueId val="{00000022-F89C-4F79-B7E9-C9ED873808C9}"/>
            </c:ext>
          </c:extLst>
        </c:ser>
        <c:ser>
          <c:idx val="35"/>
          <c:order val="35"/>
          <c:tx>
            <c:strRef>
              <c:f>'237'!$AZ$34</c:f>
              <c:strCache>
                <c:ptCount val="1"/>
                <c:pt idx="0">
                  <c:v>Stg.2 Nozzle Fwd#4</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'237'!$AZ$36:$AZ$71</c:f>
              <c:numCache>
                <c:formatCode>General</c:formatCode>
                <c:ptCount val="36"/>
                <c:pt idx="33" formatCode="0.000">
                  <c:v>361.37720000802477</c:v>
                </c:pt>
                <c:pt idx="34" formatCode="0.000">
                  <c:v>361.37720000802477</c:v>
                </c:pt>
              </c:numCache>
            </c:numRef>
          </c:val>
          <c:extLst>
            <c:ext xmlns:c16="http://schemas.microsoft.com/office/drawing/2014/chart" uri="{C3380CC4-5D6E-409C-BE32-E72D297353CC}">
              <c16:uniqueId val="{00000023-F89C-4F79-B7E9-C9ED873808C9}"/>
            </c:ext>
          </c:extLst>
        </c:ser>
        <c:ser>
          <c:idx val="36"/>
          <c:order val="36"/>
          <c:tx>
            <c:strRef>
              <c:f>'237'!$BA$34</c:f>
              <c:strCache>
                <c:ptCount val="1"/>
                <c:pt idx="0">
                  <c:v>Stg.2 Nozzle Fwd#3</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'237'!$BA$36:$BA$71</c:f>
              <c:numCache>
                <c:formatCode>General</c:formatCode>
                <c:ptCount val="36"/>
                <c:pt idx="34" formatCode="0.000">
                  <c:v>361.37465555902992</c:v>
                </c:pt>
                <c:pt idx="35" formatCode="0.000">
                  <c:v>361.37465555902992</c:v>
                </c:pt>
              </c:numCache>
            </c:numRef>
          </c:val>
          <c:extLst>
            <c:ext xmlns:c16="http://schemas.microsoft.com/office/drawing/2014/chart" uri="{C3380CC4-5D6E-409C-BE32-E72D297353CC}">
              <c16:uniqueId val="{00000024-F89C-4F79-B7E9-C9ED873808C9}"/>
            </c:ext>
          </c:extLst>
        </c:ser>
        <c:ser>
          <c:idx val="37"/>
          <c:order val="37"/>
          <c:tx>
            <c:strRef>
              <c:f>'237'!$BB$34</c:f>
              <c:strCache>
                <c:ptCount val="1"/>
                <c:pt idx="0">
                  <c:v>Stg.2 Nozzle Fwd#2</c:v>
                </c:pt>
              </c:strCache>
            </c:strRef>
          </c:tx>
          <c:marker>
            <c:symbol val="none"/>
          </c:marker>
          <c:cat>
            <c:numRef>
              <c:f>'237'!$J$36:$J$71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'237'!$BB$36:$BB$71</c:f>
              <c:numCache>
                <c:formatCode>General</c:formatCode>
                <c:ptCount val="36"/>
                <c:pt idx="0" formatCode="0.000">
                  <c:v>361.37588889027251</c:v>
                </c:pt>
                <c:pt idx="35" formatCode="0.000">
                  <c:v>361.37588889027251</c:v>
                </c:pt>
              </c:numCache>
            </c:numRef>
          </c:val>
          <c:extLst>
            <c:ext xmlns:c16="http://schemas.microsoft.com/office/drawing/2014/chart" uri="{C3380CC4-5D6E-409C-BE32-E72D297353CC}">
              <c16:uniqueId val="{00000025-F89C-4F79-B7E9-C9ED873808C9}"/>
            </c:ext>
          </c:extLst>
        </c:ser>
        <c:dLbls>
          <c:showLegendKey val="0"/>
          <c:showVal val="0"/>
          <c:showCatName val="0"/>
          <c:showSerName val="0"/>
          <c:showPercent val="0"/>
          <c:showBubbleSize val="0"/>
        </c:dLbls>
        <c:axId val="184370176"/>
        <c:axId val="182281344"/>
      </c:radarChart>
      <c:catAx>
        <c:axId val="1843701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281344"/>
        <c:crosses val="autoZero"/>
        <c:auto val="1"/>
        <c:lblAlgn val="ctr"/>
        <c:lblOffset val="100"/>
        <c:noMultiLvlLbl val="0"/>
      </c:catAx>
      <c:valAx>
        <c:axId val="18228134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4370176"/>
        <c:crosses val="autoZero"/>
        <c:crossBetween val="between"/>
        <c:majorUnit val="5.000000000000001E-2"/>
      </c:valAx>
    </c:plotArea>
    <c:legend>
      <c:legendPos val="r"/>
      <c:layout>
        <c:manualLayout>
          <c:xMode val="edge"/>
          <c:yMode val="edge"/>
          <c:x val="0.79854276533393198"/>
          <c:y val="0"/>
          <c:w val="0.19399056789488109"/>
          <c:h val="1"/>
        </c:manualLayout>
      </c:layout>
      <c:overlay val="0"/>
      <c:txPr>
        <a:bodyPr/>
        <a:lstStyle/>
        <a:p>
          <a:pPr>
            <a:defRPr lang="ja-JP" sz="500"/>
          </a:pPr>
          <a:endParaRPr lang="en-US"/>
        </a:p>
      </c:txPr>
    </c:legend>
    <c:plotVisOnly val="1"/>
    <c:dispBlanksAs val="gap"/>
    <c:showDLblsOverMax val="0"/>
  </c:chart>
  <c:txPr>
    <a:bodyPr/>
    <a:lstStyle/>
    <a:p>
      <a:pPr>
        <a:defRPr sz="800"/>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'239'!$K$9</c:f>
              <c:strCache>
                <c:ptCount val="1"/>
                <c:pt idx="0">
                  <c:v>CMM</c:v>
                </c:pt>
              </c:strCache>
            </c:strRef>
          </c:tx>
          <c:marker>
            <c:symbol val="none"/>
          </c:marker>
          <c:cat>
            <c:numRef>
              <c:f>'239'!$J$11:$J$26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'239'!$K$11:$K$26</c:f>
              <c:numCache>
                <c:formatCode>General</c:formatCode>
                <c:ptCount val="16"/>
                <c:pt idx="0">
                  <c:v>376.71199999999999</c:v>
                </c:pt>
                <c:pt idx="1">
                  <c:v>376.72900003318028</c:v>
                </c:pt>
                <c:pt idx="2">
                  <c:v>376.73399999999998</c:v>
                </c:pt>
                <c:pt idx="3">
                  <c:v>376.77200000132706</c:v>
                </c:pt>
                <c:pt idx="4">
                  <c:v>376.762</c:v>
                </c:pt>
                <c:pt idx="5">
                  <c:v>376.77300029858827</c:v>
                </c:pt>
                <c:pt idx="6">
                  <c:v>376.71800000132725</c:v>
                </c:pt>
                <c:pt idx="7">
                  <c:v>376.71600001194537</c:v>
                </c:pt>
                <c:pt idx="8">
                  <c:v>376.70499999999998</c:v>
                </c:pt>
                <c:pt idx="9">
                  <c:v>376.71800003318128</c:v>
                </c:pt>
                <c:pt idx="10">
                  <c:v>376.7420000013272</c:v>
                </c:pt>
                <c:pt idx="11">
                  <c:v>376.77600001194344</c:v>
                </c:pt>
                <c:pt idx="12">
                  <c:v>376.77</c:v>
                </c:pt>
                <c:pt idx="13">
                  <c:v>376.7680000013271</c:v>
                </c:pt>
                <c:pt idx="14">
                  <c:v>376.71800000000002</c:v>
                </c:pt>
                <c:pt idx="15">
                  <c:v>376.70800000000003</c:v>
                </c:pt>
              </c:numCache>
            </c:numRef>
          </c:val>
          <c:extLst>
            <c:ext xmlns:c16="http://schemas.microsoft.com/office/drawing/2014/chart" uri="{C3380CC4-5D6E-409C-BE32-E72D297353CC}">
              <c16:uniqueId val="{00000000-5789-41B9-8129-2B3D6D665E23}"/>
            </c:ext>
          </c:extLst>
        </c:ser>
        <c:ser>
          <c:idx val="1"/>
          <c:order val="1"/>
          <c:tx>
            <c:strRef>
              <c:f>'239'!$L$9</c:f>
              <c:strCache>
                <c:ptCount val="1"/>
                <c:pt idx="0">
                  <c:v>Dwg Min</c:v>
                </c:pt>
              </c:strCache>
            </c:strRef>
          </c:tx>
          <c:spPr>
            <a:ln>
              <a:prstDash val="dash"/>
            </a:ln>
          </c:spPr>
          <c:marker>
            <c:symbol val="none"/>
          </c:marker>
          <c:val>
            <c:numRef>
              <c:f>'239'!$L$11:$L$26</c:f>
              <c:numCache>
                <c:formatCode>General</c:formatCode>
                <c:ptCount val="16"/>
                <c:pt idx="0">
                  <c:v>376.66</c:v>
                </c:pt>
                <c:pt idx="1">
                  <c:v>376.66</c:v>
                </c:pt>
                <c:pt idx="2">
                  <c:v>376.66</c:v>
                </c:pt>
                <c:pt idx="3">
                  <c:v>376.66</c:v>
                </c:pt>
                <c:pt idx="4">
                  <c:v>376.66</c:v>
                </c:pt>
                <c:pt idx="5">
                  <c:v>376.66</c:v>
                </c:pt>
                <c:pt idx="6">
                  <c:v>376.66</c:v>
                </c:pt>
                <c:pt idx="7">
                  <c:v>376.66</c:v>
                </c:pt>
                <c:pt idx="8">
                  <c:v>376.66</c:v>
                </c:pt>
                <c:pt idx="9">
                  <c:v>376.66</c:v>
                </c:pt>
                <c:pt idx="10">
                  <c:v>376.66</c:v>
                </c:pt>
                <c:pt idx="11">
                  <c:v>376.66</c:v>
                </c:pt>
                <c:pt idx="12">
                  <c:v>376.66</c:v>
                </c:pt>
                <c:pt idx="13">
                  <c:v>376.66</c:v>
                </c:pt>
                <c:pt idx="14">
                  <c:v>376.66</c:v>
                </c:pt>
                <c:pt idx="15">
                  <c:v>376.66</c:v>
                </c:pt>
              </c:numCache>
            </c:numRef>
          </c:val>
          <c:extLst>
            <c:ext xmlns:c16="http://schemas.microsoft.com/office/drawing/2014/chart" uri="{C3380CC4-5D6E-409C-BE32-E72D297353CC}">
              <c16:uniqueId val="{00000001-5789-41B9-8129-2B3D6D665E23}"/>
            </c:ext>
          </c:extLst>
        </c:ser>
        <c:ser>
          <c:idx val="2"/>
          <c:order val="2"/>
          <c:tx>
            <c:strRef>
              <c:f>'239'!$M$9</c:f>
              <c:strCache>
                <c:ptCount val="1"/>
                <c:pt idx="0">
                  <c:v>Dwg Max</c:v>
                </c:pt>
              </c:strCache>
            </c:strRef>
          </c:tx>
          <c:spPr>
            <a:ln>
              <a:prstDash val="dash"/>
            </a:ln>
          </c:spPr>
          <c:marker>
            <c:symbol val="none"/>
          </c:marker>
          <c:val>
            <c:numRef>
              <c:f>'239'!$M$11:$M$26</c:f>
              <c:numCache>
                <c:formatCode>General</c:formatCode>
                <c:ptCount val="16"/>
                <c:pt idx="0">
                  <c:v>376.84</c:v>
                </c:pt>
                <c:pt idx="1">
                  <c:v>376.84</c:v>
                </c:pt>
                <c:pt idx="2">
                  <c:v>376.84</c:v>
                </c:pt>
                <c:pt idx="3">
                  <c:v>376.84</c:v>
                </c:pt>
                <c:pt idx="4">
                  <c:v>376.84</c:v>
                </c:pt>
                <c:pt idx="5">
                  <c:v>376.84</c:v>
                </c:pt>
                <c:pt idx="6">
                  <c:v>376.84</c:v>
                </c:pt>
                <c:pt idx="7">
                  <c:v>376.84</c:v>
                </c:pt>
                <c:pt idx="8">
                  <c:v>376.84</c:v>
                </c:pt>
                <c:pt idx="9">
                  <c:v>376.84</c:v>
                </c:pt>
                <c:pt idx="10">
                  <c:v>376.84</c:v>
                </c:pt>
                <c:pt idx="11">
                  <c:v>376.84</c:v>
                </c:pt>
                <c:pt idx="12">
                  <c:v>376.84</c:v>
                </c:pt>
                <c:pt idx="13">
                  <c:v>376.84</c:v>
                </c:pt>
                <c:pt idx="14">
                  <c:v>376.84</c:v>
                </c:pt>
                <c:pt idx="15">
                  <c:v>376.84</c:v>
                </c:pt>
              </c:numCache>
            </c:numRef>
          </c:val>
          <c:extLst>
            <c:ext xmlns:c16="http://schemas.microsoft.com/office/drawing/2014/chart" uri="{C3380CC4-5D6E-409C-BE32-E72D297353CC}">
              <c16:uniqueId val="{00000002-5789-41B9-8129-2B3D6D665E23}"/>
            </c:ext>
          </c:extLst>
        </c:ser>
        <c:dLbls>
          <c:showLegendKey val="0"/>
          <c:showVal val="0"/>
          <c:showCatName val="0"/>
          <c:showSerName val="0"/>
          <c:showPercent val="0"/>
          <c:showBubbleSize val="0"/>
        </c:dLbls>
        <c:axId val="184370688"/>
        <c:axId val="182284224"/>
      </c:radarChart>
      <c:catAx>
        <c:axId val="18437068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284224"/>
        <c:crosses val="autoZero"/>
        <c:auto val="1"/>
        <c:lblAlgn val="ctr"/>
        <c:lblOffset val="100"/>
        <c:noMultiLvlLbl val="0"/>
      </c:catAx>
      <c:valAx>
        <c:axId val="18228422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4370688"/>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'239'!$BC$34</c:f>
              <c:strCache>
                <c:ptCount val="1"/>
                <c:pt idx="0">
                  <c:v>LPT Case Hook R Min</c:v>
                </c:pt>
              </c:strCache>
            </c:strRef>
          </c:tx>
          <c:spPr>
            <a:ln w="28575">
              <a:prstDash val="dash"/>
            </a:ln>
          </c:spPr>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'239'!$BC$36:$BC$71</c:f>
              <c:numCache>
                <c:formatCode>General</c:formatCode>
                <c:ptCount val="36"/>
                <c:pt idx="0">
                  <c:v>376.71800000000002</c:v>
                </c:pt>
                <c:pt idx="1">
                  <c:v>376.71800000000002</c:v>
                </c:pt>
                <c:pt idx="2">
                  <c:v>376.71800000000002</c:v>
                </c:pt>
                <c:pt idx="3">
                  <c:v>376.71800000000002</c:v>
                </c:pt>
                <c:pt idx="4">
                  <c:v>376.71800000000002</c:v>
                </c:pt>
                <c:pt idx="5">
                  <c:v>376.71800000000002</c:v>
                </c:pt>
                <c:pt idx="6">
                  <c:v>376.71800000000002</c:v>
                </c:pt>
                <c:pt idx="7">
                  <c:v>376.71800000000002</c:v>
                </c:pt>
                <c:pt idx="8">
                  <c:v>376.71800000000002</c:v>
                </c:pt>
                <c:pt idx="9">
                  <c:v>376.71800000000002</c:v>
                </c:pt>
                <c:pt idx="10">
                  <c:v>376.71800000000002</c:v>
                </c:pt>
                <c:pt idx="11">
                  <c:v>376.71800000000002</c:v>
                </c:pt>
                <c:pt idx="12">
                  <c:v>376.71800000000002</c:v>
                </c:pt>
                <c:pt idx="13">
                  <c:v>376.71800000000002</c:v>
                </c:pt>
                <c:pt idx="14">
                  <c:v>376.71800000000002</c:v>
                </c:pt>
                <c:pt idx="15">
                  <c:v>376.71800000000002</c:v>
                </c:pt>
                <c:pt idx="16">
                  <c:v>376.71800000000002</c:v>
                </c:pt>
                <c:pt idx="17">
                  <c:v>376.71800000000002</c:v>
                </c:pt>
                <c:pt idx="18">
                  <c:v>376.71800000000002</c:v>
                </c:pt>
                <c:pt idx="19">
                  <c:v>376.71800000000002</c:v>
                </c:pt>
                <c:pt idx="20">
                  <c:v>376.71800000000002</c:v>
                </c:pt>
                <c:pt idx="21">
                  <c:v>376.71800000000002</c:v>
                </c:pt>
                <c:pt idx="22">
                  <c:v>376.71800000000002</c:v>
                </c:pt>
                <c:pt idx="23">
                  <c:v>376.71800000000002</c:v>
                </c:pt>
                <c:pt idx="24">
                  <c:v>376.71800000000002</c:v>
                </c:pt>
                <c:pt idx="25">
                  <c:v>376.71800000000002</c:v>
                </c:pt>
                <c:pt idx="26">
                  <c:v>376.71800000000002</c:v>
                </c:pt>
                <c:pt idx="27">
                  <c:v>376.71800000000002</c:v>
                </c:pt>
                <c:pt idx="28">
                  <c:v>376.71800000000002</c:v>
                </c:pt>
                <c:pt idx="29">
                  <c:v>376.71800000000002</c:v>
                </c:pt>
                <c:pt idx="30">
                  <c:v>376.71800000000002</c:v>
                </c:pt>
                <c:pt idx="31">
                  <c:v>376.71800000000002</c:v>
                </c:pt>
                <c:pt idx="32">
                  <c:v>376.71800000000002</c:v>
                </c:pt>
                <c:pt idx="33">
                  <c:v>376.71800000000002</c:v>
                </c:pt>
                <c:pt idx="34">
                  <c:v>376.71800000000002</c:v>
                </c:pt>
                <c:pt idx="35">
                  <c:v>376.71800000000002</c:v>
                </c:pt>
              </c:numCache>
            </c:numRef>
          </c:val>
          <c:extLst>
            <c:ext xmlns:c16="http://schemas.microsoft.com/office/drawing/2014/chart" uri="{C3380CC4-5D6E-409C-BE32-E72D297353CC}">
              <c16:uniqueId val="{00000000-41CF-4273-87AF-FFA5DBDD8C45}"/>
            </c:ext>
          </c:extLst>
        </c:ser>
        <c:ser>
          <c:idx val="1"/>
          <c:order val="1"/>
          <c:tx>
            <c:strRef>
              <c:f>'239'!$BD$34</c:f>
              <c:strCache>
                <c:ptCount val="1"/>
                <c:pt idx="0">
                  <c:v>LPT Case Hook R Max</c:v>
                </c:pt>
              </c:strCache>
            </c:strRef>
          </c:tx>
          <c:spPr>
            <a:ln w="28575">
              <a:prstDash val="dash"/>
            </a:ln>
          </c:spPr>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'239'!$BD$36:$BD$71</c:f>
              <c:numCache>
                <c:formatCode>General</c:formatCode>
                <c:ptCount val="36"/>
                <c:pt idx="0">
                  <c:v>376.78199999999998</c:v>
                </c:pt>
                <c:pt idx="1">
                  <c:v>376.78199999999998</c:v>
                </c:pt>
                <c:pt idx="2">
                  <c:v>376.78199999999998</c:v>
                </c:pt>
                <c:pt idx="3">
                  <c:v>376.78199999999998</c:v>
                </c:pt>
                <c:pt idx="4">
                  <c:v>376.78199999999998</c:v>
                </c:pt>
                <c:pt idx="5">
                  <c:v>376.78199999999998</c:v>
                </c:pt>
                <c:pt idx="6">
                  <c:v>376.78199999999998</c:v>
                </c:pt>
                <c:pt idx="7">
                  <c:v>376.78199999999998</c:v>
                </c:pt>
                <c:pt idx="8">
                  <c:v>376.78199999999998</c:v>
                </c:pt>
                <c:pt idx="9">
                  <c:v>376.78199999999998</c:v>
                </c:pt>
                <c:pt idx="10">
                  <c:v>376.78199999999998</c:v>
                </c:pt>
                <c:pt idx="11">
                  <c:v>376.78199999999998</c:v>
                </c:pt>
                <c:pt idx="12">
                  <c:v>376.78199999999998</c:v>
                </c:pt>
                <c:pt idx="13">
                  <c:v>376.78199999999998</c:v>
                </c:pt>
                <c:pt idx="14">
                  <c:v>376.78199999999998</c:v>
                </c:pt>
                <c:pt idx="15">
                  <c:v>376.78199999999998</c:v>
                </c:pt>
                <c:pt idx="16">
                  <c:v>376.78199999999998</c:v>
                </c:pt>
                <c:pt idx="17">
                  <c:v>376.78199999999998</c:v>
                </c:pt>
                <c:pt idx="18">
                  <c:v>376.78199999999998</c:v>
                </c:pt>
                <c:pt idx="19">
                  <c:v>376.78199999999998</c:v>
                </c:pt>
                <c:pt idx="20">
                  <c:v>376.78199999999998</c:v>
                </c:pt>
                <c:pt idx="21">
                  <c:v>376.78199999999998</c:v>
                </c:pt>
                <c:pt idx="22">
                  <c:v>376.78199999999998</c:v>
                </c:pt>
                <c:pt idx="23">
                  <c:v>376.78199999999998</c:v>
                </c:pt>
                <c:pt idx="24">
                  <c:v>376.78199999999998</c:v>
                </c:pt>
                <c:pt idx="25">
                  <c:v>376.78199999999998</c:v>
                </c:pt>
                <c:pt idx="26">
                  <c:v>376.78199999999998</c:v>
                </c:pt>
                <c:pt idx="27">
                  <c:v>376.78199999999998</c:v>
                </c:pt>
                <c:pt idx="28">
                  <c:v>376.78199999999998</c:v>
                </c:pt>
                <c:pt idx="29">
                  <c:v>376.78199999999998</c:v>
                </c:pt>
                <c:pt idx="30">
                  <c:v>376.78199999999998</c:v>
                </c:pt>
                <c:pt idx="31">
                  <c:v>376.78199999999998</c:v>
                </c:pt>
                <c:pt idx="32">
                  <c:v>376.78199999999998</c:v>
                </c:pt>
                <c:pt idx="33">
                  <c:v>376.78199999999998</c:v>
                </c:pt>
                <c:pt idx="34">
                  <c:v>376.78199999999998</c:v>
                </c:pt>
                <c:pt idx="35">
                  <c:v>376.78199999999998</c:v>
                </c:pt>
              </c:numCache>
            </c:numRef>
          </c:val>
          <c:extLst>
            <c:ext xmlns:c16="http://schemas.microsoft.com/office/drawing/2014/chart" uri="{C3380CC4-5D6E-409C-BE32-E72D297353CC}">
              <c16:uniqueId val="{00000001-41CF-4273-87AF-FFA5DBDD8C45}"/>
            </c:ext>
          </c:extLst>
        </c:ser>
        <c:ser>
          <c:idx val="2"/>
          <c:order val="2"/>
          <c:tx>
            <c:strRef>
              <c:f>'239'!$S$34</c:f>
              <c:strCache>
                <c:ptCount val="1"/>
                <c:pt idx="0">
                  <c:v>Stg.2 Nozzle Aft#1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'239'!$S$36:$S$71</c:f>
              <c:numCache>
                <c:formatCode>0.000</c:formatCode>
                <c:ptCount val="36"/>
                <c:pt idx="0">
                  <c:v>376.71093333333334</c:v>
                </c:pt>
                <c:pt idx="1">
                  <c:v>376.71093333333334</c:v>
                </c:pt>
              </c:numCache>
            </c:numRef>
          </c:val>
          <c:extLst>
            <c:ext xmlns:c16="http://schemas.microsoft.com/office/drawing/2014/chart" uri="{C3380CC4-5D6E-409C-BE32-E72D297353CC}">
              <c16:uniqueId val="{00000002-41CF-4273-87AF-FFA5DBDD8C45}"/>
            </c:ext>
          </c:extLst>
        </c:ser>
        <c:ser>
          <c:idx val="3"/>
          <c:order val="3"/>
          <c:tx>
            <c:strRef>
              <c:f>'239'!$T$34</c:f>
              <c:strCache>
                <c:ptCount val="1"/>
                <c:pt idx="0">
                  <c:v>Stg.2 Nozzle Aft#36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'239'!$T$36:$T$71</c:f>
              <c:numCache>
                <c:formatCode>0.000</c:formatCode>
                <c:ptCount val="36"/>
                <c:pt idx="1">
                  <c:v>376.71531111774721</c:v>
                </c:pt>
                <c:pt idx="2">
                  <c:v>376.71531111774721</c:v>
                </c:pt>
              </c:numCache>
            </c:numRef>
          </c:val>
          <c:extLst>
            <c:ext xmlns:c16="http://schemas.microsoft.com/office/drawing/2014/chart" uri="{C3380CC4-5D6E-409C-BE32-E72D297353CC}">
              <c16:uniqueId val="{00000003-41CF-4273-87AF-FFA5DBDD8C45}"/>
            </c:ext>
          </c:extLst>
        </c:ser>
        <c:ser>
          <c:idx val="4"/>
          <c:order val="4"/>
          <c:tx>
            <c:strRef>
              <c:f>'239'!$U$34</c:f>
              <c:strCache>
                <c:ptCount val="1"/>
                <c:pt idx="0">
                  <c:v>Stg.2 Nozzle Aft#35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'239'!$U$36:$U$71</c:f>
              <c:numCache>
                <c:formatCode>General</c:formatCode>
                <c:ptCount val="36"/>
                <c:pt idx="2" formatCode="0.000">
                  <c:v>376.72257779842329</c:v>
                </c:pt>
                <c:pt idx="3" formatCode="0.000">
                  <c:v>376.72257779842329</c:v>
                </c:pt>
              </c:numCache>
            </c:numRef>
          </c:val>
          <c:extLst>
            <c:ext xmlns:c16="http://schemas.microsoft.com/office/drawing/2014/chart" uri="{C3380CC4-5D6E-409C-BE32-E72D297353CC}">
              <c16:uniqueId val="{00000004-41CF-4273-87AF-FFA5DBDD8C45}"/>
            </c:ext>
          </c:extLst>
        </c:ser>
        <c:ser>
          <c:idx val="5"/>
          <c:order val="5"/>
          <c:tx>
            <c:strRef>
              <c:f>'239'!$V$34</c:f>
              <c:strCache>
                <c:ptCount val="1"/>
                <c:pt idx="0">
                  <c:v>Stg.2 Nozzle Aft#34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'239'!$V$36:$V$71</c:f>
              <c:numCache>
                <c:formatCode>General</c:formatCode>
                <c:ptCount val="36"/>
                <c:pt idx="3" formatCode="0.000">
                  <c:v>376.72840002580688</c:v>
                </c:pt>
                <c:pt idx="4" formatCode="0.000">
                  <c:v>376.72840002580688</c:v>
                </c:pt>
              </c:numCache>
            </c:numRef>
          </c:val>
          <c:extLst>
            <c:ext xmlns:c16="http://schemas.microsoft.com/office/drawing/2014/chart" uri="{C3380CC4-5D6E-409C-BE32-E72D297353CC}">
              <c16:uniqueId val="{00000005-41CF-4273-87AF-FFA5DBDD8C45}"/>
            </c:ext>
          </c:extLst>
        </c:ser>
        <c:ser>
          <c:idx val="6"/>
          <c:order val="6"/>
          <c:tx>
            <c:strRef>
              <c:f>'239'!$W$34</c:f>
              <c:strCache>
                <c:ptCount val="1"/>
                <c:pt idx="0">
                  <c:v>Stg.2 Nozzle Aft#33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'239'!$W$36:$W$71</c:f>
              <c:numCache>
                <c:formatCode>General</c:formatCode>
                <c:ptCount val="36"/>
                <c:pt idx="4" formatCode="0.000">
                  <c:v>376.73155557177699</c:v>
                </c:pt>
                <c:pt idx="5" formatCode="0.000">
                  <c:v>376.73155557177699</c:v>
                </c:pt>
              </c:numCache>
            </c:numRef>
          </c:val>
          <c:extLst>
            <c:ext xmlns:c16="http://schemas.microsoft.com/office/drawing/2014/chart" uri="{C3380CC4-5D6E-409C-BE32-E72D297353CC}">
              <c16:uniqueId val="{00000006-41CF-4273-87AF-FFA5DBDD8C45}"/>
            </c:ext>
          </c:extLst>
        </c:ser>
        <c:ser>
          <c:idx val="7"/>
          <c:order val="7"/>
          <c:tx>
            <c:strRef>
              <c:f>'239'!$X$34</c:f>
              <c:strCache>
                <c:ptCount val="1"/>
                <c:pt idx="0">
                  <c:v>Stg.2 Nozzle Aft#32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'239'!$X$36:$X$71</c:f>
              <c:numCache>
                <c:formatCode>General</c:formatCode>
                <c:ptCount val="36"/>
                <c:pt idx="5" formatCode="0.000">
                  <c:v>376.73671111565307</c:v>
                </c:pt>
                <c:pt idx="6" formatCode="0.000">
                  <c:v>376.73671111565307</c:v>
                </c:pt>
              </c:numCache>
            </c:numRef>
          </c:val>
          <c:extLst>
            <c:ext xmlns:c16="http://schemas.microsoft.com/office/drawing/2014/chart" uri="{C3380CC4-5D6E-409C-BE32-E72D297353CC}">
              <c16:uniqueId val="{00000007-41CF-4273-87AF-FFA5DBDD8C45}"/>
            </c:ext>
          </c:extLst>
        </c:ser>
        <c:ser>
          <c:idx val="8"/>
          <c:order val="8"/>
          <c:tx>
            <c:strRef>
              <c:f>'239'!$Y$34</c:f>
              <c:strCache>
                <c:ptCount val="1"/>
                <c:pt idx="0">
                  <c:v>Stg.2 Nozzle Aft#31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'239'!$Y$36:$Y$71</c:f>
              <c:numCache>
                <c:formatCode>General</c:formatCode>
                <c:ptCount val="36"/>
                <c:pt idx="6" formatCode="0.000">
                  <c:v>376.74920000053078</c:v>
                </c:pt>
                <c:pt idx="7" formatCode="0.000">
                  <c:v>376.74920000053078</c:v>
                </c:pt>
              </c:numCache>
            </c:numRef>
          </c:val>
          <c:extLst>
            <c:ext xmlns:c16="http://schemas.microsoft.com/office/drawing/2014/chart" uri="{C3380CC4-5D6E-409C-BE32-E72D297353CC}">
              <c16:uniqueId val="{00000008-41CF-4273-87AF-FFA5DBDD8C45}"/>
            </c:ext>
          </c:extLst>
        </c:ser>
        <c:ser>
          <c:idx val="9"/>
          <c:order val="9"/>
          <c:tx>
            <c:strRef>
              <c:f>'239'!$Z$34</c:f>
              <c:strCache>
                <c:ptCount val="1"/>
                <c:pt idx="0">
                  <c:v>Stg.2 Nozzle Aft#30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'239'!$Z$36:$Z$71</c:f>
              <c:numCache>
                <c:formatCode>General</c:formatCode>
                <c:ptCount val="36"/>
                <c:pt idx="7" formatCode="0.000">
                  <c:v>376.76448888992104</c:v>
                </c:pt>
                <c:pt idx="8" formatCode="0.000">
                  <c:v>376.76448888992104</c:v>
                </c:pt>
              </c:numCache>
            </c:numRef>
          </c:val>
          <c:extLst>
            <c:ext xmlns:c16="http://schemas.microsoft.com/office/drawing/2014/chart" uri="{C3380CC4-5D6E-409C-BE32-E72D297353CC}">
              <c16:uniqueId val="{00000009-41CF-4273-87AF-FFA5DBDD8C45}"/>
            </c:ext>
          </c:extLst>
        </c:ser>
        <c:ser>
          <c:idx val="10"/>
          <c:order val="10"/>
          <c:tx>
            <c:strRef>
              <c:f>'239'!$AA$34</c:f>
              <c:strCache>
                <c:ptCount val="1"/>
                <c:pt idx="0">
                  <c:v>Stg.2 Nozzle Aft#29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'239'!$AA$36:$AA$71</c:f>
              <c:numCache>
                <c:formatCode>General</c:formatCode>
                <c:ptCount val="36"/>
                <c:pt idx="8" formatCode="0.000">
                  <c:v>376.76911111205482</c:v>
                </c:pt>
                <c:pt idx="9" formatCode="0.000">
                  <c:v>376.76911111205482</c:v>
                </c:pt>
              </c:numCache>
            </c:numRef>
          </c:val>
          <c:extLst>
            <c:ext xmlns:c16="http://schemas.microsoft.com/office/drawing/2014/chart" uri="{C3380CC4-5D6E-409C-BE32-E72D297353CC}">
              <c16:uniqueId val="{0000000A-41CF-4273-87AF-FFA5DBDD8C45}"/>
            </c:ext>
          </c:extLst>
        </c:ser>
        <c:ser>
          <c:idx val="11"/>
          <c:order val="11"/>
          <c:tx>
            <c:strRef>
              <c:f>'239'!$AB$34</c:f>
              <c:strCache>
                <c:ptCount val="1"/>
                <c:pt idx="0">
                  <c:v>Stg.2 Nozzle Aft#28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'239'!$AB$36:$AB$71</c:f>
              <c:numCache>
                <c:formatCode>General</c:formatCode>
                <c:ptCount val="36"/>
                <c:pt idx="9" formatCode="0.000">
                  <c:v>376.76466666702055</c:v>
                </c:pt>
                <c:pt idx="10" formatCode="0.000">
                  <c:v>376.76466666702055</c:v>
                </c:pt>
              </c:numCache>
            </c:numRef>
          </c:val>
          <c:extLst>
            <c:ext xmlns:c16="http://schemas.microsoft.com/office/drawing/2014/chart" uri="{C3380CC4-5D6E-409C-BE32-E72D297353CC}">
              <c16:uniqueId val="{0000000B-41CF-4273-87AF-FFA5DBDD8C45}"/>
            </c:ext>
          </c:extLst>
        </c:ser>
        <c:ser>
          <c:idx val="12"/>
          <c:order val="12"/>
          <c:tx>
            <c:strRef>
              <c:f>'239'!$AC$34</c:f>
              <c:strCache>
                <c:ptCount val="1"/>
                <c:pt idx="0">
                  <c:v>Stg.2 Nozzle Aft#27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'239'!$AC$36:$AC$71</c:f>
              <c:numCache>
                <c:formatCode>General</c:formatCode>
                <c:ptCount val="36"/>
                <c:pt idx="10" formatCode="0.000">
                  <c:v>376.76442228196936</c:v>
                </c:pt>
                <c:pt idx="11" formatCode="0.000">
                  <c:v>376.76442228196936</c:v>
                </c:pt>
              </c:numCache>
            </c:numRef>
          </c:val>
          <c:extLst>
            <c:ext xmlns:c16="http://schemas.microsoft.com/office/drawing/2014/chart" uri="{C3380CC4-5D6E-409C-BE32-E72D297353CC}">
              <c16:uniqueId val="{0000000C-41CF-4273-87AF-FFA5DBDD8C45}"/>
            </c:ext>
          </c:extLst>
        </c:ser>
        <c:ser>
          <c:idx val="13"/>
          <c:order val="13"/>
          <c:tx>
            <c:strRef>
              <c:f>'239'!$AD$34</c:f>
              <c:strCache>
                <c:ptCount val="1"/>
                <c:pt idx="0">
                  <c:v>Stg.2 Nozzle Aft#26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'239'!$AD$36:$AD$71</c:f>
              <c:numCache>
                <c:formatCode>General</c:formatCode>
                <c:ptCount val="36"/>
                <c:pt idx="11" formatCode="0.000">
                  <c:v>376.76884463023271</c:v>
                </c:pt>
                <c:pt idx="12" formatCode="0.000">
                  <c:v>376.76884463023271</c:v>
                </c:pt>
              </c:numCache>
            </c:numRef>
          </c:val>
          <c:extLst>
            <c:ext xmlns:c16="http://schemas.microsoft.com/office/drawing/2014/chart" uri="{C3380CC4-5D6E-409C-BE32-E72D297353CC}">
              <c16:uniqueId val="{0000000D-41CF-4273-87AF-FFA5DBDD8C45}"/>
            </c:ext>
          </c:extLst>
        </c:ser>
        <c:ser>
          <c:idx val="14"/>
          <c:order val="14"/>
          <c:tx>
            <c:strRef>
              <c:f>'239'!$AE$34</c:f>
              <c:strCache>
                <c:ptCount val="1"/>
                <c:pt idx="0">
                  <c:v>Stg.2 Nozzle Aft#25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'239'!$AE$36:$AE$71</c:f>
              <c:numCache>
                <c:formatCode>General</c:formatCode>
                <c:ptCount val="36"/>
                <c:pt idx="12" formatCode="0.000">
                  <c:v>376.76420023242702</c:v>
                </c:pt>
                <c:pt idx="13" formatCode="0.000">
                  <c:v>376.76420023242702</c:v>
                </c:pt>
              </c:numCache>
            </c:numRef>
          </c:val>
          <c:extLst>
            <c:ext xmlns:c16="http://schemas.microsoft.com/office/drawing/2014/chart" uri="{C3380CC4-5D6E-409C-BE32-E72D297353CC}">
              <c16:uniqueId val="{0000000E-41CF-4273-87AF-FFA5DBDD8C45}"/>
            </c:ext>
          </c:extLst>
        </c:ser>
        <c:ser>
          <c:idx val="15"/>
          <c:order val="15"/>
          <c:tx>
            <c:strRef>
              <c:f>'239'!$AF$34</c:f>
              <c:strCache>
                <c:ptCount val="1"/>
                <c:pt idx="0">
                  <c:v>Stg.2 Nozzle Aft#24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'239'!$AF$36:$AF$71</c:f>
              <c:numCache>
                <c:formatCode>General</c:formatCode>
                <c:ptCount val="36"/>
                <c:pt idx="13" formatCode="0.000">
                  <c:v>376.74488903554379</c:v>
                </c:pt>
                <c:pt idx="14" formatCode="0.000">
                  <c:v>376.74488903554379</c:v>
                </c:pt>
              </c:numCache>
            </c:numRef>
          </c:val>
          <c:extLst>
            <c:ext xmlns:c16="http://schemas.microsoft.com/office/drawing/2014/chart" uri="{C3380CC4-5D6E-409C-BE32-E72D297353CC}">
              <c16:uniqueId val="{0000000F-41CF-4273-87AF-FFA5DBDD8C45}"/>
            </c:ext>
          </c:extLst>
        </c:ser>
        <c:ser>
          <c:idx val="16"/>
          <c:order val="16"/>
          <c:tx>
            <c:strRef>
              <c:f>'239'!$AG$34</c:f>
              <c:strCache>
                <c:ptCount val="1"/>
                <c:pt idx="0">
                  <c:v>Stg.2 Nozzle Aft#23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'239'!$AG$36:$AG$71</c:f>
              <c:numCache>
                <c:formatCode>General</c:formatCode>
                <c:ptCount val="36"/>
                <c:pt idx="14" formatCode="0.000">
                  <c:v>376.72515559746148</c:v>
                </c:pt>
                <c:pt idx="15" formatCode="0.000">
                  <c:v>376.72515559746148</c:v>
                </c:pt>
              </c:numCache>
            </c:numRef>
          </c:val>
          <c:extLst>
            <c:ext xmlns:c16="http://schemas.microsoft.com/office/drawing/2014/chart" uri="{C3380CC4-5D6E-409C-BE32-E72D297353CC}">
              <c16:uniqueId val="{00000010-41CF-4273-87AF-FFA5DBDD8C45}"/>
            </c:ext>
          </c:extLst>
        </c:ser>
        <c:ser>
          <c:idx val="17"/>
          <c:order val="17"/>
          <c:tx>
            <c:strRef>
              <c:f>'239'!$AH$34</c:f>
              <c:strCache>
                <c:ptCount val="1"/>
                <c:pt idx="0">
                  <c:v>Stg.2 Nozzle Aft#22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'239'!$AH$36:$AH$71</c:f>
              <c:numCache>
                <c:formatCode>General</c:formatCode>
                <c:ptCount val="36"/>
                <c:pt idx="15" formatCode="0.000">
                  <c:v>376.71720000557451</c:v>
                </c:pt>
                <c:pt idx="16" formatCode="0.000">
                  <c:v>376.71720000557451</c:v>
                </c:pt>
              </c:numCache>
            </c:numRef>
          </c:val>
          <c:extLst>
            <c:ext xmlns:c16="http://schemas.microsoft.com/office/drawing/2014/chart" uri="{C3380CC4-5D6E-409C-BE32-E72D297353CC}">
              <c16:uniqueId val="{00000011-41CF-4273-87AF-FFA5DBDD8C45}"/>
            </c:ext>
          </c:extLst>
        </c:ser>
        <c:ser>
          <c:idx val="18"/>
          <c:order val="18"/>
          <c:tx>
            <c:strRef>
              <c:f>'239'!$AI$34</c:f>
              <c:strCache>
                <c:ptCount val="1"/>
                <c:pt idx="0">
                  <c:v>Stg.2 Nozzle Aft#21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'239'!$AI$36:$AI$71</c:f>
              <c:numCache>
                <c:formatCode>General</c:formatCode>
                <c:ptCount val="36"/>
                <c:pt idx="16" formatCode="0.000">
                  <c:v>376.71601112065264</c:v>
                </c:pt>
                <c:pt idx="17" formatCode="0.000">
                  <c:v>376.71601112065264</c:v>
                </c:pt>
              </c:numCache>
            </c:numRef>
          </c:val>
          <c:extLst>
            <c:ext xmlns:c16="http://schemas.microsoft.com/office/drawing/2014/chart" uri="{C3380CC4-5D6E-409C-BE32-E72D297353CC}">
              <c16:uniqueId val="{00000012-41CF-4273-87AF-FFA5DBDD8C45}"/>
            </c:ext>
          </c:extLst>
        </c:ser>
        <c:ser>
          <c:idx val="19"/>
          <c:order val="19"/>
          <c:tx>
            <c:strRef>
              <c:f>'239'!$AJ$34</c:f>
              <c:strCache>
                <c:ptCount val="1"/>
                <c:pt idx="0">
                  <c:v>Stg.2 Nozzle Aft#20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'239'!$AJ$36:$AJ$71</c:f>
              <c:numCache>
                <c:formatCode>General</c:formatCode>
                <c:ptCount val="36"/>
                <c:pt idx="17" formatCode="0.000">
                  <c:v>376.71282223071671</c:v>
                </c:pt>
                <c:pt idx="18" formatCode="0.000">
                  <c:v>376.71282223071671</c:v>
                </c:pt>
              </c:numCache>
            </c:numRef>
          </c:val>
          <c:extLst>
            <c:ext xmlns:c16="http://schemas.microsoft.com/office/drawing/2014/chart" uri="{C3380CC4-5D6E-409C-BE32-E72D297353CC}">
              <c16:uniqueId val="{00000013-41CF-4273-87AF-FFA5DBDD8C45}"/>
            </c:ext>
          </c:extLst>
        </c:ser>
        <c:ser>
          <c:idx val="20"/>
          <c:order val="20"/>
          <c:tx>
            <c:strRef>
              <c:f>'239'!$AK$34</c:f>
              <c:strCache>
                <c:ptCount val="1"/>
                <c:pt idx="0">
                  <c:v>Stg.2 Nozzle Aft#19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'239'!$AK$36:$AK$71</c:f>
              <c:numCache>
                <c:formatCode>General</c:formatCode>
                <c:ptCount val="36"/>
                <c:pt idx="18" formatCode="0.000">
                  <c:v>376.70793333651875</c:v>
                </c:pt>
                <c:pt idx="19" formatCode="0.000">
                  <c:v>376.70793333651875</c:v>
                </c:pt>
              </c:numCache>
            </c:numRef>
          </c:val>
          <c:extLst>
            <c:ext xmlns:c16="http://schemas.microsoft.com/office/drawing/2014/chart" uri="{C3380CC4-5D6E-409C-BE32-E72D297353CC}">
              <c16:uniqueId val="{00000014-41CF-4273-87AF-FFA5DBDD8C45}"/>
            </c:ext>
          </c:extLst>
        </c:ser>
        <c:ser>
          <c:idx val="21"/>
          <c:order val="21"/>
          <c:tx>
            <c:strRef>
              <c:f>'239'!$AL$34</c:f>
              <c:strCache>
                <c:ptCount val="1"/>
                <c:pt idx="0">
                  <c:v>Stg.2 Nozzle Aft#18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'239'!$AL$36:$AL$71</c:f>
              <c:numCache>
                <c:formatCode>General</c:formatCode>
                <c:ptCount val="36"/>
                <c:pt idx="19" formatCode="0.000">
                  <c:v>376.70784445134615</c:v>
                </c:pt>
                <c:pt idx="20" formatCode="0.000">
                  <c:v>376.70784445134615</c:v>
                </c:pt>
              </c:numCache>
            </c:numRef>
          </c:val>
          <c:extLst>
            <c:ext xmlns:c16="http://schemas.microsoft.com/office/drawing/2014/chart" uri="{C3380CC4-5D6E-409C-BE32-E72D297353CC}">
              <c16:uniqueId val="{00000015-41CF-4273-87AF-FFA5DBDD8C45}"/>
            </c:ext>
          </c:extLst>
        </c:ser>
        <c:ser>
          <c:idx val="22"/>
          <c:order val="22"/>
          <c:tx>
            <c:strRef>
              <c:f>'239'!$AM$34</c:f>
              <c:strCache>
                <c:ptCount val="1"/>
                <c:pt idx="0">
                  <c:v>Stg.2 Nozzle Aft#17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'239'!$AM$36:$AM$71</c:f>
              <c:numCache>
                <c:formatCode>General</c:formatCode>
                <c:ptCount val="36"/>
                <c:pt idx="20" formatCode="0.000">
                  <c:v>376.71308890953503</c:v>
                </c:pt>
                <c:pt idx="21" formatCode="0.000">
                  <c:v>376.71308890953503</c:v>
                </c:pt>
              </c:numCache>
            </c:numRef>
          </c:val>
          <c:extLst>
            <c:ext xmlns:c16="http://schemas.microsoft.com/office/drawing/2014/chart" uri="{C3380CC4-5D6E-409C-BE32-E72D297353CC}">
              <c16:uniqueId val="{00000016-41CF-4273-87AF-FFA5DBDD8C45}"/>
            </c:ext>
          </c:extLst>
        </c:ser>
        <c:ser>
          <c:idx val="23"/>
          <c:order val="23"/>
          <c:tx>
            <c:strRef>
              <c:f>'239'!$AN$34</c:f>
              <c:strCache>
                <c:ptCount val="1"/>
                <c:pt idx="0">
                  <c:v>Stg.2 Nozzle Aft#16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'239'!$AN$36:$AN$71</c:f>
              <c:numCache>
                <c:formatCode>General</c:formatCode>
                <c:ptCount val="36"/>
                <c:pt idx="21" formatCode="0.000">
                  <c:v>376.72045558155492</c:v>
                </c:pt>
                <c:pt idx="22" formatCode="0.000">
                  <c:v>376.72045558155492</c:v>
                </c:pt>
              </c:numCache>
            </c:numRef>
          </c:val>
          <c:extLst>
            <c:ext xmlns:c16="http://schemas.microsoft.com/office/drawing/2014/chart" uri="{C3380CC4-5D6E-409C-BE32-E72D297353CC}">
              <c16:uniqueId val="{00000017-41CF-4273-87AF-FFA5DBDD8C45}"/>
            </c:ext>
          </c:extLst>
        </c:ser>
        <c:ser>
          <c:idx val="24"/>
          <c:order val="24"/>
          <c:tx>
            <c:strRef>
              <c:f>'239'!$AO$34</c:f>
              <c:strCache>
                <c:ptCount val="1"/>
                <c:pt idx="0">
                  <c:v>Stg.2 Nozzle Aft#15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'239'!$AO$36:$AO$71</c:f>
              <c:numCache>
                <c:formatCode>General</c:formatCode>
                <c:ptCount val="36"/>
                <c:pt idx="22" formatCode="0.000">
                  <c:v>376.73026668356698</c:v>
                </c:pt>
                <c:pt idx="23" formatCode="0.000">
                  <c:v>376.73026668356698</c:v>
                </c:pt>
              </c:numCache>
            </c:numRef>
          </c:val>
          <c:extLst>
            <c:ext xmlns:c16="http://schemas.microsoft.com/office/drawing/2014/chart" uri="{C3380CC4-5D6E-409C-BE32-E72D297353CC}">
              <c16:uniqueId val="{00000018-41CF-4273-87AF-FFA5DBDD8C45}"/>
            </c:ext>
          </c:extLst>
        </c:ser>
        <c:ser>
          <c:idx val="25"/>
          <c:order val="25"/>
          <c:tx>
            <c:strRef>
              <c:f>'239'!$AP$34</c:f>
              <c:strCache>
                <c:ptCount val="1"/>
                <c:pt idx="0">
                  <c:v>Stg.2 Nozzle Aft#14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'239'!$AP$36:$AP$71</c:f>
              <c:numCache>
                <c:formatCode>General</c:formatCode>
                <c:ptCount val="36"/>
                <c:pt idx="23" formatCode="0.000">
                  <c:v>376.74182222874026</c:v>
                </c:pt>
                <c:pt idx="24" formatCode="0.000">
                  <c:v>376.74182222874026</c:v>
                </c:pt>
              </c:numCache>
            </c:numRef>
          </c:val>
          <c:extLst>
            <c:ext xmlns:c16="http://schemas.microsoft.com/office/drawing/2014/chart" uri="{C3380CC4-5D6E-409C-BE32-E72D297353CC}">
              <c16:uniqueId val="{00000019-41CF-4273-87AF-FFA5DBDD8C45}"/>
            </c:ext>
          </c:extLst>
        </c:ser>
        <c:ser>
          <c:idx val="26"/>
          <c:order val="26"/>
          <c:tx>
            <c:strRef>
              <c:f>'239'!$AQ$34</c:f>
              <c:strCache>
                <c:ptCount val="1"/>
                <c:pt idx="0">
                  <c:v>Stg.2 Nozzle Aft#13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'239'!$AQ$36:$AQ$71</c:f>
              <c:numCache>
                <c:formatCode>General</c:formatCode>
                <c:ptCount val="36"/>
                <c:pt idx="24" formatCode="0.000">
                  <c:v>376.75560000557368</c:v>
                </c:pt>
                <c:pt idx="25" formatCode="0.000">
                  <c:v>376.75560000557368</c:v>
                </c:pt>
              </c:numCache>
            </c:numRef>
          </c:val>
          <c:extLst>
            <c:ext xmlns:c16="http://schemas.microsoft.com/office/drawing/2014/chart" uri="{C3380CC4-5D6E-409C-BE32-E72D297353CC}">
              <c16:uniqueId val="{0000001A-41CF-4273-87AF-FFA5DBDD8C45}"/>
            </c:ext>
          </c:extLst>
        </c:ser>
        <c:ser>
          <c:idx val="27"/>
          <c:order val="27"/>
          <c:tx>
            <c:strRef>
              <c:f>'239'!$AR$34</c:f>
              <c:strCache>
                <c:ptCount val="1"/>
                <c:pt idx="0">
                  <c:v>Stg.2 Nozzle Aft#12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'239'!$AR$36:$AR$71</c:f>
              <c:numCache>
                <c:formatCode>General</c:formatCode>
                <c:ptCount val="36"/>
                <c:pt idx="25" formatCode="0.000">
                  <c:v>376.76937778731781</c:v>
                </c:pt>
                <c:pt idx="26" formatCode="0.000">
                  <c:v>376.76937778731781</c:v>
                </c:pt>
              </c:numCache>
            </c:numRef>
          </c:val>
          <c:extLst>
            <c:ext xmlns:c16="http://schemas.microsoft.com/office/drawing/2014/chart" uri="{C3380CC4-5D6E-409C-BE32-E72D297353CC}">
              <c16:uniqueId val="{0000001B-41CF-4273-87AF-FFA5DBDD8C45}"/>
            </c:ext>
          </c:extLst>
        </c:ser>
        <c:ser>
          <c:idx val="28"/>
          <c:order val="28"/>
          <c:tx>
            <c:strRef>
              <c:f>'239'!$AS$34</c:f>
              <c:strCache>
                <c:ptCount val="1"/>
                <c:pt idx="0">
                  <c:v>Stg.2 Nozzle Aft#11</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'239'!$AS$36:$AS$71</c:f>
              <c:numCache>
                <c:formatCode>General</c:formatCode>
                <c:ptCount val="36"/>
                <c:pt idx="26" formatCode="0.000">
                  <c:v>376.77426667515977</c:v>
                </c:pt>
                <c:pt idx="27" formatCode="0.000">
                  <c:v>376.77426667515977</c:v>
                </c:pt>
              </c:numCache>
            </c:numRef>
          </c:val>
          <c:extLst>
            <c:ext xmlns:c16="http://schemas.microsoft.com/office/drawing/2014/chart" uri="{C3380CC4-5D6E-409C-BE32-E72D297353CC}">
              <c16:uniqueId val="{0000001C-41CF-4273-87AF-FFA5DBDD8C45}"/>
            </c:ext>
          </c:extLst>
        </c:ser>
        <c:ser>
          <c:idx val="29"/>
          <c:order val="29"/>
          <c:tx>
            <c:strRef>
              <c:f>'239'!$AT$34</c:f>
              <c:strCache>
                <c:ptCount val="1"/>
                <c:pt idx="0">
                  <c:v>Stg.2 Nozzle Aft#10</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'239'!$AT$36:$AT$71</c:f>
              <c:numCache>
                <c:formatCode>General</c:formatCode>
                <c:ptCount val="36"/>
                <c:pt idx="27" formatCode="0.000">
                  <c:v>376.77160000318486</c:v>
                </c:pt>
                <c:pt idx="28" formatCode="0.000">
                  <c:v>376.77160000318486</c:v>
                </c:pt>
              </c:numCache>
            </c:numRef>
          </c:val>
          <c:extLst>
            <c:ext xmlns:c16="http://schemas.microsoft.com/office/drawing/2014/chart" uri="{C3380CC4-5D6E-409C-BE32-E72D297353CC}">
              <c16:uniqueId val="{0000001D-41CF-4273-87AF-FFA5DBDD8C45}"/>
            </c:ext>
          </c:extLst>
        </c:ser>
        <c:ser>
          <c:idx val="30"/>
          <c:order val="30"/>
          <c:tx>
            <c:strRef>
              <c:f>'239'!$AU$34</c:f>
              <c:strCache>
                <c:ptCount val="1"/>
                <c:pt idx="0">
                  <c:v>Stg.2 Nozzle Aft#9</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'239'!$AU$36:$AU$71</c:f>
              <c:numCache>
                <c:formatCode>General</c:formatCode>
                <c:ptCount val="36"/>
                <c:pt idx="28" formatCode="0.000">
                  <c:v>376.76973333386411</c:v>
                </c:pt>
                <c:pt idx="29" formatCode="0.000">
                  <c:v>376.76973333386411</c:v>
                </c:pt>
              </c:numCache>
            </c:numRef>
          </c:val>
          <c:extLst>
            <c:ext xmlns:c16="http://schemas.microsoft.com/office/drawing/2014/chart" uri="{C3380CC4-5D6E-409C-BE32-E72D297353CC}">
              <c16:uniqueId val="{0000001E-41CF-4273-87AF-FFA5DBDD8C45}"/>
            </c:ext>
          </c:extLst>
        </c:ser>
        <c:ser>
          <c:idx val="31"/>
          <c:order val="31"/>
          <c:tx>
            <c:strRef>
              <c:f>'239'!$AV$34</c:f>
              <c:strCache>
                <c:ptCount val="1"/>
                <c:pt idx="0">
                  <c:v>Stg.2 Nozzle Aft#8</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'239'!$AV$36:$AV$71</c:f>
              <c:numCache>
                <c:formatCode>General</c:formatCode>
                <c:ptCount val="36"/>
                <c:pt idx="29" formatCode="0.000">
                  <c:v>376.76875555638128</c:v>
                </c:pt>
                <c:pt idx="30" formatCode="0.000">
                  <c:v>376.76875555638128</c:v>
                </c:pt>
              </c:numCache>
            </c:numRef>
          </c:val>
          <c:extLst>
            <c:ext xmlns:c16="http://schemas.microsoft.com/office/drawing/2014/chart" uri="{C3380CC4-5D6E-409C-BE32-E72D297353CC}">
              <c16:uniqueId val="{0000001F-41CF-4273-87AF-FFA5DBDD8C45}"/>
            </c:ext>
          </c:extLst>
        </c:ser>
        <c:ser>
          <c:idx val="32"/>
          <c:order val="32"/>
          <c:tx>
            <c:strRef>
              <c:f>'239'!$AW$34</c:f>
              <c:strCache>
                <c:ptCount val="1"/>
                <c:pt idx="0">
                  <c:v>Stg.2 Nozzle Aft#7</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'239'!$AW$36:$AW$71</c:f>
              <c:numCache>
                <c:formatCode>General</c:formatCode>
                <c:ptCount val="36"/>
                <c:pt idx="30" formatCode="0.000">
                  <c:v>376.76093333436552</c:v>
                </c:pt>
                <c:pt idx="31" formatCode="0.000">
                  <c:v>376.76093333436552</c:v>
                </c:pt>
              </c:numCache>
            </c:numRef>
          </c:val>
          <c:extLst>
            <c:ext xmlns:c16="http://schemas.microsoft.com/office/drawing/2014/chart" uri="{C3380CC4-5D6E-409C-BE32-E72D297353CC}">
              <c16:uniqueId val="{00000020-41CF-4273-87AF-FFA5DBDD8C45}"/>
            </c:ext>
          </c:extLst>
        </c:ser>
        <c:ser>
          <c:idx val="33"/>
          <c:order val="33"/>
          <c:tx>
            <c:strRef>
              <c:f>'239'!$AX$34</c:f>
              <c:strCache>
                <c:ptCount val="1"/>
                <c:pt idx="0">
                  <c:v>Stg.2 Nozzle Aft#6</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'239'!$AX$36:$AX$71</c:f>
              <c:numCache>
                <c:formatCode>General</c:formatCode>
                <c:ptCount val="36"/>
                <c:pt idx="31" formatCode="0.000">
                  <c:v>376.74244444509327</c:v>
                </c:pt>
                <c:pt idx="32" formatCode="0.000">
                  <c:v>376.74244444509327</c:v>
                </c:pt>
              </c:numCache>
            </c:numRef>
          </c:val>
          <c:extLst>
            <c:ext xmlns:c16="http://schemas.microsoft.com/office/drawing/2014/chart" uri="{C3380CC4-5D6E-409C-BE32-E72D297353CC}">
              <c16:uniqueId val="{00000021-41CF-4273-87AF-FFA5DBDD8C45}"/>
            </c:ext>
          </c:extLst>
        </c:ser>
        <c:ser>
          <c:idx val="34"/>
          <c:order val="34"/>
          <c:tx>
            <c:strRef>
              <c:f>'239'!$AY$34</c:f>
              <c:strCache>
                <c:ptCount val="1"/>
                <c:pt idx="0">
                  <c:v>Stg.2 Nozzle Aft#5</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'239'!$AY$36:$AY$71</c:f>
              <c:numCache>
                <c:formatCode>General</c:formatCode>
                <c:ptCount val="36"/>
                <c:pt idx="32" formatCode="0.000">
                  <c:v>376.72377777795475</c:v>
                </c:pt>
                <c:pt idx="33" formatCode="0.000">
                  <c:v>376.72377777795475</c:v>
                </c:pt>
              </c:numCache>
            </c:numRef>
          </c:val>
          <c:extLst>
            <c:ext xmlns:c16="http://schemas.microsoft.com/office/drawing/2014/chart" uri="{C3380CC4-5D6E-409C-BE32-E72D297353CC}">
              <c16:uniqueId val="{00000022-41CF-4273-87AF-FFA5DBDD8C45}"/>
            </c:ext>
          </c:extLst>
        </c:ser>
        <c:ser>
          <c:idx val="35"/>
          <c:order val="35"/>
          <c:tx>
            <c:strRef>
              <c:f>'239'!$AZ$34</c:f>
              <c:strCache>
                <c:ptCount val="1"/>
                <c:pt idx="0">
                  <c:v>Stg.2 Nozzle Aft#4</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'239'!$AZ$36:$AZ$71</c:f>
              <c:numCache>
                <c:formatCode>General</c:formatCode>
                <c:ptCount val="36"/>
                <c:pt idx="33" formatCode="0.000">
                  <c:v>376.71400000000006</c:v>
                </c:pt>
                <c:pt idx="34" formatCode="0.000">
                  <c:v>376.71400000000006</c:v>
                </c:pt>
              </c:numCache>
            </c:numRef>
          </c:val>
          <c:extLst>
            <c:ext xmlns:c16="http://schemas.microsoft.com/office/drawing/2014/chart" uri="{C3380CC4-5D6E-409C-BE32-E72D297353CC}">
              <c16:uniqueId val="{00000023-41CF-4273-87AF-FFA5DBDD8C45}"/>
            </c:ext>
          </c:extLst>
        </c:ser>
        <c:ser>
          <c:idx val="36"/>
          <c:order val="36"/>
          <c:tx>
            <c:strRef>
              <c:f>'239'!$BA$34</c:f>
              <c:strCache>
                <c:ptCount val="1"/>
                <c:pt idx="0">
                  <c:v>Stg.2 Nozzle Aft#3</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'239'!$BA$36:$BA$71</c:f>
              <c:numCache>
                <c:formatCode>General</c:formatCode>
                <c:ptCount val="36"/>
                <c:pt idx="34" formatCode="0.000">
                  <c:v>376.71002222222228</c:v>
                </c:pt>
                <c:pt idx="35" formatCode="0.000">
                  <c:v>376.71002222222228</c:v>
                </c:pt>
              </c:numCache>
            </c:numRef>
          </c:val>
          <c:extLst>
            <c:ext xmlns:c16="http://schemas.microsoft.com/office/drawing/2014/chart" uri="{C3380CC4-5D6E-409C-BE32-E72D297353CC}">
              <c16:uniqueId val="{00000024-41CF-4273-87AF-FFA5DBDD8C45}"/>
            </c:ext>
          </c:extLst>
        </c:ser>
        <c:ser>
          <c:idx val="37"/>
          <c:order val="37"/>
          <c:tx>
            <c:strRef>
              <c:f>'239'!$BB$34</c:f>
              <c:strCache>
                <c:ptCount val="1"/>
                <c:pt idx="0">
                  <c:v>Stg.2 Nozzle Aft#2</c:v>
                </c:pt>
              </c:strCache>
            </c:strRef>
          </c:tx>
          <c:marker>
            <c:symbol val="none"/>
          </c:marker>
          <c:cat>
            <c:numRef>
              <c:f>'239'!$J$36:$J$71</c:f>
              <c:numCache>
                <c:formatCode>General</c:formatCode>
                <c:ptCount val="36"/>
                <c:pt idx="0">
                  <c:v>1</c:v>
                </c:pt>
                <c:pt idx="1">
                  <c:v>36</c:v>
                </c:pt>
                <c:pt idx="2">
                  <c:v>35</c:v>
                </c:pt>
                <c:pt idx="3">
                  <c:v>34</c:v>
                </c:pt>
                <c:pt idx="4">
                  <c:v>33</c:v>
                </c:pt>
                <c:pt idx="5">
                  <c:v>32</c:v>
                </c:pt>
                <c:pt idx="6">
                  <c:v>31</c:v>
                </c:pt>
                <c:pt idx="7">
                  <c:v>30</c:v>
                </c:pt>
                <c:pt idx="8">
                  <c:v>29</c:v>
                </c:pt>
                <c:pt idx="9">
                  <c:v>28</c:v>
                </c:pt>
                <c:pt idx="10">
                  <c:v>27</c:v>
                </c:pt>
                <c:pt idx="11">
                  <c:v>26</c:v>
                </c:pt>
                <c:pt idx="12">
                  <c:v>25</c:v>
                </c:pt>
                <c:pt idx="13">
                  <c:v>24</c:v>
                </c:pt>
                <c:pt idx="14">
                  <c:v>23</c:v>
                </c:pt>
                <c:pt idx="15">
                  <c:v>22</c:v>
                </c:pt>
                <c:pt idx="16">
                  <c:v>21</c:v>
                </c:pt>
                <c:pt idx="17">
                  <c:v>20</c:v>
                </c:pt>
                <c:pt idx="18">
                  <c:v>19</c:v>
                </c:pt>
                <c:pt idx="19">
                  <c:v>18</c:v>
                </c:pt>
                <c:pt idx="20">
                  <c:v>17</c:v>
                </c:pt>
                <c:pt idx="21">
                  <c:v>16</c:v>
                </c:pt>
                <c:pt idx="22">
                  <c:v>15</c:v>
                </c:pt>
                <c:pt idx="23">
                  <c:v>14</c:v>
                </c:pt>
                <c:pt idx="24">
                  <c:v>13</c:v>
                </c:pt>
                <c:pt idx="25">
                  <c:v>12</c:v>
                </c:pt>
                <c:pt idx="26">
                  <c:v>11</c:v>
                </c:pt>
                <c:pt idx="27">
                  <c:v>10</c:v>
                </c:pt>
                <c:pt idx="28">
                  <c:v>9</c:v>
                </c:pt>
                <c:pt idx="29">
                  <c:v>8</c:v>
                </c:pt>
                <c:pt idx="30">
                  <c:v>7</c:v>
                </c:pt>
                <c:pt idx="31">
                  <c:v>6</c:v>
                </c:pt>
                <c:pt idx="32">
                  <c:v>5</c:v>
                </c:pt>
                <c:pt idx="33">
                  <c:v>4</c:v>
                </c:pt>
                <c:pt idx="34">
                  <c:v>3</c:v>
                </c:pt>
                <c:pt idx="35">
                  <c:v>2</c:v>
                </c:pt>
              </c:numCache>
            </c:numRef>
          </c:cat>
          <c:val>
            <c:numRef>
              <c:f>'239'!$BB$36:$BB$71</c:f>
              <c:numCache>
                <c:formatCode>General</c:formatCode>
                <c:ptCount val="36"/>
                <c:pt idx="0" formatCode="0.000">
                  <c:v>376.70915555555558</c:v>
                </c:pt>
                <c:pt idx="35" formatCode="0.000">
                  <c:v>376.70915555555558</c:v>
                </c:pt>
              </c:numCache>
            </c:numRef>
          </c:val>
          <c:extLst>
            <c:ext xmlns:c16="http://schemas.microsoft.com/office/drawing/2014/chart" uri="{C3380CC4-5D6E-409C-BE32-E72D297353CC}">
              <c16:uniqueId val="{00000025-41CF-4273-87AF-FFA5DBDD8C45}"/>
            </c:ext>
          </c:extLst>
        </c:ser>
        <c:dLbls>
          <c:showLegendKey val="0"/>
          <c:showVal val="0"/>
          <c:showCatName val="0"/>
          <c:showSerName val="0"/>
          <c:showPercent val="0"/>
          <c:showBubbleSize val="0"/>
        </c:dLbls>
        <c:axId val="184595456"/>
        <c:axId val="182287104"/>
      </c:radarChart>
      <c:catAx>
        <c:axId val="18459545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287104"/>
        <c:crosses val="autoZero"/>
        <c:auto val="1"/>
        <c:lblAlgn val="ctr"/>
        <c:lblOffset val="100"/>
        <c:noMultiLvlLbl val="0"/>
      </c:catAx>
      <c:valAx>
        <c:axId val="18228710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4595456"/>
        <c:crosses val="autoZero"/>
        <c:crossBetween val="between"/>
        <c:majorUnit val="5.000000000000001E-2"/>
      </c:valAx>
    </c:plotArea>
    <c:legend>
      <c:legendPos val="r"/>
      <c:layout>
        <c:manualLayout>
          <c:xMode val="edge"/>
          <c:yMode val="edge"/>
          <c:x val="0.79900378236176117"/>
          <c:y val="0"/>
          <c:w val="0.19352951055563911"/>
          <c:h val="1"/>
        </c:manualLayout>
      </c:layout>
      <c:overlay val="0"/>
      <c:txPr>
        <a:bodyPr/>
        <a:lstStyle/>
        <a:p>
          <a:pPr>
            <a:defRPr lang="ja-JP" sz="500"/>
          </a:pPr>
          <a:endParaRPr lang="en-US"/>
        </a:p>
      </c:txPr>
    </c:legend>
    <c:plotVisOnly val="1"/>
    <c:dispBlanksAs val="gap"/>
    <c:showDLblsOverMax val="0"/>
  </c:chart>
  <c:txPr>
    <a:bodyPr/>
    <a:lstStyle/>
    <a:p>
      <a:pPr>
        <a:defRPr sz="800"/>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'241'!$K$9</c:f>
              <c:strCache>
                <c:ptCount val="1"/>
                <c:pt idx="0">
                  <c:v>CMM</c:v>
                </c:pt>
              </c:strCache>
            </c:strRef>
          </c:tx>
          <c:marker>
            <c:symbol val="none"/>
          </c:marker>
          <c:cat>
            <c:numRef>
              <c:f>'241'!$J$11:$J$26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'241'!$K$11:$K$26</c:f>
              <c:numCache>
                <c:formatCode>General</c:formatCode>
                <c:ptCount val="16"/>
                <c:pt idx="0">
                  <c:v>396.88500000125981</c:v>
                </c:pt>
                <c:pt idx="1">
                  <c:v>396.90400000503899</c:v>
                </c:pt>
                <c:pt idx="2">
                  <c:v>396.90900000125976</c:v>
                </c:pt>
                <c:pt idx="3">
                  <c:v>396.92900004534818</c:v>
                </c:pt>
                <c:pt idx="4">
                  <c:v>396.916</c:v>
                </c:pt>
                <c:pt idx="5">
                  <c:v>396.92500001133715</c:v>
                </c:pt>
                <c:pt idx="6">
                  <c:v>396.892</c:v>
                </c:pt>
                <c:pt idx="7">
                  <c:v>396.88500003149528</c:v>
                </c:pt>
                <c:pt idx="8">
                  <c:v>396.87200000125989</c:v>
                </c:pt>
                <c:pt idx="9">
                  <c:v>396.88700001133827</c:v>
                </c:pt>
                <c:pt idx="10">
                  <c:v>396.89900000125976</c:v>
                </c:pt>
                <c:pt idx="11">
                  <c:v>396.95400015241063</c:v>
                </c:pt>
                <c:pt idx="12">
                  <c:v>396.94100000125962</c:v>
                </c:pt>
                <c:pt idx="13">
                  <c:v>396.92600004534853</c:v>
                </c:pt>
                <c:pt idx="14">
                  <c:v>396.8830000012598</c:v>
                </c:pt>
                <c:pt idx="15">
                  <c:v>396.87000001133873</c:v>
                </c:pt>
              </c:numCache>
            </c:numRef>
          </c:val>
          <c:extLst>
            <c:ext xmlns:c16="http://schemas.microsoft.com/office/drawing/2014/chart" uri="{C3380CC4-5D6E-409C-BE32-E72D297353CC}">
              <c16:uniqueId val="{00000000-2B00-4535-BE73-9FEC5672D99E}"/>
            </c:ext>
          </c:extLst>
        </c:ser>
        <c:ser>
          <c:idx val="1"/>
          <c:order val="1"/>
          <c:tx>
            <c:strRef>
              <c:f>'241'!$L$9</c:f>
              <c:strCache>
                <c:ptCount val="1"/>
                <c:pt idx="0">
                  <c:v>Dwg Min</c:v>
                </c:pt>
              </c:strCache>
            </c:strRef>
          </c:tx>
          <c:spPr>
            <a:ln>
              <a:prstDash val="dash"/>
            </a:ln>
          </c:spPr>
          <c:marker>
            <c:symbol val="none"/>
          </c:marker>
          <c:val>
            <c:numRef>
              <c:f>'241'!$L$11:$L$26</c:f>
              <c:numCache>
                <c:formatCode>General</c:formatCode>
                <c:ptCount val="16"/>
                <c:pt idx="0">
                  <c:v>396.81</c:v>
                </c:pt>
                <c:pt idx="1">
                  <c:v>396.81</c:v>
                </c:pt>
                <c:pt idx="2">
                  <c:v>396.81</c:v>
                </c:pt>
                <c:pt idx="3">
                  <c:v>396.81</c:v>
                </c:pt>
                <c:pt idx="4">
                  <c:v>396.81</c:v>
                </c:pt>
                <c:pt idx="5">
                  <c:v>396.81</c:v>
                </c:pt>
                <c:pt idx="6">
                  <c:v>396.81</c:v>
                </c:pt>
                <c:pt idx="7">
                  <c:v>396.81</c:v>
                </c:pt>
                <c:pt idx="8">
                  <c:v>396.81</c:v>
                </c:pt>
                <c:pt idx="9">
                  <c:v>396.81</c:v>
                </c:pt>
                <c:pt idx="10">
                  <c:v>396.81</c:v>
                </c:pt>
                <c:pt idx="11">
                  <c:v>396.81</c:v>
                </c:pt>
                <c:pt idx="12">
                  <c:v>396.81</c:v>
                </c:pt>
                <c:pt idx="13">
                  <c:v>396.81</c:v>
                </c:pt>
                <c:pt idx="14">
                  <c:v>396.81</c:v>
                </c:pt>
                <c:pt idx="15">
                  <c:v>396.81</c:v>
                </c:pt>
              </c:numCache>
            </c:numRef>
          </c:val>
          <c:extLst>
            <c:ext xmlns:c16="http://schemas.microsoft.com/office/drawing/2014/chart" uri="{C3380CC4-5D6E-409C-BE32-E72D297353CC}">
              <c16:uniqueId val="{00000001-2B00-4535-BE73-9FEC5672D99E}"/>
            </c:ext>
          </c:extLst>
        </c:ser>
        <c:ser>
          <c:idx val="2"/>
          <c:order val="2"/>
          <c:tx>
            <c:strRef>
              <c:f>'241'!$M$9</c:f>
              <c:strCache>
                <c:ptCount val="1"/>
                <c:pt idx="0">
                  <c:v>Dwg Max</c:v>
                </c:pt>
              </c:strCache>
            </c:strRef>
          </c:tx>
          <c:spPr>
            <a:ln>
              <a:prstDash val="dash"/>
            </a:ln>
          </c:spPr>
          <c:marker>
            <c:symbol val="none"/>
          </c:marker>
          <c:val>
            <c:numRef>
              <c:f>'241'!$M$11:$M$26</c:f>
              <c:numCache>
                <c:formatCode>General</c:formatCode>
                <c:ptCount val="16"/>
                <c:pt idx="0">
                  <c:v>396.98999999999995</c:v>
                </c:pt>
                <c:pt idx="1">
                  <c:v>396.98999999999995</c:v>
                </c:pt>
                <c:pt idx="2">
                  <c:v>396.98999999999995</c:v>
                </c:pt>
                <c:pt idx="3">
                  <c:v>396.98999999999995</c:v>
                </c:pt>
                <c:pt idx="4">
                  <c:v>396.98999999999995</c:v>
                </c:pt>
                <c:pt idx="5">
                  <c:v>396.98999999999995</c:v>
                </c:pt>
                <c:pt idx="6">
                  <c:v>396.98999999999995</c:v>
                </c:pt>
                <c:pt idx="7">
                  <c:v>396.98999999999995</c:v>
                </c:pt>
                <c:pt idx="8">
                  <c:v>396.98999999999995</c:v>
                </c:pt>
                <c:pt idx="9">
                  <c:v>396.98999999999995</c:v>
                </c:pt>
                <c:pt idx="10">
                  <c:v>396.98999999999995</c:v>
                </c:pt>
                <c:pt idx="11">
                  <c:v>396.98999999999995</c:v>
                </c:pt>
                <c:pt idx="12">
                  <c:v>396.98999999999995</c:v>
                </c:pt>
                <c:pt idx="13">
                  <c:v>396.98999999999995</c:v>
                </c:pt>
                <c:pt idx="14">
                  <c:v>396.98999999999995</c:v>
                </c:pt>
                <c:pt idx="15">
                  <c:v>396.98999999999995</c:v>
                </c:pt>
              </c:numCache>
            </c:numRef>
          </c:val>
          <c:extLst>
            <c:ext xmlns:c16="http://schemas.microsoft.com/office/drawing/2014/chart" uri="{C3380CC4-5D6E-409C-BE32-E72D297353CC}">
              <c16:uniqueId val="{00000002-2B00-4535-BE73-9FEC5672D99E}"/>
            </c:ext>
          </c:extLst>
        </c:ser>
        <c:dLbls>
          <c:showLegendKey val="0"/>
          <c:showVal val="0"/>
          <c:showCatName val="0"/>
          <c:showSerName val="0"/>
          <c:showPercent val="0"/>
          <c:showBubbleSize val="0"/>
        </c:dLbls>
        <c:axId val="184598016"/>
        <c:axId val="182513024"/>
      </c:radarChart>
      <c:catAx>
        <c:axId val="18459801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513024"/>
        <c:crosses val="autoZero"/>
        <c:auto val="1"/>
        <c:lblAlgn val="ctr"/>
        <c:lblOffset val="100"/>
        <c:noMultiLvlLbl val="0"/>
      </c:catAx>
      <c:valAx>
        <c:axId val="18251302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4598016"/>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'241'!$AP$34</c:f>
              <c:strCache>
                <c:ptCount val="1"/>
                <c:pt idx="0">
                  <c:v>LPT Case Hook R Min</c:v>
                </c:pt>
              </c:strCache>
            </c:strRef>
          </c:tx>
          <c:spPr>
            <a:ln w="28575">
              <a:prstDash val="dash"/>
            </a:ln>
          </c:spPr>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'241'!$AP$36:$AP$58</c:f>
              <c:numCache>
                <c:formatCode>General</c:formatCode>
                <c:ptCount val="23"/>
                <c:pt idx="0">
                  <c:v>396.86799999999999</c:v>
                </c:pt>
                <c:pt idx="1">
                  <c:v>396.86799999999999</c:v>
                </c:pt>
                <c:pt idx="2">
                  <c:v>396.86799999999999</c:v>
                </c:pt>
                <c:pt idx="3">
                  <c:v>396.86799999999999</c:v>
                </c:pt>
                <c:pt idx="4">
                  <c:v>396.86799999999999</c:v>
                </c:pt>
                <c:pt idx="5">
                  <c:v>396.86799999999999</c:v>
                </c:pt>
                <c:pt idx="6">
                  <c:v>396.86799999999999</c:v>
                </c:pt>
                <c:pt idx="7">
                  <c:v>396.86799999999999</c:v>
                </c:pt>
                <c:pt idx="8">
                  <c:v>396.86799999999999</c:v>
                </c:pt>
                <c:pt idx="9">
                  <c:v>396.86799999999999</c:v>
                </c:pt>
                <c:pt idx="10">
                  <c:v>396.86799999999999</c:v>
                </c:pt>
                <c:pt idx="11">
                  <c:v>396.86799999999999</c:v>
                </c:pt>
                <c:pt idx="12">
                  <c:v>396.86799999999999</c:v>
                </c:pt>
                <c:pt idx="13">
                  <c:v>396.86799999999999</c:v>
                </c:pt>
                <c:pt idx="14">
                  <c:v>396.86799999999999</c:v>
                </c:pt>
                <c:pt idx="15">
                  <c:v>396.86799999999999</c:v>
                </c:pt>
                <c:pt idx="16">
                  <c:v>396.86799999999999</c:v>
                </c:pt>
                <c:pt idx="17">
                  <c:v>396.86799999999999</c:v>
                </c:pt>
                <c:pt idx="18">
                  <c:v>396.86799999999999</c:v>
                </c:pt>
                <c:pt idx="19">
                  <c:v>396.86799999999999</c:v>
                </c:pt>
                <c:pt idx="20">
                  <c:v>396.86799999999999</c:v>
                </c:pt>
                <c:pt idx="21">
                  <c:v>396.86799999999999</c:v>
                </c:pt>
                <c:pt idx="22">
                  <c:v>396.86799999999999</c:v>
                </c:pt>
              </c:numCache>
            </c:numRef>
          </c:val>
          <c:extLst>
            <c:ext xmlns:c16="http://schemas.microsoft.com/office/drawing/2014/chart" uri="{C3380CC4-5D6E-409C-BE32-E72D297353CC}">
              <c16:uniqueId val="{00000000-453F-45B0-9E3F-52A5D2A5FF18}"/>
            </c:ext>
          </c:extLst>
        </c:ser>
        <c:ser>
          <c:idx val="1"/>
          <c:order val="1"/>
          <c:tx>
            <c:strRef>
              <c:f>'241'!$AQ$34</c:f>
              <c:strCache>
                <c:ptCount val="1"/>
                <c:pt idx="0">
                  <c:v>LPT Case Hook R Max</c:v>
                </c:pt>
              </c:strCache>
            </c:strRef>
          </c:tx>
          <c:spPr>
            <a:ln w="28575">
              <a:prstDash val="dash"/>
            </a:ln>
          </c:spPr>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'241'!$AQ$36:$AQ$58</c:f>
              <c:numCache>
                <c:formatCode>General</c:formatCode>
                <c:ptCount val="23"/>
                <c:pt idx="0">
                  <c:v>396.93199999999996</c:v>
                </c:pt>
                <c:pt idx="1">
                  <c:v>396.93199999999996</c:v>
                </c:pt>
                <c:pt idx="2">
                  <c:v>396.93199999999996</c:v>
                </c:pt>
                <c:pt idx="3">
                  <c:v>396.93199999999996</c:v>
                </c:pt>
                <c:pt idx="4">
                  <c:v>396.93199999999996</c:v>
                </c:pt>
                <c:pt idx="5">
                  <c:v>396.93199999999996</c:v>
                </c:pt>
                <c:pt idx="6">
                  <c:v>396.93199999999996</c:v>
                </c:pt>
                <c:pt idx="7">
                  <c:v>396.93199999999996</c:v>
                </c:pt>
                <c:pt idx="8">
                  <c:v>396.93199999999996</c:v>
                </c:pt>
                <c:pt idx="9">
                  <c:v>396.93199999999996</c:v>
                </c:pt>
                <c:pt idx="10">
                  <c:v>396.93199999999996</c:v>
                </c:pt>
                <c:pt idx="11">
                  <c:v>396.93199999999996</c:v>
                </c:pt>
                <c:pt idx="12">
                  <c:v>396.93199999999996</c:v>
                </c:pt>
                <c:pt idx="13">
                  <c:v>396.93199999999996</c:v>
                </c:pt>
                <c:pt idx="14">
                  <c:v>396.93199999999996</c:v>
                </c:pt>
                <c:pt idx="15">
                  <c:v>396.93199999999996</c:v>
                </c:pt>
                <c:pt idx="16">
                  <c:v>396.93199999999996</c:v>
                </c:pt>
                <c:pt idx="17">
                  <c:v>396.93199999999996</c:v>
                </c:pt>
                <c:pt idx="18">
                  <c:v>396.93199999999996</c:v>
                </c:pt>
                <c:pt idx="19">
                  <c:v>396.93199999999996</c:v>
                </c:pt>
                <c:pt idx="20">
                  <c:v>396.93199999999996</c:v>
                </c:pt>
                <c:pt idx="21">
                  <c:v>396.93199999999996</c:v>
                </c:pt>
                <c:pt idx="22">
                  <c:v>396.93199999999996</c:v>
                </c:pt>
              </c:numCache>
            </c:numRef>
          </c:val>
          <c:extLst>
            <c:ext xmlns:c16="http://schemas.microsoft.com/office/drawing/2014/chart" uri="{C3380CC4-5D6E-409C-BE32-E72D297353CC}">
              <c16:uniqueId val="{00000001-453F-45B0-9E3F-52A5D2A5FF18}"/>
            </c:ext>
          </c:extLst>
        </c:ser>
        <c:ser>
          <c:idx val="2"/>
          <c:order val="2"/>
          <c:tx>
            <c:strRef>
              <c:f>'241'!$S$34</c:f>
              <c:strCache>
                <c:ptCount val="1"/>
                <c:pt idx="0">
                  <c:v>Stg.3 Nozzle Fwd#1</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'241'!$S$36:$S$58</c:f>
              <c:numCache>
                <c:formatCode>0.000</c:formatCode>
                <c:ptCount val="23"/>
                <c:pt idx="0">
                  <c:v>396.88055327998507</c:v>
                </c:pt>
                <c:pt idx="1">
                  <c:v>396.88055327998507</c:v>
                </c:pt>
              </c:numCache>
            </c:numRef>
          </c:val>
          <c:extLst>
            <c:ext xmlns:c16="http://schemas.microsoft.com/office/drawing/2014/chart" uri="{C3380CC4-5D6E-409C-BE32-E72D297353CC}">
              <c16:uniqueId val="{00000002-453F-45B0-9E3F-52A5D2A5FF18}"/>
            </c:ext>
          </c:extLst>
        </c:ser>
        <c:ser>
          <c:idx val="3"/>
          <c:order val="3"/>
          <c:tx>
            <c:strRef>
              <c:f>'241'!$T$34</c:f>
              <c:strCache>
                <c:ptCount val="1"/>
                <c:pt idx="0">
                  <c:v>Stg.3 Nozzle Fwd#23</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'241'!$T$36:$T$58</c:f>
              <c:numCache>
                <c:formatCode>0.000</c:formatCode>
                <c:ptCount val="23"/>
                <c:pt idx="1">
                  <c:v>396.89247003173114</c:v>
                </c:pt>
                <c:pt idx="2">
                  <c:v>396.89247003173114</c:v>
                </c:pt>
              </c:numCache>
            </c:numRef>
          </c:val>
          <c:extLst>
            <c:ext xmlns:c16="http://schemas.microsoft.com/office/drawing/2014/chart" uri="{C3380CC4-5D6E-409C-BE32-E72D297353CC}">
              <c16:uniqueId val="{00000003-453F-45B0-9E3F-52A5D2A5FF18}"/>
            </c:ext>
          </c:extLst>
        </c:ser>
        <c:ser>
          <c:idx val="4"/>
          <c:order val="4"/>
          <c:tx>
            <c:strRef>
              <c:f>'241'!$U$34</c:f>
              <c:strCache>
                <c:ptCount val="1"/>
                <c:pt idx="0">
                  <c:v>Stg.3 Nozzle Fwd#22</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'241'!$U$36:$U$58</c:f>
              <c:numCache>
                <c:formatCode>General</c:formatCode>
                <c:ptCount val="23"/>
                <c:pt idx="2" formatCode="0.000">
                  <c:v>396.90263096024626</c:v>
                </c:pt>
                <c:pt idx="3" formatCode="0.000">
                  <c:v>396.90263096024626</c:v>
                </c:pt>
              </c:numCache>
            </c:numRef>
          </c:val>
          <c:extLst>
            <c:ext xmlns:c16="http://schemas.microsoft.com/office/drawing/2014/chart" uri="{C3380CC4-5D6E-409C-BE32-E72D297353CC}">
              <c16:uniqueId val="{00000004-453F-45B0-9E3F-52A5D2A5FF18}"/>
            </c:ext>
          </c:extLst>
        </c:ser>
        <c:ser>
          <c:idx val="5"/>
          <c:order val="5"/>
          <c:tx>
            <c:strRef>
              <c:f>'241'!$V$34</c:f>
              <c:strCache>
                <c:ptCount val="1"/>
                <c:pt idx="0">
                  <c:v>Stg.3 Nozzle Fwd#21</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'241'!$V$36:$V$58</c:f>
              <c:numCache>
                <c:formatCode>General</c:formatCode>
                <c:ptCount val="23"/>
                <c:pt idx="3" formatCode="0.000">
                  <c:v>396.90891449799415</c:v>
                </c:pt>
                <c:pt idx="4" formatCode="0.000">
                  <c:v>396.90891449799415</c:v>
                </c:pt>
              </c:numCache>
            </c:numRef>
          </c:val>
          <c:extLst>
            <c:ext xmlns:c16="http://schemas.microsoft.com/office/drawing/2014/chart" uri="{C3380CC4-5D6E-409C-BE32-E72D297353CC}">
              <c16:uniqueId val="{00000005-453F-45B0-9E3F-52A5D2A5FF18}"/>
            </c:ext>
          </c:extLst>
        </c:ser>
        <c:ser>
          <c:idx val="6"/>
          <c:order val="6"/>
          <c:tx>
            <c:strRef>
              <c:f>'241'!$W$34</c:f>
              <c:strCache>
                <c:ptCount val="1"/>
                <c:pt idx="0">
                  <c:v>Stg.3 Nozzle Fwd#20</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'241'!$W$36:$W$58</c:f>
              <c:numCache>
                <c:formatCode>General</c:formatCode>
                <c:ptCount val="23"/>
                <c:pt idx="4" formatCode="0.000">
                  <c:v>396.9186023412679</c:v>
                </c:pt>
                <c:pt idx="5" formatCode="0.000">
                  <c:v>396.9186023412679</c:v>
                </c:pt>
              </c:numCache>
            </c:numRef>
          </c:val>
          <c:extLst>
            <c:ext xmlns:c16="http://schemas.microsoft.com/office/drawing/2014/chart" uri="{C3380CC4-5D6E-409C-BE32-E72D297353CC}">
              <c16:uniqueId val="{00000006-453F-45B0-9E3F-52A5D2A5FF18}"/>
            </c:ext>
          </c:extLst>
        </c:ser>
        <c:ser>
          <c:idx val="7"/>
          <c:order val="7"/>
          <c:tx>
            <c:strRef>
              <c:f>'241'!$X$34</c:f>
              <c:strCache>
                <c:ptCount val="1"/>
                <c:pt idx="0">
                  <c:v>Stg.3 Nozzle Fwd#19</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'241'!$X$36:$X$58</c:f>
              <c:numCache>
                <c:formatCode>General</c:formatCode>
                <c:ptCount val="23"/>
                <c:pt idx="5" formatCode="0.000">
                  <c:v>396.92387608765432</c:v>
                </c:pt>
                <c:pt idx="6" formatCode="0.000">
                  <c:v>396.92387608765432</c:v>
                </c:pt>
              </c:numCache>
            </c:numRef>
          </c:val>
          <c:extLst>
            <c:ext xmlns:c16="http://schemas.microsoft.com/office/drawing/2014/chart" uri="{C3380CC4-5D6E-409C-BE32-E72D297353CC}">
              <c16:uniqueId val="{00000007-453F-45B0-9E3F-52A5D2A5FF18}"/>
            </c:ext>
          </c:extLst>
        </c:ser>
        <c:ser>
          <c:idx val="8"/>
          <c:order val="8"/>
          <c:tx>
            <c:strRef>
              <c:f>'241'!$Y$34</c:f>
              <c:strCache>
                <c:ptCount val="1"/>
                <c:pt idx="0">
                  <c:v>Stg.3 Nozzle Fwd#18</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'241'!$Y$36:$Y$58</c:f>
              <c:numCache>
                <c:formatCode>General</c:formatCode>
                <c:ptCount val="23"/>
                <c:pt idx="6" formatCode="0.000">
                  <c:v>396.9200832584217</c:v>
                </c:pt>
                <c:pt idx="7" formatCode="0.000">
                  <c:v>396.9200832584217</c:v>
                </c:pt>
              </c:numCache>
            </c:numRef>
          </c:val>
          <c:extLst>
            <c:ext xmlns:c16="http://schemas.microsoft.com/office/drawing/2014/chart" uri="{C3380CC4-5D6E-409C-BE32-E72D297353CC}">
              <c16:uniqueId val="{00000008-453F-45B0-9E3F-52A5D2A5FF18}"/>
            </c:ext>
          </c:extLst>
        </c:ser>
        <c:ser>
          <c:idx val="9"/>
          <c:order val="9"/>
          <c:tx>
            <c:strRef>
              <c:f>'241'!$Z$34</c:f>
              <c:strCache>
                <c:ptCount val="1"/>
                <c:pt idx="0">
                  <c:v>Stg.3 Nozzle Fwd#17</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'241'!$Z$36:$Z$58</c:f>
              <c:numCache>
                <c:formatCode>General</c:formatCode>
                <c:ptCount val="23"/>
                <c:pt idx="7" formatCode="0.000">
                  <c:v>396.92110365860287</c:v>
                </c:pt>
                <c:pt idx="8" formatCode="0.000">
                  <c:v>396.92110365860287</c:v>
                </c:pt>
              </c:numCache>
            </c:numRef>
          </c:val>
          <c:extLst>
            <c:ext xmlns:c16="http://schemas.microsoft.com/office/drawing/2014/chart" uri="{C3380CC4-5D6E-409C-BE32-E72D297353CC}">
              <c16:uniqueId val="{00000009-453F-45B0-9E3F-52A5D2A5FF18}"/>
            </c:ext>
          </c:extLst>
        </c:ser>
        <c:ser>
          <c:idx val="10"/>
          <c:order val="10"/>
          <c:tx>
            <c:strRef>
              <c:f>'241'!$AA$34</c:f>
              <c:strCache>
                <c:ptCount val="1"/>
                <c:pt idx="0">
                  <c:v>Stg.3 Nozzle Fwd#16</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'241'!$AA$36:$AA$58</c:f>
              <c:numCache>
                <c:formatCode>General</c:formatCode>
                <c:ptCount val="23"/>
                <c:pt idx="8" formatCode="0.000">
                  <c:v>396.91454296391555</c:v>
                </c:pt>
                <c:pt idx="9" formatCode="0.000">
                  <c:v>396.91454296391555</c:v>
                </c:pt>
              </c:numCache>
            </c:numRef>
          </c:val>
          <c:extLst>
            <c:ext xmlns:c16="http://schemas.microsoft.com/office/drawing/2014/chart" uri="{C3380CC4-5D6E-409C-BE32-E72D297353CC}">
              <c16:uniqueId val="{0000000A-453F-45B0-9E3F-52A5D2A5FF18}"/>
            </c:ext>
          </c:extLst>
        </c:ser>
        <c:ser>
          <c:idx val="11"/>
          <c:order val="11"/>
          <c:tx>
            <c:strRef>
              <c:f>'241'!$AB$34</c:f>
              <c:strCache>
                <c:ptCount val="1"/>
                <c:pt idx="0">
                  <c:v>Stg.3 Nozzle Fwd#15</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'241'!$AB$36:$AB$58</c:f>
              <c:numCache>
                <c:formatCode>General</c:formatCode>
                <c:ptCount val="23"/>
                <c:pt idx="9" formatCode="0.000">
                  <c:v>396.89735420992815</c:v>
                </c:pt>
                <c:pt idx="10" formatCode="0.000">
                  <c:v>396.89735420992815</c:v>
                </c:pt>
              </c:numCache>
            </c:numRef>
          </c:val>
          <c:extLst>
            <c:ext xmlns:c16="http://schemas.microsoft.com/office/drawing/2014/chart" uri="{C3380CC4-5D6E-409C-BE32-E72D297353CC}">
              <c16:uniqueId val="{0000000B-453F-45B0-9E3F-52A5D2A5FF18}"/>
            </c:ext>
          </c:extLst>
        </c:ser>
        <c:ser>
          <c:idx val="12"/>
          <c:order val="12"/>
          <c:tx>
            <c:strRef>
              <c:f>'241'!$AC$34</c:f>
              <c:strCache>
                <c:ptCount val="1"/>
                <c:pt idx="0">
                  <c:v>Stg.3 Nozzle Fwd#14</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'241'!$AC$36:$AC$58</c:f>
              <c:numCache>
                <c:formatCode>General</c:formatCode>
                <c:ptCount val="23"/>
                <c:pt idx="10" formatCode="0.000">
                  <c:v>396.88741625242562</c:v>
                </c:pt>
                <c:pt idx="11" formatCode="0.000">
                  <c:v>396.88741625242562</c:v>
                </c:pt>
              </c:numCache>
            </c:numRef>
          </c:val>
          <c:extLst>
            <c:ext xmlns:c16="http://schemas.microsoft.com/office/drawing/2014/chart" uri="{C3380CC4-5D6E-409C-BE32-E72D297353CC}">
              <c16:uniqueId val="{0000000C-453F-45B0-9E3F-52A5D2A5FF18}"/>
            </c:ext>
          </c:extLst>
        </c:ser>
        <c:ser>
          <c:idx val="13"/>
          <c:order val="13"/>
          <c:tx>
            <c:strRef>
              <c:f>'241'!$AD$34</c:f>
              <c:strCache>
                <c:ptCount val="1"/>
                <c:pt idx="0">
                  <c:v>Stg.3 Nozzle Fwd#13</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'241'!$AD$36:$AD$58</c:f>
              <c:numCache>
                <c:formatCode>General</c:formatCode>
                <c:ptCount val="23"/>
                <c:pt idx="11" formatCode="0.000">
                  <c:v>396.8804541658501</c:v>
                </c:pt>
                <c:pt idx="12" formatCode="0.000">
                  <c:v>396.8804541658501</c:v>
                </c:pt>
              </c:numCache>
            </c:numRef>
          </c:val>
          <c:extLst>
            <c:ext xmlns:c16="http://schemas.microsoft.com/office/drawing/2014/chart" uri="{C3380CC4-5D6E-409C-BE32-E72D297353CC}">
              <c16:uniqueId val="{0000000D-453F-45B0-9E3F-52A5D2A5FF18}"/>
            </c:ext>
          </c:extLst>
        </c:ser>
        <c:ser>
          <c:idx val="14"/>
          <c:order val="14"/>
          <c:tx>
            <c:strRef>
              <c:f>'241'!$AE$34</c:f>
              <c:strCache>
                <c:ptCount val="1"/>
                <c:pt idx="0">
                  <c:v>Stg.3 Nozzle Fwd#12</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'241'!$AE$36:$AE$58</c:f>
              <c:numCache>
                <c:formatCode>General</c:formatCode>
                <c:ptCount val="23"/>
                <c:pt idx="12" formatCode="0.000">
                  <c:v>396.87691490636485</c:v>
                </c:pt>
                <c:pt idx="13" formatCode="0.000">
                  <c:v>396.87691490636485</c:v>
                </c:pt>
              </c:numCache>
            </c:numRef>
          </c:val>
          <c:extLst>
            <c:ext xmlns:c16="http://schemas.microsoft.com/office/drawing/2014/chart" uri="{C3380CC4-5D6E-409C-BE32-E72D297353CC}">
              <c16:uniqueId val="{0000000E-453F-45B0-9E3F-52A5D2A5FF18}"/>
            </c:ext>
          </c:extLst>
        </c:ser>
        <c:ser>
          <c:idx val="15"/>
          <c:order val="15"/>
          <c:tx>
            <c:strRef>
              <c:f>'241'!$AF$34</c:f>
              <c:strCache>
                <c:ptCount val="1"/>
                <c:pt idx="0">
                  <c:v>Stg.3 Nozzle Fwd#11</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'241'!$AF$36:$AF$58</c:f>
              <c:numCache>
                <c:formatCode>General</c:formatCode>
                <c:ptCount val="23"/>
                <c:pt idx="13" formatCode="0.000">
                  <c:v>396.88298157305013</c:v>
                </c:pt>
                <c:pt idx="14" formatCode="0.000">
                  <c:v>396.88298157305013</c:v>
                </c:pt>
              </c:numCache>
            </c:numRef>
          </c:val>
          <c:extLst>
            <c:ext xmlns:c16="http://schemas.microsoft.com/office/drawing/2014/chart" uri="{C3380CC4-5D6E-409C-BE32-E72D297353CC}">
              <c16:uniqueId val="{0000000F-453F-45B0-9E3F-52A5D2A5FF18}"/>
            </c:ext>
          </c:extLst>
        </c:ser>
        <c:ser>
          <c:idx val="16"/>
          <c:order val="16"/>
          <c:tx>
            <c:strRef>
              <c:f>'241'!$AG$34</c:f>
              <c:strCache>
                <c:ptCount val="1"/>
                <c:pt idx="0">
                  <c:v>Stg.3 Nozzle Fwd#10</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'241'!$AG$36:$AG$58</c:f>
              <c:numCache>
                <c:formatCode>General</c:formatCode>
                <c:ptCount val="23"/>
                <c:pt idx="14" formatCode="0.000">
                  <c:v>396.89223965911151</c:v>
                </c:pt>
                <c:pt idx="15" formatCode="0.000">
                  <c:v>396.89223965911151</c:v>
                </c:pt>
              </c:numCache>
            </c:numRef>
          </c:val>
          <c:extLst>
            <c:ext xmlns:c16="http://schemas.microsoft.com/office/drawing/2014/chart" uri="{C3380CC4-5D6E-409C-BE32-E72D297353CC}">
              <c16:uniqueId val="{00000010-453F-45B0-9E3F-52A5D2A5FF18}"/>
            </c:ext>
          </c:extLst>
        </c:ser>
        <c:ser>
          <c:idx val="17"/>
          <c:order val="17"/>
          <c:tx>
            <c:strRef>
              <c:f>'241'!$AH$34</c:f>
              <c:strCache>
                <c:ptCount val="1"/>
                <c:pt idx="0">
                  <c:v>Stg.3 Nozzle Fwd#9</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'241'!$AH$36:$AH$58</c:f>
              <c:numCache>
                <c:formatCode>General</c:formatCode>
                <c:ptCount val="23"/>
                <c:pt idx="15" formatCode="0.000">
                  <c:v>396.91091000964536</c:v>
                </c:pt>
                <c:pt idx="16" formatCode="0.000">
                  <c:v>396.91091000964536</c:v>
                </c:pt>
              </c:numCache>
            </c:numRef>
          </c:val>
          <c:extLst>
            <c:ext xmlns:c16="http://schemas.microsoft.com/office/drawing/2014/chart" uri="{C3380CC4-5D6E-409C-BE32-E72D297353CC}">
              <c16:uniqueId val="{00000011-453F-45B0-9E3F-52A5D2A5FF18}"/>
            </c:ext>
          </c:extLst>
        </c:ser>
        <c:ser>
          <c:idx val="18"/>
          <c:order val="18"/>
          <c:tx>
            <c:strRef>
              <c:f>'241'!$AI$34</c:f>
              <c:strCache>
                <c:ptCount val="1"/>
                <c:pt idx="0">
                  <c:v>Stg.3 Nozzle Fwd#8</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'241'!$AI$36:$AI$58</c:f>
              <c:numCache>
                <c:formatCode>General</c:formatCode>
                <c:ptCount val="23"/>
                <c:pt idx="16" formatCode="0.000">
                  <c:v>396.93856079548857</c:v>
                </c:pt>
                <c:pt idx="17" formatCode="0.000">
                  <c:v>396.93856079548857</c:v>
                </c:pt>
              </c:numCache>
            </c:numRef>
          </c:val>
          <c:extLst>
            <c:ext xmlns:c16="http://schemas.microsoft.com/office/drawing/2014/chart" uri="{C3380CC4-5D6E-409C-BE32-E72D297353CC}">
              <c16:uniqueId val="{00000012-453F-45B0-9E3F-52A5D2A5FF18}"/>
            </c:ext>
          </c:extLst>
        </c:ser>
        <c:ser>
          <c:idx val="19"/>
          <c:order val="19"/>
          <c:tx>
            <c:strRef>
              <c:f>'241'!$AJ$34</c:f>
              <c:strCache>
                <c:ptCount val="1"/>
                <c:pt idx="0">
                  <c:v>Stg.3 Nozzle Fwd#7</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'241'!$AJ$36:$AJ$58</c:f>
              <c:numCache>
                <c:formatCode>General</c:formatCode>
                <c:ptCount val="23"/>
                <c:pt idx="17" formatCode="0.000">
                  <c:v>396.94719334863117</c:v>
                </c:pt>
                <c:pt idx="18" formatCode="0.000">
                  <c:v>396.94719334863117</c:v>
                </c:pt>
              </c:numCache>
            </c:numRef>
          </c:val>
          <c:extLst>
            <c:ext xmlns:c16="http://schemas.microsoft.com/office/drawing/2014/chart" uri="{C3380CC4-5D6E-409C-BE32-E72D297353CC}">
              <c16:uniqueId val="{00000013-453F-45B0-9E3F-52A5D2A5FF18}"/>
            </c:ext>
          </c:extLst>
        </c:ser>
        <c:ser>
          <c:idx val="20"/>
          <c:order val="20"/>
          <c:tx>
            <c:strRef>
              <c:f>'241'!$AK$34</c:f>
              <c:strCache>
                <c:ptCount val="1"/>
                <c:pt idx="0">
                  <c:v>Stg.3 Nozzle Fwd#6</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'241'!$AK$36:$AK$58</c:f>
              <c:numCache>
                <c:formatCode>General</c:formatCode>
                <c:ptCount val="23"/>
                <c:pt idx="18" formatCode="0.000">
                  <c:v>396.93758274811557</c:v>
                </c:pt>
                <c:pt idx="19" formatCode="0.000">
                  <c:v>396.93758274811557</c:v>
                </c:pt>
              </c:numCache>
            </c:numRef>
          </c:val>
          <c:extLst>
            <c:ext xmlns:c16="http://schemas.microsoft.com/office/drawing/2014/chart" uri="{C3380CC4-5D6E-409C-BE32-E72D297353CC}">
              <c16:uniqueId val="{00000014-453F-45B0-9E3F-52A5D2A5FF18}"/>
            </c:ext>
          </c:extLst>
        </c:ser>
        <c:ser>
          <c:idx val="21"/>
          <c:order val="21"/>
          <c:tx>
            <c:strRef>
              <c:f>'241'!$AL$34</c:f>
              <c:strCache>
                <c:ptCount val="1"/>
                <c:pt idx="0">
                  <c:v>Stg.3 Nozzle Fwd#5</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'241'!$AL$36:$AL$58</c:f>
              <c:numCache>
                <c:formatCode>General</c:formatCode>
                <c:ptCount val="23"/>
                <c:pt idx="19" formatCode="0.000">
                  <c:v>396.92359840682491</c:v>
                </c:pt>
                <c:pt idx="20" formatCode="0.000">
                  <c:v>396.92359840682491</c:v>
                </c:pt>
              </c:numCache>
            </c:numRef>
          </c:val>
          <c:extLst>
            <c:ext xmlns:c16="http://schemas.microsoft.com/office/drawing/2014/chart" uri="{C3380CC4-5D6E-409C-BE32-E72D297353CC}">
              <c16:uniqueId val="{00000015-453F-45B0-9E3F-52A5D2A5FF18}"/>
            </c:ext>
          </c:extLst>
        </c:ser>
        <c:ser>
          <c:idx val="22"/>
          <c:order val="22"/>
          <c:tx>
            <c:strRef>
              <c:f>'241'!$AM$34</c:f>
              <c:strCache>
                <c:ptCount val="1"/>
                <c:pt idx="0">
                  <c:v>Stg.3 Nozzle Fwd#4</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'241'!$AM$36:$AM$58</c:f>
              <c:numCache>
                <c:formatCode>General</c:formatCode>
                <c:ptCount val="23"/>
                <c:pt idx="20" formatCode="0.000">
                  <c:v>396.8997463372707</c:v>
                </c:pt>
                <c:pt idx="21" formatCode="0.000">
                  <c:v>396.8997463372707</c:v>
                </c:pt>
              </c:numCache>
            </c:numRef>
          </c:val>
          <c:extLst>
            <c:ext xmlns:c16="http://schemas.microsoft.com/office/drawing/2014/chart" uri="{C3380CC4-5D6E-409C-BE32-E72D297353CC}">
              <c16:uniqueId val="{00000016-453F-45B0-9E3F-52A5D2A5FF18}"/>
            </c:ext>
          </c:extLst>
        </c:ser>
        <c:ser>
          <c:idx val="23"/>
          <c:order val="23"/>
          <c:tx>
            <c:strRef>
              <c:f>'241'!$AN$34</c:f>
              <c:strCache>
                <c:ptCount val="1"/>
                <c:pt idx="0">
                  <c:v>Stg.3 Nozzle Fwd#3</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'241'!$AN$36:$AN$58</c:f>
              <c:numCache>
                <c:formatCode>General</c:formatCode>
                <c:ptCount val="23"/>
                <c:pt idx="21" formatCode="0.000">
                  <c:v>396.87964371561827</c:v>
                </c:pt>
                <c:pt idx="22" formatCode="0.000">
                  <c:v>396.87964371561827</c:v>
                </c:pt>
              </c:numCache>
            </c:numRef>
          </c:val>
          <c:extLst>
            <c:ext xmlns:c16="http://schemas.microsoft.com/office/drawing/2014/chart" uri="{C3380CC4-5D6E-409C-BE32-E72D297353CC}">
              <c16:uniqueId val="{00000017-453F-45B0-9E3F-52A5D2A5FF18}"/>
            </c:ext>
          </c:extLst>
        </c:ser>
        <c:ser>
          <c:idx val="24"/>
          <c:order val="24"/>
          <c:tx>
            <c:strRef>
              <c:f>'241'!$AO$34</c:f>
              <c:strCache>
                <c:ptCount val="1"/>
                <c:pt idx="0">
                  <c:v>Stg.3 Nozzle Fwd#2</c:v>
                </c:pt>
              </c:strCache>
            </c:strRef>
          </c:tx>
          <c:marker>
            <c:symbol val="none"/>
          </c:marker>
          <c:cat>
            <c:numRef>
              <c:f>'241'!$J$36:$J$58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'241'!$AO$36:$AO$58</c:f>
              <c:numCache>
                <c:formatCode>General</c:formatCode>
                <c:ptCount val="23"/>
                <c:pt idx="0" formatCode="0.000">
                  <c:v>396.8748714281229</c:v>
                </c:pt>
                <c:pt idx="22" formatCode="0.000">
                  <c:v>396.8748714281229</c:v>
                </c:pt>
              </c:numCache>
            </c:numRef>
          </c:val>
          <c:extLst>
            <c:ext xmlns:c16="http://schemas.microsoft.com/office/drawing/2014/chart" uri="{C3380CC4-5D6E-409C-BE32-E72D297353CC}">
              <c16:uniqueId val="{00000018-453F-45B0-9E3F-52A5D2A5FF18}"/>
            </c:ext>
          </c:extLst>
        </c:ser>
        <c:dLbls>
          <c:showLegendKey val="0"/>
          <c:showVal val="0"/>
          <c:showCatName val="0"/>
          <c:showSerName val="0"/>
          <c:showPercent val="0"/>
          <c:showBubbleSize val="0"/>
        </c:dLbls>
        <c:axId val="185159680"/>
        <c:axId val="184541760"/>
      </c:radarChart>
      <c:catAx>
        <c:axId val="18515968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4541760"/>
        <c:crosses val="autoZero"/>
        <c:auto val="1"/>
        <c:lblAlgn val="ctr"/>
        <c:lblOffset val="100"/>
        <c:noMultiLvlLbl val="0"/>
      </c:catAx>
      <c:valAx>
        <c:axId val="18454176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5159680"/>
        <c:crosses val="autoZero"/>
        <c:crossBetween val="between"/>
        <c:majorUnit val="5.000000000000001E-2"/>
      </c:valAx>
    </c:plotArea>
    <c:legend>
      <c:legendPos val="r"/>
      <c:layout>
        <c:manualLayout>
          <c:xMode val="edge"/>
          <c:yMode val="edge"/>
          <c:x val="0.75693150597950609"/>
          <c:y val="0"/>
          <c:w val="0.23186849496117629"/>
          <c:h val="1"/>
        </c:manualLayout>
      </c:layout>
      <c:overlay val="0"/>
      <c:txPr>
        <a:bodyPr/>
        <a:lstStyle/>
        <a:p>
          <a:pPr>
            <a:defRPr lang="ja-JP" sz="7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'243'!$K$9</c:f>
              <c:strCache>
                <c:ptCount val="1"/>
                <c:pt idx="0">
                  <c:v>CMM</c:v>
                </c:pt>
              </c:strCache>
            </c:strRef>
          </c:tx>
          <c:marker>
            <c:symbol val="none"/>
          </c:marker>
          <c:cat>
            <c:numRef>
              <c:f>'243'!$J$11:$J$26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'243'!$K$11:$K$26</c:f>
              <c:numCache>
                <c:formatCode>General</c:formatCode>
                <c:ptCount val="16"/>
                <c:pt idx="0">
                  <c:v>407.48</c:v>
                </c:pt>
                <c:pt idx="1">
                  <c:v>407.50700001963156</c:v>
                </c:pt>
                <c:pt idx="2">
                  <c:v>407.51499999999999</c:v>
                </c:pt>
                <c:pt idx="3">
                  <c:v>407.52400003067299</c:v>
                </c:pt>
                <c:pt idx="4">
                  <c:v>407.51799999999997</c:v>
                </c:pt>
                <c:pt idx="5">
                  <c:v>407.51900000122697</c:v>
                </c:pt>
                <c:pt idx="6">
                  <c:v>407.49800000490802</c:v>
                </c:pt>
                <c:pt idx="7">
                  <c:v>407.48300031412356</c:v>
                </c:pt>
                <c:pt idx="8">
                  <c:v>407.47</c:v>
                </c:pt>
                <c:pt idx="9">
                  <c:v>407.47900001104352</c:v>
                </c:pt>
                <c:pt idx="10">
                  <c:v>407.501000001227</c:v>
                </c:pt>
                <c:pt idx="11">
                  <c:v>407.55200003067091</c:v>
                </c:pt>
                <c:pt idx="12">
                  <c:v>407.54599999999999</c:v>
                </c:pt>
                <c:pt idx="13">
                  <c:v>407.52000000122689</c:v>
                </c:pt>
                <c:pt idx="14">
                  <c:v>407.47100000122708</c:v>
                </c:pt>
                <c:pt idx="15">
                  <c:v>407.46300006012814</c:v>
                </c:pt>
              </c:numCache>
            </c:numRef>
          </c:val>
          <c:extLst>
            <c:ext xmlns:c16="http://schemas.microsoft.com/office/drawing/2014/chart" uri="{C3380CC4-5D6E-409C-BE32-E72D297353CC}">
              <c16:uniqueId val="{00000000-EF8C-4EA5-A42E-23ACDC0366E5}"/>
            </c:ext>
          </c:extLst>
        </c:ser>
        <c:ser>
          <c:idx val="1"/>
          <c:order val="1"/>
          <c:tx>
            <c:strRef>
              <c:f>'243'!$L$9</c:f>
              <c:strCache>
                <c:ptCount val="1"/>
                <c:pt idx="0">
                  <c:v>Dwg Min</c:v>
                </c:pt>
              </c:strCache>
            </c:strRef>
          </c:tx>
          <c:spPr>
            <a:ln>
              <a:prstDash val="dash"/>
            </a:ln>
          </c:spPr>
          <c:marker>
            <c:symbol val="none"/>
          </c:marker>
          <c:val>
            <c:numRef>
              <c:f>'243'!$L$11:$L$26</c:f>
              <c:numCache>
                <c:formatCode>General</c:formatCode>
                <c:ptCount val="16"/>
                <c:pt idx="0">
                  <c:v>407.41500000000002</c:v>
                </c:pt>
                <c:pt idx="1">
                  <c:v>407.41500000000002</c:v>
                </c:pt>
                <c:pt idx="2">
                  <c:v>407.41500000000002</c:v>
                </c:pt>
                <c:pt idx="3">
                  <c:v>407.41500000000002</c:v>
                </c:pt>
                <c:pt idx="4">
                  <c:v>407.41500000000002</c:v>
                </c:pt>
                <c:pt idx="5">
                  <c:v>407.41500000000002</c:v>
                </c:pt>
                <c:pt idx="6">
                  <c:v>407.41500000000002</c:v>
                </c:pt>
                <c:pt idx="7">
                  <c:v>407.41500000000002</c:v>
                </c:pt>
                <c:pt idx="8">
                  <c:v>407.41500000000002</c:v>
                </c:pt>
                <c:pt idx="9">
                  <c:v>407.41500000000002</c:v>
                </c:pt>
                <c:pt idx="10">
                  <c:v>407.41500000000002</c:v>
                </c:pt>
                <c:pt idx="11">
                  <c:v>407.41500000000002</c:v>
                </c:pt>
                <c:pt idx="12">
                  <c:v>407.41500000000002</c:v>
                </c:pt>
                <c:pt idx="13">
                  <c:v>407.41500000000002</c:v>
                </c:pt>
                <c:pt idx="14">
                  <c:v>407.41500000000002</c:v>
                </c:pt>
                <c:pt idx="15">
                  <c:v>407.41500000000002</c:v>
                </c:pt>
              </c:numCache>
            </c:numRef>
          </c:val>
          <c:extLst>
            <c:ext xmlns:c16="http://schemas.microsoft.com/office/drawing/2014/chart" uri="{C3380CC4-5D6E-409C-BE32-E72D297353CC}">
              <c16:uniqueId val="{00000001-EF8C-4EA5-A42E-23ACDC0366E5}"/>
            </c:ext>
          </c:extLst>
        </c:ser>
        <c:ser>
          <c:idx val="2"/>
          <c:order val="2"/>
          <c:tx>
            <c:strRef>
              <c:f>'243'!$M$9</c:f>
              <c:strCache>
                <c:ptCount val="1"/>
                <c:pt idx="0">
                  <c:v>Dwg Max</c:v>
                </c:pt>
              </c:strCache>
            </c:strRef>
          </c:tx>
          <c:spPr>
            <a:ln>
              <a:prstDash val="dash"/>
            </a:ln>
          </c:spPr>
          <c:marker>
            <c:symbol val="none"/>
          </c:marker>
          <c:val>
            <c:numRef>
              <c:f>'243'!$M$11:$M$26</c:f>
              <c:numCache>
                <c:formatCode>General</c:formatCode>
                <c:ptCount val="16"/>
                <c:pt idx="0">
                  <c:v>407.58499999999998</c:v>
                </c:pt>
                <c:pt idx="1">
                  <c:v>407.58499999999998</c:v>
                </c:pt>
                <c:pt idx="2">
                  <c:v>407.58499999999998</c:v>
                </c:pt>
                <c:pt idx="3">
                  <c:v>407.58499999999998</c:v>
                </c:pt>
                <c:pt idx="4">
                  <c:v>407.58499999999998</c:v>
                </c:pt>
                <c:pt idx="5">
                  <c:v>407.58499999999998</c:v>
                </c:pt>
                <c:pt idx="6">
                  <c:v>407.58499999999998</c:v>
                </c:pt>
                <c:pt idx="7">
                  <c:v>407.58499999999998</c:v>
                </c:pt>
                <c:pt idx="8">
                  <c:v>407.58499999999998</c:v>
                </c:pt>
                <c:pt idx="9">
                  <c:v>407.58499999999998</c:v>
                </c:pt>
                <c:pt idx="10">
                  <c:v>407.58499999999998</c:v>
                </c:pt>
                <c:pt idx="11">
                  <c:v>407.58499999999998</c:v>
                </c:pt>
                <c:pt idx="12">
                  <c:v>407.58499999999998</c:v>
                </c:pt>
                <c:pt idx="13">
                  <c:v>407.58499999999998</c:v>
                </c:pt>
                <c:pt idx="14">
                  <c:v>407.58499999999998</c:v>
                </c:pt>
                <c:pt idx="15">
                  <c:v>407.58499999999998</c:v>
                </c:pt>
              </c:numCache>
            </c:numRef>
          </c:val>
          <c:extLst>
            <c:ext xmlns:c16="http://schemas.microsoft.com/office/drawing/2014/chart" uri="{C3380CC4-5D6E-409C-BE32-E72D297353CC}">
              <c16:uniqueId val="{00000002-EF8C-4EA5-A42E-23ACDC0366E5}"/>
            </c:ext>
          </c:extLst>
        </c:ser>
        <c:dLbls>
          <c:showLegendKey val="0"/>
          <c:showVal val="0"/>
          <c:showCatName val="0"/>
          <c:showSerName val="0"/>
          <c:showPercent val="0"/>
          <c:showBubbleSize val="0"/>
        </c:dLbls>
        <c:axId val="172455936"/>
        <c:axId val="182514752"/>
      </c:radarChart>
      <c:catAx>
        <c:axId val="17245593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514752"/>
        <c:crosses val="autoZero"/>
        <c:auto val="1"/>
        <c:lblAlgn val="ctr"/>
        <c:lblOffset val="100"/>
        <c:noMultiLvlLbl val="0"/>
      </c:catAx>
      <c:valAx>
        <c:axId val="18251475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2455936"/>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'243'!$AP$34</c:f>
              <c:strCache>
                <c:ptCount val="1"/>
                <c:pt idx="0">
                  <c:v>LPT Case Hook R Min</c:v>
                </c:pt>
              </c:strCache>
            </c:strRef>
          </c:tx>
          <c:spPr>
            <a:ln w="28575">
              <a:prstDash val="dash"/>
            </a:ln>
          </c:spPr>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'243'!$AP$36:$AP$58</c:f>
              <c:numCache>
                <c:formatCode>General</c:formatCode>
                <c:ptCount val="23"/>
                <c:pt idx="0">
                  <c:v>407.46800000000002</c:v>
                </c:pt>
                <c:pt idx="1">
                  <c:v>407.46800000000002</c:v>
                </c:pt>
                <c:pt idx="2">
                  <c:v>407.46800000000002</c:v>
                </c:pt>
                <c:pt idx="3">
                  <c:v>407.46800000000002</c:v>
                </c:pt>
                <c:pt idx="4">
                  <c:v>407.46800000000002</c:v>
                </c:pt>
                <c:pt idx="5">
                  <c:v>407.46800000000002</c:v>
                </c:pt>
                <c:pt idx="6">
                  <c:v>407.46800000000002</c:v>
                </c:pt>
                <c:pt idx="7">
                  <c:v>407.46800000000002</c:v>
                </c:pt>
                <c:pt idx="8">
                  <c:v>407.46800000000002</c:v>
                </c:pt>
                <c:pt idx="9">
                  <c:v>407.46800000000002</c:v>
                </c:pt>
                <c:pt idx="10">
                  <c:v>407.46800000000002</c:v>
                </c:pt>
                <c:pt idx="11">
                  <c:v>407.46800000000002</c:v>
                </c:pt>
                <c:pt idx="12">
                  <c:v>407.46800000000002</c:v>
                </c:pt>
                <c:pt idx="13">
                  <c:v>407.46800000000002</c:v>
                </c:pt>
                <c:pt idx="14">
                  <c:v>407.46800000000002</c:v>
                </c:pt>
                <c:pt idx="15">
                  <c:v>407.46800000000002</c:v>
                </c:pt>
                <c:pt idx="16">
                  <c:v>407.46800000000002</c:v>
                </c:pt>
                <c:pt idx="17">
                  <c:v>407.46800000000002</c:v>
                </c:pt>
                <c:pt idx="18">
                  <c:v>407.46800000000002</c:v>
                </c:pt>
                <c:pt idx="19">
                  <c:v>407.46800000000002</c:v>
                </c:pt>
                <c:pt idx="20">
                  <c:v>407.46800000000002</c:v>
                </c:pt>
                <c:pt idx="21">
                  <c:v>407.46800000000002</c:v>
                </c:pt>
                <c:pt idx="22">
                  <c:v>407.46800000000002</c:v>
                </c:pt>
              </c:numCache>
            </c:numRef>
          </c:val>
          <c:extLst>
            <c:ext xmlns:c16="http://schemas.microsoft.com/office/drawing/2014/chart" uri="{C3380CC4-5D6E-409C-BE32-E72D297353CC}">
              <c16:uniqueId val="{00000000-9BFC-46AA-987F-DD0785BB5D3E}"/>
            </c:ext>
          </c:extLst>
        </c:ser>
        <c:ser>
          <c:idx val="1"/>
          <c:order val="1"/>
          <c:tx>
            <c:strRef>
              <c:f>'243'!$AQ$34</c:f>
              <c:strCache>
                <c:ptCount val="1"/>
                <c:pt idx="0">
                  <c:v>LPT Case Hook R Max</c:v>
                </c:pt>
              </c:strCache>
            </c:strRef>
          </c:tx>
          <c:spPr>
            <a:ln w="28575">
              <a:prstDash val="dash"/>
            </a:ln>
          </c:spPr>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'243'!$AQ$36:$AQ$58</c:f>
              <c:numCache>
                <c:formatCode>General</c:formatCode>
                <c:ptCount val="23"/>
                <c:pt idx="0">
                  <c:v>407.53199999999998</c:v>
                </c:pt>
                <c:pt idx="1">
                  <c:v>407.53199999999998</c:v>
                </c:pt>
                <c:pt idx="2">
                  <c:v>407.53199999999998</c:v>
                </c:pt>
                <c:pt idx="3">
                  <c:v>407.53199999999998</c:v>
                </c:pt>
                <c:pt idx="4">
                  <c:v>407.53199999999998</c:v>
                </c:pt>
                <c:pt idx="5">
                  <c:v>407.53199999999998</c:v>
                </c:pt>
                <c:pt idx="6">
                  <c:v>407.53199999999998</c:v>
                </c:pt>
                <c:pt idx="7">
                  <c:v>407.53199999999998</c:v>
                </c:pt>
                <c:pt idx="8">
                  <c:v>407.53199999999998</c:v>
                </c:pt>
                <c:pt idx="9">
                  <c:v>407.53199999999998</c:v>
                </c:pt>
                <c:pt idx="10">
                  <c:v>407.53199999999998</c:v>
                </c:pt>
                <c:pt idx="11">
                  <c:v>407.53199999999998</c:v>
                </c:pt>
                <c:pt idx="12">
                  <c:v>407.53199999999998</c:v>
                </c:pt>
                <c:pt idx="13">
                  <c:v>407.53199999999998</c:v>
                </c:pt>
                <c:pt idx="14">
                  <c:v>407.53199999999998</c:v>
                </c:pt>
                <c:pt idx="15">
                  <c:v>407.53199999999998</c:v>
                </c:pt>
                <c:pt idx="16">
                  <c:v>407.53199999999998</c:v>
                </c:pt>
                <c:pt idx="17">
                  <c:v>407.53199999999998</c:v>
                </c:pt>
                <c:pt idx="18">
                  <c:v>407.53199999999998</c:v>
                </c:pt>
                <c:pt idx="19">
                  <c:v>407.53199999999998</c:v>
                </c:pt>
                <c:pt idx="20">
                  <c:v>407.53199999999998</c:v>
                </c:pt>
                <c:pt idx="21">
                  <c:v>407.53199999999998</c:v>
                </c:pt>
                <c:pt idx="22">
                  <c:v>407.53199999999998</c:v>
                </c:pt>
              </c:numCache>
            </c:numRef>
          </c:val>
          <c:extLst>
            <c:ext xmlns:c16="http://schemas.microsoft.com/office/drawing/2014/chart" uri="{C3380CC4-5D6E-409C-BE32-E72D297353CC}">
              <c16:uniqueId val="{00000001-9BFC-46AA-987F-DD0785BB5D3E}"/>
            </c:ext>
          </c:extLst>
        </c:ser>
        <c:ser>
          <c:idx val="2"/>
          <c:order val="2"/>
          <c:tx>
            <c:strRef>
              <c:f>'243'!$S$34</c:f>
              <c:strCache>
                <c:ptCount val="1"/>
                <c:pt idx="0">
                  <c:v>Stg.3 Nozzle Aft#1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'243'!$S$36:$S$58</c:f>
              <c:numCache>
                <c:formatCode>0.000</c:formatCode>
                <c:ptCount val="23"/>
                <c:pt idx="0">
                  <c:v>407.4750843098513</c:v>
                </c:pt>
                <c:pt idx="1">
                  <c:v>407.4750843098513</c:v>
                </c:pt>
              </c:numCache>
            </c:numRef>
          </c:val>
          <c:extLst>
            <c:ext xmlns:c16="http://schemas.microsoft.com/office/drawing/2014/chart" uri="{C3380CC4-5D6E-409C-BE32-E72D297353CC}">
              <c16:uniqueId val="{00000002-9BFC-46AA-987F-DD0785BB5D3E}"/>
            </c:ext>
          </c:extLst>
        </c:ser>
        <c:ser>
          <c:idx val="3"/>
          <c:order val="3"/>
          <c:tx>
            <c:strRef>
              <c:f>'243'!$T$34</c:f>
              <c:strCache>
                <c:ptCount val="1"/>
                <c:pt idx="0">
                  <c:v>Stg.3 Nozzle Aft#23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'243'!$T$36:$T$58</c:f>
              <c:numCache>
                <c:formatCode>0.000</c:formatCode>
                <c:ptCount val="23"/>
                <c:pt idx="1">
                  <c:v>407.49061531206621</c:v>
                </c:pt>
                <c:pt idx="2">
                  <c:v>407.49061531206621</c:v>
                </c:pt>
              </c:numCache>
            </c:numRef>
          </c:val>
          <c:extLst>
            <c:ext xmlns:c16="http://schemas.microsoft.com/office/drawing/2014/chart" uri="{C3380CC4-5D6E-409C-BE32-E72D297353CC}">
              <c16:uniqueId val="{00000003-9BFC-46AA-987F-DD0785BB5D3E}"/>
            </c:ext>
          </c:extLst>
        </c:ser>
        <c:ser>
          <c:idx val="4"/>
          <c:order val="4"/>
          <c:tx>
            <c:strRef>
              <c:f>'243'!$U$34</c:f>
              <c:strCache>
                <c:ptCount val="1"/>
                <c:pt idx="0">
                  <c:v>Stg.3 Nozzle Aft#22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'243'!$U$36:$U$58</c:f>
              <c:numCache>
                <c:formatCode>General</c:formatCode>
                <c:ptCount val="23"/>
                <c:pt idx="2" formatCode="0.000">
                  <c:v>407.50524986787565</c:v>
                </c:pt>
                <c:pt idx="3" formatCode="0.000">
                  <c:v>407.50524986787565</c:v>
                </c:pt>
              </c:numCache>
            </c:numRef>
          </c:val>
          <c:extLst>
            <c:ext xmlns:c16="http://schemas.microsoft.com/office/drawing/2014/chart" uri="{C3380CC4-5D6E-409C-BE32-E72D297353CC}">
              <c16:uniqueId val="{00000004-9BFC-46AA-987F-DD0785BB5D3E}"/>
            </c:ext>
          </c:extLst>
        </c:ser>
        <c:ser>
          <c:idx val="5"/>
          <c:order val="5"/>
          <c:tx>
            <c:strRef>
              <c:f>'243'!$V$34</c:f>
              <c:strCache>
                <c:ptCount val="1"/>
                <c:pt idx="0">
                  <c:v>Stg.3 Nozzle Aft#21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'243'!$V$36:$V$58</c:f>
              <c:numCache>
                <c:formatCode>General</c:formatCode>
                <c:ptCount val="23"/>
                <c:pt idx="3" formatCode="0.000">
                  <c:v>407.51334186263114</c:v>
                </c:pt>
                <c:pt idx="4" formatCode="0.000">
                  <c:v>407.51334186263114</c:v>
                </c:pt>
              </c:numCache>
            </c:numRef>
          </c:val>
          <c:extLst>
            <c:ext xmlns:c16="http://schemas.microsoft.com/office/drawing/2014/chart" uri="{C3380CC4-5D6E-409C-BE32-E72D297353CC}">
              <c16:uniqueId val="{00000005-9BFC-46AA-987F-DD0785BB5D3E}"/>
            </c:ext>
          </c:extLst>
        </c:ser>
        <c:ser>
          <c:idx val="6"/>
          <c:order val="6"/>
          <c:tx>
            <c:strRef>
              <c:f>'243'!$W$34</c:f>
              <c:strCache>
                <c:ptCount val="1"/>
                <c:pt idx="0">
                  <c:v>Stg.3 Nozzle Aft#20</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'243'!$W$36:$W$58</c:f>
              <c:numCache>
                <c:formatCode>General</c:formatCode>
                <c:ptCount val="23"/>
                <c:pt idx="4" formatCode="0.000">
                  <c:v>407.51932105820481</c:v>
                </c:pt>
                <c:pt idx="5" formatCode="0.000">
                  <c:v>407.51932105820481</c:v>
                </c:pt>
              </c:numCache>
            </c:numRef>
          </c:val>
          <c:extLst>
            <c:ext xmlns:c16="http://schemas.microsoft.com/office/drawing/2014/chart" uri="{C3380CC4-5D6E-409C-BE32-E72D297353CC}">
              <c16:uniqueId val="{00000006-9BFC-46AA-987F-DD0785BB5D3E}"/>
            </c:ext>
          </c:extLst>
        </c:ser>
        <c:ser>
          <c:idx val="7"/>
          <c:order val="7"/>
          <c:tx>
            <c:strRef>
              <c:f>'243'!$X$34</c:f>
              <c:strCache>
                <c:ptCount val="1"/>
                <c:pt idx="0">
                  <c:v>Stg.3 Nozzle Aft#19</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'243'!$X$36:$X$58</c:f>
              <c:numCache>
                <c:formatCode>General</c:formatCode>
                <c:ptCount val="23"/>
                <c:pt idx="5" formatCode="0.000">
                  <c:v>407.52165497652584</c:v>
                </c:pt>
                <c:pt idx="6" formatCode="0.000">
                  <c:v>407.52165497652584</c:v>
                </c:pt>
              </c:numCache>
            </c:numRef>
          </c:val>
          <c:extLst>
            <c:ext xmlns:c16="http://schemas.microsoft.com/office/drawing/2014/chart" uri="{C3380CC4-5D6E-409C-BE32-E72D297353CC}">
              <c16:uniqueId val="{00000007-9BFC-46AA-987F-DD0785BB5D3E}"/>
            </c:ext>
          </c:extLst>
        </c:ser>
        <c:ser>
          <c:idx val="8"/>
          <c:order val="8"/>
          <c:tx>
            <c:strRef>
              <c:f>'243'!$Y$34</c:f>
              <c:strCache>
                <c:ptCount val="1"/>
                <c:pt idx="0">
                  <c:v>Stg.3 Nozzle Aft#18</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'243'!$Y$36:$Y$58</c:f>
              <c:numCache>
                <c:formatCode>General</c:formatCode>
                <c:ptCount val="23"/>
                <c:pt idx="6" formatCode="0.000">
                  <c:v>407.5195388480206</c:v>
                </c:pt>
                <c:pt idx="7" formatCode="0.000">
                  <c:v>407.5195388480206</c:v>
                </c:pt>
              </c:numCache>
            </c:numRef>
          </c:val>
          <c:extLst>
            <c:ext xmlns:c16="http://schemas.microsoft.com/office/drawing/2014/chart" uri="{C3380CC4-5D6E-409C-BE32-E72D297353CC}">
              <c16:uniqueId val="{00000008-9BFC-46AA-987F-DD0785BB5D3E}"/>
            </c:ext>
          </c:extLst>
        </c:ser>
        <c:ser>
          <c:idx val="9"/>
          <c:order val="9"/>
          <c:tx>
            <c:strRef>
              <c:f>'243'!$Z$34</c:f>
              <c:strCache>
                <c:ptCount val="1"/>
                <c:pt idx="0">
                  <c:v>Stg.3 Nozzle Aft#17</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'243'!$Z$36:$Z$58</c:f>
              <c:numCache>
                <c:formatCode>General</c:formatCode>
                <c:ptCount val="23"/>
                <c:pt idx="7" formatCode="0.000">
                  <c:v>407.51856707315955</c:v>
                </c:pt>
                <c:pt idx="8" formatCode="0.000">
                  <c:v>407.51856707315955</c:v>
                </c:pt>
              </c:numCache>
            </c:numRef>
          </c:val>
          <c:extLst>
            <c:ext xmlns:c16="http://schemas.microsoft.com/office/drawing/2014/chart" uri="{C3380CC4-5D6E-409C-BE32-E72D297353CC}">
              <c16:uniqueId val="{00000009-9BFC-46AA-987F-DD0785BB5D3E}"/>
            </c:ext>
          </c:extLst>
        </c:ser>
        <c:ser>
          <c:idx val="10"/>
          <c:order val="10"/>
          <c:tx>
            <c:strRef>
              <c:f>'243'!$AA$34</c:f>
              <c:strCache>
                <c:ptCount val="1"/>
                <c:pt idx="0">
                  <c:v>Stg.3 Nozzle Aft#16</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'243'!$AA$36:$AA$58</c:f>
              <c:numCache>
                <c:formatCode>General</c:formatCode>
                <c:ptCount val="23"/>
                <c:pt idx="8" formatCode="0.000">
                  <c:v>407.51254666896517</c:v>
                </c:pt>
                <c:pt idx="9" formatCode="0.000">
                  <c:v>407.51254666896517</c:v>
                </c:pt>
              </c:numCache>
            </c:numRef>
          </c:val>
          <c:extLst>
            <c:ext xmlns:c16="http://schemas.microsoft.com/office/drawing/2014/chart" uri="{C3380CC4-5D6E-409C-BE32-E72D297353CC}">
              <c16:uniqueId val="{0000000A-9BFC-46AA-987F-DD0785BB5D3E}"/>
            </c:ext>
          </c:extLst>
        </c:ser>
        <c:ser>
          <c:idx val="11"/>
          <c:order val="11"/>
          <c:tx>
            <c:strRef>
              <c:f>'243'!$AB$34</c:f>
              <c:strCache>
                <c:ptCount val="1"/>
                <c:pt idx="0">
                  <c:v>Stg.3 Nozzle Aft#15</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'243'!$AB$36:$AB$58</c:f>
              <c:numCache>
                <c:formatCode>General</c:formatCode>
                <c:ptCount val="23"/>
                <c:pt idx="9" formatCode="0.000">
                  <c:v>407.49979274718476</c:v>
                </c:pt>
                <c:pt idx="10" formatCode="0.000">
                  <c:v>407.49979274718476</c:v>
                </c:pt>
              </c:numCache>
            </c:numRef>
          </c:val>
          <c:extLst>
            <c:ext xmlns:c16="http://schemas.microsoft.com/office/drawing/2014/chart" uri="{C3380CC4-5D6E-409C-BE32-E72D297353CC}">
              <c16:uniqueId val="{0000000B-9BFC-46AA-987F-DD0785BB5D3E}"/>
            </c:ext>
          </c:extLst>
        </c:ser>
        <c:ser>
          <c:idx val="12"/>
          <c:order val="12"/>
          <c:tx>
            <c:strRef>
              <c:f>'243'!$AC$34</c:f>
              <c:strCache>
                <c:ptCount val="1"/>
                <c:pt idx="0">
                  <c:v>Stg.3 Nozzle Aft#14</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'243'!$AC$36:$AC$58</c:f>
              <c:numCache>
                <c:formatCode>General</c:formatCode>
                <c:ptCount val="23"/>
                <c:pt idx="10" formatCode="0.000">
                  <c:v>407.48819162685561</c:v>
                </c:pt>
                <c:pt idx="11" formatCode="0.000">
                  <c:v>407.48819162685561</c:v>
                </c:pt>
              </c:numCache>
            </c:numRef>
          </c:val>
          <c:extLst>
            <c:ext xmlns:c16="http://schemas.microsoft.com/office/drawing/2014/chart" uri="{C3380CC4-5D6E-409C-BE32-E72D297353CC}">
              <c16:uniqueId val="{0000000C-9BFC-46AA-987F-DD0785BB5D3E}"/>
            </c:ext>
          </c:extLst>
        </c:ser>
        <c:ser>
          <c:idx val="13"/>
          <c:order val="13"/>
          <c:tx>
            <c:strRef>
              <c:f>'243'!$AD$34</c:f>
              <c:strCache>
                <c:ptCount val="1"/>
                <c:pt idx="0">
                  <c:v>Stg.3 Nozzle Aft#13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'243'!$AD$36:$AD$58</c:f>
              <c:numCache>
                <c:formatCode>General</c:formatCode>
                <c:ptCount val="23"/>
                <c:pt idx="11" formatCode="0.000">
                  <c:v>407.47845434920805</c:v>
                </c:pt>
                <c:pt idx="12" formatCode="0.000">
                  <c:v>407.47845434920805</c:v>
                </c:pt>
              </c:numCache>
            </c:numRef>
          </c:val>
          <c:extLst>
            <c:ext xmlns:c16="http://schemas.microsoft.com/office/drawing/2014/chart" uri="{C3380CC4-5D6E-409C-BE32-E72D297353CC}">
              <c16:uniqueId val="{0000000D-9BFC-46AA-987F-DD0785BB5D3E}"/>
            </c:ext>
          </c:extLst>
        </c:ser>
        <c:ser>
          <c:idx val="14"/>
          <c:order val="14"/>
          <c:tx>
            <c:strRef>
              <c:f>'243'!$AE$34</c:f>
              <c:strCache>
                <c:ptCount val="1"/>
                <c:pt idx="0">
                  <c:v>Stg.3 Nozzle Aft#12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'243'!$AE$36:$AE$58</c:f>
              <c:numCache>
                <c:formatCode>General</c:formatCode>
                <c:ptCount val="23"/>
                <c:pt idx="12" formatCode="0.000">
                  <c:v>407.47373546997085</c:v>
                </c:pt>
                <c:pt idx="13" formatCode="0.000">
                  <c:v>407.47373546997085</c:v>
                </c:pt>
              </c:numCache>
            </c:numRef>
          </c:val>
          <c:extLst>
            <c:ext xmlns:c16="http://schemas.microsoft.com/office/drawing/2014/chart" uri="{C3380CC4-5D6E-409C-BE32-E72D297353CC}">
              <c16:uniqueId val="{0000000E-9BFC-46AA-987F-DD0785BB5D3E}"/>
            </c:ext>
          </c:extLst>
        </c:ser>
        <c:ser>
          <c:idx val="15"/>
          <c:order val="15"/>
          <c:tx>
            <c:strRef>
              <c:f>'243'!$AF$34</c:f>
              <c:strCache>
                <c:ptCount val="1"/>
                <c:pt idx="0">
                  <c:v>Stg.3 Nozzle Aft#11</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'243'!$AF$36:$AF$58</c:f>
              <c:numCache>
                <c:formatCode>General</c:formatCode>
                <c:ptCount val="23"/>
                <c:pt idx="13" formatCode="0.000">
                  <c:v>407.47724615218431</c:v>
                </c:pt>
                <c:pt idx="14" formatCode="0.000">
                  <c:v>407.47724615218431</c:v>
                </c:pt>
              </c:numCache>
            </c:numRef>
          </c:val>
          <c:extLst>
            <c:ext xmlns:c16="http://schemas.microsoft.com/office/drawing/2014/chart" uri="{C3380CC4-5D6E-409C-BE32-E72D297353CC}">
              <c16:uniqueId val="{0000000F-9BFC-46AA-987F-DD0785BB5D3E}"/>
            </c:ext>
          </c:extLst>
        </c:ser>
        <c:ser>
          <c:idx val="16"/>
          <c:order val="16"/>
          <c:tx>
            <c:strRef>
              <c:f>'243'!$AG$34</c:f>
              <c:strCache>
                <c:ptCount val="1"/>
                <c:pt idx="0">
                  <c:v>Stg.3 Nozzle Aft#10</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'243'!$AG$36:$AG$58</c:f>
              <c:numCache>
                <c:formatCode>General</c:formatCode>
                <c:ptCount val="23"/>
                <c:pt idx="14" formatCode="0.000">
                  <c:v>407.48860603574275</c:v>
                </c:pt>
                <c:pt idx="15" formatCode="0.000">
                  <c:v>407.48860603574275</c:v>
                </c:pt>
              </c:numCache>
            </c:numRef>
          </c:val>
          <c:extLst>
            <c:ext xmlns:c16="http://schemas.microsoft.com/office/drawing/2014/chart" uri="{C3380CC4-5D6E-409C-BE32-E72D297353CC}">
              <c16:uniqueId val="{00000010-9BFC-46AA-987F-DD0785BB5D3E}"/>
            </c:ext>
          </c:extLst>
        </c:ser>
        <c:ser>
          <c:idx val="17"/>
          <c:order val="17"/>
          <c:tx>
            <c:strRef>
              <c:f>'243'!$AH$34</c:f>
              <c:strCache>
                <c:ptCount val="1"/>
                <c:pt idx="0">
                  <c:v>Stg.3 Nozzle Aft#9</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'243'!$AH$36:$AH$58</c:f>
              <c:numCache>
                <c:formatCode>General</c:formatCode>
                <c:ptCount val="23"/>
                <c:pt idx="15" formatCode="0.000">
                  <c:v>407.51087206732416</c:v>
                </c:pt>
                <c:pt idx="16" formatCode="0.000">
                  <c:v>407.51087206732416</c:v>
                </c:pt>
              </c:numCache>
            </c:numRef>
          </c:val>
          <c:extLst>
            <c:ext xmlns:c16="http://schemas.microsoft.com/office/drawing/2014/chart" uri="{C3380CC4-5D6E-409C-BE32-E72D297353CC}">
              <c16:uniqueId val="{00000011-9BFC-46AA-987F-DD0785BB5D3E}"/>
            </c:ext>
          </c:extLst>
        </c:ser>
        <c:ser>
          <c:idx val="18"/>
          <c:order val="18"/>
          <c:tx>
            <c:strRef>
              <c:f>'243'!$AI$34</c:f>
              <c:strCache>
                <c:ptCount val="1"/>
                <c:pt idx="0">
                  <c:v>Stg.3 Nozzle Aft#8</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'243'!$AI$36:$AI$58</c:f>
              <c:numCache>
                <c:formatCode>General</c:formatCode>
                <c:ptCount val="23"/>
                <c:pt idx="16" formatCode="0.000">
                  <c:v>407.53821567249565</c:v>
                </c:pt>
                <c:pt idx="17" formatCode="0.000">
                  <c:v>407.53821567249565</c:v>
                </c:pt>
              </c:numCache>
            </c:numRef>
          </c:val>
          <c:extLst>
            <c:ext xmlns:c16="http://schemas.microsoft.com/office/drawing/2014/chart" uri="{C3380CC4-5D6E-409C-BE32-E72D297353CC}">
              <c16:uniqueId val="{00000012-9BFC-46AA-987F-DD0785BB5D3E}"/>
            </c:ext>
          </c:extLst>
        </c:ser>
        <c:ser>
          <c:idx val="19"/>
          <c:order val="19"/>
          <c:tx>
            <c:strRef>
              <c:f>'243'!$AJ$34</c:f>
              <c:strCache>
                <c:ptCount val="1"/>
                <c:pt idx="0">
                  <c:v>Stg.3 Nozzle Aft#7</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'243'!$AJ$36:$AJ$58</c:f>
              <c:numCache>
                <c:formatCode>General</c:formatCode>
                <c:ptCount val="23"/>
                <c:pt idx="17" formatCode="0.000">
                  <c:v>407.5488584493944</c:v>
                </c:pt>
                <c:pt idx="18" formatCode="0.000">
                  <c:v>407.5488584493944</c:v>
                </c:pt>
              </c:numCache>
            </c:numRef>
          </c:val>
          <c:extLst>
            <c:ext xmlns:c16="http://schemas.microsoft.com/office/drawing/2014/chart" uri="{C3380CC4-5D6E-409C-BE32-E72D297353CC}">
              <c16:uniqueId val="{00000013-9BFC-46AA-987F-DD0785BB5D3E}"/>
            </c:ext>
          </c:extLst>
        </c:ser>
        <c:ser>
          <c:idx val="20"/>
          <c:order val="20"/>
          <c:tx>
            <c:strRef>
              <c:f>'243'!$AK$34</c:f>
              <c:strCache>
                <c:ptCount val="1"/>
                <c:pt idx="0">
                  <c:v>Stg.3 Nozzle Aft#6</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'243'!$AK$36:$AK$58</c:f>
              <c:numCache>
                <c:formatCode>General</c:formatCode>
                <c:ptCount val="23"/>
                <c:pt idx="18" formatCode="0.000">
                  <c:v>407.53901379942113</c:v>
                </c:pt>
                <c:pt idx="19" formatCode="0.000">
                  <c:v>407.53901379942113</c:v>
                </c:pt>
              </c:numCache>
            </c:numRef>
          </c:val>
          <c:extLst>
            <c:ext xmlns:c16="http://schemas.microsoft.com/office/drawing/2014/chart" uri="{C3380CC4-5D6E-409C-BE32-E72D297353CC}">
              <c16:uniqueId val="{00000014-9BFC-46AA-987F-DD0785BB5D3E}"/>
            </c:ext>
          </c:extLst>
        </c:ser>
        <c:ser>
          <c:idx val="21"/>
          <c:order val="21"/>
          <c:tx>
            <c:strRef>
              <c:f>'243'!$AL$34</c:f>
              <c:strCache>
                <c:ptCount val="1"/>
                <c:pt idx="0">
                  <c:v>Stg.3 Nozzle Aft#5</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'243'!$AL$36:$AL$58</c:f>
              <c:numCache>
                <c:formatCode>General</c:formatCode>
                <c:ptCount val="23"/>
                <c:pt idx="19" formatCode="0.000">
                  <c:v>407.51919130530916</c:v>
                </c:pt>
                <c:pt idx="20" formatCode="0.000">
                  <c:v>407.51919130530916</c:v>
                </c:pt>
              </c:numCache>
            </c:numRef>
          </c:val>
          <c:extLst>
            <c:ext xmlns:c16="http://schemas.microsoft.com/office/drawing/2014/chart" uri="{C3380CC4-5D6E-409C-BE32-E72D297353CC}">
              <c16:uniqueId val="{00000015-9BFC-46AA-987F-DD0785BB5D3E}"/>
            </c:ext>
          </c:extLst>
        </c:ser>
        <c:ser>
          <c:idx val="22"/>
          <c:order val="22"/>
          <c:tx>
            <c:strRef>
              <c:f>'243'!$AM$34</c:f>
              <c:strCache>
                <c:ptCount val="1"/>
                <c:pt idx="0">
                  <c:v>Stg.3 Nozzle Aft#4</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'243'!$AM$36:$AM$58</c:f>
              <c:numCache>
                <c:formatCode>General</c:formatCode>
                <c:ptCount val="23"/>
                <c:pt idx="20" formatCode="0.000">
                  <c:v>407.49008301571973</c:v>
                </c:pt>
                <c:pt idx="21" formatCode="0.000">
                  <c:v>407.49008301571973</c:v>
                </c:pt>
              </c:numCache>
            </c:numRef>
          </c:val>
          <c:extLst>
            <c:ext xmlns:c16="http://schemas.microsoft.com/office/drawing/2014/chart" uri="{C3380CC4-5D6E-409C-BE32-E72D297353CC}">
              <c16:uniqueId val="{00000016-9BFC-46AA-987F-DD0785BB5D3E}"/>
            </c:ext>
          </c:extLst>
        </c:ser>
        <c:ser>
          <c:idx val="23"/>
          <c:order val="23"/>
          <c:tx>
            <c:strRef>
              <c:f>'243'!$AN$34</c:f>
              <c:strCache>
                <c:ptCount val="1"/>
                <c:pt idx="0">
                  <c:v>Stg.3 Nozzle Aft#3</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'243'!$AN$36:$AN$58</c:f>
              <c:numCache>
                <c:formatCode>General</c:formatCode>
                <c:ptCount val="23"/>
                <c:pt idx="21" formatCode="0.000">
                  <c:v>407.46940367266245</c:v>
                </c:pt>
                <c:pt idx="22" formatCode="0.000">
                  <c:v>407.46940367266245</c:v>
                </c:pt>
              </c:numCache>
            </c:numRef>
          </c:val>
          <c:extLst>
            <c:ext xmlns:c16="http://schemas.microsoft.com/office/drawing/2014/chart" uri="{C3380CC4-5D6E-409C-BE32-E72D297353CC}">
              <c16:uniqueId val="{00000017-9BFC-46AA-987F-DD0785BB5D3E}"/>
            </c:ext>
          </c:extLst>
        </c:ser>
        <c:ser>
          <c:idx val="24"/>
          <c:order val="24"/>
          <c:tx>
            <c:strRef>
              <c:f>'243'!$AO$34</c:f>
              <c:strCache>
                <c:ptCount val="1"/>
                <c:pt idx="0">
                  <c:v>Stg.3 Nozzle Aft#2</c:v>
                </c:pt>
              </c:strCache>
            </c:strRef>
          </c:tx>
          <c:marker>
            <c:symbol val="none"/>
          </c:marker>
          <c:cat>
            <c:numRef>
              <c:f>'243'!$J$36:$J$58</c:f>
              <c:numCache>
                <c:formatCode>General</c:formatCode>
                <c:ptCount val="23"/>
                <c:pt idx="0">
                  <c:v>1</c:v>
                </c:pt>
                <c:pt idx="1">
                  <c:v>23</c:v>
                </c:pt>
                <c:pt idx="2">
                  <c:v>22</c:v>
                </c:pt>
                <c:pt idx="3">
                  <c:v>21</c:v>
                </c:pt>
                <c:pt idx="4">
                  <c:v>20</c:v>
                </c:pt>
                <c:pt idx="5">
                  <c:v>19</c:v>
                </c:pt>
                <c:pt idx="6">
                  <c:v>18</c:v>
                </c:pt>
                <c:pt idx="7">
                  <c:v>17</c:v>
                </c:pt>
                <c:pt idx="8">
                  <c:v>16</c:v>
                </c:pt>
                <c:pt idx="9">
                  <c:v>15</c:v>
                </c:pt>
                <c:pt idx="10">
                  <c:v>14</c:v>
                </c:pt>
                <c:pt idx="11">
                  <c:v>13</c:v>
                </c:pt>
                <c:pt idx="12">
                  <c:v>12</c:v>
                </c:pt>
                <c:pt idx="13">
                  <c:v>11</c:v>
                </c:pt>
                <c:pt idx="14">
                  <c:v>10</c:v>
                </c:pt>
                <c:pt idx="15">
                  <c:v>9</c:v>
                </c:pt>
                <c:pt idx="16">
                  <c:v>8</c:v>
                </c:pt>
                <c:pt idx="17">
                  <c:v>7</c:v>
                </c:pt>
                <c:pt idx="18">
                  <c:v>6</c:v>
                </c:pt>
                <c:pt idx="19">
                  <c:v>5</c:v>
                </c:pt>
                <c:pt idx="20">
                  <c:v>4</c:v>
                </c:pt>
                <c:pt idx="21">
                  <c:v>3</c:v>
                </c:pt>
                <c:pt idx="22">
                  <c:v>2</c:v>
                </c:pt>
              </c:numCache>
            </c:numRef>
          </c:cat>
          <c:val>
            <c:numRef>
              <c:f>'243'!$AO$36:$AO$58</c:f>
              <c:numCache>
                <c:formatCode>General</c:formatCode>
                <c:ptCount val="23"/>
                <c:pt idx="0" formatCode="0.000">
                  <c:v>407.46735621333931</c:v>
                </c:pt>
                <c:pt idx="22" formatCode="0.000">
                  <c:v>407.46735621333931</c:v>
                </c:pt>
              </c:numCache>
            </c:numRef>
          </c:val>
          <c:extLst>
            <c:ext xmlns:c16="http://schemas.microsoft.com/office/drawing/2014/chart" uri="{C3380CC4-5D6E-409C-BE32-E72D297353CC}">
              <c16:uniqueId val="{00000018-9BFC-46AA-987F-DD0785BB5D3E}"/>
            </c:ext>
          </c:extLst>
        </c:ser>
        <c:dLbls>
          <c:showLegendKey val="0"/>
          <c:showVal val="0"/>
          <c:showCatName val="0"/>
          <c:showSerName val="0"/>
          <c:showPercent val="0"/>
          <c:showBubbleSize val="0"/>
        </c:dLbls>
        <c:axId val="185161216"/>
        <c:axId val="184545792"/>
      </c:radarChart>
      <c:catAx>
        <c:axId val="18516121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4545792"/>
        <c:crosses val="autoZero"/>
        <c:auto val="1"/>
        <c:lblAlgn val="ctr"/>
        <c:lblOffset val="100"/>
        <c:noMultiLvlLbl val="0"/>
      </c:catAx>
      <c:valAx>
        <c:axId val="18454579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5161216"/>
        <c:crosses val="autoZero"/>
        <c:crossBetween val="between"/>
        <c:majorUnit val="5.000000000000001E-2"/>
      </c:valAx>
    </c:plotArea>
    <c:legend>
      <c:legendPos val="r"/>
      <c:layout>
        <c:manualLayout>
          <c:xMode val="edge"/>
          <c:yMode val="edge"/>
          <c:x val="0.75693143452628542"/>
          <c:y val="0"/>
          <c:w val="0.23186856312200801"/>
          <c:h val="1"/>
        </c:manualLayout>
      </c:layout>
      <c:overlay val="0"/>
      <c:txPr>
        <a:bodyPr/>
        <a:lstStyle/>
        <a:p>
          <a:pPr>
            <a:defRPr lang="ja-JP" sz="7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'245'!$K$9</c:f>
              <c:strCache>
                <c:ptCount val="1"/>
                <c:pt idx="0">
                  <c:v>JIG</c:v>
                </c:pt>
              </c:strCache>
            </c:strRef>
          </c:tx>
          <c:marker>
            <c:symbol val="none"/>
          </c:marker>
          <c:cat>
            <c:numRef>
              <c:f>'245'!$J$11:$J$18</c:f>
              <c:numCache>
                <c:formatCode>General</c:formatCode>
                <c:ptCount val="8"/>
                <c:pt idx="0">
                  <c:v>1</c:v>
                </c:pt>
                <c:pt idx="1">
                  <c:v>8</c:v>
                </c:pt>
                <c:pt idx="2">
                  <c:v>7</c:v>
                </c:pt>
                <c:pt idx="3">
                  <c:v>6</c:v>
                </c:pt>
                <c:pt idx="4">
                  <c:v>5</c:v>
                </c:pt>
                <c:pt idx="5">
                  <c:v>4</c:v>
                </c:pt>
                <c:pt idx="6">
                  <c:v>3</c:v>
                </c:pt>
                <c:pt idx="7">
                  <c:v>2</c:v>
                </c:pt>
              </c:numCache>
            </c:numRef>
          </c:cat>
          <c:val>
            <c:numRef>
              <c:f>'245'!$K$11:$K$18</c:f>
              <c:numCache>
                <c:formatCode>General</c:formatCode>
                <c:ptCount val="8"/>
                <c:pt idx="0">
                  <c:v>419.315</c:v>
                </c:pt>
                <c:pt idx="1">
                  <c:v>419.31</c:v>
                </c:pt>
                <c:pt idx="2">
                  <c:v>419.32</c:v>
                </c:pt>
                <c:pt idx="3">
                  <c:v>419.32</c:v>
                </c:pt>
                <c:pt idx="4">
                  <c:v>419.315</c:v>
                </c:pt>
                <c:pt idx="5">
                  <c:v>419.31</c:v>
                </c:pt>
                <c:pt idx="6">
                  <c:v>419.32</c:v>
                </c:pt>
                <c:pt idx="7">
                  <c:v>419.32</c:v>
                </c:pt>
              </c:numCache>
            </c:numRef>
          </c:val>
          <c:extLst>
            <c:ext xmlns:c16="http://schemas.microsoft.com/office/drawing/2014/chart" uri="{C3380CC4-5D6E-409C-BE32-E72D297353CC}">
              <c16:uniqueId val="{00000000-EF98-4D57-8C59-6667949F1DD8}"/>
            </c:ext>
          </c:extLst>
        </c:ser>
        <c:ser>
          <c:idx val="1"/>
          <c:order val="1"/>
          <c:tx>
            <c:strRef>
              <c:f>'245'!$L$9</c:f>
              <c:strCache>
                <c:ptCount val="1"/>
                <c:pt idx="0">
                  <c:v>Dwg Min</c:v>
                </c:pt>
              </c:strCache>
            </c:strRef>
          </c:tx>
          <c:spPr>
            <a:ln>
              <a:prstDash val="dash"/>
            </a:ln>
          </c:spPr>
          <c:marker>
            <c:symbol val="none"/>
          </c:marker>
          <c:val>
            <c:numRef>
              <c:f>'245'!$L$11:$L$18</c:f>
              <c:numCache>
                <c:formatCode>General</c:formatCode>
                <c:ptCount val="8"/>
                <c:pt idx="0">
                  <c:v>419.25700000000001</c:v>
                </c:pt>
                <c:pt idx="1">
                  <c:v>419.25700000000001</c:v>
                </c:pt>
                <c:pt idx="2">
                  <c:v>419.25700000000001</c:v>
                </c:pt>
                <c:pt idx="3">
                  <c:v>419.25700000000001</c:v>
                </c:pt>
                <c:pt idx="4">
                  <c:v>419.25700000000001</c:v>
                </c:pt>
                <c:pt idx="5">
                  <c:v>419.25700000000001</c:v>
                </c:pt>
                <c:pt idx="6">
                  <c:v>419.25700000000001</c:v>
                </c:pt>
                <c:pt idx="7">
                  <c:v>419.25700000000001</c:v>
                </c:pt>
              </c:numCache>
            </c:numRef>
          </c:val>
          <c:extLst>
            <c:ext xmlns:c16="http://schemas.microsoft.com/office/drawing/2014/chart" uri="{C3380CC4-5D6E-409C-BE32-E72D297353CC}">
              <c16:uniqueId val="{00000001-EF98-4D57-8C59-6667949F1DD8}"/>
            </c:ext>
          </c:extLst>
        </c:ser>
        <c:ser>
          <c:idx val="2"/>
          <c:order val="2"/>
          <c:tx>
            <c:strRef>
              <c:f>'245'!$M$9</c:f>
              <c:strCache>
                <c:ptCount val="1"/>
                <c:pt idx="0">
                  <c:v>Dwg Max</c:v>
                </c:pt>
              </c:strCache>
            </c:strRef>
          </c:tx>
          <c:spPr>
            <a:ln>
              <a:prstDash val="dash"/>
            </a:ln>
          </c:spPr>
          <c:marker>
            <c:symbol val="none"/>
          </c:marker>
          <c:val>
            <c:numRef>
              <c:f>'245'!$M$11:$M$18</c:f>
              <c:numCache>
                <c:formatCode>General</c:formatCode>
                <c:ptCount val="8"/>
                <c:pt idx="0">
                  <c:v>419.34300000000002</c:v>
                </c:pt>
                <c:pt idx="1">
                  <c:v>419.34300000000002</c:v>
                </c:pt>
                <c:pt idx="2">
                  <c:v>419.34300000000002</c:v>
                </c:pt>
                <c:pt idx="3">
                  <c:v>419.34300000000002</c:v>
                </c:pt>
                <c:pt idx="4">
                  <c:v>419.34300000000002</c:v>
                </c:pt>
                <c:pt idx="5">
                  <c:v>419.34300000000002</c:v>
                </c:pt>
                <c:pt idx="6">
                  <c:v>419.34300000000002</c:v>
                </c:pt>
                <c:pt idx="7">
                  <c:v>419.34300000000002</c:v>
                </c:pt>
              </c:numCache>
            </c:numRef>
          </c:val>
          <c:extLst>
            <c:ext xmlns:c16="http://schemas.microsoft.com/office/drawing/2014/chart" uri="{C3380CC4-5D6E-409C-BE32-E72D297353CC}">
              <c16:uniqueId val="{00000002-EF98-4D57-8C59-6667949F1DD8}"/>
            </c:ext>
          </c:extLst>
        </c:ser>
        <c:dLbls>
          <c:showLegendKey val="0"/>
          <c:showVal val="0"/>
          <c:showCatName val="0"/>
          <c:showSerName val="0"/>
          <c:showPercent val="0"/>
          <c:showBubbleSize val="0"/>
        </c:dLbls>
        <c:axId val="185163264"/>
        <c:axId val="182583872"/>
      </c:radarChart>
      <c:catAx>
        <c:axId val="18516326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583872"/>
        <c:crosses val="autoZero"/>
        <c:auto val="1"/>
        <c:lblAlgn val="ctr"/>
        <c:lblOffset val="100"/>
        <c:noMultiLvlLbl val="0"/>
      </c:catAx>
      <c:valAx>
        <c:axId val="18258387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5163264"/>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'245'!$AQ$34</c:f>
              <c:strCache>
                <c:ptCount val="1"/>
                <c:pt idx="0">
                  <c:v>LPT Case Hook R Min</c:v>
                </c:pt>
              </c:strCache>
            </c:strRef>
          </c:tx>
          <c:spPr>
            <a:ln w="28575">
              <a:prstDash val="dash"/>
            </a:ln>
          </c:spPr>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'245'!$AQ$36:$AQ$59</c:f>
              <c:numCache>
                <c:formatCode>General</c:formatCode>
                <c:ptCount val="24"/>
                <c:pt idx="0">
                  <c:v>419.26800000000003</c:v>
                </c:pt>
                <c:pt idx="1">
                  <c:v>419.26800000000003</c:v>
                </c:pt>
                <c:pt idx="2">
                  <c:v>419.26800000000003</c:v>
                </c:pt>
                <c:pt idx="3">
                  <c:v>419.26800000000003</c:v>
                </c:pt>
                <c:pt idx="4">
                  <c:v>419.26800000000003</c:v>
                </c:pt>
                <c:pt idx="5">
                  <c:v>419.26800000000003</c:v>
                </c:pt>
                <c:pt idx="6">
                  <c:v>419.26800000000003</c:v>
                </c:pt>
                <c:pt idx="7">
                  <c:v>419.26800000000003</c:v>
                </c:pt>
                <c:pt idx="8">
                  <c:v>419.26800000000003</c:v>
                </c:pt>
                <c:pt idx="9">
                  <c:v>419.26800000000003</c:v>
                </c:pt>
                <c:pt idx="10">
                  <c:v>419.26800000000003</c:v>
                </c:pt>
                <c:pt idx="11">
                  <c:v>419.26800000000003</c:v>
                </c:pt>
                <c:pt idx="12">
                  <c:v>419.26800000000003</c:v>
                </c:pt>
                <c:pt idx="13">
                  <c:v>419.26800000000003</c:v>
                </c:pt>
                <c:pt idx="14">
                  <c:v>419.26800000000003</c:v>
                </c:pt>
                <c:pt idx="15">
                  <c:v>419.26800000000003</c:v>
                </c:pt>
                <c:pt idx="16">
                  <c:v>419.26800000000003</c:v>
                </c:pt>
                <c:pt idx="17">
                  <c:v>419.26800000000003</c:v>
                </c:pt>
                <c:pt idx="18">
                  <c:v>419.26800000000003</c:v>
                </c:pt>
                <c:pt idx="19">
                  <c:v>419.26800000000003</c:v>
                </c:pt>
                <c:pt idx="20">
                  <c:v>419.26800000000003</c:v>
                </c:pt>
                <c:pt idx="21">
                  <c:v>419.26800000000003</c:v>
                </c:pt>
                <c:pt idx="22">
                  <c:v>419.26800000000003</c:v>
                </c:pt>
                <c:pt idx="23">
                  <c:v>419.26800000000003</c:v>
                </c:pt>
              </c:numCache>
            </c:numRef>
          </c:val>
          <c:extLst>
            <c:ext xmlns:c16="http://schemas.microsoft.com/office/drawing/2014/chart" uri="{C3380CC4-5D6E-409C-BE32-E72D297353CC}">
              <c16:uniqueId val="{00000000-8C2D-41A2-BC20-DC1C62C42E46}"/>
            </c:ext>
          </c:extLst>
        </c:ser>
        <c:ser>
          <c:idx val="1"/>
          <c:order val="1"/>
          <c:tx>
            <c:strRef>
              <c:f>'245'!$AR$34</c:f>
              <c:strCache>
                <c:ptCount val="1"/>
                <c:pt idx="0">
                  <c:v>LPT Case Hook R Max</c:v>
                </c:pt>
              </c:strCache>
            </c:strRef>
          </c:tx>
          <c:spPr>
            <a:ln w="28575">
              <a:prstDash val="dash"/>
            </a:ln>
          </c:spPr>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'245'!$AR$36:$AR$59</c:f>
              <c:numCache>
                <c:formatCode>General</c:formatCode>
                <c:ptCount val="24"/>
                <c:pt idx="0">
                  <c:v>419.33199999999999</c:v>
                </c:pt>
                <c:pt idx="1">
                  <c:v>419.33199999999999</c:v>
                </c:pt>
                <c:pt idx="2">
                  <c:v>419.33199999999999</c:v>
                </c:pt>
                <c:pt idx="3">
                  <c:v>419.33199999999999</c:v>
                </c:pt>
                <c:pt idx="4">
                  <c:v>419.33199999999999</c:v>
                </c:pt>
                <c:pt idx="5">
                  <c:v>419.33199999999999</c:v>
                </c:pt>
                <c:pt idx="6">
                  <c:v>419.33199999999999</c:v>
                </c:pt>
                <c:pt idx="7">
                  <c:v>419.33199999999999</c:v>
                </c:pt>
                <c:pt idx="8">
                  <c:v>419.33199999999999</c:v>
                </c:pt>
                <c:pt idx="9">
                  <c:v>419.33199999999999</c:v>
                </c:pt>
                <c:pt idx="10">
                  <c:v>419.33199999999999</c:v>
                </c:pt>
                <c:pt idx="11">
                  <c:v>419.33199999999999</c:v>
                </c:pt>
                <c:pt idx="12">
                  <c:v>419.33199999999999</c:v>
                </c:pt>
                <c:pt idx="13">
                  <c:v>419.33199999999999</c:v>
                </c:pt>
                <c:pt idx="14">
                  <c:v>419.33199999999999</c:v>
                </c:pt>
                <c:pt idx="15">
                  <c:v>419.33199999999999</c:v>
                </c:pt>
                <c:pt idx="16">
                  <c:v>419.33199999999999</c:v>
                </c:pt>
                <c:pt idx="17">
                  <c:v>419.33199999999999</c:v>
                </c:pt>
                <c:pt idx="18">
                  <c:v>419.33199999999999</c:v>
                </c:pt>
                <c:pt idx="19">
                  <c:v>419.33199999999999</c:v>
                </c:pt>
                <c:pt idx="20">
                  <c:v>419.33199999999999</c:v>
                </c:pt>
                <c:pt idx="21">
                  <c:v>419.33199999999999</c:v>
                </c:pt>
                <c:pt idx="22">
                  <c:v>419.33199999999999</c:v>
                </c:pt>
                <c:pt idx="23">
                  <c:v>419.33199999999999</c:v>
                </c:pt>
              </c:numCache>
            </c:numRef>
          </c:val>
          <c:extLst>
            <c:ext xmlns:c16="http://schemas.microsoft.com/office/drawing/2014/chart" uri="{C3380CC4-5D6E-409C-BE32-E72D297353CC}">
              <c16:uniqueId val="{00000001-8C2D-41A2-BC20-DC1C62C42E46}"/>
            </c:ext>
          </c:extLst>
        </c:ser>
        <c:ser>
          <c:idx val="2"/>
          <c:order val="2"/>
          <c:tx>
            <c:strRef>
              <c:f>'245'!$S$34</c:f>
              <c:strCache>
                <c:ptCount val="1"/>
                <c:pt idx="0">
                  <c:v>Stg.4 Nozzle Fwd#1</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'245'!$S$36:$S$59</c:f>
              <c:numCache>
                <c:formatCode>0.000</c:formatCode>
                <c:ptCount val="24"/>
                <c:pt idx="0">
                  <c:v>419.31570666666664</c:v>
                </c:pt>
                <c:pt idx="1">
                  <c:v>419.31570666666664</c:v>
                </c:pt>
              </c:numCache>
            </c:numRef>
          </c:val>
          <c:extLst>
            <c:ext xmlns:c16="http://schemas.microsoft.com/office/drawing/2014/chart" uri="{C3380CC4-5D6E-409C-BE32-E72D297353CC}">
              <c16:uniqueId val="{00000002-8C2D-41A2-BC20-DC1C62C42E46}"/>
            </c:ext>
          </c:extLst>
        </c:ser>
        <c:ser>
          <c:idx val="3"/>
          <c:order val="3"/>
          <c:tx>
            <c:strRef>
              <c:f>'245'!$T$34</c:f>
              <c:strCache>
                <c:ptCount val="1"/>
                <c:pt idx="0">
                  <c:v>Stg.4 Nozzle Fwd#24</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'245'!$T$36:$T$59</c:f>
              <c:numCache>
                <c:formatCode>0.000</c:formatCode>
                <c:ptCount val="24"/>
                <c:pt idx="1">
                  <c:v>419.31403999999998</c:v>
                </c:pt>
                <c:pt idx="2">
                  <c:v>419.31403999999998</c:v>
                </c:pt>
              </c:numCache>
            </c:numRef>
          </c:val>
          <c:extLst>
            <c:ext xmlns:c16="http://schemas.microsoft.com/office/drawing/2014/chart" uri="{C3380CC4-5D6E-409C-BE32-E72D297353CC}">
              <c16:uniqueId val="{00000003-8C2D-41A2-BC20-DC1C62C42E46}"/>
            </c:ext>
          </c:extLst>
        </c:ser>
        <c:ser>
          <c:idx val="4"/>
          <c:order val="4"/>
          <c:tx>
            <c:strRef>
              <c:f>'245'!$U$34</c:f>
              <c:strCache>
                <c:ptCount val="1"/>
                <c:pt idx="0">
                  <c:v>Stg.4 Nozzle Fwd#23</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'245'!$U$36:$U$59</c:f>
              <c:numCache>
                <c:formatCode>General</c:formatCode>
                <c:ptCount val="24"/>
                <c:pt idx="2" formatCode="0.000">
                  <c:v>419.31237333333331</c:v>
                </c:pt>
                <c:pt idx="3" formatCode="0.000">
                  <c:v>419.31237333333331</c:v>
                </c:pt>
              </c:numCache>
            </c:numRef>
          </c:val>
          <c:extLst>
            <c:ext xmlns:c16="http://schemas.microsoft.com/office/drawing/2014/chart" uri="{C3380CC4-5D6E-409C-BE32-E72D297353CC}">
              <c16:uniqueId val="{00000004-8C2D-41A2-BC20-DC1C62C42E46}"/>
            </c:ext>
          </c:extLst>
        </c:ser>
        <c:ser>
          <c:idx val="5"/>
          <c:order val="5"/>
          <c:tx>
            <c:strRef>
              <c:f>'245'!$V$34</c:f>
              <c:strCache>
                <c:ptCount val="1"/>
                <c:pt idx="0">
                  <c:v>Stg.4 Nozzle Fwd#22</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'245'!$V$36:$V$59</c:f>
              <c:numCache>
                <c:formatCode>General</c:formatCode>
                <c:ptCount val="24"/>
                <c:pt idx="3" formatCode="0.000">
                  <c:v>419.31089666666662</c:v>
                </c:pt>
                <c:pt idx="4" formatCode="0.000">
                  <c:v>419.31089666666662</c:v>
                </c:pt>
              </c:numCache>
            </c:numRef>
          </c:val>
          <c:extLst>
            <c:ext xmlns:c16="http://schemas.microsoft.com/office/drawing/2014/chart" uri="{C3380CC4-5D6E-409C-BE32-E72D297353CC}">
              <c16:uniqueId val="{00000005-8C2D-41A2-BC20-DC1C62C42E46}"/>
            </c:ext>
          </c:extLst>
        </c:ser>
        <c:ser>
          <c:idx val="6"/>
          <c:order val="6"/>
          <c:tx>
            <c:strRef>
              <c:f>'245'!$W$34</c:f>
              <c:strCache>
                <c:ptCount val="1"/>
                <c:pt idx="0">
                  <c:v>Stg.4 Nozzle Fwd#21</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'245'!$W$36:$W$59</c:f>
              <c:numCache>
                <c:formatCode>General</c:formatCode>
                <c:ptCount val="24"/>
                <c:pt idx="4" formatCode="0.000">
                  <c:v>419.31191999999999</c:v>
                </c:pt>
                <c:pt idx="5" formatCode="0.000">
                  <c:v>419.31191999999999</c:v>
                </c:pt>
              </c:numCache>
            </c:numRef>
          </c:val>
          <c:extLst>
            <c:ext xmlns:c16="http://schemas.microsoft.com/office/drawing/2014/chart" uri="{C3380CC4-5D6E-409C-BE32-E72D297353CC}">
              <c16:uniqueId val="{00000006-8C2D-41A2-BC20-DC1C62C42E46}"/>
            </c:ext>
          </c:extLst>
        </c:ser>
        <c:ser>
          <c:idx val="7"/>
          <c:order val="7"/>
          <c:tx>
            <c:strRef>
              <c:f>'245'!$X$34</c:f>
              <c:strCache>
                <c:ptCount val="1"/>
                <c:pt idx="0">
                  <c:v>Stg.4 Nozzle Fwd#20</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'245'!$X$36:$X$59</c:f>
              <c:numCache>
                <c:formatCode>General</c:formatCode>
                <c:ptCount val="24"/>
                <c:pt idx="5" formatCode="0.000">
                  <c:v>419.31525333333332</c:v>
                </c:pt>
                <c:pt idx="6" formatCode="0.000">
                  <c:v>419.31525333333332</c:v>
                </c:pt>
              </c:numCache>
            </c:numRef>
          </c:val>
          <c:extLst>
            <c:ext xmlns:c16="http://schemas.microsoft.com/office/drawing/2014/chart" uri="{C3380CC4-5D6E-409C-BE32-E72D297353CC}">
              <c16:uniqueId val="{00000007-8C2D-41A2-BC20-DC1C62C42E46}"/>
            </c:ext>
          </c:extLst>
        </c:ser>
        <c:ser>
          <c:idx val="8"/>
          <c:order val="8"/>
          <c:tx>
            <c:strRef>
              <c:f>'245'!$Y$34</c:f>
              <c:strCache>
                <c:ptCount val="1"/>
                <c:pt idx="0">
                  <c:v>Stg.4 Nozzle Fwd#19</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'245'!$Y$36:$Y$59</c:f>
              <c:numCache>
                <c:formatCode>General</c:formatCode>
                <c:ptCount val="24"/>
                <c:pt idx="6" formatCode="0.000">
                  <c:v>419.31845999999996</c:v>
                </c:pt>
                <c:pt idx="7" formatCode="0.000">
                  <c:v>419.31845999999996</c:v>
                </c:pt>
              </c:numCache>
            </c:numRef>
          </c:val>
          <c:extLst>
            <c:ext xmlns:c16="http://schemas.microsoft.com/office/drawing/2014/chart" uri="{C3380CC4-5D6E-409C-BE32-E72D297353CC}">
              <c16:uniqueId val="{00000008-8C2D-41A2-BC20-DC1C62C42E46}"/>
            </c:ext>
          </c:extLst>
        </c:ser>
        <c:ser>
          <c:idx val="9"/>
          <c:order val="9"/>
          <c:tx>
            <c:strRef>
              <c:f>'245'!$Z$34</c:f>
              <c:strCache>
                <c:ptCount val="1"/>
                <c:pt idx="0">
                  <c:v>Stg.4 Nozzle Fwd#18</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'245'!$Z$36:$Z$59</c:f>
              <c:numCache>
                <c:formatCode>General</c:formatCode>
                <c:ptCount val="24"/>
                <c:pt idx="7" formatCode="0.000">
                  <c:v>419.32</c:v>
                </c:pt>
                <c:pt idx="8" formatCode="0.000">
                  <c:v>419.32</c:v>
                </c:pt>
              </c:numCache>
            </c:numRef>
          </c:val>
          <c:extLst>
            <c:ext xmlns:c16="http://schemas.microsoft.com/office/drawing/2014/chart" uri="{C3380CC4-5D6E-409C-BE32-E72D297353CC}">
              <c16:uniqueId val="{00000009-8C2D-41A2-BC20-DC1C62C42E46}"/>
            </c:ext>
          </c:extLst>
        </c:ser>
        <c:ser>
          <c:idx val="10"/>
          <c:order val="10"/>
          <c:tx>
            <c:strRef>
              <c:f>'245'!$AA$34</c:f>
              <c:strCache>
                <c:ptCount val="1"/>
                <c:pt idx="0">
                  <c:v>Stg.4 Nozzle Fwd#17</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'245'!$AA$36:$AA$59</c:f>
              <c:numCache>
                <c:formatCode>General</c:formatCode>
                <c:ptCount val="24"/>
                <c:pt idx="8" formatCode="0.000">
                  <c:v>419.32</c:v>
                </c:pt>
                <c:pt idx="9" formatCode="0.000">
                  <c:v>419.32</c:v>
                </c:pt>
              </c:numCache>
            </c:numRef>
          </c:val>
          <c:extLst>
            <c:ext xmlns:c16="http://schemas.microsoft.com/office/drawing/2014/chart" uri="{C3380CC4-5D6E-409C-BE32-E72D297353CC}">
              <c16:uniqueId val="{0000000A-8C2D-41A2-BC20-DC1C62C42E46}"/>
            </c:ext>
          </c:extLst>
        </c:ser>
        <c:ser>
          <c:idx val="11"/>
          <c:order val="11"/>
          <c:tx>
            <c:strRef>
              <c:f>'245'!$AB$34</c:f>
              <c:strCache>
                <c:ptCount val="1"/>
                <c:pt idx="0">
                  <c:v>Stg.4 Nozzle Fwd#16</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'245'!$AB$36:$AB$59</c:f>
              <c:numCache>
                <c:formatCode>General</c:formatCode>
                <c:ptCount val="24"/>
                <c:pt idx="9" formatCode="0.000">
                  <c:v>419.31993666666665</c:v>
                </c:pt>
                <c:pt idx="10" formatCode="0.000">
                  <c:v>419.31993666666665</c:v>
                </c:pt>
              </c:numCache>
            </c:numRef>
          </c:val>
          <c:extLst>
            <c:ext xmlns:c16="http://schemas.microsoft.com/office/drawing/2014/chart" uri="{C3380CC4-5D6E-409C-BE32-E72D297353CC}">
              <c16:uniqueId val="{0000000B-8C2D-41A2-BC20-DC1C62C42E46}"/>
            </c:ext>
          </c:extLst>
        </c:ser>
        <c:ser>
          <c:idx val="12"/>
          <c:order val="12"/>
          <c:tx>
            <c:strRef>
              <c:f>'245'!$AC$34</c:f>
              <c:strCache>
                <c:ptCount val="1"/>
                <c:pt idx="0">
                  <c:v>Stg.4 Nozzle Fwd#15</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'245'!$AC$36:$AC$59</c:f>
              <c:numCache>
                <c:formatCode>General</c:formatCode>
                <c:ptCount val="24"/>
                <c:pt idx="10" formatCode="0.000">
                  <c:v>419.31903999999997</c:v>
                </c:pt>
                <c:pt idx="11" formatCode="0.000">
                  <c:v>419.31903999999997</c:v>
                </c:pt>
              </c:numCache>
            </c:numRef>
          </c:val>
          <c:extLst>
            <c:ext xmlns:c16="http://schemas.microsoft.com/office/drawing/2014/chart" uri="{C3380CC4-5D6E-409C-BE32-E72D297353CC}">
              <c16:uniqueId val="{0000000C-8C2D-41A2-BC20-DC1C62C42E46}"/>
            </c:ext>
          </c:extLst>
        </c:ser>
        <c:ser>
          <c:idx val="13"/>
          <c:order val="13"/>
          <c:tx>
            <c:strRef>
              <c:f>'245'!$AD$34</c:f>
              <c:strCache>
                <c:ptCount val="1"/>
                <c:pt idx="0">
                  <c:v>Stg.4 Nozzle Fwd#14</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'245'!$AD$36:$AD$59</c:f>
              <c:numCache>
                <c:formatCode>General</c:formatCode>
                <c:ptCount val="24"/>
                <c:pt idx="11" formatCode="0.000">
                  <c:v>419.31737333333331</c:v>
                </c:pt>
                <c:pt idx="12" formatCode="0.000">
                  <c:v>419.31737333333331</c:v>
                </c:pt>
              </c:numCache>
            </c:numRef>
          </c:val>
          <c:extLst>
            <c:ext xmlns:c16="http://schemas.microsoft.com/office/drawing/2014/chart" uri="{C3380CC4-5D6E-409C-BE32-E72D297353CC}">
              <c16:uniqueId val="{0000000D-8C2D-41A2-BC20-DC1C62C42E46}"/>
            </c:ext>
          </c:extLst>
        </c:ser>
        <c:ser>
          <c:idx val="14"/>
          <c:order val="14"/>
          <c:tx>
            <c:strRef>
              <c:f>'245'!$AE$34</c:f>
              <c:strCache>
                <c:ptCount val="1"/>
                <c:pt idx="0">
                  <c:v>Stg.4 Nozzle Fwd#13</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'245'!$AE$36:$AE$59</c:f>
              <c:numCache>
                <c:formatCode>General</c:formatCode>
                <c:ptCount val="24"/>
                <c:pt idx="12" formatCode="0.000">
                  <c:v>419.31570666666664</c:v>
                </c:pt>
                <c:pt idx="13" formatCode="0.000">
                  <c:v>419.31570666666664</c:v>
                </c:pt>
              </c:numCache>
            </c:numRef>
          </c:val>
          <c:extLst>
            <c:ext xmlns:c16="http://schemas.microsoft.com/office/drawing/2014/chart" uri="{C3380CC4-5D6E-409C-BE32-E72D297353CC}">
              <c16:uniqueId val="{0000000E-8C2D-41A2-BC20-DC1C62C42E46}"/>
            </c:ext>
          </c:extLst>
        </c:ser>
        <c:ser>
          <c:idx val="15"/>
          <c:order val="15"/>
          <c:tx>
            <c:strRef>
              <c:f>'245'!$AF$34</c:f>
              <c:strCache>
                <c:ptCount val="1"/>
                <c:pt idx="0">
                  <c:v>Stg.4 Nozzle Fwd#12</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'245'!$AF$36:$AF$59</c:f>
              <c:numCache>
                <c:formatCode>General</c:formatCode>
                <c:ptCount val="24"/>
                <c:pt idx="13" formatCode="0.000">
                  <c:v>419.31403999999998</c:v>
                </c:pt>
                <c:pt idx="14" formatCode="0.000">
                  <c:v>419.31403999999998</c:v>
                </c:pt>
              </c:numCache>
            </c:numRef>
          </c:val>
          <c:extLst>
            <c:ext xmlns:c16="http://schemas.microsoft.com/office/drawing/2014/chart" uri="{C3380CC4-5D6E-409C-BE32-E72D297353CC}">
              <c16:uniqueId val="{0000000F-8C2D-41A2-BC20-DC1C62C42E46}"/>
            </c:ext>
          </c:extLst>
        </c:ser>
        <c:ser>
          <c:idx val="16"/>
          <c:order val="16"/>
          <c:tx>
            <c:strRef>
              <c:f>'245'!$AG$34</c:f>
              <c:strCache>
                <c:ptCount val="1"/>
                <c:pt idx="0">
                  <c:v>Stg.4 Nozzle Fwd#11</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'245'!$AG$36:$AG$59</c:f>
              <c:numCache>
                <c:formatCode>General</c:formatCode>
                <c:ptCount val="24"/>
                <c:pt idx="14" formatCode="0.000">
                  <c:v>419.31237333333331</c:v>
                </c:pt>
                <c:pt idx="15" formatCode="0.000">
                  <c:v>419.31237333333331</c:v>
                </c:pt>
              </c:numCache>
            </c:numRef>
          </c:val>
          <c:extLst>
            <c:ext xmlns:c16="http://schemas.microsoft.com/office/drawing/2014/chart" uri="{C3380CC4-5D6E-409C-BE32-E72D297353CC}">
              <c16:uniqueId val="{00000010-8C2D-41A2-BC20-DC1C62C42E46}"/>
            </c:ext>
          </c:extLst>
        </c:ser>
        <c:ser>
          <c:idx val="17"/>
          <c:order val="17"/>
          <c:tx>
            <c:strRef>
              <c:f>'245'!$AH$34</c:f>
              <c:strCache>
                <c:ptCount val="1"/>
                <c:pt idx="0">
                  <c:v>Stg.4 Nozzle Fwd#10</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'245'!$AH$36:$AH$59</c:f>
              <c:numCache>
                <c:formatCode>General</c:formatCode>
                <c:ptCount val="24"/>
                <c:pt idx="15" formatCode="0.000">
                  <c:v>419.31089666666662</c:v>
                </c:pt>
                <c:pt idx="16" formatCode="0.000">
                  <c:v>419.31089666666662</c:v>
                </c:pt>
              </c:numCache>
            </c:numRef>
          </c:val>
          <c:extLst>
            <c:ext xmlns:c16="http://schemas.microsoft.com/office/drawing/2014/chart" uri="{C3380CC4-5D6E-409C-BE32-E72D297353CC}">
              <c16:uniqueId val="{00000011-8C2D-41A2-BC20-DC1C62C42E46}"/>
            </c:ext>
          </c:extLst>
        </c:ser>
        <c:ser>
          <c:idx val="18"/>
          <c:order val="18"/>
          <c:tx>
            <c:strRef>
              <c:f>'245'!$AI$34</c:f>
              <c:strCache>
                <c:ptCount val="1"/>
                <c:pt idx="0">
                  <c:v>Stg.4 Nozzle Fwd#9</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'245'!$AI$36:$AI$59</c:f>
              <c:numCache>
                <c:formatCode>General</c:formatCode>
                <c:ptCount val="24"/>
                <c:pt idx="16" formatCode="0.000">
                  <c:v>419.31191999999999</c:v>
                </c:pt>
                <c:pt idx="17" formatCode="0.000">
                  <c:v>419.31191999999999</c:v>
                </c:pt>
              </c:numCache>
            </c:numRef>
          </c:val>
          <c:extLst>
            <c:ext xmlns:c16="http://schemas.microsoft.com/office/drawing/2014/chart" uri="{C3380CC4-5D6E-409C-BE32-E72D297353CC}">
              <c16:uniqueId val="{00000012-8C2D-41A2-BC20-DC1C62C42E46}"/>
            </c:ext>
          </c:extLst>
        </c:ser>
        <c:ser>
          <c:idx val="19"/>
          <c:order val="19"/>
          <c:tx>
            <c:strRef>
              <c:f>'245'!$AJ$34</c:f>
              <c:strCache>
                <c:ptCount val="1"/>
                <c:pt idx="0">
                  <c:v>Stg.4 Nozzle Fwd#8</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'245'!$AJ$36:$AJ$59</c:f>
              <c:numCache>
                <c:formatCode>General</c:formatCode>
                <c:ptCount val="24"/>
                <c:pt idx="17" formatCode="0.000">
                  <c:v>419.31525333333332</c:v>
                </c:pt>
                <c:pt idx="18" formatCode="0.000">
                  <c:v>419.31525333333332</c:v>
                </c:pt>
              </c:numCache>
            </c:numRef>
          </c:val>
          <c:extLst>
            <c:ext xmlns:c16="http://schemas.microsoft.com/office/drawing/2014/chart" uri="{C3380CC4-5D6E-409C-BE32-E72D297353CC}">
              <c16:uniqueId val="{00000013-8C2D-41A2-BC20-DC1C62C42E46}"/>
            </c:ext>
          </c:extLst>
        </c:ser>
        <c:ser>
          <c:idx val="20"/>
          <c:order val="20"/>
          <c:tx>
            <c:strRef>
              <c:f>'245'!$AK$34</c:f>
              <c:strCache>
                <c:ptCount val="1"/>
                <c:pt idx="0">
                  <c:v>Stg.4 Nozzle Fwd#7</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'245'!$AK$36:$AK$59</c:f>
              <c:numCache>
                <c:formatCode>General</c:formatCode>
                <c:ptCount val="24"/>
                <c:pt idx="18" formatCode="0.000">
                  <c:v>419.31845999999996</c:v>
                </c:pt>
                <c:pt idx="19" formatCode="0.000">
                  <c:v>419.31845999999996</c:v>
                </c:pt>
              </c:numCache>
            </c:numRef>
          </c:val>
          <c:extLst>
            <c:ext xmlns:c16="http://schemas.microsoft.com/office/drawing/2014/chart" uri="{C3380CC4-5D6E-409C-BE32-E72D297353CC}">
              <c16:uniqueId val="{00000014-8C2D-41A2-BC20-DC1C62C42E46}"/>
            </c:ext>
          </c:extLst>
        </c:ser>
        <c:ser>
          <c:idx val="21"/>
          <c:order val="21"/>
          <c:tx>
            <c:strRef>
              <c:f>'245'!$AL$34</c:f>
              <c:strCache>
                <c:ptCount val="1"/>
                <c:pt idx="0">
                  <c:v>Stg.4 Nozzle Fwd#6</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'245'!$AL$36:$AL$59</c:f>
              <c:numCache>
                <c:formatCode>General</c:formatCode>
                <c:ptCount val="24"/>
                <c:pt idx="19" formatCode="0.000">
                  <c:v>419.32</c:v>
                </c:pt>
                <c:pt idx="20" formatCode="0.000">
                  <c:v>419.32</c:v>
                </c:pt>
              </c:numCache>
            </c:numRef>
          </c:val>
          <c:extLst>
            <c:ext xmlns:c16="http://schemas.microsoft.com/office/drawing/2014/chart" uri="{C3380CC4-5D6E-409C-BE32-E72D297353CC}">
              <c16:uniqueId val="{00000015-8C2D-41A2-BC20-DC1C62C42E46}"/>
            </c:ext>
          </c:extLst>
        </c:ser>
        <c:ser>
          <c:idx val="22"/>
          <c:order val="22"/>
          <c:tx>
            <c:strRef>
              <c:f>'245'!$AM$34</c:f>
              <c:strCache>
                <c:ptCount val="1"/>
                <c:pt idx="0">
                  <c:v>Stg.4 Nozzle Fwd#5</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'245'!$AM$36:$AM$59</c:f>
              <c:numCache>
                <c:formatCode>General</c:formatCode>
                <c:ptCount val="24"/>
                <c:pt idx="20" formatCode="0.000">
                  <c:v>419.32</c:v>
                </c:pt>
                <c:pt idx="21" formatCode="0.000">
                  <c:v>419.32</c:v>
                </c:pt>
              </c:numCache>
            </c:numRef>
          </c:val>
          <c:extLst>
            <c:ext xmlns:c16="http://schemas.microsoft.com/office/drawing/2014/chart" uri="{C3380CC4-5D6E-409C-BE32-E72D297353CC}">
              <c16:uniqueId val="{00000016-8C2D-41A2-BC20-DC1C62C42E46}"/>
            </c:ext>
          </c:extLst>
        </c:ser>
        <c:ser>
          <c:idx val="23"/>
          <c:order val="23"/>
          <c:tx>
            <c:strRef>
              <c:f>'245'!$AN$34</c:f>
              <c:strCache>
                <c:ptCount val="1"/>
                <c:pt idx="0">
                  <c:v>Stg.4 Nozzle Fwd#4</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'245'!$AN$36:$AN$59</c:f>
              <c:numCache>
                <c:formatCode>General</c:formatCode>
                <c:ptCount val="24"/>
                <c:pt idx="21" formatCode="0.000">
                  <c:v>419.31993666666665</c:v>
                </c:pt>
                <c:pt idx="22" formatCode="0.000">
                  <c:v>419.31993666666665</c:v>
                </c:pt>
              </c:numCache>
            </c:numRef>
          </c:val>
          <c:extLst>
            <c:ext xmlns:c16="http://schemas.microsoft.com/office/drawing/2014/chart" uri="{C3380CC4-5D6E-409C-BE32-E72D297353CC}">
              <c16:uniqueId val="{00000017-8C2D-41A2-BC20-DC1C62C42E46}"/>
            </c:ext>
          </c:extLst>
        </c:ser>
        <c:ser>
          <c:idx val="24"/>
          <c:order val="24"/>
          <c:tx>
            <c:strRef>
              <c:f>'245'!$AO$34</c:f>
              <c:strCache>
                <c:ptCount val="1"/>
                <c:pt idx="0">
                  <c:v>Stg.4 Nozzle Fwd#3</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'245'!$AO$36:$AO$59</c:f>
              <c:numCache>
                <c:formatCode>General</c:formatCode>
                <c:ptCount val="24"/>
                <c:pt idx="22" formatCode="0.000">
                  <c:v>419.31903999999997</c:v>
                </c:pt>
                <c:pt idx="23" formatCode="0.000">
                  <c:v>419.31903999999997</c:v>
                </c:pt>
              </c:numCache>
            </c:numRef>
          </c:val>
          <c:extLst>
            <c:ext xmlns:c16="http://schemas.microsoft.com/office/drawing/2014/chart" uri="{C3380CC4-5D6E-409C-BE32-E72D297353CC}">
              <c16:uniqueId val="{00000018-8C2D-41A2-BC20-DC1C62C42E46}"/>
            </c:ext>
          </c:extLst>
        </c:ser>
        <c:ser>
          <c:idx val="25"/>
          <c:order val="25"/>
          <c:tx>
            <c:strRef>
              <c:f>'245'!$AP$34</c:f>
              <c:strCache>
                <c:ptCount val="1"/>
                <c:pt idx="0">
                  <c:v>Stg.4 Nozzle Fwd#2</c:v>
                </c:pt>
              </c:strCache>
            </c:strRef>
          </c:tx>
          <c:marker>
            <c:symbol val="none"/>
          </c:marker>
          <c:cat>
            <c:numRef>
              <c:f>'245'!$J$36:$J$59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'245'!$AP$36:$AP$59</c:f>
              <c:numCache>
                <c:formatCode>General</c:formatCode>
                <c:ptCount val="24"/>
                <c:pt idx="0" formatCode="0.000">
                  <c:v>419.31820666666664</c:v>
                </c:pt>
                <c:pt idx="23" formatCode="0.000">
                  <c:v>419.31820666666664</c:v>
                </c:pt>
              </c:numCache>
            </c:numRef>
          </c:val>
          <c:extLst>
            <c:ext xmlns:c16="http://schemas.microsoft.com/office/drawing/2014/chart" uri="{C3380CC4-5D6E-409C-BE32-E72D297353CC}">
              <c16:uniqueId val="{00000019-8C2D-41A2-BC20-DC1C62C42E46}"/>
            </c:ext>
          </c:extLst>
        </c:ser>
        <c:dLbls>
          <c:showLegendKey val="0"/>
          <c:showVal val="0"/>
          <c:showCatName val="0"/>
          <c:showSerName val="0"/>
          <c:showPercent val="0"/>
          <c:showBubbleSize val="0"/>
        </c:dLbls>
        <c:axId val="211275776"/>
        <c:axId val="211348864"/>
      </c:radarChart>
      <c:catAx>
        <c:axId val="2112757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211348864"/>
        <c:crosses val="autoZero"/>
        <c:auto val="1"/>
        <c:lblAlgn val="ctr"/>
        <c:lblOffset val="100"/>
        <c:noMultiLvlLbl val="0"/>
      </c:catAx>
      <c:valAx>
        <c:axId val="2113488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211275776"/>
        <c:crosses val="autoZero"/>
        <c:crossBetween val="between"/>
        <c:majorUnit val="5.000000000000001E-2"/>
      </c:valAx>
    </c:plotArea>
    <c:legend>
      <c:legendPos val="r"/>
      <c:layout>
        <c:manualLayout>
          <c:xMode val="edge"/>
          <c:yMode val="edge"/>
          <c:x val="0.75693147025290097"/>
          <c:y val="0"/>
          <c:w val="0.23186852904158714"/>
          <c:h val="1"/>
        </c:manualLayout>
      </c:layout>
      <c:overlay val="0"/>
      <c:txPr>
        <a:bodyPr/>
        <a:lstStyle/>
        <a:p>
          <a:pPr>
            <a:defRPr lang="ja-JP" sz="7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'247'!$K$9</c:f>
              <c:strCache>
                <c:ptCount val="1"/>
                <c:pt idx="0">
                  <c:v>CMM</c:v>
                </c:pt>
              </c:strCache>
            </c:strRef>
          </c:tx>
          <c:marker>
            <c:symbol val="none"/>
          </c:marker>
          <c:cat>
            <c:numRef>
              <c:f>'247'!$J$11:$J$26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'247'!$K$11:$K$26</c:f>
              <c:numCache>
                <c:formatCode>General</c:formatCode>
                <c:ptCount val="16"/>
                <c:pt idx="0">
                  <c:v>419.32299999999998</c:v>
                </c:pt>
                <c:pt idx="1">
                  <c:v>419.36100000476915</c:v>
                </c:pt>
                <c:pt idx="2">
                  <c:v>419.3650000011923</c:v>
                </c:pt>
                <c:pt idx="3">
                  <c:v>419.33800000000002</c:v>
                </c:pt>
                <c:pt idx="4">
                  <c:v>419.34300000000002</c:v>
                </c:pt>
                <c:pt idx="5">
                  <c:v>419.36</c:v>
                </c:pt>
                <c:pt idx="6">
                  <c:v>419.3410000047694</c:v>
                </c:pt>
                <c:pt idx="7">
                  <c:v>419.34700001073099</c:v>
                </c:pt>
                <c:pt idx="8">
                  <c:v>419.30799999999999</c:v>
                </c:pt>
                <c:pt idx="9">
                  <c:v>419.27900000119251</c:v>
                </c:pt>
                <c:pt idx="10">
                  <c:v>419.32299999999998</c:v>
                </c:pt>
                <c:pt idx="11">
                  <c:v>419.40400000119217</c:v>
                </c:pt>
                <c:pt idx="12">
                  <c:v>419.41800000000001</c:v>
                </c:pt>
                <c:pt idx="13">
                  <c:v>419.35400000119233</c:v>
                </c:pt>
                <c:pt idx="14">
                  <c:v>419.27199999999999</c:v>
                </c:pt>
                <c:pt idx="15">
                  <c:v>419.26900000119258</c:v>
                </c:pt>
              </c:numCache>
            </c:numRef>
          </c:val>
          <c:extLst>
            <c:ext xmlns:c16="http://schemas.microsoft.com/office/drawing/2014/chart" uri="{C3380CC4-5D6E-409C-BE32-E72D297353CC}">
              <c16:uniqueId val="{00000000-AE09-43B8-AA1F-E3D6685EC1D6}"/>
            </c:ext>
          </c:extLst>
        </c:ser>
        <c:ser>
          <c:idx val="1"/>
          <c:order val="1"/>
          <c:tx>
            <c:strRef>
              <c:f>'247'!$L$9</c:f>
              <c:strCache>
                <c:ptCount val="1"/>
                <c:pt idx="0">
                  <c:v>Dwg Min</c:v>
                </c:pt>
              </c:strCache>
            </c:strRef>
          </c:tx>
          <c:spPr>
            <a:ln>
              <a:prstDash val="dash"/>
            </a:ln>
          </c:spPr>
          <c:marker>
            <c:symbol val="none"/>
          </c:marker>
          <c:val>
            <c:numRef>
              <c:f>'247'!$L$11:$L$26</c:f>
              <c:numCache>
                <c:formatCode>General</c:formatCode>
                <c:ptCount val="16"/>
                <c:pt idx="0">
                  <c:v>419.26000000000005</c:v>
                </c:pt>
                <c:pt idx="1">
                  <c:v>419.26000000000005</c:v>
                </c:pt>
                <c:pt idx="2">
                  <c:v>419.26000000000005</c:v>
                </c:pt>
                <c:pt idx="3">
                  <c:v>419.26000000000005</c:v>
                </c:pt>
                <c:pt idx="4">
                  <c:v>419.26000000000005</c:v>
                </c:pt>
                <c:pt idx="5">
                  <c:v>419.26000000000005</c:v>
                </c:pt>
                <c:pt idx="6">
                  <c:v>419.26000000000005</c:v>
                </c:pt>
                <c:pt idx="7">
                  <c:v>419.26000000000005</c:v>
                </c:pt>
                <c:pt idx="8">
                  <c:v>419.26000000000005</c:v>
                </c:pt>
                <c:pt idx="9">
                  <c:v>419.26000000000005</c:v>
                </c:pt>
                <c:pt idx="10">
                  <c:v>419.26000000000005</c:v>
                </c:pt>
                <c:pt idx="11">
                  <c:v>419.26000000000005</c:v>
                </c:pt>
                <c:pt idx="12">
                  <c:v>419.26000000000005</c:v>
                </c:pt>
                <c:pt idx="13">
                  <c:v>419.26000000000005</c:v>
                </c:pt>
                <c:pt idx="14">
                  <c:v>419.26000000000005</c:v>
                </c:pt>
                <c:pt idx="15">
                  <c:v>419.26000000000005</c:v>
                </c:pt>
              </c:numCache>
            </c:numRef>
          </c:val>
          <c:extLst>
            <c:ext xmlns:c16="http://schemas.microsoft.com/office/drawing/2014/chart" uri="{C3380CC4-5D6E-409C-BE32-E72D297353CC}">
              <c16:uniqueId val="{00000001-AE09-43B8-AA1F-E3D6685EC1D6}"/>
            </c:ext>
          </c:extLst>
        </c:ser>
        <c:ser>
          <c:idx val="2"/>
          <c:order val="2"/>
          <c:tx>
            <c:strRef>
              <c:f>'247'!$M$9</c:f>
              <c:strCache>
                <c:ptCount val="1"/>
                <c:pt idx="0">
                  <c:v>Dwg Max</c:v>
                </c:pt>
              </c:strCache>
            </c:strRef>
          </c:tx>
          <c:spPr>
            <a:ln>
              <a:prstDash val="dash"/>
            </a:ln>
          </c:spPr>
          <c:marker>
            <c:symbol val="none"/>
          </c:marker>
          <c:val>
            <c:numRef>
              <c:f>'247'!$M$11:$M$26</c:f>
              <c:numCache>
                <c:formatCode>General</c:formatCode>
                <c:ptCount val="16"/>
                <c:pt idx="0">
                  <c:v>419.44</c:v>
                </c:pt>
                <c:pt idx="1">
                  <c:v>419.44</c:v>
                </c:pt>
                <c:pt idx="2">
                  <c:v>419.44</c:v>
                </c:pt>
                <c:pt idx="3">
                  <c:v>419.44</c:v>
                </c:pt>
                <c:pt idx="4">
                  <c:v>419.44</c:v>
                </c:pt>
                <c:pt idx="5">
                  <c:v>419.44</c:v>
                </c:pt>
                <c:pt idx="6">
                  <c:v>419.44</c:v>
                </c:pt>
                <c:pt idx="7">
                  <c:v>419.44</c:v>
                </c:pt>
                <c:pt idx="8">
                  <c:v>419.44</c:v>
                </c:pt>
                <c:pt idx="9">
                  <c:v>419.44</c:v>
                </c:pt>
                <c:pt idx="10">
                  <c:v>419.44</c:v>
                </c:pt>
                <c:pt idx="11">
                  <c:v>419.44</c:v>
                </c:pt>
                <c:pt idx="12">
                  <c:v>419.44</c:v>
                </c:pt>
                <c:pt idx="13">
                  <c:v>419.44</c:v>
                </c:pt>
                <c:pt idx="14">
                  <c:v>419.44</c:v>
                </c:pt>
                <c:pt idx="15">
                  <c:v>419.44</c:v>
                </c:pt>
              </c:numCache>
            </c:numRef>
          </c:val>
          <c:extLst>
            <c:ext xmlns:c16="http://schemas.microsoft.com/office/drawing/2014/chart" uri="{C3380CC4-5D6E-409C-BE32-E72D297353CC}">
              <c16:uniqueId val="{00000002-AE09-43B8-AA1F-E3D6685EC1D6}"/>
            </c:ext>
          </c:extLst>
        </c:ser>
        <c:dLbls>
          <c:showLegendKey val="0"/>
          <c:showVal val="0"/>
          <c:showCatName val="0"/>
          <c:showSerName val="0"/>
          <c:showPercent val="0"/>
          <c:showBubbleSize val="0"/>
        </c:dLbls>
        <c:axId val="175026176"/>
        <c:axId val="211350016"/>
      </c:radarChart>
      <c:catAx>
        <c:axId val="1750261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211350016"/>
        <c:crosses val="autoZero"/>
        <c:auto val="1"/>
        <c:lblAlgn val="ctr"/>
        <c:lblOffset val="100"/>
        <c:noMultiLvlLbl val="0"/>
      </c:catAx>
      <c:valAx>
        <c:axId val="21135001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5026176"/>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'247'!$AQ$34</c:f>
              <c:strCache>
                <c:ptCount val="1"/>
                <c:pt idx="0">
                  <c:v>LPT Case Hook R Min</c:v>
                </c:pt>
              </c:strCache>
            </c:strRef>
          </c:tx>
          <c:spPr>
            <a:ln w="28575">
              <a:prstDash val="dash"/>
            </a:ln>
          </c:spPr>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'247'!$AQ$36:$AQ$59</c:f>
              <c:numCache>
                <c:formatCode>General</c:formatCode>
                <c:ptCount val="24"/>
                <c:pt idx="0">
                  <c:v>419.31800000000004</c:v>
                </c:pt>
                <c:pt idx="1">
                  <c:v>419.31800000000004</c:v>
                </c:pt>
                <c:pt idx="2">
                  <c:v>419.31800000000004</c:v>
                </c:pt>
                <c:pt idx="3">
                  <c:v>419.31800000000004</c:v>
                </c:pt>
                <c:pt idx="4">
                  <c:v>419.31800000000004</c:v>
                </c:pt>
                <c:pt idx="5">
                  <c:v>419.31800000000004</c:v>
                </c:pt>
                <c:pt idx="6">
                  <c:v>419.31800000000004</c:v>
                </c:pt>
                <c:pt idx="7">
                  <c:v>419.31800000000004</c:v>
                </c:pt>
                <c:pt idx="8">
                  <c:v>419.31800000000004</c:v>
                </c:pt>
                <c:pt idx="9">
                  <c:v>419.31800000000004</c:v>
                </c:pt>
                <c:pt idx="10">
                  <c:v>419.31800000000004</c:v>
                </c:pt>
                <c:pt idx="11">
                  <c:v>419.31800000000004</c:v>
                </c:pt>
                <c:pt idx="12">
                  <c:v>419.31800000000004</c:v>
                </c:pt>
                <c:pt idx="13">
                  <c:v>419.31800000000004</c:v>
                </c:pt>
                <c:pt idx="14">
                  <c:v>419.31800000000004</c:v>
                </c:pt>
                <c:pt idx="15">
                  <c:v>419.31800000000004</c:v>
                </c:pt>
                <c:pt idx="16">
                  <c:v>419.31800000000004</c:v>
                </c:pt>
                <c:pt idx="17">
                  <c:v>419.31800000000004</c:v>
                </c:pt>
                <c:pt idx="18">
                  <c:v>419.31800000000004</c:v>
                </c:pt>
                <c:pt idx="19">
                  <c:v>419.31800000000004</c:v>
                </c:pt>
                <c:pt idx="20">
                  <c:v>419.31800000000004</c:v>
                </c:pt>
                <c:pt idx="21">
                  <c:v>419.31800000000004</c:v>
                </c:pt>
                <c:pt idx="22">
                  <c:v>419.31800000000004</c:v>
                </c:pt>
                <c:pt idx="23">
                  <c:v>419.31800000000004</c:v>
                </c:pt>
              </c:numCache>
            </c:numRef>
          </c:val>
          <c:extLst>
            <c:ext xmlns:c16="http://schemas.microsoft.com/office/drawing/2014/chart" uri="{C3380CC4-5D6E-409C-BE32-E72D297353CC}">
              <c16:uniqueId val="{00000000-FB66-4E6D-ACB5-E1B47CD49493}"/>
            </c:ext>
          </c:extLst>
        </c:ser>
        <c:ser>
          <c:idx val="1"/>
          <c:order val="1"/>
          <c:tx>
            <c:strRef>
              <c:f>'247'!$AR$34</c:f>
              <c:strCache>
                <c:ptCount val="1"/>
                <c:pt idx="0">
                  <c:v>LPT Case Hook R Max</c:v>
                </c:pt>
              </c:strCache>
            </c:strRef>
          </c:tx>
          <c:spPr>
            <a:ln w="28575">
              <a:prstDash val="dash"/>
            </a:ln>
          </c:spPr>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'247'!$AR$36:$AR$59</c:f>
              <c:numCache>
                <c:formatCode>General</c:formatCode>
                <c:ptCount val="24"/>
                <c:pt idx="0">
                  <c:v>419.38200000000001</c:v>
                </c:pt>
                <c:pt idx="1">
                  <c:v>419.38200000000001</c:v>
                </c:pt>
                <c:pt idx="2">
                  <c:v>419.38200000000001</c:v>
                </c:pt>
                <c:pt idx="3">
                  <c:v>419.38200000000001</c:v>
                </c:pt>
                <c:pt idx="4">
                  <c:v>419.38200000000001</c:v>
                </c:pt>
                <c:pt idx="5">
                  <c:v>419.38200000000001</c:v>
                </c:pt>
                <c:pt idx="6">
                  <c:v>419.38200000000001</c:v>
                </c:pt>
                <c:pt idx="7">
                  <c:v>419.38200000000001</c:v>
                </c:pt>
                <c:pt idx="8">
                  <c:v>419.38200000000001</c:v>
                </c:pt>
                <c:pt idx="9">
                  <c:v>419.38200000000001</c:v>
                </c:pt>
                <c:pt idx="10">
                  <c:v>419.38200000000001</c:v>
                </c:pt>
                <c:pt idx="11">
                  <c:v>419.38200000000001</c:v>
                </c:pt>
                <c:pt idx="12">
                  <c:v>419.38200000000001</c:v>
                </c:pt>
                <c:pt idx="13">
                  <c:v>419.38200000000001</c:v>
                </c:pt>
                <c:pt idx="14">
                  <c:v>419.38200000000001</c:v>
                </c:pt>
                <c:pt idx="15">
                  <c:v>419.38200000000001</c:v>
                </c:pt>
                <c:pt idx="16">
                  <c:v>419.38200000000001</c:v>
                </c:pt>
                <c:pt idx="17">
                  <c:v>419.38200000000001</c:v>
                </c:pt>
                <c:pt idx="18">
                  <c:v>419.38200000000001</c:v>
                </c:pt>
                <c:pt idx="19">
                  <c:v>419.38200000000001</c:v>
                </c:pt>
                <c:pt idx="20">
                  <c:v>419.38200000000001</c:v>
                </c:pt>
                <c:pt idx="21">
                  <c:v>419.38200000000001</c:v>
                </c:pt>
                <c:pt idx="22">
                  <c:v>419.38200000000001</c:v>
                </c:pt>
                <c:pt idx="23">
                  <c:v>419.38200000000001</c:v>
                </c:pt>
              </c:numCache>
            </c:numRef>
          </c:val>
          <c:extLst>
            <c:ext xmlns:c16="http://schemas.microsoft.com/office/drawing/2014/chart" uri="{C3380CC4-5D6E-409C-BE32-E72D297353CC}">
              <c16:uniqueId val="{00000001-FB66-4E6D-ACB5-E1B47CD49493}"/>
            </c:ext>
          </c:extLst>
        </c:ser>
        <c:ser>
          <c:idx val="2"/>
          <c:order val="2"/>
          <c:tx>
            <c:strRef>
              <c:f>'247'!$S$34</c:f>
              <c:strCache>
                <c:ptCount val="1"/>
                <c:pt idx="0">
                  <c:v>Stg.4 Nozzle Aft#1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'247'!$S$36:$S$59</c:f>
              <c:numCache>
                <c:formatCode>0.000</c:formatCode>
                <c:ptCount val="24"/>
                <c:pt idx="0">
                  <c:v>419.30733066715482</c:v>
                </c:pt>
                <c:pt idx="1">
                  <c:v>419.30733066715482</c:v>
                </c:pt>
              </c:numCache>
            </c:numRef>
          </c:val>
          <c:extLst>
            <c:ext xmlns:c16="http://schemas.microsoft.com/office/drawing/2014/chart" uri="{C3380CC4-5D6E-409C-BE32-E72D297353CC}">
              <c16:uniqueId val="{00000002-FB66-4E6D-ACB5-E1B47CD49493}"/>
            </c:ext>
          </c:extLst>
        </c:ser>
        <c:ser>
          <c:idx val="3"/>
          <c:order val="3"/>
          <c:tx>
            <c:strRef>
              <c:f>'247'!$T$34</c:f>
              <c:strCache>
                <c:ptCount val="1"/>
                <c:pt idx="0">
                  <c:v>Stg.4 Nozzle Aft#24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'247'!$T$36:$T$59</c:f>
              <c:numCache>
                <c:formatCode>0.000</c:formatCode>
                <c:ptCount val="24"/>
                <c:pt idx="1">
                  <c:v>419.33759200183135</c:v>
                </c:pt>
                <c:pt idx="2">
                  <c:v>419.33759200183135</c:v>
                </c:pt>
              </c:numCache>
            </c:numRef>
          </c:val>
          <c:extLst>
            <c:ext xmlns:c16="http://schemas.microsoft.com/office/drawing/2014/chart" uri="{C3380CC4-5D6E-409C-BE32-E72D297353CC}">
              <c16:uniqueId val="{00000003-FB66-4E6D-ACB5-E1B47CD49493}"/>
            </c:ext>
          </c:extLst>
        </c:ser>
        <c:ser>
          <c:idx val="4"/>
          <c:order val="4"/>
          <c:tx>
            <c:strRef>
              <c:f>'247'!$U$34</c:f>
              <c:strCache>
                <c:ptCount val="1"/>
                <c:pt idx="0">
                  <c:v>Stg.4 Nozzle Aft#23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'247'!$U$36:$U$59</c:f>
              <c:numCache>
                <c:formatCode>General</c:formatCode>
                <c:ptCount val="24"/>
                <c:pt idx="2" formatCode="0.000">
                  <c:v>419.35639733674168</c:v>
                </c:pt>
                <c:pt idx="3" formatCode="0.000">
                  <c:v>419.35639733674168</c:v>
                </c:pt>
              </c:numCache>
            </c:numRef>
          </c:val>
          <c:extLst>
            <c:ext xmlns:c16="http://schemas.microsoft.com/office/drawing/2014/chart" uri="{C3380CC4-5D6E-409C-BE32-E72D297353CC}">
              <c16:uniqueId val="{00000004-FB66-4E6D-ACB5-E1B47CD49493}"/>
            </c:ext>
          </c:extLst>
        </c:ser>
        <c:ser>
          <c:idx val="5"/>
          <c:order val="5"/>
          <c:tx>
            <c:strRef>
              <c:f>'247'!$V$34</c:f>
              <c:strCache>
                <c:ptCount val="1"/>
                <c:pt idx="0">
                  <c:v>Stg.4 Nozzle Aft#22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'247'!$V$36:$V$59</c:f>
              <c:numCache>
                <c:formatCode>General</c:formatCode>
                <c:ptCount val="24"/>
                <c:pt idx="3" formatCode="0.000">
                  <c:v>419.3630840022638</c:v>
                </c:pt>
                <c:pt idx="4" formatCode="0.000">
                  <c:v>419.3630840022638</c:v>
                </c:pt>
              </c:numCache>
            </c:numRef>
          </c:val>
          <c:extLst>
            <c:ext xmlns:c16="http://schemas.microsoft.com/office/drawing/2014/chart" uri="{C3380CC4-5D6E-409C-BE32-E72D297353CC}">
              <c16:uniqueId val="{00000005-FB66-4E6D-ACB5-E1B47CD49493}"/>
            </c:ext>
          </c:extLst>
        </c:ser>
        <c:ser>
          <c:idx val="6"/>
          <c:order val="6"/>
          <c:tx>
            <c:strRef>
              <c:f>'247'!$W$34</c:f>
              <c:strCache>
                <c:ptCount val="1"/>
                <c:pt idx="0">
                  <c:v>Stg.4 Nozzle Aft#21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'247'!$W$36:$W$59</c:f>
              <c:numCache>
                <c:formatCode>General</c:formatCode>
                <c:ptCount val="24"/>
                <c:pt idx="4" formatCode="0.000">
                  <c:v>419.35463200073445</c:v>
                </c:pt>
                <c:pt idx="5" formatCode="0.000">
                  <c:v>419.35463200073445</c:v>
                </c:pt>
              </c:numCache>
            </c:numRef>
          </c:val>
          <c:extLst>
            <c:ext xmlns:c16="http://schemas.microsoft.com/office/drawing/2014/chart" uri="{C3380CC4-5D6E-409C-BE32-E72D297353CC}">
              <c16:uniqueId val="{00000006-FB66-4E6D-ACB5-E1B47CD49493}"/>
            </c:ext>
          </c:extLst>
        </c:ser>
        <c:ser>
          <c:idx val="7"/>
          <c:order val="7"/>
          <c:tx>
            <c:strRef>
              <c:f>'247'!$X$34</c:f>
              <c:strCache>
                <c:ptCount val="1"/>
                <c:pt idx="0">
                  <c:v>Stg.4 Nozzle Aft#20</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'247'!$X$36:$X$59</c:f>
              <c:numCache>
                <c:formatCode>General</c:formatCode>
                <c:ptCount val="24"/>
                <c:pt idx="5" formatCode="0.000">
                  <c:v>419.34277600016856</c:v>
                </c:pt>
                <c:pt idx="6" formatCode="0.000">
                  <c:v>419.34277600016856</c:v>
                </c:pt>
              </c:numCache>
            </c:numRef>
          </c:val>
          <c:extLst>
            <c:ext xmlns:c16="http://schemas.microsoft.com/office/drawing/2014/chart" uri="{C3380CC4-5D6E-409C-BE32-E72D297353CC}">
              <c16:uniqueId val="{00000007-FB66-4E6D-ACB5-E1B47CD49493}"/>
            </c:ext>
          </c:extLst>
        </c:ser>
        <c:ser>
          <c:idx val="8"/>
          <c:order val="8"/>
          <c:tx>
            <c:strRef>
              <c:f>'247'!$Y$34</c:f>
              <c:strCache>
                <c:ptCount val="1"/>
                <c:pt idx="0">
                  <c:v>Stg.4 Nozzle Aft#19</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'247'!$Y$36:$Y$59</c:f>
              <c:numCache>
                <c:formatCode>General</c:formatCode>
                <c:ptCount val="24"/>
                <c:pt idx="6" formatCode="0.000">
                  <c:v>419.3418906666667</c:v>
                </c:pt>
                <c:pt idx="7" formatCode="0.000">
                  <c:v>419.3418906666667</c:v>
                </c:pt>
              </c:numCache>
            </c:numRef>
          </c:val>
          <c:extLst>
            <c:ext xmlns:c16="http://schemas.microsoft.com/office/drawing/2014/chart" uri="{C3380CC4-5D6E-409C-BE32-E72D297353CC}">
              <c16:uniqueId val="{00000008-FB66-4E6D-ACB5-E1B47CD49493}"/>
            </c:ext>
          </c:extLst>
        </c:ser>
        <c:ser>
          <c:idx val="9"/>
          <c:order val="9"/>
          <c:tx>
            <c:strRef>
              <c:f>'247'!$Z$34</c:f>
              <c:strCache>
                <c:ptCount val="1"/>
                <c:pt idx="0">
                  <c:v>Stg.4 Nozzle Aft#18</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'247'!$Z$36:$Z$59</c:f>
              <c:numCache>
                <c:formatCode>General</c:formatCode>
                <c:ptCount val="24"/>
                <c:pt idx="7" formatCode="0.000">
                  <c:v>419.34952800000002</c:v>
                </c:pt>
                <c:pt idx="8" formatCode="0.000">
                  <c:v>419.34952800000002</c:v>
                </c:pt>
              </c:numCache>
            </c:numRef>
          </c:val>
          <c:extLst>
            <c:ext xmlns:c16="http://schemas.microsoft.com/office/drawing/2014/chart" uri="{C3380CC4-5D6E-409C-BE32-E72D297353CC}">
              <c16:uniqueId val="{00000009-FB66-4E6D-ACB5-E1B47CD49493}"/>
            </c:ext>
          </c:extLst>
        </c:ser>
        <c:ser>
          <c:idx val="10"/>
          <c:order val="10"/>
          <c:tx>
            <c:strRef>
              <c:f>'247'!$AA$34</c:f>
              <c:strCache>
                <c:ptCount val="1"/>
                <c:pt idx="0">
                  <c:v>Stg.4 Nozzle Aft#17</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'247'!$AA$36:$AA$59</c:f>
              <c:numCache>
                <c:formatCode>General</c:formatCode>
                <c:ptCount val="24"/>
                <c:pt idx="8" formatCode="0.000">
                  <c:v>419.35394933424908</c:v>
                </c:pt>
                <c:pt idx="9" formatCode="0.000">
                  <c:v>419.35394933424908</c:v>
                </c:pt>
              </c:numCache>
            </c:numRef>
          </c:val>
          <c:extLst>
            <c:ext xmlns:c16="http://schemas.microsoft.com/office/drawing/2014/chart" uri="{C3380CC4-5D6E-409C-BE32-E72D297353CC}">
              <c16:uniqueId val="{0000000A-FB66-4E6D-ACB5-E1B47CD49493}"/>
            </c:ext>
          </c:extLst>
        </c:ser>
        <c:ser>
          <c:idx val="11"/>
          <c:order val="11"/>
          <c:tx>
            <c:strRef>
              <c:f>'247'!$AB$34</c:f>
              <c:strCache>
                <c:ptCount val="1"/>
                <c:pt idx="0">
                  <c:v>Stg.4 Nozzle Aft#16</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'247'!$AB$36:$AB$59</c:f>
              <c:numCache>
                <c:formatCode>General</c:formatCode>
                <c:ptCount val="24"/>
                <c:pt idx="9" formatCode="0.000">
                  <c:v>419.34700400345145</c:v>
                </c:pt>
                <c:pt idx="10" formatCode="0.000">
                  <c:v>419.34700400345145</c:v>
                </c:pt>
              </c:numCache>
            </c:numRef>
          </c:val>
          <c:extLst>
            <c:ext xmlns:c16="http://schemas.microsoft.com/office/drawing/2014/chart" uri="{C3380CC4-5D6E-409C-BE32-E72D297353CC}">
              <c16:uniqueId val="{0000000B-FB66-4E6D-ACB5-E1B47CD49493}"/>
            </c:ext>
          </c:extLst>
        </c:ser>
        <c:ser>
          <c:idx val="12"/>
          <c:order val="12"/>
          <c:tx>
            <c:strRef>
              <c:f>'247'!$AC$34</c:f>
              <c:strCache>
                <c:ptCount val="1"/>
                <c:pt idx="0">
                  <c:v>Stg.4 Nozzle Aft#15</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'247'!$AC$36:$AC$59</c:f>
              <c:numCache>
                <c:formatCode>General</c:formatCode>
                <c:ptCount val="24"/>
                <c:pt idx="10" formatCode="0.000">
                  <c:v>419.34330400705863</c:v>
                </c:pt>
                <c:pt idx="11" formatCode="0.000">
                  <c:v>419.34330400705863</c:v>
                </c:pt>
              </c:numCache>
            </c:numRef>
          </c:val>
          <c:extLst>
            <c:ext xmlns:c16="http://schemas.microsoft.com/office/drawing/2014/chart" uri="{C3380CC4-5D6E-409C-BE32-E72D297353CC}">
              <c16:uniqueId val="{0000000C-FB66-4E6D-ACB5-E1B47CD49493}"/>
            </c:ext>
          </c:extLst>
        </c:ser>
        <c:ser>
          <c:idx val="13"/>
          <c:order val="13"/>
          <c:tx>
            <c:strRef>
              <c:f>'247'!$AD$34</c:f>
              <c:strCache>
                <c:ptCount val="1"/>
                <c:pt idx="0">
                  <c:v>Stg.4 Nozzle Aft#14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'247'!$AD$36:$AD$59</c:f>
              <c:numCache>
                <c:formatCode>General</c:formatCode>
                <c:ptCount val="24"/>
                <c:pt idx="11" formatCode="0.000">
                  <c:v>419.33866400782807</c:v>
                </c:pt>
                <c:pt idx="12" formatCode="0.000">
                  <c:v>419.33866400782807</c:v>
                </c:pt>
              </c:numCache>
            </c:numRef>
          </c:val>
          <c:extLst>
            <c:ext xmlns:c16="http://schemas.microsoft.com/office/drawing/2014/chart" uri="{C3380CC4-5D6E-409C-BE32-E72D297353CC}">
              <c16:uniqueId val="{0000000D-FB66-4E6D-ACB5-E1B47CD49493}"/>
            </c:ext>
          </c:extLst>
        </c:ser>
        <c:ser>
          <c:idx val="14"/>
          <c:order val="14"/>
          <c:tx>
            <c:strRef>
              <c:f>'247'!$AE$34</c:f>
              <c:strCache>
                <c:ptCount val="1"/>
                <c:pt idx="0">
                  <c:v>Stg.4 Nozzle Aft#13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'247'!$AE$36:$AE$59</c:f>
              <c:numCache>
                <c:formatCode>General</c:formatCode>
                <c:ptCount val="24"/>
                <c:pt idx="12" formatCode="0.000">
                  <c:v>419.31927733666873</c:v>
                </c:pt>
                <c:pt idx="13" formatCode="0.000">
                  <c:v>419.31927733666873</c:v>
                </c:pt>
              </c:numCache>
            </c:numRef>
          </c:val>
          <c:extLst>
            <c:ext xmlns:c16="http://schemas.microsoft.com/office/drawing/2014/chart" uri="{C3380CC4-5D6E-409C-BE32-E72D297353CC}">
              <c16:uniqueId val="{0000000E-FB66-4E6D-ACB5-E1B47CD49493}"/>
            </c:ext>
          </c:extLst>
        </c:ser>
        <c:ser>
          <c:idx val="15"/>
          <c:order val="15"/>
          <c:tx>
            <c:strRef>
              <c:f>'247'!$AF$34</c:f>
              <c:strCache>
                <c:ptCount val="1"/>
                <c:pt idx="0">
                  <c:v>Stg.4 Nozzle Aft#12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'247'!$AF$36:$AF$59</c:f>
              <c:numCache>
                <c:formatCode>General</c:formatCode>
                <c:ptCount val="24"/>
                <c:pt idx="13" formatCode="0.000">
                  <c:v>419.29686400045796</c:v>
                </c:pt>
                <c:pt idx="14" formatCode="0.000">
                  <c:v>419.29686400045796</c:v>
                </c:pt>
              </c:numCache>
            </c:numRef>
          </c:val>
          <c:extLst>
            <c:ext xmlns:c16="http://schemas.microsoft.com/office/drawing/2014/chart" uri="{C3380CC4-5D6E-409C-BE32-E72D297353CC}">
              <c16:uniqueId val="{0000000F-FB66-4E6D-ACB5-E1B47CD49493}"/>
            </c:ext>
          </c:extLst>
        </c:ser>
        <c:ser>
          <c:idx val="16"/>
          <c:order val="16"/>
          <c:tx>
            <c:strRef>
              <c:f>'247'!$AG$34</c:f>
              <c:strCache>
                <c:ptCount val="1"/>
                <c:pt idx="0">
                  <c:v>Stg.4 Nozzle Aft#11</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'247'!$AG$36:$AG$59</c:f>
              <c:numCache>
                <c:formatCode>General</c:formatCode>
                <c:ptCount val="24"/>
                <c:pt idx="14" formatCode="0.000">
                  <c:v>419.29154666746166</c:v>
                </c:pt>
                <c:pt idx="15" formatCode="0.000">
                  <c:v>419.29154666746166</c:v>
                </c:pt>
              </c:numCache>
            </c:numRef>
          </c:val>
          <c:extLst>
            <c:ext xmlns:c16="http://schemas.microsoft.com/office/drawing/2014/chart" uri="{C3380CC4-5D6E-409C-BE32-E72D297353CC}">
              <c16:uniqueId val="{00000010-FB66-4E6D-ACB5-E1B47CD49493}"/>
            </c:ext>
          </c:extLst>
        </c:ser>
        <c:ser>
          <c:idx val="17"/>
          <c:order val="17"/>
          <c:tx>
            <c:strRef>
              <c:f>'247'!$AH$34</c:f>
              <c:strCache>
                <c:ptCount val="1"/>
                <c:pt idx="0">
                  <c:v>Stg.4 Nozzle Aft#10</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'247'!$AH$36:$AH$59</c:f>
              <c:numCache>
                <c:formatCode>General</c:formatCode>
                <c:ptCount val="24"/>
                <c:pt idx="15" formatCode="0.000">
                  <c:v>419.31150000039747</c:v>
                </c:pt>
                <c:pt idx="16" formatCode="0.000">
                  <c:v>419.31150000039747</c:v>
                </c:pt>
              </c:numCache>
            </c:numRef>
          </c:val>
          <c:extLst>
            <c:ext xmlns:c16="http://schemas.microsoft.com/office/drawing/2014/chart" uri="{C3380CC4-5D6E-409C-BE32-E72D297353CC}">
              <c16:uniqueId val="{00000011-FB66-4E6D-ACB5-E1B47CD49493}"/>
            </c:ext>
          </c:extLst>
        </c:ser>
        <c:ser>
          <c:idx val="18"/>
          <c:order val="18"/>
          <c:tx>
            <c:strRef>
              <c:f>'247'!$AI$34</c:f>
              <c:strCache>
                <c:ptCount val="1"/>
                <c:pt idx="0">
                  <c:v>Stg.4 Nozzle Aft#9</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'247'!$AI$36:$AI$59</c:f>
              <c:numCache>
                <c:formatCode>General</c:formatCode>
                <c:ptCount val="24"/>
                <c:pt idx="16" formatCode="0.000">
                  <c:v>419.35410400045782</c:v>
                </c:pt>
                <c:pt idx="17" formatCode="0.000">
                  <c:v>419.35410400045782</c:v>
                </c:pt>
              </c:numCache>
            </c:numRef>
          </c:val>
          <c:extLst>
            <c:ext xmlns:c16="http://schemas.microsoft.com/office/drawing/2014/chart" uri="{C3380CC4-5D6E-409C-BE32-E72D297353CC}">
              <c16:uniqueId val="{00000012-FB66-4E6D-ACB5-E1B47CD49493}"/>
            </c:ext>
          </c:extLst>
        </c:ser>
        <c:ser>
          <c:idx val="19"/>
          <c:order val="19"/>
          <c:tx>
            <c:strRef>
              <c:f>'247'!$AJ$34</c:f>
              <c:strCache>
                <c:ptCount val="1"/>
                <c:pt idx="0">
                  <c:v>Stg.4 Nozzle Aft#8</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'247'!$AJ$36:$AJ$59</c:f>
              <c:numCache>
                <c:formatCode>General</c:formatCode>
                <c:ptCount val="24"/>
                <c:pt idx="17" formatCode="0.000">
                  <c:v>419.39524000079479</c:v>
                </c:pt>
                <c:pt idx="18" formatCode="0.000">
                  <c:v>419.39524000079479</c:v>
                </c:pt>
              </c:numCache>
            </c:numRef>
          </c:val>
          <c:extLst>
            <c:ext xmlns:c16="http://schemas.microsoft.com/office/drawing/2014/chart" uri="{C3380CC4-5D6E-409C-BE32-E72D297353CC}">
              <c16:uniqueId val="{00000013-FB66-4E6D-ACB5-E1B47CD49493}"/>
            </c:ext>
          </c:extLst>
        </c:ser>
        <c:ser>
          <c:idx val="20"/>
          <c:order val="20"/>
          <c:tx>
            <c:strRef>
              <c:f>'247'!$AK$34</c:f>
              <c:strCache>
                <c:ptCount val="1"/>
                <c:pt idx="0">
                  <c:v>Stg.4 Nozzle Aft#7</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'247'!$AK$36:$AK$59</c:f>
              <c:numCache>
                <c:formatCode>General</c:formatCode>
                <c:ptCount val="24"/>
                <c:pt idx="18" formatCode="0.000">
                  <c:v>419.4120666670641</c:v>
                </c:pt>
                <c:pt idx="19" formatCode="0.000">
                  <c:v>419.4120666670641</c:v>
                </c:pt>
              </c:numCache>
            </c:numRef>
          </c:val>
          <c:extLst>
            <c:ext xmlns:c16="http://schemas.microsoft.com/office/drawing/2014/chart" uri="{C3380CC4-5D6E-409C-BE32-E72D297353CC}">
              <c16:uniqueId val="{00000014-FB66-4E6D-ACB5-E1B47CD49493}"/>
            </c:ext>
          </c:extLst>
        </c:ser>
        <c:ser>
          <c:idx val="21"/>
          <c:order val="21"/>
          <c:tx>
            <c:strRef>
              <c:f>'247'!$AL$34</c:f>
              <c:strCache>
                <c:ptCount val="1"/>
                <c:pt idx="0">
                  <c:v>Stg.4 Nozzle Aft#6</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'247'!$AL$36:$AL$59</c:f>
              <c:numCache>
                <c:formatCode>General</c:formatCode>
                <c:ptCount val="24"/>
                <c:pt idx="19" formatCode="0.000">
                  <c:v>419.39342400045786</c:v>
                </c:pt>
                <c:pt idx="20" formatCode="0.000">
                  <c:v>419.39342400045786</c:v>
                </c:pt>
              </c:numCache>
            </c:numRef>
          </c:val>
          <c:extLst>
            <c:ext xmlns:c16="http://schemas.microsoft.com/office/drawing/2014/chart" uri="{C3380CC4-5D6E-409C-BE32-E72D297353CC}">
              <c16:uniqueId val="{00000015-FB66-4E6D-ACB5-E1B47CD49493}"/>
            </c:ext>
          </c:extLst>
        </c:ser>
        <c:ser>
          <c:idx val="22"/>
          <c:order val="22"/>
          <c:tx>
            <c:strRef>
              <c:f>'247'!$AM$34</c:f>
              <c:strCache>
                <c:ptCount val="1"/>
                <c:pt idx="0">
                  <c:v>Stg.4 Nozzle Aft#5</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'247'!$AM$36:$AM$59</c:f>
              <c:numCache>
                <c:formatCode>General</c:formatCode>
                <c:ptCount val="24"/>
                <c:pt idx="20" formatCode="0.000">
                  <c:v>419.34730133412825</c:v>
                </c:pt>
                <c:pt idx="21" formatCode="0.000">
                  <c:v>419.34730133412825</c:v>
                </c:pt>
              </c:numCache>
            </c:numRef>
          </c:val>
          <c:extLst>
            <c:ext xmlns:c16="http://schemas.microsoft.com/office/drawing/2014/chart" uri="{C3380CC4-5D6E-409C-BE32-E72D297353CC}">
              <c16:uniqueId val="{00000016-FB66-4E6D-ACB5-E1B47CD49493}"/>
            </c:ext>
          </c:extLst>
        </c:ser>
        <c:ser>
          <c:idx val="23"/>
          <c:order val="23"/>
          <c:tx>
            <c:strRef>
              <c:f>'247'!$AN$34</c:f>
              <c:strCache>
                <c:ptCount val="1"/>
                <c:pt idx="0">
                  <c:v>Stg.4 Nozzle Aft#4</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'247'!$AN$36:$AN$59</c:f>
              <c:numCache>
                <c:formatCode>General</c:formatCode>
                <c:ptCount val="24"/>
                <c:pt idx="21" formatCode="0.000">
                  <c:v>419.29718000039747</c:v>
                </c:pt>
                <c:pt idx="22" formatCode="0.000">
                  <c:v>419.29718000039747</c:v>
                </c:pt>
              </c:numCache>
            </c:numRef>
          </c:val>
          <c:extLst>
            <c:ext xmlns:c16="http://schemas.microsoft.com/office/drawing/2014/chart" uri="{C3380CC4-5D6E-409C-BE32-E72D297353CC}">
              <c16:uniqueId val="{00000017-FB66-4E6D-ACB5-E1B47CD49493}"/>
            </c:ext>
          </c:extLst>
        </c:ser>
        <c:ser>
          <c:idx val="24"/>
          <c:order val="24"/>
          <c:tx>
            <c:strRef>
              <c:f>'247'!$AO$34</c:f>
              <c:strCache>
                <c:ptCount val="1"/>
                <c:pt idx="0">
                  <c:v>Stg.4 Nozzle Aft#3</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'247'!$AO$36:$AO$59</c:f>
              <c:numCache>
                <c:formatCode>General</c:formatCode>
                <c:ptCount val="24"/>
                <c:pt idx="22" formatCode="0.000">
                  <c:v>419.27084800045793</c:v>
                </c:pt>
                <c:pt idx="23" formatCode="0.000">
                  <c:v>419.27084800045793</c:v>
                </c:pt>
              </c:numCache>
            </c:numRef>
          </c:val>
          <c:extLst>
            <c:ext xmlns:c16="http://schemas.microsoft.com/office/drawing/2014/chart" uri="{C3380CC4-5D6E-409C-BE32-E72D297353CC}">
              <c16:uniqueId val="{00000018-FB66-4E6D-ACB5-E1B47CD49493}"/>
            </c:ext>
          </c:extLst>
        </c:ser>
        <c:ser>
          <c:idx val="25"/>
          <c:order val="25"/>
          <c:tx>
            <c:strRef>
              <c:f>'247'!$AP$34</c:f>
              <c:strCache>
                <c:ptCount val="1"/>
                <c:pt idx="0">
                  <c:v>Stg.4 Nozzle Aft#2</c:v>
                </c:pt>
              </c:strCache>
            </c:strRef>
          </c:tx>
          <c:marker>
            <c:symbol val="none"/>
          </c:marker>
          <c:cat>
            <c:numRef>
              <c:f>'247'!$J$36:$J$59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'247'!$AP$36:$AP$59</c:f>
              <c:numCache>
                <c:formatCode>General</c:formatCode>
                <c:ptCount val="24"/>
                <c:pt idx="0" formatCode="0.000">
                  <c:v>419.28079200039753</c:v>
                </c:pt>
                <c:pt idx="23" formatCode="0.000">
                  <c:v>419.28079200039753</c:v>
                </c:pt>
              </c:numCache>
            </c:numRef>
          </c:val>
          <c:extLst>
            <c:ext xmlns:c16="http://schemas.microsoft.com/office/drawing/2014/chart" uri="{C3380CC4-5D6E-409C-BE32-E72D297353CC}">
              <c16:uniqueId val="{00000019-FB66-4E6D-ACB5-E1B47CD49493}"/>
            </c:ext>
          </c:extLst>
        </c:ser>
        <c:dLbls>
          <c:showLegendKey val="0"/>
          <c:showVal val="0"/>
          <c:showCatName val="0"/>
          <c:showSerName val="0"/>
          <c:showPercent val="0"/>
          <c:showBubbleSize val="0"/>
        </c:dLbls>
        <c:axId val="211276800"/>
        <c:axId val="211352896"/>
      </c:radarChart>
      <c:catAx>
        <c:axId val="21127680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211352896"/>
        <c:crosses val="autoZero"/>
        <c:auto val="1"/>
        <c:lblAlgn val="ctr"/>
        <c:lblOffset val="100"/>
        <c:noMultiLvlLbl val="0"/>
      </c:catAx>
      <c:valAx>
        <c:axId val="21135289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211276800"/>
        <c:crosses val="autoZero"/>
        <c:crossBetween val="between"/>
        <c:majorUnit val="5.000000000000001E-2"/>
      </c:valAx>
    </c:plotArea>
    <c:legend>
      <c:legendPos val="r"/>
      <c:layout>
        <c:manualLayout>
          <c:xMode val="edge"/>
          <c:yMode val="edge"/>
          <c:x val="0.75693147025290097"/>
          <c:y val="0"/>
          <c:w val="0.23186852904158714"/>
          <c:h val="1"/>
        </c:manualLayout>
      </c:layout>
      <c:overlay val="0"/>
      <c:txPr>
        <a:bodyPr/>
        <a:lstStyle/>
        <a:p>
          <a:pPr>
            <a:defRPr lang="ja-JP" sz="7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'246'!$K$9</c:f>
              <c:strCache>
                <c:ptCount val="1"/>
                <c:pt idx="0">
                  <c:v>CMM - Rear</c:v>
                </c:pt>
              </c:strCache>
            </c:strRef>
          </c:tx>
          <c:marker>
            <c:symbol val="none"/>
          </c:marker>
          <c:cat>
            <c:numRef>
              <c:f>'246'!$J$11:$J$26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'246'!$K$11:$K$26</c:f>
              <c:numCache>
                <c:formatCode>General</c:formatCode>
                <c:ptCount val="16"/>
                <c:pt idx="0">
                  <c:v>417.62400000119732</c:v>
                </c:pt>
                <c:pt idx="1">
                  <c:v>417.6620000011971</c:v>
                </c:pt>
                <c:pt idx="2">
                  <c:v>417.66300000478856</c:v>
                </c:pt>
                <c:pt idx="3">
                  <c:v>417.63600001915546</c:v>
                </c:pt>
                <c:pt idx="4">
                  <c:v>417.63700000119724</c:v>
                </c:pt>
                <c:pt idx="5">
                  <c:v>417.65800000119714</c:v>
                </c:pt>
                <c:pt idx="6">
                  <c:v>417.64200000119718</c:v>
                </c:pt>
                <c:pt idx="7">
                  <c:v>417.649</c:v>
                </c:pt>
                <c:pt idx="8">
                  <c:v>417.60600000119729</c:v>
                </c:pt>
                <c:pt idx="9">
                  <c:v>417.57100020236084</c:v>
                </c:pt>
                <c:pt idx="10">
                  <c:v>417.62400000119732</c:v>
                </c:pt>
                <c:pt idx="11">
                  <c:v>417.70800000478806</c:v>
                </c:pt>
                <c:pt idx="12">
                  <c:v>417.71000000119699</c:v>
                </c:pt>
                <c:pt idx="13">
                  <c:v>417.654</c:v>
                </c:pt>
                <c:pt idx="14">
                  <c:v>417.56000000119747</c:v>
                </c:pt>
                <c:pt idx="15">
                  <c:v>417.56000001077689</c:v>
                </c:pt>
              </c:numCache>
            </c:numRef>
          </c:val>
          <c:extLst>
            <c:ext xmlns:c16="http://schemas.microsoft.com/office/drawing/2014/chart" uri="{C3380CC4-5D6E-409C-BE32-E72D297353CC}">
              <c16:uniqueId val="{00000000-FF91-4F21-B609-42F91D594954}"/>
            </c:ext>
          </c:extLst>
        </c:ser>
        <c:ser>
          <c:idx val="1"/>
          <c:order val="1"/>
          <c:tx>
            <c:strRef>
              <c:f>'246'!$L$9</c:f>
              <c:strCache>
                <c:ptCount val="1"/>
                <c:pt idx="0">
                  <c:v>Dwg Min</c:v>
                </c:pt>
              </c:strCache>
            </c:strRef>
          </c:tx>
          <c:spPr>
            <a:ln>
              <a:prstDash val="dash"/>
            </a:ln>
          </c:spPr>
          <c:marker>
            <c:symbol val="none"/>
          </c:marker>
          <c:val>
            <c:numRef>
              <c:f>'246'!$L$11:$L$26</c:f>
              <c:numCache>
                <c:formatCode>General</c:formatCode>
                <c:ptCount val="16"/>
                <c:pt idx="0">
                  <c:v>417.56</c:v>
                </c:pt>
                <c:pt idx="1">
                  <c:v>417.56</c:v>
                </c:pt>
                <c:pt idx="2">
                  <c:v>417.56</c:v>
                </c:pt>
                <c:pt idx="3">
                  <c:v>417.56</c:v>
                </c:pt>
                <c:pt idx="4">
                  <c:v>417.56</c:v>
                </c:pt>
                <c:pt idx="5">
                  <c:v>417.56</c:v>
                </c:pt>
                <c:pt idx="6">
                  <c:v>417.56</c:v>
                </c:pt>
                <c:pt idx="7">
                  <c:v>417.56</c:v>
                </c:pt>
                <c:pt idx="8">
                  <c:v>417.56</c:v>
                </c:pt>
                <c:pt idx="9">
                  <c:v>417.56</c:v>
                </c:pt>
                <c:pt idx="10">
                  <c:v>417.56</c:v>
                </c:pt>
                <c:pt idx="11">
                  <c:v>417.56</c:v>
                </c:pt>
                <c:pt idx="12">
                  <c:v>417.56</c:v>
                </c:pt>
                <c:pt idx="13">
                  <c:v>417.56</c:v>
                </c:pt>
                <c:pt idx="14">
                  <c:v>417.56</c:v>
                </c:pt>
                <c:pt idx="15">
                  <c:v>417.56</c:v>
                </c:pt>
              </c:numCache>
            </c:numRef>
          </c:val>
          <c:extLst>
            <c:ext xmlns:c16="http://schemas.microsoft.com/office/drawing/2014/chart" uri="{C3380CC4-5D6E-409C-BE32-E72D297353CC}">
              <c16:uniqueId val="{00000001-FF91-4F21-B609-42F91D594954}"/>
            </c:ext>
          </c:extLst>
        </c:ser>
        <c:ser>
          <c:idx val="2"/>
          <c:order val="2"/>
          <c:tx>
            <c:strRef>
              <c:f>'246'!$M$9</c:f>
              <c:strCache>
                <c:ptCount val="1"/>
                <c:pt idx="0">
                  <c:v>Dwg Max</c:v>
                </c:pt>
              </c:strCache>
            </c:strRef>
          </c:tx>
          <c:spPr>
            <a:ln>
              <a:prstDash val="dash"/>
            </a:ln>
          </c:spPr>
          <c:marker>
            <c:symbol val="none"/>
          </c:marker>
          <c:val>
            <c:numRef>
              <c:f>'246'!$M$11:$M$26</c:f>
              <c:numCache>
                <c:formatCode>General</c:formatCode>
                <c:ptCount val="16"/>
                <c:pt idx="0">
                  <c:v>417.73999999999995</c:v>
                </c:pt>
                <c:pt idx="1">
                  <c:v>417.73999999999995</c:v>
                </c:pt>
                <c:pt idx="2">
                  <c:v>417.73999999999995</c:v>
                </c:pt>
                <c:pt idx="3">
                  <c:v>417.73999999999995</c:v>
                </c:pt>
                <c:pt idx="4">
                  <c:v>417.73999999999995</c:v>
                </c:pt>
                <c:pt idx="5">
                  <c:v>417.73999999999995</c:v>
                </c:pt>
                <c:pt idx="6">
                  <c:v>417.73999999999995</c:v>
                </c:pt>
                <c:pt idx="7">
                  <c:v>417.73999999999995</c:v>
                </c:pt>
                <c:pt idx="8">
                  <c:v>417.73999999999995</c:v>
                </c:pt>
                <c:pt idx="9">
                  <c:v>417.73999999999995</c:v>
                </c:pt>
                <c:pt idx="10">
                  <c:v>417.73999999999995</c:v>
                </c:pt>
                <c:pt idx="11">
                  <c:v>417.73999999999995</c:v>
                </c:pt>
                <c:pt idx="12">
                  <c:v>417.73999999999995</c:v>
                </c:pt>
                <c:pt idx="13">
                  <c:v>417.73999999999995</c:v>
                </c:pt>
                <c:pt idx="14">
                  <c:v>417.73999999999995</c:v>
                </c:pt>
                <c:pt idx="15">
                  <c:v>417.73999999999995</c:v>
                </c:pt>
              </c:numCache>
            </c:numRef>
          </c:val>
          <c:extLst>
            <c:ext xmlns:c16="http://schemas.microsoft.com/office/drawing/2014/chart" uri="{C3380CC4-5D6E-409C-BE32-E72D297353CC}">
              <c16:uniqueId val="{00000002-FF91-4F21-B609-42F91D594954}"/>
            </c:ext>
          </c:extLst>
        </c:ser>
        <c:dLbls>
          <c:showLegendKey val="0"/>
          <c:showVal val="0"/>
          <c:showCatName val="0"/>
          <c:showSerName val="0"/>
          <c:showPercent val="0"/>
          <c:showBubbleSize val="0"/>
        </c:dLbls>
        <c:axId val="182197760"/>
        <c:axId val="182583296"/>
      </c:radarChart>
      <c:catAx>
        <c:axId val="1821977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583296"/>
        <c:crosses val="autoZero"/>
        <c:auto val="1"/>
        <c:lblAlgn val="ctr"/>
        <c:lblOffset val="100"/>
        <c:noMultiLvlLbl val="0"/>
      </c:catAx>
      <c:valAx>
        <c:axId val="18258329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2197760"/>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'246'!$AQ$34</c:f>
              <c:strCache>
                <c:ptCount val="1"/>
                <c:pt idx="0">
                  <c:v>LPT Case Hook R Min</c:v>
                </c:pt>
              </c:strCache>
            </c:strRef>
          </c:tx>
          <c:spPr>
            <a:ln w="28575">
              <a:prstDash val="dash"/>
            </a:ln>
          </c:spPr>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'246'!$AQ$36:$AQ$59</c:f>
              <c:numCache>
                <c:formatCode>General</c:formatCode>
                <c:ptCount val="24"/>
                <c:pt idx="0">
                  <c:v>417.61799999999999</c:v>
                </c:pt>
                <c:pt idx="1">
                  <c:v>417.61799999999999</c:v>
                </c:pt>
                <c:pt idx="2">
                  <c:v>417.61799999999999</c:v>
                </c:pt>
                <c:pt idx="3">
                  <c:v>417.61799999999999</c:v>
                </c:pt>
                <c:pt idx="4">
                  <c:v>417.61799999999999</c:v>
                </c:pt>
                <c:pt idx="5">
                  <c:v>417.61799999999999</c:v>
                </c:pt>
                <c:pt idx="6">
                  <c:v>417.61799999999999</c:v>
                </c:pt>
                <c:pt idx="7">
                  <c:v>417.61799999999999</c:v>
                </c:pt>
                <c:pt idx="8">
                  <c:v>417.61799999999999</c:v>
                </c:pt>
                <c:pt idx="9">
                  <c:v>417.61799999999999</c:v>
                </c:pt>
                <c:pt idx="10">
                  <c:v>417.61799999999999</c:v>
                </c:pt>
                <c:pt idx="11">
                  <c:v>417.61799999999999</c:v>
                </c:pt>
                <c:pt idx="12">
                  <c:v>417.61799999999999</c:v>
                </c:pt>
                <c:pt idx="13">
                  <c:v>417.61799999999999</c:v>
                </c:pt>
                <c:pt idx="14">
                  <c:v>417.61799999999999</c:v>
                </c:pt>
                <c:pt idx="15">
                  <c:v>417.61799999999999</c:v>
                </c:pt>
                <c:pt idx="16">
                  <c:v>417.61799999999999</c:v>
                </c:pt>
                <c:pt idx="17">
                  <c:v>417.61799999999999</c:v>
                </c:pt>
                <c:pt idx="18">
                  <c:v>417.61799999999999</c:v>
                </c:pt>
                <c:pt idx="19">
                  <c:v>417.61799999999999</c:v>
                </c:pt>
                <c:pt idx="20">
                  <c:v>417.61799999999999</c:v>
                </c:pt>
                <c:pt idx="21">
                  <c:v>417.61799999999999</c:v>
                </c:pt>
                <c:pt idx="22">
                  <c:v>417.61799999999999</c:v>
                </c:pt>
                <c:pt idx="23">
                  <c:v>417.61799999999999</c:v>
                </c:pt>
              </c:numCache>
            </c:numRef>
          </c:val>
          <c:extLst>
            <c:ext xmlns:c16="http://schemas.microsoft.com/office/drawing/2014/chart" uri="{C3380CC4-5D6E-409C-BE32-E72D297353CC}">
              <c16:uniqueId val="{00000000-37D2-498B-BC41-6B2B2BCBCA44}"/>
            </c:ext>
          </c:extLst>
        </c:ser>
        <c:ser>
          <c:idx val="1"/>
          <c:order val="1"/>
          <c:tx>
            <c:strRef>
              <c:f>'246'!$AR$34</c:f>
              <c:strCache>
                <c:ptCount val="1"/>
                <c:pt idx="0">
                  <c:v>LPT Case Hook R Max</c:v>
                </c:pt>
              </c:strCache>
            </c:strRef>
          </c:tx>
          <c:spPr>
            <a:ln w="28575">
              <a:prstDash val="dash"/>
            </a:ln>
          </c:spPr>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'246'!$AR$36:$AR$59</c:f>
              <c:numCache>
                <c:formatCode>General</c:formatCode>
                <c:ptCount val="24"/>
                <c:pt idx="0">
                  <c:v>417.68199999999996</c:v>
                </c:pt>
                <c:pt idx="1">
                  <c:v>417.68199999999996</c:v>
                </c:pt>
                <c:pt idx="2">
                  <c:v>417.68199999999996</c:v>
                </c:pt>
                <c:pt idx="3">
                  <c:v>417.68199999999996</c:v>
                </c:pt>
                <c:pt idx="4">
                  <c:v>417.68199999999996</c:v>
                </c:pt>
                <c:pt idx="5">
                  <c:v>417.68199999999996</c:v>
                </c:pt>
                <c:pt idx="6">
                  <c:v>417.68199999999996</c:v>
                </c:pt>
                <c:pt idx="7">
                  <c:v>417.68199999999996</c:v>
                </c:pt>
                <c:pt idx="8">
                  <c:v>417.68199999999996</c:v>
                </c:pt>
                <c:pt idx="9">
                  <c:v>417.68199999999996</c:v>
                </c:pt>
                <c:pt idx="10">
                  <c:v>417.68199999999996</c:v>
                </c:pt>
                <c:pt idx="11">
                  <c:v>417.68199999999996</c:v>
                </c:pt>
                <c:pt idx="12">
                  <c:v>417.68199999999996</c:v>
                </c:pt>
                <c:pt idx="13">
                  <c:v>417.68199999999996</c:v>
                </c:pt>
                <c:pt idx="14">
                  <c:v>417.68199999999996</c:v>
                </c:pt>
                <c:pt idx="15">
                  <c:v>417.68199999999996</c:v>
                </c:pt>
                <c:pt idx="16">
                  <c:v>417.68199999999996</c:v>
                </c:pt>
                <c:pt idx="17">
                  <c:v>417.68199999999996</c:v>
                </c:pt>
                <c:pt idx="18">
                  <c:v>417.68199999999996</c:v>
                </c:pt>
                <c:pt idx="19">
                  <c:v>417.68199999999996</c:v>
                </c:pt>
                <c:pt idx="20">
                  <c:v>417.68199999999996</c:v>
                </c:pt>
                <c:pt idx="21">
                  <c:v>417.68199999999996</c:v>
                </c:pt>
                <c:pt idx="22">
                  <c:v>417.68199999999996</c:v>
                </c:pt>
                <c:pt idx="23">
                  <c:v>417.68199999999996</c:v>
                </c:pt>
              </c:numCache>
            </c:numRef>
          </c:val>
          <c:extLst>
            <c:ext xmlns:c16="http://schemas.microsoft.com/office/drawing/2014/chart" uri="{C3380CC4-5D6E-409C-BE32-E72D297353CC}">
              <c16:uniqueId val="{00000001-37D2-498B-BC41-6B2B2BCBCA44}"/>
            </c:ext>
          </c:extLst>
        </c:ser>
        <c:ser>
          <c:idx val="2"/>
          <c:order val="2"/>
          <c:tx>
            <c:strRef>
              <c:f>'246'!$S$34</c:f>
              <c:strCache>
                <c:ptCount val="1"/>
                <c:pt idx="0">
                  <c:v>Stg.4 Shroud Fwd#1</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'246'!$S$36:$S$59</c:f>
              <c:numCache>
                <c:formatCode>0.000</c:formatCode>
                <c:ptCount val="24"/>
                <c:pt idx="0">
                  <c:v>417.58457600709835</c:v>
                </c:pt>
                <c:pt idx="1">
                  <c:v>417.58457600709835</c:v>
                </c:pt>
              </c:numCache>
            </c:numRef>
          </c:val>
          <c:extLst>
            <c:ext xmlns:c16="http://schemas.microsoft.com/office/drawing/2014/chart" uri="{C3380CC4-5D6E-409C-BE32-E72D297353CC}">
              <c16:uniqueId val="{00000002-37D2-498B-BC41-6B2B2BCBCA44}"/>
            </c:ext>
          </c:extLst>
        </c:ser>
        <c:ser>
          <c:idx val="3"/>
          <c:order val="3"/>
          <c:tx>
            <c:strRef>
              <c:f>'246'!$T$34</c:f>
              <c:strCache>
                <c:ptCount val="1"/>
                <c:pt idx="0">
                  <c:v>Stg.4 Shroud Fwd#24</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'246'!$T$36:$T$59</c:f>
              <c:numCache>
                <c:formatCode>0.000</c:formatCode>
                <c:ptCount val="24"/>
                <c:pt idx="1">
                  <c:v>417.62225066921786</c:v>
                </c:pt>
                <c:pt idx="2">
                  <c:v>417.62225066921786</c:v>
                </c:pt>
              </c:numCache>
            </c:numRef>
          </c:val>
          <c:extLst>
            <c:ext xmlns:c16="http://schemas.microsoft.com/office/drawing/2014/chart" uri="{C3380CC4-5D6E-409C-BE32-E72D297353CC}">
              <c16:uniqueId val="{00000003-37D2-498B-BC41-6B2B2BCBCA44}"/>
            </c:ext>
          </c:extLst>
        </c:ser>
        <c:ser>
          <c:idx val="4"/>
          <c:order val="4"/>
          <c:tx>
            <c:strRef>
              <c:f>'246'!$U$34</c:f>
              <c:strCache>
                <c:ptCount val="1"/>
                <c:pt idx="0">
                  <c:v>Stg.4 Shroud Fwd#23</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'246'!$U$36:$U$59</c:f>
              <c:numCache>
                <c:formatCode>General</c:formatCode>
                <c:ptCount val="24"/>
                <c:pt idx="2" formatCode="0.000">
                  <c:v>417.65032133462148</c:v>
                </c:pt>
                <c:pt idx="3" formatCode="0.000">
                  <c:v>417.65032133462148</c:v>
                </c:pt>
              </c:numCache>
            </c:numRef>
          </c:val>
          <c:extLst>
            <c:ext xmlns:c16="http://schemas.microsoft.com/office/drawing/2014/chart" uri="{C3380CC4-5D6E-409C-BE32-E72D297353CC}">
              <c16:uniqueId val="{00000004-37D2-498B-BC41-6B2B2BCBCA44}"/>
            </c:ext>
          </c:extLst>
        </c:ser>
        <c:ser>
          <c:idx val="5"/>
          <c:order val="5"/>
          <c:tx>
            <c:strRef>
              <c:f>'246'!$V$34</c:f>
              <c:strCache>
                <c:ptCount val="1"/>
                <c:pt idx="0">
                  <c:v>Stg.4 Shroud Fwd#22</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'246'!$V$36:$V$59</c:f>
              <c:numCache>
                <c:formatCode>General</c:formatCode>
                <c:ptCount val="24"/>
                <c:pt idx="3" formatCode="0.000">
                  <c:v>417.66238400257623</c:v>
                </c:pt>
                <c:pt idx="4" formatCode="0.000">
                  <c:v>417.66238400257623</c:v>
                </c:pt>
              </c:numCache>
            </c:numRef>
          </c:val>
          <c:extLst>
            <c:ext xmlns:c16="http://schemas.microsoft.com/office/drawing/2014/chart" uri="{C3380CC4-5D6E-409C-BE32-E72D297353CC}">
              <c16:uniqueId val="{00000005-37D2-498B-BC41-6B2B2BCBCA44}"/>
            </c:ext>
          </c:extLst>
        </c:ser>
        <c:ser>
          <c:idx val="6"/>
          <c:order val="6"/>
          <c:tx>
            <c:strRef>
              <c:f>'246'!$W$34</c:f>
              <c:strCache>
                <c:ptCount val="1"/>
                <c:pt idx="0">
                  <c:v>Stg.4 Shroud Fwd#21</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'246'!$W$36:$W$59</c:f>
              <c:numCache>
                <c:formatCode>General</c:formatCode>
                <c:ptCount val="24"/>
                <c:pt idx="4" formatCode="0.000">
                  <c:v>417.65767467370608</c:v>
                </c:pt>
                <c:pt idx="5" formatCode="0.000">
                  <c:v>417.65767467370608</c:v>
                </c:pt>
              </c:numCache>
            </c:numRef>
          </c:val>
          <c:extLst>
            <c:ext xmlns:c16="http://schemas.microsoft.com/office/drawing/2014/chart" uri="{C3380CC4-5D6E-409C-BE32-E72D297353CC}">
              <c16:uniqueId val="{00000006-37D2-498B-BC41-6B2B2BCBCA44}"/>
            </c:ext>
          </c:extLst>
        </c:ser>
        <c:ser>
          <c:idx val="7"/>
          <c:order val="7"/>
          <c:tx>
            <c:strRef>
              <c:f>'246'!$X$34</c:f>
              <c:strCache>
                <c:ptCount val="1"/>
                <c:pt idx="0">
                  <c:v>Stg.4 Shroud Fwd#20</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'246'!$X$36:$X$59</c:f>
              <c:numCache>
                <c:formatCode>General</c:formatCode>
                <c:ptCount val="24"/>
                <c:pt idx="5" formatCode="0.000">
                  <c:v>417.64434134760882</c:v>
                </c:pt>
                <c:pt idx="6" formatCode="0.000">
                  <c:v>417.64434134760882</c:v>
                </c:pt>
              </c:numCache>
            </c:numRef>
          </c:val>
          <c:extLst>
            <c:ext xmlns:c16="http://schemas.microsoft.com/office/drawing/2014/chart" uri="{C3380CC4-5D6E-409C-BE32-E72D297353CC}">
              <c16:uniqueId val="{00000007-37D2-498B-BC41-6B2B2BCBCA44}"/>
            </c:ext>
          </c:extLst>
        </c:ser>
        <c:ser>
          <c:idx val="8"/>
          <c:order val="8"/>
          <c:tx>
            <c:strRef>
              <c:f>'246'!$Y$34</c:f>
              <c:strCache>
                <c:ptCount val="1"/>
                <c:pt idx="0">
                  <c:v>Stg.4 Shroud Fwd#19</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'246'!$Y$36:$Y$59</c:f>
              <c:numCache>
                <c:formatCode>General</c:formatCode>
                <c:ptCount val="24"/>
                <c:pt idx="6" formatCode="0.000">
                  <c:v>417.6363840122595</c:v>
                </c:pt>
                <c:pt idx="7" formatCode="0.000">
                  <c:v>417.6363840122595</c:v>
                </c:pt>
              </c:numCache>
            </c:numRef>
          </c:val>
          <c:extLst>
            <c:ext xmlns:c16="http://schemas.microsoft.com/office/drawing/2014/chart" uri="{C3380CC4-5D6E-409C-BE32-E72D297353CC}">
              <c16:uniqueId val="{00000008-37D2-498B-BC41-6B2B2BCBCA44}"/>
            </c:ext>
          </c:extLst>
        </c:ser>
        <c:ser>
          <c:idx val="9"/>
          <c:order val="9"/>
          <c:tx>
            <c:strRef>
              <c:f>'246'!$Z$34</c:f>
              <c:strCache>
                <c:ptCount val="1"/>
                <c:pt idx="0">
                  <c:v>Stg.4 Shroud Fwd#18</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'246'!$Z$36:$Z$59</c:f>
              <c:numCache>
                <c:formatCode>General</c:formatCode>
                <c:ptCount val="24"/>
                <c:pt idx="7" formatCode="0.000">
                  <c:v>417.64089067040197</c:v>
                </c:pt>
                <c:pt idx="8" formatCode="0.000">
                  <c:v>417.64089067040197</c:v>
                </c:pt>
              </c:numCache>
            </c:numRef>
          </c:val>
          <c:extLst>
            <c:ext xmlns:c16="http://schemas.microsoft.com/office/drawing/2014/chart" uri="{C3380CC4-5D6E-409C-BE32-E72D297353CC}">
              <c16:uniqueId val="{00000009-37D2-498B-BC41-6B2B2BCBCA44}"/>
            </c:ext>
          </c:extLst>
        </c:ser>
        <c:ser>
          <c:idx val="10"/>
          <c:order val="10"/>
          <c:tx>
            <c:strRef>
              <c:f>'246'!$AA$34</c:f>
              <c:strCache>
                <c:ptCount val="1"/>
                <c:pt idx="0">
                  <c:v>Stg.4 Shroud Fwd#17</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'246'!$AA$36:$AA$59</c:f>
              <c:numCache>
                <c:formatCode>General</c:formatCode>
                <c:ptCount val="24"/>
                <c:pt idx="8" formatCode="0.000">
                  <c:v>417.65112666786388</c:v>
                </c:pt>
                <c:pt idx="9" formatCode="0.000">
                  <c:v>417.65112666786388</c:v>
                </c:pt>
              </c:numCache>
            </c:numRef>
          </c:val>
          <c:extLst>
            <c:ext xmlns:c16="http://schemas.microsoft.com/office/drawing/2014/chart" uri="{C3380CC4-5D6E-409C-BE32-E72D297353CC}">
              <c16:uniqueId val="{0000000A-37D2-498B-BC41-6B2B2BCBCA44}"/>
            </c:ext>
          </c:extLst>
        </c:ser>
        <c:ser>
          <c:idx val="11"/>
          <c:order val="11"/>
          <c:tx>
            <c:strRef>
              <c:f>'246'!$AB$34</c:f>
              <c:strCache>
                <c:ptCount val="1"/>
                <c:pt idx="0">
                  <c:v>Stg.4 Shroud Fwd#16</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'246'!$AB$36:$AB$59</c:f>
              <c:numCache>
                <c:formatCode>General</c:formatCode>
                <c:ptCount val="24"/>
                <c:pt idx="9" formatCode="0.000">
                  <c:v>417.65185600119719</c:v>
                </c:pt>
                <c:pt idx="10" formatCode="0.000">
                  <c:v>417.65185600119719</c:v>
                </c:pt>
              </c:numCache>
            </c:numRef>
          </c:val>
          <c:extLst>
            <c:ext xmlns:c16="http://schemas.microsoft.com/office/drawing/2014/chart" uri="{C3380CC4-5D6E-409C-BE32-E72D297353CC}">
              <c16:uniqueId val="{0000000B-37D2-498B-BC41-6B2B2BCBCA44}"/>
            </c:ext>
          </c:extLst>
        </c:ser>
        <c:ser>
          <c:idx val="12"/>
          <c:order val="12"/>
          <c:tx>
            <c:strRef>
              <c:f>'246'!$AC$34</c:f>
              <c:strCache>
                <c:ptCount val="1"/>
                <c:pt idx="0">
                  <c:v>Stg.4 Shroud Fwd#15</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'246'!$AC$36:$AC$59</c:f>
              <c:numCache>
                <c:formatCode>General</c:formatCode>
                <c:ptCount val="24"/>
                <c:pt idx="10" formatCode="0.000">
                  <c:v>417.64560533430063</c:v>
                </c:pt>
                <c:pt idx="11" formatCode="0.000">
                  <c:v>417.64560533430063</c:v>
                </c:pt>
              </c:numCache>
            </c:numRef>
          </c:val>
          <c:extLst>
            <c:ext xmlns:c16="http://schemas.microsoft.com/office/drawing/2014/chart" uri="{C3380CC4-5D6E-409C-BE32-E72D297353CC}">
              <c16:uniqueId val="{0000000C-37D2-498B-BC41-6B2B2BCBCA44}"/>
            </c:ext>
          </c:extLst>
        </c:ser>
        <c:ser>
          <c:idx val="13"/>
          <c:order val="13"/>
          <c:tx>
            <c:strRef>
              <c:f>'246'!$AD$34</c:f>
              <c:strCache>
                <c:ptCount val="1"/>
                <c:pt idx="0">
                  <c:v>Stg.4 Shroud Fwd#14</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'246'!$AD$36:$AD$59</c:f>
              <c:numCache>
                <c:formatCode>General</c:formatCode>
                <c:ptCount val="24"/>
                <c:pt idx="11" formatCode="0.000">
                  <c:v>417.64575466706572</c:v>
                </c:pt>
                <c:pt idx="12" formatCode="0.000">
                  <c:v>417.64575466706572</c:v>
                </c:pt>
              </c:numCache>
            </c:numRef>
          </c:val>
          <c:extLst>
            <c:ext xmlns:c16="http://schemas.microsoft.com/office/drawing/2014/chart" uri="{C3380CC4-5D6E-409C-BE32-E72D297353CC}">
              <c16:uniqueId val="{0000000D-37D2-498B-BC41-6B2B2BCBCA44}"/>
            </c:ext>
          </c:extLst>
        </c:ser>
        <c:ser>
          <c:idx val="14"/>
          <c:order val="14"/>
          <c:tx>
            <c:strRef>
              <c:f>'246'!$AE$34</c:f>
              <c:strCache>
                <c:ptCount val="1"/>
                <c:pt idx="0">
                  <c:v>Stg.4 Shroud Fwd#13</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'246'!$AE$36:$AE$59</c:f>
              <c:numCache>
                <c:formatCode>General</c:formatCode>
                <c:ptCount val="24"/>
                <c:pt idx="12" formatCode="0.000">
                  <c:v>417.63248800045972</c:v>
                </c:pt>
                <c:pt idx="13" formatCode="0.000">
                  <c:v>417.63248800045972</c:v>
                </c:pt>
              </c:numCache>
            </c:numRef>
          </c:val>
          <c:extLst>
            <c:ext xmlns:c16="http://schemas.microsoft.com/office/drawing/2014/chart" uri="{C3380CC4-5D6E-409C-BE32-E72D297353CC}">
              <c16:uniqueId val="{0000000E-37D2-498B-BC41-6B2B2BCBCA44}"/>
            </c:ext>
          </c:extLst>
        </c:ser>
        <c:ser>
          <c:idx val="15"/>
          <c:order val="15"/>
          <c:tx>
            <c:strRef>
              <c:f>'246'!$AF$34</c:f>
              <c:strCache>
                <c:ptCount val="1"/>
                <c:pt idx="0">
                  <c:v>Stg.4 Shroud Fwd#12</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'246'!$AF$36:$AF$59</c:f>
              <c:numCache>
                <c:formatCode>General</c:formatCode>
                <c:ptCount val="24"/>
                <c:pt idx="13" formatCode="0.000">
                  <c:v>417.60535737298483</c:v>
                </c:pt>
                <c:pt idx="14" formatCode="0.000">
                  <c:v>417.60535737298483</c:v>
                </c:pt>
              </c:numCache>
            </c:numRef>
          </c:val>
          <c:extLst>
            <c:ext xmlns:c16="http://schemas.microsoft.com/office/drawing/2014/chart" uri="{C3380CC4-5D6E-409C-BE32-E72D297353CC}">
              <c16:uniqueId val="{0000000F-37D2-498B-BC41-6B2B2BCBCA44}"/>
            </c:ext>
          </c:extLst>
        </c:ser>
        <c:ser>
          <c:idx val="16"/>
          <c:order val="16"/>
          <c:tx>
            <c:strRef>
              <c:f>'246'!$AG$34</c:f>
              <c:strCache>
                <c:ptCount val="1"/>
                <c:pt idx="0">
                  <c:v>Stg.4 Shroud Fwd#11</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'246'!$AG$36:$AG$59</c:f>
              <c:numCache>
                <c:formatCode>General</c:formatCode>
                <c:ptCount val="24"/>
                <c:pt idx="14" formatCode="0.000">
                  <c:v>417.58312280197299</c:v>
                </c:pt>
                <c:pt idx="15" formatCode="0.000">
                  <c:v>417.58312280197299</c:v>
                </c:pt>
              </c:numCache>
            </c:numRef>
          </c:val>
          <c:extLst>
            <c:ext xmlns:c16="http://schemas.microsoft.com/office/drawing/2014/chart" uri="{C3380CC4-5D6E-409C-BE32-E72D297353CC}">
              <c16:uniqueId val="{00000010-37D2-498B-BC41-6B2B2BCBCA44}"/>
            </c:ext>
          </c:extLst>
        </c:ser>
        <c:ser>
          <c:idx val="17"/>
          <c:order val="17"/>
          <c:tx>
            <c:strRef>
              <c:f>'246'!$AH$34</c:f>
              <c:strCache>
                <c:ptCount val="1"/>
                <c:pt idx="0">
                  <c:v>Stg.4 Shroud Fwd#10</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'246'!$AH$36:$AH$59</c:f>
              <c:numCache>
                <c:formatCode>General</c:formatCode>
                <c:ptCount val="24"/>
                <c:pt idx="15" formatCode="0.000">
                  <c:v>417.59135212511404</c:v>
                </c:pt>
                <c:pt idx="16" formatCode="0.000">
                  <c:v>417.59135212511404</c:v>
                </c:pt>
              </c:numCache>
            </c:numRef>
          </c:val>
          <c:extLst>
            <c:ext xmlns:c16="http://schemas.microsoft.com/office/drawing/2014/chart" uri="{C3380CC4-5D6E-409C-BE32-E72D297353CC}">
              <c16:uniqueId val="{00000011-37D2-498B-BC41-6B2B2BCBCA44}"/>
            </c:ext>
          </c:extLst>
        </c:ser>
        <c:ser>
          <c:idx val="18"/>
          <c:order val="18"/>
          <c:tx>
            <c:strRef>
              <c:f>'246'!$AI$34</c:f>
              <c:strCache>
                <c:ptCount val="1"/>
                <c:pt idx="0">
                  <c:v>Stg.4 Shroud Fwd#9</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'246'!$AI$36:$AI$59</c:f>
              <c:numCache>
                <c:formatCode>General</c:formatCode>
                <c:ptCount val="24"/>
                <c:pt idx="16" formatCode="0.000">
                  <c:v>417.63263736365116</c:v>
                </c:pt>
                <c:pt idx="17" formatCode="0.000">
                  <c:v>417.63263736365116</c:v>
                </c:pt>
              </c:numCache>
            </c:numRef>
          </c:val>
          <c:extLst>
            <c:ext xmlns:c16="http://schemas.microsoft.com/office/drawing/2014/chart" uri="{C3380CC4-5D6E-409C-BE32-E72D297353CC}">
              <c16:uniqueId val="{00000012-37D2-498B-BC41-6B2B2BCBCA44}"/>
            </c:ext>
          </c:extLst>
        </c:ser>
        <c:ser>
          <c:idx val="19"/>
          <c:order val="19"/>
          <c:tx>
            <c:strRef>
              <c:f>'246'!$AJ$34</c:f>
              <c:strCache>
                <c:ptCount val="1"/>
                <c:pt idx="0">
                  <c:v>Stg.4 Shroud Fwd#8</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'246'!$AJ$36:$AJ$59</c:f>
              <c:numCache>
                <c:formatCode>General</c:formatCode>
                <c:ptCount val="24"/>
                <c:pt idx="17" formatCode="0.000">
                  <c:v>417.68217867025783</c:v>
                </c:pt>
                <c:pt idx="18" formatCode="0.000">
                  <c:v>417.68217867025783</c:v>
                </c:pt>
              </c:numCache>
            </c:numRef>
          </c:val>
          <c:extLst>
            <c:ext xmlns:c16="http://schemas.microsoft.com/office/drawing/2014/chart" uri="{C3380CC4-5D6E-409C-BE32-E72D297353CC}">
              <c16:uniqueId val="{00000013-37D2-498B-BC41-6B2B2BCBCA44}"/>
            </c:ext>
          </c:extLst>
        </c:ser>
        <c:ser>
          <c:idx val="20"/>
          <c:order val="20"/>
          <c:tx>
            <c:strRef>
              <c:f>'246'!$AK$34</c:f>
              <c:strCache>
                <c:ptCount val="1"/>
                <c:pt idx="0">
                  <c:v>Stg.4 Shroud Fwd#7</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'246'!$AK$36:$AK$59</c:f>
              <c:numCache>
                <c:formatCode>General</c:formatCode>
                <c:ptCount val="24"/>
                <c:pt idx="18" formatCode="0.000">
                  <c:v>417.70876800340909</c:v>
                </c:pt>
                <c:pt idx="19" formatCode="0.000">
                  <c:v>417.70876800340909</c:v>
                </c:pt>
              </c:numCache>
            </c:numRef>
          </c:val>
          <c:extLst>
            <c:ext xmlns:c16="http://schemas.microsoft.com/office/drawing/2014/chart" uri="{C3380CC4-5D6E-409C-BE32-E72D297353CC}">
              <c16:uniqueId val="{00000014-37D2-498B-BC41-6B2B2BCBCA44}"/>
            </c:ext>
          </c:extLst>
        </c:ser>
        <c:ser>
          <c:idx val="21"/>
          <c:order val="21"/>
          <c:tx>
            <c:strRef>
              <c:f>'246'!$AL$34</c:f>
              <c:strCache>
                <c:ptCount val="1"/>
                <c:pt idx="0">
                  <c:v>Stg.4 Shroud Fwd#6</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'246'!$AL$36:$AL$59</c:f>
              <c:numCache>
                <c:formatCode>General</c:formatCode>
                <c:ptCount val="24"/>
                <c:pt idx="19" formatCode="0.000">
                  <c:v>417.69896533480801</c:v>
                </c:pt>
                <c:pt idx="20" formatCode="0.000">
                  <c:v>417.69896533480801</c:v>
                </c:pt>
              </c:numCache>
            </c:numRef>
          </c:val>
          <c:extLst>
            <c:ext xmlns:c16="http://schemas.microsoft.com/office/drawing/2014/chart" uri="{C3380CC4-5D6E-409C-BE32-E72D297353CC}">
              <c16:uniqueId val="{00000015-37D2-498B-BC41-6B2B2BCBCA44}"/>
            </c:ext>
          </c:extLst>
        </c:ser>
        <c:ser>
          <c:idx val="22"/>
          <c:order val="22"/>
          <c:tx>
            <c:strRef>
              <c:f>'246'!$AM$34</c:f>
              <c:strCache>
                <c:ptCount val="1"/>
                <c:pt idx="0">
                  <c:v>Stg.4 Shroud Fwd#5</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'246'!$AM$36:$AM$59</c:f>
              <c:numCache>
                <c:formatCode>General</c:formatCode>
                <c:ptCount val="24"/>
                <c:pt idx="20" formatCode="0.000">
                  <c:v>417.66886666706569</c:v>
                </c:pt>
                <c:pt idx="21" formatCode="0.000">
                  <c:v>417.66886666706569</c:v>
                </c:pt>
              </c:numCache>
            </c:numRef>
          </c:val>
          <c:extLst>
            <c:ext xmlns:c16="http://schemas.microsoft.com/office/drawing/2014/chart" uri="{C3380CC4-5D6E-409C-BE32-E72D297353CC}">
              <c16:uniqueId val="{00000016-37D2-498B-BC41-6B2B2BCBCA44}"/>
            </c:ext>
          </c:extLst>
        </c:ser>
        <c:ser>
          <c:idx val="23"/>
          <c:order val="23"/>
          <c:tx>
            <c:strRef>
              <c:f>'246'!$AN$34</c:f>
              <c:strCache>
                <c:ptCount val="1"/>
                <c:pt idx="0">
                  <c:v>Stg.4 Shroud Fwd#4</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'246'!$AN$36:$AN$59</c:f>
              <c:numCache>
                <c:formatCode>General</c:formatCode>
                <c:ptCount val="24"/>
                <c:pt idx="21" formatCode="0.000">
                  <c:v>417.61790400045982</c:v>
                </c:pt>
                <c:pt idx="22" formatCode="0.000">
                  <c:v>417.61790400045982</c:v>
                </c:pt>
              </c:numCache>
            </c:numRef>
          </c:val>
          <c:extLst>
            <c:ext xmlns:c16="http://schemas.microsoft.com/office/drawing/2014/chart" uri="{C3380CC4-5D6E-409C-BE32-E72D297353CC}">
              <c16:uniqueId val="{00000017-37D2-498B-BC41-6B2B2BCBCA44}"/>
            </c:ext>
          </c:extLst>
        </c:ser>
        <c:ser>
          <c:idx val="24"/>
          <c:order val="24"/>
          <c:tx>
            <c:strRef>
              <c:f>'246'!$AO$34</c:f>
              <c:strCache>
                <c:ptCount val="1"/>
                <c:pt idx="0">
                  <c:v>Stg.4 Shroud Fwd#3</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'246'!$AO$36:$AO$59</c:f>
              <c:numCache>
                <c:formatCode>General</c:formatCode>
                <c:ptCount val="24"/>
                <c:pt idx="22" formatCode="0.000">
                  <c:v>417.5732853362008</c:v>
                </c:pt>
                <c:pt idx="23" formatCode="0.000">
                  <c:v>417.5732853362008</c:v>
                </c:pt>
              </c:numCache>
            </c:numRef>
          </c:val>
          <c:extLst>
            <c:ext xmlns:c16="http://schemas.microsoft.com/office/drawing/2014/chart" uri="{C3380CC4-5D6E-409C-BE32-E72D297353CC}">
              <c16:uniqueId val="{00000018-37D2-498B-BC41-6B2B2BCBCA44}"/>
            </c:ext>
          </c:extLst>
        </c:ser>
        <c:ser>
          <c:idx val="25"/>
          <c:order val="25"/>
          <c:tx>
            <c:strRef>
              <c:f>'246'!$AP$34</c:f>
              <c:strCache>
                <c:ptCount val="1"/>
                <c:pt idx="0">
                  <c:v>Stg.4 Shroud Fwd#2</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'246'!$AP$36:$AP$59</c:f>
              <c:numCache>
                <c:formatCode>General</c:formatCode>
                <c:ptCount val="24"/>
                <c:pt idx="0" formatCode="0.000">
                  <c:v>417.57490667224192</c:v>
                </c:pt>
                <c:pt idx="23" formatCode="0.000">
                  <c:v>417.57490667224192</c:v>
                </c:pt>
              </c:numCache>
            </c:numRef>
          </c:val>
          <c:extLst>
            <c:ext xmlns:c16="http://schemas.microsoft.com/office/drawing/2014/chart" uri="{C3380CC4-5D6E-409C-BE32-E72D297353CC}">
              <c16:uniqueId val="{00000019-37D2-498B-BC41-6B2B2BCBCA44}"/>
            </c:ext>
          </c:extLst>
        </c:ser>
        <c:dLbls>
          <c:showLegendKey val="0"/>
          <c:showVal val="0"/>
          <c:showCatName val="0"/>
          <c:showSerName val="0"/>
          <c:showPercent val="0"/>
          <c:showBubbleSize val="0"/>
        </c:dLbls>
        <c:axId val="183029760"/>
        <c:axId val="183179456"/>
      </c:radarChart>
      <c:catAx>
        <c:axId val="1830297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3179456"/>
        <c:crosses val="autoZero"/>
        <c:auto val="1"/>
        <c:lblAlgn val="ctr"/>
        <c:lblOffset val="100"/>
        <c:noMultiLvlLbl val="0"/>
      </c:catAx>
      <c:valAx>
        <c:axId val="18317945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3029760"/>
        <c:crosses val="autoZero"/>
        <c:crossBetween val="between"/>
        <c:majorUnit val="5.000000000000001E-2"/>
      </c:valAx>
    </c:plotArea>
    <c:legend>
      <c:legendPos val="r"/>
      <c:layout>
        <c:manualLayout>
          <c:xMode val="edge"/>
          <c:yMode val="edge"/>
          <c:x val="0.75693150597950609"/>
          <c:y val="0"/>
          <c:w val="0.23186849496117629"/>
          <c:h val="1"/>
        </c:manualLayout>
      </c:layout>
      <c:overlay val="0"/>
      <c:txPr>
        <a:bodyPr/>
        <a:lstStyle/>
        <a:p>
          <a:pPr>
            <a:defRPr lang="ja-JP" sz="7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'201'!$K$9</c:f>
              <c:strCache>
                <c:ptCount val="1"/>
                <c:pt idx="0">
                  <c:v>CMM</c:v>
                </c:pt>
              </c:strCache>
            </c:strRef>
          </c:tx>
          <c:marker>
            <c:symbol val="none"/>
          </c:marker>
          <c:cat>
            <c:numRef>
              <c:f>'201'!$J$11:$J$26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'201'!$K$11:$K$26</c:f>
              <c:numCache>
                <c:formatCode>General</c:formatCode>
                <c:ptCount val="16"/>
                <c:pt idx="0">
                  <c:v>422.52100000000002</c:v>
                </c:pt>
                <c:pt idx="1">
                  <c:v>422.59000000118317</c:v>
                </c:pt>
                <c:pt idx="2">
                  <c:v>422.53200000473333</c:v>
                </c:pt>
                <c:pt idx="3">
                  <c:v>422.41899999999998</c:v>
                </c:pt>
                <c:pt idx="4">
                  <c:v>422.42200000000003</c:v>
                </c:pt>
                <c:pt idx="5">
                  <c:v>422.476</c:v>
                </c:pt>
                <c:pt idx="6">
                  <c:v>422.505</c:v>
                </c:pt>
                <c:pt idx="7">
                  <c:v>422.51300001065056</c:v>
                </c:pt>
                <c:pt idx="8">
                  <c:v>422.43700000000001</c:v>
                </c:pt>
                <c:pt idx="9">
                  <c:v>422.39200001893977</c:v>
                </c:pt>
                <c:pt idx="10">
                  <c:v>422.48100000118347</c:v>
                </c:pt>
                <c:pt idx="11">
                  <c:v>422.56900000118327</c:v>
                </c:pt>
                <c:pt idx="12">
                  <c:v>422.56000000118325</c:v>
                </c:pt>
                <c:pt idx="13">
                  <c:v>422.44500001065228</c:v>
                </c:pt>
                <c:pt idx="14">
                  <c:v>422.35800000473529</c:v>
                </c:pt>
                <c:pt idx="15">
                  <c:v>422.40800000000002</c:v>
                </c:pt>
              </c:numCache>
            </c:numRef>
          </c:val>
          <c:extLst>
            <c:ext xmlns:c16="http://schemas.microsoft.com/office/drawing/2014/chart" uri="{C3380CC4-5D6E-409C-BE32-E72D297353CC}">
              <c16:uniqueId val="{00000000-5BB0-4260-B61E-AD6E2498B075}"/>
            </c:ext>
          </c:extLst>
        </c:ser>
        <c:ser>
          <c:idx val="1"/>
          <c:order val="1"/>
          <c:tx>
            <c:strRef>
              <c:f>'201'!$L$9</c:f>
              <c:strCache>
                <c:ptCount val="1"/>
                <c:pt idx="0">
                  <c:v>Dwg Min</c:v>
                </c:pt>
              </c:strCache>
            </c:strRef>
          </c:tx>
          <c:spPr>
            <a:ln>
              <a:prstDash val="dash"/>
            </a:ln>
          </c:spPr>
          <c:marker>
            <c:symbol val="none"/>
          </c:marker>
          <c:val>
            <c:numRef>
              <c:f>'201'!$L$11:$L$26</c:f>
              <c:numCache>
                <c:formatCode>General</c:formatCode>
                <c:ptCount val="16"/>
                <c:pt idx="0">
                  <c:v>422.4425</c:v>
                </c:pt>
                <c:pt idx="1">
                  <c:v>422.4425</c:v>
                </c:pt>
                <c:pt idx="2">
                  <c:v>422.4425</c:v>
                </c:pt>
                <c:pt idx="3">
                  <c:v>422.4425</c:v>
                </c:pt>
                <c:pt idx="4">
                  <c:v>422.4425</c:v>
                </c:pt>
                <c:pt idx="5">
                  <c:v>422.4425</c:v>
                </c:pt>
                <c:pt idx="6">
                  <c:v>422.4425</c:v>
                </c:pt>
                <c:pt idx="7">
                  <c:v>422.4425</c:v>
                </c:pt>
                <c:pt idx="8">
                  <c:v>422.4425</c:v>
                </c:pt>
                <c:pt idx="9">
                  <c:v>422.4425</c:v>
                </c:pt>
                <c:pt idx="10">
                  <c:v>422.4425</c:v>
                </c:pt>
                <c:pt idx="11">
                  <c:v>422.4425</c:v>
                </c:pt>
                <c:pt idx="12">
                  <c:v>422.4425</c:v>
                </c:pt>
                <c:pt idx="13">
                  <c:v>422.4425</c:v>
                </c:pt>
                <c:pt idx="14">
                  <c:v>422.4425</c:v>
                </c:pt>
                <c:pt idx="15">
                  <c:v>422.4425</c:v>
                </c:pt>
              </c:numCache>
            </c:numRef>
          </c:val>
          <c:extLst>
            <c:ext xmlns:c16="http://schemas.microsoft.com/office/drawing/2014/chart" uri="{C3380CC4-5D6E-409C-BE32-E72D297353CC}">
              <c16:uniqueId val="{00000001-5BB0-4260-B61E-AD6E2498B075}"/>
            </c:ext>
          </c:extLst>
        </c:ser>
        <c:ser>
          <c:idx val="2"/>
          <c:order val="2"/>
          <c:tx>
            <c:strRef>
              <c:f>'201'!$M$9</c:f>
              <c:strCache>
                <c:ptCount val="1"/>
                <c:pt idx="0">
                  <c:v>Dwg Max</c:v>
                </c:pt>
              </c:strCache>
            </c:strRef>
          </c:tx>
          <c:spPr>
            <a:ln>
              <a:prstDash val="dash"/>
            </a:ln>
          </c:spPr>
          <c:marker>
            <c:symbol val="none"/>
          </c:marker>
          <c:val>
            <c:numRef>
              <c:f>'201'!$M$11:$M$26</c:f>
              <c:numCache>
                <c:formatCode>General</c:formatCode>
                <c:ptCount val="16"/>
                <c:pt idx="0">
                  <c:v>422.49350000000004</c:v>
                </c:pt>
                <c:pt idx="1">
                  <c:v>422.49350000000004</c:v>
                </c:pt>
                <c:pt idx="2">
                  <c:v>422.49350000000004</c:v>
                </c:pt>
                <c:pt idx="3">
                  <c:v>422.49350000000004</c:v>
                </c:pt>
                <c:pt idx="4">
                  <c:v>422.49350000000004</c:v>
                </c:pt>
                <c:pt idx="5">
                  <c:v>422.49350000000004</c:v>
                </c:pt>
                <c:pt idx="6">
                  <c:v>422.49350000000004</c:v>
                </c:pt>
                <c:pt idx="7">
                  <c:v>422.49350000000004</c:v>
                </c:pt>
                <c:pt idx="8">
                  <c:v>422.49350000000004</c:v>
                </c:pt>
                <c:pt idx="9">
                  <c:v>422.49350000000004</c:v>
                </c:pt>
                <c:pt idx="10">
                  <c:v>422.49350000000004</c:v>
                </c:pt>
                <c:pt idx="11">
                  <c:v>422.49350000000004</c:v>
                </c:pt>
                <c:pt idx="12">
                  <c:v>422.49350000000004</c:v>
                </c:pt>
                <c:pt idx="13">
                  <c:v>422.49350000000004</c:v>
                </c:pt>
                <c:pt idx="14">
                  <c:v>422.49350000000004</c:v>
                </c:pt>
                <c:pt idx="15">
                  <c:v>422.49350000000004</c:v>
                </c:pt>
              </c:numCache>
            </c:numRef>
          </c:val>
          <c:extLst>
            <c:ext xmlns:c16="http://schemas.microsoft.com/office/drawing/2014/chart" uri="{C3380CC4-5D6E-409C-BE32-E72D297353CC}">
              <c16:uniqueId val="{00000002-5BB0-4260-B61E-AD6E2498B075}"/>
            </c:ext>
          </c:extLst>
        </c:ser>
        <c:dLbls>
          <c:showLegendKey val="0"/>
          <c:showVal val="0"/>
          <c:showCatName val="0"/>
          <c:showSerName val="0"/>
          <c:showPercent val="0"/>
          <c:showBubbleSize val="0"/>
        </c:dLbls>
        <c:axId val="176823808"/>
        <c:axId val="174139648"/>
      </c:radarChart>
      <c:catAx>
        <c:axId val="17682380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4139648"/>
        <c:crosses val="autoZero"/>
        <c:auto val="1"/>
        <c:lblAlgn val="ctr"/>
        <c:lblOffset val="100"/>
        <c:noMultiLvlLbl val="0"/>
      </c:catAx>
      <c:valAx>
        <c:axId val="17413964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6823808"/>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'201'!$AQ$34</c:f>
              <c:strCache>
                <c:ptCount val="1"/>
                <c:pt idx="0">
                  <c:v>LPT Case Hook R Min</c:v>
                </c:pt>
              </c:strCache>
            </c:strRef>
          </c:tx>
          <c:spPr>
            <a:ln w="28575">
              <a:prstDash val="dash"/>
            </a:ln>
          </c:spPr>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'201'!$AQ$36:$AQ$59</c:f>
              <c:numCache>
                <c:formatCode>General</c:formatCode>
                <c:ptCount val="24"/>
                <c:pt idx="0">
                  <c:v>422.4425</c:v>
                </c:pt>
                <c:pt idx="1">
                  <c:v>422.4425</c:v>
                </c:pt>
                <c:pt idx="2">
                  <c:v>422.4425</c:v>
                </c:pt>
                <c:pt idx="3">
                  <c:v>422.4425</c:v>
                </c:pt>
                <c:pt idx="4">
                  <c:v>422.4425</c:v>
                </c:pt>
                <c:pt idx="5">
                  <c:v>422.4425</c:v>
                </c:pt>
                <c:pt idx="6">
                  <c:v>422.4425</c:v>
                </c:pt>
                <c:pt idx="7">
                  <c:v>422.4425</c:v>
                </c:pt>
                <c:pt idx="8">
                  <c:v>422.4425</c:v>
                </c:pt>
                <c:pt idx="9">
                  <c:v>422.4425</c:v>
                </c:pt>
                <c:pt idx="10">
                  <c:v>422.4425</c:v>
                </c:pt>
                <c:pt idx="11">
                  <c:v>422.4425</c:v>
                </c:pt>
                <c:pt idx="12">
                  <c:v>422.4425</c:v>
                </c:pt>
                <c:pt idx="13">
                  <c:v>422.4425</c:v>
                </c:pt>
                <c:pt idx="14">
                  <c:v>422.4425</c:v>
                </c:pt>
                <c:pt idx="15">
                  <c:v>422.4425</c:v>
                </c:pt>
                <c:pt idx="16">
                  <c:v>422.4425</c:v>
                </c:pt>
                <c:pt idx="17">
                  <c:v>422.4425</c:v>
                </c:pt>
                <c:pt idx="18">
                  <c:v>422.4425</c:v>
                </c:pt>
                <c:pt idx="19">
                  <c:v>422.4425</c:v>
                </c:pt>
                <c:pt idx="20">
                  <c:v>422.4425</c:v>
                </c:pt>
                <c:pt idx="21">
                  <c:v>422.4425</c:v>
                </c:pt>
                <c:pt idx="22">
                  <c:v>422.4425</c:v>
                </c:pt>
                <c:pt idx="23">
                  <c:v>422.4425</c:v>
                </c:pt>
              </c:numCache>
            </c:numRef>
          </c:val>
          <c:extLst>
            <c:ext xmlns:c16="http://schemas.microsoft.com/office/drawing/2014/chart" uri="{C3380CC4-5D6E-409C-BE32-E72D297353CC}">
              <c16:uniqueId val="{00000000-6D53-43C4-8E53-EA3A9E52EA4A}"/>
            </c:ext>
          </c:extLst>
        </c:ser>
        <c:ser>
          <c:idx val="1"/>
          <c:order val="1"/>
          <c:tx>
            <c:strRef>
              <c:f>'201'!$AR$34</c:f>
              <c:strCache>
                <c:ptCount val="1"/>
                <c:pt idx="0">
                  <c:v>LPT Case Hook R Max</c:v>
                </c:pt>
              </c:strCache>
            </c:strRef>
          </c:tx>
          <c:spPr>
            <a:ln w="28575">
              <a:prstDash val="dash"/>
            </a:ln>
          </c:spPr>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'201'!$AR$36:$AR$59</c:f>
              <c:numCache>
                <c:formatCode>General</c:formatCode>
                <c:ptCount val="24"/>
                <c:pt idx="0">
                  <c:v>422.49350000000004</c:v>
                </c:pt>
                <c:pt idx="1">
                  <c:v>422.49350000000004</c:v>
                </c:pt>
                <c:pt idx="2">
                  <c:v>422.49350000000004</c:v>
                </c:pt>
                <c:pt idx="3">
                  <c:v>422.49350000000004</c:v>
                </c:pt>
                <c:pt idx="4">
                  <c:v>422.49350000000004</c:v>
                </c:pt>
                <c:pt idx="5">
                  <c:v>422.49350000000004</c:v>
                </c:pt>
                <c:pt idx="6">
                  <c:v>422.49350000000004</c:v>
                </c:pt>
                <c:pt idx="7">
                  <c:v>422.49350000000004</c:v>
                </c:pt>
                <c:pt idx="8">
                  <c:v>422.49350000000004</c:v>
                </c:pt>
                <c:pt idx="9">
                  <c:v>422.49350000000004</c:v>
                </c:pt>
                <c:pt idx="10">
                  <c:v>422.49350000000004</c:v>
                </c:pt>
                <c:pt idx="11">
                  <c:v>422.49350000000004</c:v>
                </c:pt>
                <c:pt idx="12">
                  <c:v>422.49350000000004</c:v>
                </c:pt>
                <c:pt idx="13">
                  <c:v>422.49350000000004</c:v>
                </c:pt>
                <c:pt idx="14">
                  <c:v>422.49350000000004</c:v>
                </c:pt>
                <c:pt idx="15">
                  <c:v>422.49350000000004</c:v>
                </c:pt>
                <c:pt idx="16">
                  <c:v>422.49350000000004</c:v>
                </c:pt>
                <c:pt idx="17">
                  <c:v>422.49350000000004</c:v>
                </c:pt>
                <c:pt idx="18">
                  <c:v>422.49350000000004</c:v>
                </c:pt>
                <c:pt idx="19">
                  <c:v>422.49350000000004</c:v>
                </c:pt>
                <c:pt idx="20">
                  <c:v>422.49350000000004</c:v>
                </c:pt>
                <c:pt idx="21">
                  <c:v>422.49350000000004</c:v>
                </c:pt>
                <c:pt idx="22">
                  <c:v>422.49350000000004</c:v>
                </c:pt>
                <c:pt idx="23">
                  <c:v>422.49350000000004</c:v>
                </c:pt>
              </c:numCache>
            </c:numRef>
          </c:val>
          <c:extLst>
            <c:ext xmlns:c16="http://schemas.microsoft.com/office/drawing/2014/chart" uri="{C3380CC4-5D6E-409C-BE32-E72D297353CC}">
              <c16:uniqueId val="{00000001-6D53-43C4-8E53-EA3A9E52EA4A}"/>
            </c:ext>
          </c:extLst>
        </c:ser>
        <c:ser>
          <c:idx val="2"/>
          <c:order val="2"/>
          <c:tx>
            <c:strRef>
              <c:f>'201'!$S$34</c:f>
              <c:strCache>
                <c:ptCount val="1"/>
                <c:pt idx="0">
                  <c:v>Stg.4 Shroud Aft#1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'201'!$S$36:$S$59</c:f>
              <c:numCache>
                <c:formatCode>0.000</c:formatCode>
                <c:ptCount val="24"/>
                <c:pt idx="0">
                  <c:v>422.451392</c:v>
                </c:pt>
                <c:pt idx="1">
                  <c:v>422.451392</c:v>
                </c:pt>
              </c:numCache>
            </c:numRef>
          </c:val>
          <c:extLst>
            <c:ext xmlns:c16="http://schemas.microsoft.com/office/drawing/2014/chart" uri="{C3380CC4-5D6E-409C-BE32-E72D297353CC}">
              <c16:uniqueId val="{00000002-6D53-43C4-8E53-EA3A9E52EA4A}"/>
            </c:ext>
          </c:extLst>
        </c:ser>
        <c:ser>
          <c:idx val="3"/>
          <c:order val="3"/>
          <c:tx>
            <c:strRef>
              <c:f>'201'!$T$34</c:f>
              <c:strCache>
                <c:ptCount val="1"/>
                <c:pt idx="0">
                  <c:v>Stg.4 Shroud Aft#24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'201'!$T$36:$T$59</c:f>
              <c:numCache>
                <c:formatCode>0.000</c:formatCode>
                <c:ptCount val="24"/>
                <c:pt idx="1">
                  <c:v>422.51827733356049</c:v>
                </c:pt>
                <c:pt idx="2">
                  <c:v>422.51827733356049</c:v>
                </c:pt>
              </c:numCache>
            </c:numRef>
          </c:val>
          <c:extLst>
            <c:ext xmlns:c16="http://schemas.microsoft.com/office/drawing/2014/chart" uri="{C3380CC4-5D6E-409C-BE32-E72D297353CC}">
              <c16:uniqueId val="{00000003-6D53-43C4-8E53-EA3A9E52EA4A}"/>
            </c:ext>
          </c:extLst>
        </c:ser>
        <c:ser>
          <c:idx val="4"/>
          <c:order val="4"/>
          <c:tx>
            <c:strRef>
              <c:f>'201'!$U$34</c:f>
              <c:strCache>
                <c:ptCount val="1"/>
                <c:pt idx="0">
                  <c:v>Stg.4 Shroud Aft#23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'201'!$U$36:$U$59</c:f>
              <c:numCache>
                <c:formatCode>General</c:formatCode>
                <c:ptCount val="24"/>
                <c:pt idx="2" formatCode="0.000">
                  <c:v>422.56727866757535</c:v>
                </c:pt>
                <c:pt idx="3" formatCode="0.000">
                  <c:v>422.56727866757535</c:v>
                </c:pt>
              </c:numCache>
            </c:numRef>
          </c:val>
          <c:extLst>
            <c:ext xmlns:c16="http://schemas.microsoft.com/office/drawing/2014/chart" uri="{C3380CC4-5D6E-409C-BE32-E72D297353CC}">
              <c16:uniqueId val="{00000004-6D53-43C4-8E53-EA3A9E52EA4A}"/>
            </c:ext>
          </c:extLst>
        </c:ser>
        <c:ser>
          <c:idx val="5"/>
          <c:order val="5"/>
          <c:tx>
            <c:strRef>
              <c:f>'201'!$V$34</c:f>
              <c:strCache>
                <c:ptCount val="1"/>
                <c:pt idx="0">
                  <c:v>Stg.4 Shroud Aft#22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'201'!$V$36:$V$59</c:f>
              <c:numCache>
                <c:formatCode>General</c:formatCode>
                <c:ptCount val="24"/>
                <c:pt idx="3" formatCode="0.000">
                  <c:v>422.56772800254646</c:v>
                </c:pt>
                <c:pt idx="4" formatCode="0.000">
                  <c:v>422.56772800254646</c:v>
                </c:pt>
              </c:numCache>
            </c:numRef>
          </c:val>
          <c:extLst>
            <c:ext xmlns:c16="http://schemas.microsoft.com/office/drawing/2014/chart" uri="{C3380CC4-5D6E-409C-BE32-E72D297353CC}">
              <c16:uniqueId val="{00000005-6D53-43C4-8E53-EA3A9E52EA4A}"/>
            </c:ext>
          </c:extLst>
        </c:ser>
        <c:ser>
          <c:idx val="6"/>
          <c:order val="6"/>
          <c:tx>
            <c:strRef>
              <c:f>'201'!$W$34</c:f>
              <c:strCache>
                <c:ptCount val="1"/>
                <c:pt idx="0">
                  <c:v>Stg.4 Shroud Aft#21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'201'!$W$36:$W$59</c:f>
              <c:numCache>
                <c:formatCode>General</c:formatCode>
                <c:ptCount val="24"/>
                <c:pt idx="4" formatCode="0.000">
                  <c:v>422.51850133665607</c:v>
                </c:pt>
                <c:pt idx="5" formatCode="0.000">
                  <c:v>422.51850133665607</c:v>
                </c:pt>
              </c:numCache>
            </c:numRef>
          </c:val>
          <c:extLst>
            <c:ext xmlns:c16="http://schemas.microsoft.com/office/drawing/2014/chart" uri="{C3380CC4-5D6E-409C-BE32-E72D297353CC}">
              <c16:uniqueId val="{00000006-6D53-43C4-8E53-EA3A9E52EA4A}"/>
            </c:ext>
          </c:extLst>
        </c:ser>
        <c:ser>
          <c:idx val="7"/>
          <c:order val="7"/>
          <c:tx>
            <c:strRef>
              <c:f>'201'!$X$34</c:f>
              <c:strCache>
                <c:ptCount val="1"/>
                <c:pt idx="0">
                  <c:v>Stg.4 Shroud Aft#20</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'201'!$X$36:$X$59</c:f>
              <c:numCache>
                <c:formatCode>General</c:formatCode>
                <c:ptCount val="24"/>
                <c:pt idx="5" formatCode="0.000">
                  <c:v>422.45388000145783</c:v>
                </c:pt>
                <c:pt idx="6" formatCode="0.000">
                  <c:v>422.45388000145783</c:v>
                </c:pt>
              </c:numCache>
            </c:numRef>
          </c:val>
          <c:extLst>
            <c:ext xmlns:c16="http://schemas.microsoft.com/office/drawing/2014/chart" uri="{C3380CC4-5D6E-409C-BE32-E72D297353CC}">
              <c16:uniqueId val="{00000007-6D53-43C4-8E53-EA3A9E52EA4A}"/>
            </c:ext>
          </c:extLst>
        </c:ser>
        <c:ser>
          <c:idx val="8"/>
          <c:order val="8"/>
          <c:tx>
            <c:strRef>
              <c:f>'201'!$Y$34</c:f>
              <c:strCache>
                <c:ptCount val="1"/>
                <c:pt idx="0">
                  <c:v>Stg.4 Shroud Aft#19</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'201'!$Y$36:$Y$59</c:f>
              <c:numCache>
                <c:formatCode>General</c:formatCode>
                <c:ptCount val="24"/>
                <c:pt idx="6" formatCode="0.000">
                  <c:v>422.42015200000003</c:v>
                </c:pt>
                <c:pt idx="7" formatCode="0.000">
                  <c:v>422.42015200000003</c:v>
                </c:pt>
              </c:numCache>
            </c:numRef>
          </c:val>
          <c:extLst>
            <c:ext xmlns:c16="http://schemas.microsoft.com/office/drawing/2014/chart" uri="{C3380CC4-5D6E-409C-BE32-E72D297353CC}">
              <c16:uniqueId val="{00000008-6D53-43C4-8E53-EA3A9E52EA4A}"/>
            </c:ext>
          </c:extLst>
        </c:ser>
        <c:ser>
          <c:idx val="9"/>
          <c:order val="9"/>
          <c:tx>
            <c:strRef>
              <c:f>'201'!$Z$34</c:f>
              <c:strCache>
                <c:ptCount val="1"/>
                <c:pt idx="0">
                  <c:v>Stg.4 Shroud Aft#18</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'201'!$Z$36:$Z$59</c:f>
              <c:numCache>
                <c:formatCode>General</c:formatCode>
                <c:ptCount val="24"/>
                <c:pt idx="7" formatCode="0.000">
                  <c:v>422.43194400000004</c:v>
                </c:pt>
                <c:pt idx="8" formatCode="0.000">
                  <c:v>422.43194400000004</c:v>
                </c:pt>
              </c:numCache>
            </c:numRef>
          </c:val>
          <c:extLst>
            <c:ext xmlns:c16="http://schemas.microsoft.com/office/drawing/2014/chart" uri="{C3380CC4-5D6E-409C-BE32-E72D297353CC}">
              <c16:uniqueId val="{00000009-6D53-43C4-8E53-EA3A9E52EA4A}"/>
            </c:ext>
          </c:extLst>
        </c:ser>
        <c:ser>
          <c:idx val="10"/>
          <c:order val="10"/>
          <c:tx>
            <c:strRef>
              <c:f>'201'!$AA$34</c:f>
              <c:strCache>
                <c:ptCount val="1"/>
                <c:pt idx="0">
                  <c:v>Stg.4 Shroud Aft#17</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'201'!$AA$36:$AA$59</c:f>
              <c:numCache>
                <c:formatCode>General</c:formatCode>
                <c:ptCount val="24"/>
                <c:pt idx="8" formatCode="0.000">
                  <c:v>422.46010266666667</c:v>
                </c:pt>
                <c:pt idx="9" formatCode="0.000">
                  <c:v>422.46010266666667</c:v>
                </c:pt>
              </c:numCache>
            </c:numRef>
          </c:val>
          <c:extLst>
            <c:ext xmlns:c16="http://schemas.microsoft.com/office/drawing/2014/chart" uri="{C3380CC4-5D6E-409C-BE32-E72D297353CC}">
              <c16:uniqueId val="{0000000A-6D53-43C4-8E53-EA3A9E52EA4A}"/>
            </c:ext>
          </c:extLst>
        </c:ser>
        <c:ser>
          <c:idx val="11"/>
          <c:order val="11"/>
          <c:tx>
            <c:strRef>
              <c:f>'201'!$AB$34</c:f>
              <c:strCache>
                <c:ptCount val="1"/>
                <c:pt idx="0">
                  <c:v>Stg.4 Shroud Aft#16</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'201'!$AB$36:$AB$59</c:f>
              <c:numCache>
                <c:formatCode>General</c:formatCode>
                <c:ptCount val="24"/>
                <c:pt idx="9" formatCode="0.000">
                  <c:v>422.48713599999996</c:v>
                </c:pt>
                <c:pt idx="10" formatCode="0.000">
                  <c:v>422.48713599999996</c:v>
                </c:pt>
              </c:numCache>
            </c:numRef>
          </c:val>
          <c:extLst>
            <c:ext xmlns:c16="http://schemas.microsoft.com/office/drawing/2014/chart" uri="{C3380CC4-5D6E-409C-BE32-E72D297353CC}">
              <c16:uniqueId val="{0000000B-6D53-43C4-8E53-EA3A9E52EA4A}"/>
            </c:ext>
          </c:extLst>
        </c:ser>
        <c:ser>
          <c:idx val="12"/>
          <c:order val="12"/>
          <c:tx>
            <c:strRef>
              <c:f>'201'!$AC$34</c:f>
              <c:strCache>
                <c:ptCount val="1"/>
                <c:pt idx="0">
                  <c:v>Stg.4 Shroud Aft#15</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'201'!$AC$36:$AC$59</c:f>
              <c:numCache>
                <c:formatCode>General</c:formatCode>
                <c:ptCount val="24"/>
                <c:pt idx="10" formatCode="0.000">
                  <c:v>422.5024373353782</c:v>
                </c:pt>
                <c:pt idx="11" formatCode="0.000">
                  <c:v>422.5024373353782</c:v>
                </c:pt>
              </c:numCache>
            </c:numRef>
          </c:val>
          <c:extLst>
            <c:ext xmlns:c16="http://schemas.microsoft.com/office/drawing/2014/chart" uri="{C3380CC4-5D6E-409C-BE32-E72D297353CC}">
              <c16:uniqueId val="{0000000C-6D53-43C4-8E53-EA3A9E52EA4A}"/>
            </c:ext>
          </c:extLst>
        </c:ser>
        <c:ser>
          <c:idx val="13"/>
          <c:order val="13"/>
          <c:tx>
            <c:strRef>
              <c:f>'201'!$AD$34</c:f>
              <c:strCache>
                <c:ptCount val="1"/>
                <c:pt idx="0">
                  <c:v>Stg.4 Shroud Aft#14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'201'!$AD$36:$AD$59</c:f>
              <c:numCache>
                <c:formatCode>General</c:formatCode>
                <c:ptCount val="24"/>
                <c:pt idx="11" formatCode="0.000">
                  <c:v>422.50861067376707</c:v>
                </c:pt>
                <c:pt idx="12" formatCode="0.000">
                  <c:v>422.50861067376707</c:v>
                </c:pt>
              </c:numCache>
            </c:numRef>
          </c:val>
          <c:extLst>
            <c:ext xmlns:c16="http://schemas.microsoft.com/office/drawing/2014/chart" uri="{C3380CC4-5D6E-409C-BE32-E72D297353CC}">
              <c16:uniqueId val="{0000000D-6D53-43C4-8E53-EA3A9E52EA4A}"/>
            </c:ext>
          </c:extLst>
        </c:ser>
        <c:ser>
          <c:idx val="14"/>
          <c:order val="14"/>
          <c:tx>
            <c:strRef>
              <c:f>'201'!$AE$34</c:f>
              <c:strCache>
                <c:ptCount val="1"/>
                <c:pt idx="0">
                  <c:v>Stg.4 Shroud Aft#13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'201'!$AE$36:$AE$59</c:f>
              <c:numCache>
                <c:formatCode>General</c:formatCode>
                <c:ptCount val="24"/>
                <c:pt idx="12" formatCode="0.000">
                  <c:v>422.48381600656074</c:v>
                </c:pt>
                <c:pt idx="13" formatCode="0.000">
                  <c:v>422.48381600656074</c:v>
                </c:pt>
              </c:numCache>
            </c:numRef>
          </c:val>
          <c:extLst>
            <c:ext xmlns:c16="http://schemas.microsoft.com/office/drawing/2014/chart" uri="{C3380CC4-5D6E-409C-BE32-E72D297353CC}">
              <c16:uniqueId val="{0000000E-6D53-43C4-8E53-EA3A9E52EA4A}"/>
            </c:ext>
          </c:extLst>
        </c:ser>
        <c:ser>
          <c:idx val="15"/>
          <c:order val="15"/>
          <c:tx>
            <c:strRef>
              <c:f>'201'!$AF$34</c:f>
              <c:strCache>
                <c:ptCount val="1"/>
                <c:pt idx="0">
                  <c:v>Stg.4 Shroud Aft#12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'201'!$AF$36:$AF$59</c:f>
              <c:numCache>
                <c:formatCode>General</c:formatCode>
                <c:ptCount val="24"/>
                <c:pt idx="13" formatCode="0.000">
                  <c:v>422.43910133847504</c:v>
                </c:pt>
                <c:pt idx="14" formatCode="0.000">
                  <c:v>422.43910133847504</c:v>
                </c:pt>
              </c:numCache>
            </c:numRef>
          </c:val>
          <c:extLst>
            <c:ext xmlns:c16="http://schemas.microsoft.com/office/drawing/2014/chart" uri="{C3380CC4-5D6E-409C-BE32-E72D297353CC}">
              <c16:uniqueId val="{0000000F-6D53-43C4-8E53-EA3A9E52EA4A}"/>
            </c:ext>
          </c:extLst>
        </c:ser>
        <c:ser>
          <c:idx val="16"/>
          <c:order val="16"/>
          <c:tx>
            <c:strRef>
              <c:f>'201'!$AG$34</c:f>
              <c:strCache>
                <c:ptCount val="1"/>
                <c:pt idx="0">
                  <c:v>Stg.4 Shroud Aft#11</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'201'!$AG$36:$AG$59</c:f>
              <c:numCache>
                <c:formatCode>General</c:formatCode>
                <c:ptCount val="24"/>
                <c:pt idx="14" formatCode="0.000">
                  <c:v>422.40811467932315</c:v>
                </c:pt>
                <c:pt idx="15" formatCode="0.000">
                  <c:v>422.40811467932315</c:v>
                </c:pt>
              </c:numCache>
            </c:numRef>
          </c:val>
          <c:extLst>
            <c:ext xmlns:c16="http://schemas.microsoft.com/office/drawing/2014/chart" uri="{C3380CC4-5D6E-409C-BE32-E72D297353CC}">
              <c16:uniqueId val="{00000010-6D53-43C4-8E53-EA3A9E52EA4A}"/>
            </c:ext>
          </c:extLst>
        </c:ser>
        <c:ser>
          <c:idx val="17"/>
          <c:order val="17"/>
          <c:tx>
            <c:strRef>
              <c:f>'201'!$AH$34</c:f>
              <c:strCache>
                <c:ptCount val="1"/>
                <c:pt idx="0">
                  <c:v>Stg.4 Shroud Aft#10</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'201'!$AH$36:$AH$59</c:f>
              <c:numCache>
                <c:formatCode>General</c:formatCode>
                <c:ptCount val="24"/>
                <c:pt idx="15" formatCode="0.000">
                  <c:v>422.42617601212135</c:v>
                </c:pt>
                <c:pt idx="16" formatCode="0.000">
                  <c:v>422.42617601212135</c:v>
                </c:pt>
              </c:numCache>
            </c:numRef>
          </c:val>
          <c:extLst>
            <c:ext xmlns:c16="http://schemas.microsoft.com/office/drawing/2014/chart" uri="{C3380CC4-5D6E-409C-BE32-E72D297353CC}">
              <c16:uniqueId val="{00000011-6D53-43C4-8E53-EA3A9E52EA4A}"/>
            </c:ext>
          </c:extLst>
        </c:ser>
        <c:ser>
          <c:idx val="18"/>
          <c:order val="18"/>
          <c:tx>
            <c:strRef>
              <c:f>'201'!$AI$34</c:f>
              <c:strCache>
                <c:ptCount val="1"/>
                <c:pt idx="0">
                  <c:v>Stg.4 Shroud Aft#9</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'201'!$AI$36:$AI$59</c:f>
              <c:numCache>
                <c:formatCode>General</c:formatCode>
                <c:ptCount val="24"/>
                <c:pt idx="16" formatCode="0.000">
                  <c:v>422.48531733702634</c:v>
                </c:pt>
                <c:pt idx="17" formatCode="0.000">
                  <c:v>422.48531733702634</c:v>
                </c:pt>
              </c:numCache>
            </c:numRef>
          </c:val>
          <c:extLst>
            <c:ext xmlns:c16="http://schemas.microsoft.com/office/drawing/2014/chart" uri="{C3380CC4-5D6E-409C-BE32-E72D297353CC}">
              <c16:uniqueId val="{00000012-6D53-43C4-8E53-EA3A9E52EA4A}"/>
            </c:ext>
          </c:extLst>
        </c:ser>
        <c:ser>
          <c:idx val="19"/>
          <c:order val="19"/>
          <c:tx>
            <c:strRef>
              <c:f>'201'!$AJ$34</c:f>
              <c:strCache>
                <c:ptCount val="1"/>
                <c:pt idx="0">
                  <c:v>Stg.4 Shroud Aft#8</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'201'!$AJ$36:$AJ$59</c:f>
              <c:numCache>
                <c:formatCode>General</c:formatCode>
                <c:ptCount val="24"/>
                <c:pt idx="17" formatCode="0.000">
                  <c:v>422.54166800118333</c:v>
                </c:pt>
                <c:pt idx="18" formatCode="0.000">
                  <c:v>422.54166800118333</c:v>
                </c:pt>
              </c:numCache>
            </c:numRef>
          </c:val>
          <c:extLst>
            <c:ext xmlns:c16="http://schemas.microsoft.com/office/drawing/2014/chart" uri="{C3380CC4-5D6E-409C-BE32-E72D297353CC}">
              <c16:uniqueId val="{00000013-6D53-43C4-8E53-EA3A9E52EA4A}"/>
            </c:ext>
          </c:extLst>
        </c:ser>
        <c:ser>
          <c:idx val="20"/>
          <c:order val="20"/>
          <c:tx>
            <c:strRef>
              <c:f>'201'!$AK$34</c:f>
              <c:strCache>
                <c:ptCount val="1"/>
                <c:pt idx="0">
                  <c:v>Stg.4 Shroud Aft#7</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'201'!$AK$36:$AK$59</c:f>
              <c:numCache>
                <c:formatCode>General</c:formatCode>
                <c:ptCount val="24"/>
                <c:pt idx="18" formatCode="0.000">
                  <c:v>422.5655440011833</c:v>
                </c:pt>
                <c:pt idx="19" formatCode="0.000">
                  <c:v>422.5655440011833</c:v>
                </c:pt>
              </c:numCache>
            </c:numRef>
          </c:val>
          <c:extLst>
            <c:ext xmlns:c16="http://schemas.microsoft.com/office/drawing/2014/chart" uri="{C3380CC4-5D6E-409C-BE32-E72D297353CC}">
              <c16:uniqueId val="{00000014-6D53-43C4-8E53-EA3A9E52EA4A}"/>
            </c:ext>
          </c:extLst>
        </c:ser>
        <c:ser>
          <c:idx val="21"/>
          <c:order val="21"/>
          <c:tx>
            <c:strRef>
              <c:f>'201'!$AL$34</c:f>
              <c:strCache>
                <c:ptCount val="1"/>
                <c:pt idx="0">
                  <c:v>Stg.4 Shroud Aft#6</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'201'!$AL$36:$AL$59</c:f>
              <c:numCache>
                <c:formatCode>General</c:formatCode>
                <c:ptCount val="24"/>
                <c:pt idx="19" formatCode="0.000">
                  <c:v>422.53919200300129</c:v>
                </c:pt>
                <c:pt idx="20" formatCode="0.000">
                  <c:v>422.53919200300129</c:v>
                </c:pt>
              </c:numCache>
            </c:numRef>
          </c:val>
          <c:extLst>
            <c:ext xmlns:c16="http://schemas.microsoft.com/office/drawing/2014/chart" uri="{C3380CC4-5D6E-409C-BE32-E72D297353CC}">
              <c16:uniqueId val="{00000015-6D53-43C4-8E53-EA3A9E52EA4A}"/>
            </c:ext>
          </c:extLst>
        </c:ser>
        <c:ser>
          <c:idx val="22"/>
          <c:order val="22"/>
          <c:tx>
            <c:strRef>
              <c:f>'201'!$AM$34</c:f>
              <c:strCache>
                <c:ptCount val="1"/>
                <c:pt idx="0">
                  <c:v>Stg.4 Shroud Aft#5</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'201'!$AM$36:$AM$59</c:f>
              <c:numCache>
                <c:formatCode>General</c:formatCode>
                <c:ptCount val="24"/>
                <c:pt idx="20" formatCode="0.000">
                  <c:v>422.47821600758596</c:v>
                </c:pt>
                <c:pt idx="21" formatCode="0.000">
                  <c:v>422.47821600758596</c:v>
                </c:pt>
              </c:numCache>
            </c:numRef>
          </c:val>
          <c:extLst>
            <c:ext xmlns:c16="http://schemas.microsoft.com/office/drawing/2014/chart" uri="{C3380CC4-5D6E-409C-BE32-E72D297353CC}">
              <c16:uniqueId val="{00000016-6D53-43C4-8E53-EA3A9E52EA4A}"/>
            </c:ext>
          </c:extLst>
        </c:ser>
        <c:ser>
          <c:idx val="23"/>
          <c:order val="23"/>
          <c:tx>
            <c:strRef>
              <c:f>'201'!$AN$34</c:f>
              <c:strCache>
                <c:ptCount val="1"/>
                <c:pt idx="0">
                  <c:v>Stg.4 Shroud Aft#4</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'201'!$AN$36:$AN$59</c:f>
              <c:numCache>
                <c:formatCode>General</c:formatCode>
                <c:ptCount val="24"/>
                <c:pt idx="21" formatCode="0.000">
                  <c:v>422.41159200838013</c:v>
                </c:pt>
                <c:pt idx="22" formatCode="0.000">
                  <c:v>422.41159200838013</c:v>
                </c:pt>
              </c:numCache>
            </c:numRef>
          </c:val>
          <c:extLst>
            <c:ext xmlns:c16="http://schemas.microsoft.com/office/drawing/2014/chart" uri="{C3380CC4-5D6E-409C-BE32-E72D297353CC}">
              <c16:uniqueId val="{00000017-6D53-43C4-8E53-EA3A9E52EA4A}"/>
            </c:ext>
          </c:extLst>
        </c:ser>
        <c:ser>
          <c:idx val="24"/>
          <c:order val="24"/>
          <c:tx>
            <c:strRef>
              <c:f>'201'!$AO$34</c:f>
              <c:strCache>
                <c:ptCount val="1"/>
                <c:pt idx="0">
                  <c:v>Stg.4 Shroud Aft#3</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'201'!$AO$36:$AO$59</c:f>
              <c:numCache>
                <c:formatCode>General</c:formatCode>
                <c:ptCount val="24"/>
                <c:pt idx="22" formatCode="0.000">
                  <c:v>422.37989600466238</c:v>
                </c:pt>
                <c:pt idx="23" formatCode="0.000">
                  <c:v>422.37989600466238</c:v>
                </c:pt>
              </c:numCache>
            </c:numRef>
          </c:val>
          <c:extLst>
            <c:ext xmlns:c16="http://schemas.microsoft.com/office/drawing/2014/chart" uri="{C3380CC4-5D6E-409C-BE32-E72D297353CC}">
              <c16:uniqueId val="{00000018-6D53-43C4-8E53-EA3A9E52EA4A}"/>
            </c:ext>
          </c:extLst>
        </c:ser>
        <c:ser>
          <c:idx val="25"/>
          <c:order val="25"/>
          <c:tx>
            <c:strRef>
              <c:f>'201'!$AP$34</c:f>
              <c:strCache>
                <c:ptCount val="1"/>
                <c:pt idx="0">
                  <c:v>Stg.4 Shroud Aft#2</c:v>
                </c:pt>
              </c:strCache>
            </c:strRef>
          </c:tx>
          <c:marker>
            <c:symbol val="none"/>
          </c:marker>
          <c:cat>
            <c:numRef>
              <c:f>'201'!$J$36:$J$59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'201'!$AP$36:$AP$59</c:f>
              <c:numCache>
                <c:formatCode>General</c:formatCode>
                <c:ptCount val="24"/>
                <c:pt idx="0" formatCode="0.000">
                  <c:v>422.39815866987055</c:v>
                </c:pt>
                <c:pt idx="23" formatCode="0.000">
                  <c:v>422.39815866987055</c:v>
                </c:pt>
              </c:numCache>
            </c:numRef>
          </c:val>
          <c:extLst>
            <c:ext xmlns:c16="http://schemas.microsoft.com/office/drawing/2014/chart" uri="{C3380CC4-5D6E-409C-BE32-E72D297353CC}">
              <c16:uniqueId val="{00000019-6D53-43C4-8E53-EA3A9E52EA4A}"/>
            </c:ext>
          </c:extLst>
        </c:ser>
        <c:dLbls>
          <c:showLegendKey val="0"/>
          <c:showVal val="0"/>
          <c:showCatName val="0"/>
          <c:showSerName val="0"/>
          <c:showPercent val="0"/>
          <c:showBubbleSize val="0"/>
        </c:dLbls>
        <c:axId val="178393600"/>
        <c:axId val="178340416"/>
      </c:radarChart>
      <c:catAx>
        <c:axId val="17839360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78340416"/>
        <c:crosses val="autoZero"/>
        <c:auto val="1"/>
        <c:lblAlgn val="ctr"/>
        <c:lblOffset val="100"/>
        <c:noMultiLvlLbl val="0"/>
      </c:catAx>
      <c:valAx>
        <c:axId val="17834041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8393600"/>
        <c:crosses val="autoZero"/>
        <c:crossBetween val="between"/>
        <c:majorUnit val="5.000000000000001E-2"/>
      </c:valAx>
    </c:plotArea>
    <c:legend>
      <c:legendPos val="r"/>
      <c:layout>
        <c:manualLayout>
          <c:xMode val="edge"/>
          <c:yMode val="edge"/>
          <c:x val="0.75693143452628542"/>
          <c:y val="0"/>
          <c:w val="0.23186856312200801"/>
          <c:h val="1"/>
        </c:manualLayout>
      </c:layout>
      <c:overlay val="0"/>
      <c:txPr>
        <a:bodyPr/>
        <a:lstStyle/>
        <a:p>
          <a:pPr>
            <a:defRPr lang="ja-JP" sz="1000"/>
          </a:pPr>
          <a:endParaRPr lang="en-US"/>
        </a:p>
      </c:txPr>
    </c:legend>
    <c:plotVisOnly val="1"/>
    <c:dispBlanksAs val="gap"/>
    <c:showDLblsOverMax val="0"/>
  </c:chart>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'246'!$K$9</c:f>
              <c:strCache>
                <c:ptCount val="1"/>
                <c:pt idx="0">
                  <c:v>CMM - Rear</c:v>
                </c:pt>
              </c:strCache>
            </c:strRef>
          </c:tx>
          <c:marker>
            <c:symbol val="none"/>
          </c:marker>
          <c:cat>
            <c:numRef>
              <c:f>'246'!$J$11:$J$26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'246'!$K$11:$K$26</c:f>
              <c:numCache>
                <c:formatCode>General</c:formatCode>
                <c:ptCount val="16"/>
                <c:pt idx="0">
                  <c:v>417.62400000119732</c:v>
                </c:pt>
                <c:pt idx="1">
                  <c:v>417.6620000011971</c:v>
                </c:pt>
                <c:pt idx="2">
                  <c:v>417.66300000478856</c:v>
                </c:pt>
                <c:pt idx="3">
                  <c:v>417.63600001915546</c:v>
                </c:pt>
                <c:pt idx="4">
                  <c:v>417.63700000119724</c:v>
                </c:pt>
                <c:pt idx="5">
                  <c:v>417.65800000119714</c:v>
                </c:pt>
                <c:pt idx="6">
                  <c:v>417.64200000119718</c:v>
                </c:pt>
                <c:pt idx="7">
                  <c:v>417.649</c:v>
                </c:pt>
                <c:pt idx="8">
                  <c:v>417.60600000119729</c:v>
                </c:pt>
                <c:pt idx="9">
                  <c:v>417.57100020236084</c:v>
                </c:pt>
                <c:pt idx="10">
                  <c:v>417.62400000119732</c:v>
                </c:pt>
                <c:pt idx="11">
                  <c:v>417.70800000478806</c:v>
                </c:pt>
                <c:pt idx="12">
                  <c:v>417.71000000119699</c:v>
                </c:pt>
                <c:pt idx="13">
                  <c:v>417.654</c:v>
                </c:pt>
                <c:pt idx="14">
                  <c:v>417.56000000119747</c:v>
                </c:pt>
                <c:pt idx="15">
                  <c:v>417.56000001077689</c:v>
                </c:pt>
              </c:numCache>
            </c:numRef>
          </c:val>
          <c:extLst>
            <c:ext xmlns:c16="http://schemas.microsoft.com/office/drawing/2014/chart" uri="{C3380CC4-5D6E-409C-BE32-E72D297353CC}">
              <c16:uniqueId val="{00000000-F64C-4236-94DE-34B0DEDB05B1}"/>
            </c:ext>
          </c:extLst>
        </c:ser>
        <c:ser>
          <c:idx val="1"/>
          <c:order val="1"/>
          <c:tx>
            <c:strRef>
              <c:f>'246'!$L$9</c:f>
              <c:strCache>
                <c:ptCount val="1"/>
                <c:pt idx="0">
                  <c:v>Dwg Min</c:v>
                </c:pt>
              </c:strCache>
            </c:strRef>
          </c:tx>
          <c:spPr>
            <a:ln>
              <a:prstDash val="dash"/>
            </a:ln>
          </c:spPr>
          <c:marker>
            <c:symbol val="none"/>
          </c:marker>
          <c:val>
            <c:numRef>
              <c:f>'246'!$L$11:$L$26</c:f>
              <c:numCache>
                <c:formatCode>General</c:formatCode>
                <c:ptCount val="16"/>
                <c:pt idx="0">
                  <c:v>417.56</c:v>
                </c:pt>
                <c:pt idx="1">
                  <c:v>417.56</c:v>
                </c:pt>
                <c:pt idx="2">
                  <c:v>417.56</c:v>
                </c:pt>
                <c:pt idx="3">
                  <c:v>417.56</c:v>
                </c:pt>
                <c:pt idx="4">
                  <c:v>417.56</c:v>
                </c:pt>
                <c:pt idx="5">
                  <c:v>417.56</c:v>
                </c:pt>
                <c:pt idx="6">
                  <c:v>417.56</c:v>
                </c:pt>
                <c:pt idx="7">
                  <c:v>417.56</c:v>
                </c:pt>
                <c:pt idx="8">
                  <c:v>417.56</c:v>
                </c:pt>
                <c:pt idx="9">
                  <c:v>417.56</c:v>
                </c:pt>
                <c:pt idx="10">
                  <c:v>417.56</c:v>
                </c:pt>
                <c:pt idx="11">
                  <c:v>417.56</c:v>
                </c:pt>
                <c:pt idx="12">
                  <c:v>417.56</c:v>
                </c:pt>
                <c:pt idx="13">
                  <c:v>417.56</c:v>
                </c:pt>
                <c:pt idx="14">
                  <c:v>417.56</c:v>
                </c:pt>
                <c:pt idx="15">
                  <c:v>417.56</c:v>
                </c:pt>
              </c:numCache>
            </c:numRef>
          </c:val>
          <c:extLst>
            <c:ext xmlns:c16="http://schemas.microsoft.com/office/drawing/2014/chart" uri="{C3380CC4-5D6E-409C-BE32-E72D297353CC}">
              <c16:uniqueId val="{00000001-F64C-4236-94DE-34B0DEDB05B1}"/>
            </c:ext>
          </c:extLst>
        </c:ser>
        <c:ser>
          <c:idx val="2"/>
          <c:order val="2"/>
          <c:tx>
            <c:strRef>
              <c:f>'246'!$M$9</c:f>
              <c:strCache>
                <c:ptCount val="1"/>
                <c:pt idx="0">
                  <c:v>Dwg Max</c:v>
                </c:pt>
              </c:strCache>
            </c:strRef>
          </c:tx>
          <c:spPr>
            <a:ln>
              <a:prstDash val="dash"/>
            </a:ln>
          </c:spPr>
          <c:marker>
            <c:symbol val="none"/>
          </c:marker>
          <c:val>
            <c:numRef>
              <c:f>'246'!$M$11:$M$26</c:f>
              <c:numCache>
                <c:formatCode>General</c:formatCode>
                <c:ptCount val="16"/>
                <c:pt idx="0">
                  <c:v>417.73999999999995</c:v>
                </c:pt>
                <c:pt idx="1">
                  <c:v>417.73999999999995</c:v>
                </c:pt>
                <c:pt idx="2">
                  <c:v>417.73999999999995</c:v>
                </c:pt>
                <c:pt idx="3">
                  <c:v>417.73999999999995</c:v>
                </c:pt>
                <c:pt idx="4">
                  <c:v>417.73999999999995</c:v>
                </c:pt>
                <c:pt idx="5">
                  <c:v>417.73999999999995</c:v>
                </c:pt>
                <c:pt idx="6">
                  <c:v>417.73999999999995</c:v>
                </c:pt>
                <c:pt idx="7">
                  <c:v>417.73999999999995</c:v>
                </c:pt>
                <c:pt idx="8">
                  <c:v>417.73999999999995</c:v>
                </c:pt>
                <c:pt idx="9">
                  <c:v>417.73999999999995</c:v>
                </c:pt>
                <c:pt idx="10">
                  <c:v>417.73999999999995</c:v>
                </c:pt>
                <c:pt idx="11">
                  <c:v>417.73999999999995</c:v>
                </c:pt>
                <c:pt idx="12">
                  <c:v>417.73999999999995</c:v>
                </c:pt>
                <c:pt idx="13">
                  <c:v>417.73999999999995</c:v>
                </c:pt>
                <c:pt idx="14">
                  <c:v>417.73999999999995</c:v>
                </c:pt>
                <c:pt idx="15">
                  <c:v>417.73999999999995</c:v>
                </c:pt>
              </c:numCache>
            </c:numRef>
          </c:val>
          <c:extLst>
            <c:ext xmlns:c16="http://schemas.microsoft.com/office/drawing/2014/chart" uri="{C3380CC4-5D6E-409C-BE32-E72D297353CC}">
              <c16:uniqueId val="{00000002-F64C-4236-94DE-34B0DEDB05B1}"/>
            </c:ext>
          </c:extLst>
        </c:ser>
        <c:dLbls>
          <c:showLegendKey val="0"/>
          <c:showVal val="0"/>
          <c:showCatName val="0"/>
          <c:showSerName val="0"/>
          <c:showPercent val="0"/>
          <c:showBubbleSize val="0"/>
        </c:dLbls>
        <c:axId val="182197760"/>
        <c:axId val="182583296"/>
      </c:radarChart>
      <c:catAx>
        <c:axId val="1821977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583296"/>
        <c:crosses val="autoZero"/>
        <c:auto val="1"/>
        <c:lblAlgn val="ctr"/>
        <c:lblOffset val="100"/>
        <c:noMultiLvlLbl val="0"/>
      </c:catAx>
      <c:valAx>
        <c:axId val="18258329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2197760"/>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'246'!$AQ$34</c:f>
              <c:strCache>
                <c:ptCount val="1"/>
                <c:pt idx="0">
                  <c:v>LPT Case Hook R Min</c:v>
                </c:pt>
              </c:strCache>
            </c:strRef>
          </c:tx>
          <c:spPr>
            <a:ln w="28575">
              <a:prstDash val="dash"/>
            </a:ln>
          </c:spPr>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'246'!$AQ$36:$AQ$59</c:f>
              <c:numCache>
                <c:formatCode>General</c:formatCode>
                <c:ptCount val="24"/>
                <c:pt idx="0">
                  <c:v>417.61799999999999</c:v>
                </c:pt>
                <c:pt idx="1">
                  <c:v>417.61799999999999</c:v>
                </c:pt>
                <c:pt idx="2">
                  <c:v>417.61799999999999</c:v>
                </c:pt>
                <c:pt idx="3">
                  <c:v>417.61799999999999</c:v>
                </c:pt>
                <c:pt idx="4">
                  <c:v>417.61799999999999</c:v>
                </c:pt>
                <c:pt idx="5">
                  <c:v>417.61799999999999</c:v>
                </c:pt>
                <c:pt idx="6">
                  <c:v>417.61799999999999</c:v>
                </c:pt>
                <c:pt idx="7">
                  <c:v>417.61799999999999</c:v>
                </c:pt>
                <c:pt idx="8">
                  <c:v>417.61799999999999</c:v>
                </c:pt>
                <c:pt idx="9">
                  <c:v>417.61799999999999</c:v>
                </c:pt>
                <c:pt idx="10">
                  <c:v>417.61799999999999</c:v>
                </c:pt>
                <c:pt idx="11">
                  <c:v>417.61799999999999</c:v>
                </c:pt>
                <c:pt idx="12">
                  <c:v>417.61799999999999</c:v>
                </c:pt>
                <c:pt idx="13">
                  <c:v>417.61799999999999</c:v>
                </c:pt>
                <c:pt idx="14">
                  <c:v>417.61799999999999</c:v>
                </c:pt>
                <c:pt idx="15">
                  <c:v>417.61799999999999</c:v>
                </c:pt>
                <c:pt idx="16">
                  <c:v>417.61799999999999</c:v>
                </c:pt>
                <c:pt idx="17">
                  <c:v>417.61799999999999</c:v>
                </c:pt>
                <c:pt idx="18">
                  <c:v>417.61799999999999</c:v>
                </c:pt>
                <c:pt idx="19">
                  <c:v>417.61799999999999</c:v>
                </c:pt>
                <c:pt idx="20">
                  <c:v>417.61799999999999</c:v>
                </c:pt>
                <c:pt idx="21">
                  <c:v>417.61799999999999</c:v>
                </c:pt>
                <c:pt idx="22">
                  <c:v>417.61799999999999</c:v>
                </c:pt>
                <c:pt idx="23">
                  <c:v>417.61799999999999</c:v>
                </c:pt>
              </c:numCache>
            </c:numRef>
          </c:val>
          <c:extLst>
            <c:ext xmlns:c16="http://schemas.microsoft.com/office/drawing/2014/chart" uri="{C3380CC4-5D6E-409C-BE32-E72D297353CC}">
              <c16:uniqueId val="{00000000-2E76-4D5C-9856-FD3784E0CF37}"/>
            </c:ext>
          </c:extLst>
        </c:ser>
        <c:ser>
          <c:idx val="1"/>
          <c:order val="1"/>
          <c:tx>
            <c:strRef>
              <c:f>'246'!$AR$34</c:f>
              <c:strCache>
                <c:ptCount val="1"/>
                <c:pt idx="0">
                  <c:v>LPT Case Hook R Max</c:v>
                </c:pt>
              </c:strCache>
            </c:strRef>
          </c:tx>
          <c:spPr>
            <a:ln w="28575">
              <a:prstDash val="dash"/>
            </a:ln>
          </c:spPr>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'246'!$AR$36:$AR$59</c:f>
              <c:numCache>
                <c:formatCode>General</c:formatCode>
                <c:ptCount val="24"/>
                <c:pt idx="0">
                  <c:v>417.68199999999996</c:v>
                </c:pt>
                <c:pt idx="1">
                  <c:v>417.68199999999996</c:v>
                </c:pt>
                <c:pt idx="2">
                  <c:v>417.68199999999996</c:v>
                </c:pt>
                <c:pt idx="3">
                  <c:v>417.68199999999996</c:v>
                </c:pt>
                <c:pt idx="4">
                  <c:v>417.68199999999996</c:v>
                </c:pt>
                <c:pt idx="5">
                  <c:v>417.68199999999996</c:v>
                </c:pt>
                <c:pt idx="6">
                  <c:v>417.68199999999996</c:v>
                </c:pt>
                <c:pt idx="7">
                  <c:v>417.68199999999996</c:v>
                </c:pt>
                <c:pt idx="8">
                  <c:v>417.68199999999996</c:v>
                </c:pt>
                <c:pt idx="9">
                  <c:v>417.68199999999996</c:v>
                </c:pt>
                <c:pt idx="10">
                  <c:v>417.68199999999996</c:v>
                </c:pt>
                <c:pt idx="11">
                  <c:v>417.68199999999996</c:v>
                </c:pt>
                <c:pt idx="12">
                  <c:v>417.68199999999996</c:v>
                </c:pt>
                <c:pt idx="13">
                  <c:v>417.68199999999996</c:v>
                </c:pt>
                <c:pt idx="14">
                  <c:v>417.68199999999996</c:v>
                </c:pt>
                <c:pt idx="15">
                  <c:v>417.68199999999996</c:v>
                </c:pt>
                <c:pt idx="16">
                  <c:v>417.68199999999996</c:v>
                </c:pt>
                <c:pt idx="17">
                  <c:v>417.68199999999996</c:v>
                </c:pt>
                <c:pt idx="18">
                  <c:v>417.68199999999996</c:v>
                </c:pt>
                <c:pt idx="19">
                  <c:v>417.68199999999996</c:v>
                </c:pt>
                <c:pt idx="20">
                  <c:v>417.68199999999996</c:v>
                </c:pt>
                <c:pt idx="21">
                  <c:v>417.68199999999996</c:v>
                </c:pt>
                <c:pt idx="22">
                  <c:v>417.68199999999996</c:v>
                </c:pt>
                <c:pt idx="23">
                  <c:v>417.68199999999996</c:v>
                </c:pt>
              </c:numCache>
            </c:numRef>
          </c:val>
          <c:extLst>
            <c:ext xmlns:c16="http://schemas.microsoft.com/office/drawing/2014/chart" uri="{C3380CC4-5D6E-409C-BE32-E72D297353CC}">
              <c16:uniqueId val="{00000001-2E76-4D5C-9856-FD3784E0CF37}"/>
            </c:ext>
          </c:extLst>
        </c:ser>
        <c:ser>
          <c:idx val="2"/>
          <c:order val="2"/>
          <c:tx>
            <c:strRef>
              <c:f>'246'!$S$34</c:f>
              <c:strCache>
                <c:ptCount val="1"/>
                <c:pt idx="0">
                  <c:v>Stg.4 Shroud Fwd#1</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'246'!$S$36:$S$59</c:f>
              <c:numCache>
                <c:formatCode>0.000</c:formatCode>
                <c:ptCount val="24"/>
                <c:pt idx="0">
                  <c:v>417.58457600709835</c:v>
                </c:pt>
                <c:pt idx="1">
                  <c:v>417.58457600709835</c:v>
                </c:pt>
              </c:numCache>
            </c:numRef>
          </c:val>
          <c:extLst>
            <c:ext xmlns:c16="http://schemas.microsoft.com/office/drawing/2014/chart" uri="{C3380CC4-5D6E-409C-BE32-E72D297353CC}">
              <c16:uniqueId val="{00000002-2E76-4D5C-9856-FD3784E0CF37}"/>
            </c:ext>
          </c:extLst>
        </c:ser>
        <c:ser>
          <c:idx val="3"/>
          <c:order val="3"/>
          <c:tx>
            <c:strRef>
              <c:f>'246'!$T$34</c:f>
              <c:strCache>
                <c:ptCount val="1"/>
                <c:pt idx="0">
                  <c:v>Stg.4 Shroud Fwd#24</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'246'!$T$36:$T$59</c:f>
              <c:numCache>
                <c:formatCode>0.000</c:formatCode>
                <c:ptCount val="24"/>
                <c:pt idx="1">
                  <c:v>417.62225066921786</c:v>
                </c:pt>
                <c:pt idx="2">
                  <c:v>417.62225066921786</c:v>
                </c:pt>
              </c:numCache>
            </c:numRef>
          </c:val>
          <c:extLst>
            <c:ext xmlns:c16="http://schemas.microsoft.com/office/drawing/2014/chart" uri="{C3380CC4-5D6E-409C-BE32-E72D297353CC}">
              <c16:uniqueId val="{00000003-2E76-4D5C-9856-FD3784E0CF37}"/>
            </c:ext>
          </c:extLst>
        </c:ser>
        <c:ser>
          <c:idx val="4"/>
          <c:order val="4"/>
          <c:tx>
            <c:strRef>
              <c:f>'246'!$U$34</c:f>
              <c:strCache>
                <c:ptCount val="1"/>
                <c:pt idx="0">
                  <c:v>Stg.4 Shroud Fwd#23</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'246'!$U$36:$U$59</c:f>
              <c:numCache>
                <c:formatCode>General</c:formatCode>
                <c:ptCount val="24"/>
                <c:pt idx="2" formatCode="0.000">
                  <c:v>417.65032133462148</c:v>
                </c:pt>
                <c:pt idx="3" formatCode="0.000">
                  <c:v>417.65032133462148</c:v>
                </c:pt>
              </c:numCache>
            </c:numRef>
          </c:val>
          <c:extLst>
            <c:ext xmlns:c16="http://schemas.microsoft.com/office/drawing/2014/chart" uri="{C3380CC4-5D6E-409C-BE32-E72D297353CC}">
              <c16:uniqueId val="{00000004-2E76-4D5C-9856-FD3784E0CF37}"/>
            </c:ext>
          </c:extLst>
        </c:ser>
        <c:ser>
          <c:idx val="5"/>
          <c:order val="5"/>
          <c:tx>
            <c:strRef>
              <c:f>'246'!$V$34</c:f>
              <c:strCache>
                <c:ptCount val="1"/>
                <c:pt idx="0">
                  <c:v>Stg.4 Shroud Fwd#22</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'246'!$V$36:$V$59</c:f>
              <c:numCache>
                <c:formatCode>General</c:formatCode>
                <c:ptCount val="24"/>
                <c:pt idx="3" formatCode="0.000">
                  <c:v>417.66238400257623</c:v>
                </c:pt>
                <c:pt idx="4" formatCode="0.000">
                  <c:v>417.66238400257623</c:v>
                </c:pt>
              </c:numCache>
            </c:numRef>
          </c:val>
          <c:extLst>
            <c:ext xmlns:c16="http://schemas.microsoft.com/office/drawing/2014/chart" uri="{C3380CC4-5D6E-409C-BE32-E72D297353CC}">
              <c16:uniqueId val="{00000005-2E76-4D5C-9856-FD3784E0CF37}"/>
            </c:ext>
          </c:extLst>
        </c:ser>
        <c:ser>
          <c:idx val="6"/>
          <c:order val="6"/>
          <c:tx>
            <c:strRef>
              <c:f>'246'!$W$34</c:f>
              <c:strCache>
                <c:ptCount val="1"/>
                <c:pt idx="0">
                  <c:v>Stg.4 Shroud Fwd#21</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'246'!$W$36:$W$59</c:f>
              <c:numCache>
                <c:formatCode>General</c:formatCode>
                <c:ptCount val="24"/>
                <c:pt idx="4" formatCode="0.000">
                  <c:v>417.65767467370608</c:v>
                </c:pt>
                <c:pt idx="5" formatCode="0.000">
                  <c:v>417.65767467370608</c:v>
                </c:pt>
              </c:numCache>
            </c:numRef>
          </c:val>
          <c:extLst>
            <c:ext xmlns:c16="http://schemas.microsoft.com/office/drawing/2014/chart" uri="{C3380CC4-5D6E-409C-BE32-E72D297353CC}">
              <c16:uniqueId val="{00000006-2E76-4D5C-9856-FD3784E0CF37}"/>
            </c:ext>
          </c:extLst>
        </c:ser>
        <c:ser>
          <c:idx val="7"/>
          <c:order val="7"/>
          <c:tx>
            <c:strRef>
              <c:f>'246'!$X$34</c:f>
              <c:strCache>
                <c:ptCount val="1"/>
                <c:pt idx="0">
                  <c:v>Stg.4 Shroud Fwd#20</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'246'!$X$36:$X$59</c:f>
              <c:numCache>
                <c:formatCode>General</c:formatCode>
                <c:ptCount val="24"/>
                <c:pt idx="5" formatCode="0.000">
                  <c:v>417.64434134760882</c:v>
                </c:pt>
                <c:pt idx="6" formatCode="0.000">
                  <c:v>417.64434134760882</c:v>
                </c:pt>
              </c:numCache>
            </c:numRef>
          </c:val>
          <c:extLst>
            <c:ext xmlns:c16="http://schemas.microsoft.com/office/drawing/2014/chart" uri="{C3380CC4-5D6E-409C-BE32-E72D297353CC}">
              <c16:uniqueId val="{00000007-2E76-4D5C-9856-FD3784E0CF37}"/>
            </c:ext>
          </c:extLst>
        </c:ser>
        <c:ser>
          <c:idx val="8"/>
          <c:order val="8"/>
          <c:tx>
            <c:strRef>
              <c:f>'246'!$Y$34</c:f>
              <c:strCache>
                <c:ptCount val="1"/>
                <c:pt idx="0">
                  <c:v>Stg.4 Shroud Fwd#19</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'246'!$Y$36:$Y$59</c:f>
              <c:numCache>
                <c:formatCode>General</c:formatCode>
                <c:ptCount val="24"/>
                <c:pt idx="6" formatCode="0.000">
                  <c:v>417.6363840122595</c:v>
                </c:pt>
                <c:pt idx="7" formatCode="0.000">
                  <c:v>417.6363840122595</c:v>
                </c:pt>
              </c:numCache>
            </c:numRef>
          </c:val>
          <c:extLst>
            <c:ext xmlns:c16="http://schemas.microsoft.com/office/drawing/2014/chart" uri="{C3380CC4-5D6E-409C-BE32-E72D297353CC}">
              <c16:uniqueId val="{00000008-2E76-4D5C-9856-FD3784E0CF37}"/>
            </c:ext>
          </c:extLst>
        </c:ser>
        <c:ser>
          <c:idx val="9"/>
          <c:order val="9"/>
          <c:tx>
            <c:strRef>
              <c:f>'246'!$Z$34</c:f>
              <c:strCache>
                <c:ptCount val="1"/>
                <c:pt idx="0">
                  <c:v>Stg.4 Shroud Fwd#18</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'246'!$Z$36:$Z$59</c:f>
              <c:numCache>
                <c:formatCode>General</c:formatCode>
                <c:ptCount val="24"/>
                <c:pt idx="7" formatCode="0.000">
                  <c:v>417.64089067040197</c:v>
                </c:pt>
                <c:pt idx="8" formatCode="0.000">
                  <c:v>417.64089067040197</c:v>
                </c:pt>
              </c:numCache>
            </c:numRef>
          </c:val>
          <c:extLst>
            <c:ext xmlns:c16="http://schemas.microsoft.com/office/drawing/2014/chart" uri="{C3380CC4-5D6E-409C-BE32-E72D297353CC}">
              <c16:uniqueId val="{00000009-2E76-4D5C-9856-FD3784E0CF37}"/>
            </c:ext>
          </c:extLst>
        </c:ser>
        <c:ser>
          <c:idx val="10"/>
          <c:order val="10"/>
          <c:tx>
            <c:strRef>
              <c:f>'246'!$AA$34</c:f>
              <c:strCache>
                <c:ptCount val="1"/>
                <c:pt idx="0">
                  <c:v>Stg.4 Shroud Fwd#17</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'246'!$AA$36:$AA$59</c:f>
              <c:numCache>
                <c:formatCode>General</c:formatCode>
                <c:ptCount val="24"/>
                <c:pt idx="8" formatCode="0.000">
                  <c:v>417.65112666786388</c:v>
                </c:pt>
                <c:pt idx="9" formatCode="0.000">
                  <c:v>417.65112666786388</c:v>
                </c:pt>
              </c:numCache>
            </c:numRef>
          </c:val>
          <c:extLst>
            <c:ext xmlns:c16="http://schemas.microsoft.com/office/drawing/2014/chart" uri="{C3380CC4-5D6E-409C-BE32-E72D297353CC}">
              <c16:uniqueId val="{0000000A-2E76-4D5C-9856-FD3784E0CF37}"/>
            </c:ext>
          </c:extLst>
        </c:ser>
        <c:ser>
          <c:idx val="11"/>
          <c:order val="11"/>
          <c:tx>
            <c:strRef>
              <c:f>'246'!$AB$34</c:f>
              <c:strCache>
                <c:ptCount val="1"/>
                <c:pt idx="0">
                  <c:v>Stg.4 Shroud Fwd#16</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'246'!$AB$36:$AB$59</c:f>
              <c:numCache>
                <c:formatCode>General</c:formatCode>
                <c:ptCount val="24"/>
                <c:pt idx="9" formatCode="0.000">
                  <c:v>417.65185600119719</c:v>
                </c:pt>
                <c:pt idx="10" formatCode="0.000">
                  <c:v>417.65185600119719</c:v>
                </c:pt>
              </c:numCache>
            </c:numRef>
          </c:val>
          <c:extLst>
            <c:ext xmlns:c16="http://schemas.microsoft.com/office/drawing/2014/chart" uri="{C3380CC4-5D6E-409C-BE32-E72D297353CC}">
              <c16:uniqueId val="{0000000B-2E76-4D5C-9856-FD3784E0CF37}"/>
            </c:ext>
          </c:extLst>
        </c:ser>
        <c:ser>
          <c:idx val="12"/>
          <c:order val="12"/>
          <c:tx>
            <c:strRef>
              <c:f>'246'!$AC$34</c:f>
              <c:strCache>
                <c:ptCount val="1"/>
                <c:pt idx="0">
                  <c:v>Stg.4 Shroud Fwd#15</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'246'!$AC$36:$AC$59</c:f>
              <c:numCache>
                <c:formatCode>General</c:formatCode>
                <c:ptCount val="24"/>
                <c:pt idx="10" formatCode="0.000">
                  <c:v>417.64560533430063</c:v>
                </c:pt>
                <c:pt idx="11" formatCode="0.000">
                  <c:v>417.64560533430063</c:v>
                </c:pt>
              </c:numCache>
            </c:numRef>
          </c:val>
          <c:extLst>
            <c:ext xmlns:c16="http://schemas.microsoft.com/office/drawing/2014/chart" uri="{C3380CC4-5D6E-409C-BE32-E72D297353CC}">
              <c16:uniqueId val="{0000000C-2E76-4D5C-9856-FD3784E0CF37}"/>
            </c:ext>
          </c:extLst>
        </c:ser>
        <c:ser>
          <c:idx val="13"/>
          <c:order val="13"/>
          <c:tx>
            <c:strRef>
              <c:f>'246'!$AD$34</c:f>
              <c:strCache>
                <c:ptCount val="1"/>
                <c:pt idx="0">
                  <c:v>Stg.4 Shroud Fwd#14</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'246'!$AD$36:$AD$59</c:f>
              <c:numCache>
                <c:formatCode>General</c:formatCode>
                <c:ptCount val="24"/>
                <c:pt idx="11" formatCode="0.000">
                  <c:v>417.64575466706572</c:v>
                </c:pt>
                <c:pt idx="12" formatCode="0.000">
                  <c:v>417.64575466706572</c:v>
                </c:pt>
              </c:numCache>
            </c:numRef>
          </c:val>
          <c:extLst>
            <c:ext xmlns:c16="http://schemas.microsoft.com/office/drawing/2014/chart" uri="{C3380CC4-5D6E-409C-BE32-E72D297353CC}">
              <c16:uniqueId val="{0000000D-2E76-4D5C-9856-FD3784E0CF37}"/>
            </c:ext>
          </c:extLst>
        </c:ser>
        <c:ser>
          <c:idx val="14"/>
          <c:order val="14"/>
          <c:tx>
            <c:strRef>
              <c:f>'246'!$AE$34</c:f>
              <c:strCache>
                <c:ptCount val="1"/>
                <c:pt idx="0">
                  <c:v>Stg.4 Shroud Fwd#13</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'246'!$AE$36:$AE$59</c:f>
              <c:numCache>
                <c:formatCode>General</c:formatCode>
                <c:ptCount val="24"/>
                <c:pt idx="12" formatCode="0.000">
                  <c:v>417.63248800045972</c:v>
                </c:pt>
                <c:pt idx="13" formatCode="0.000">
                  <c:v>417.63248800045972</c:v>
                </c:pt>
              </c:numCache>
            </c:numRef>
          </c:val>
          <c:extLst>
            <c:ext xmlns:c16="http://schemas.microsoft.com/office/drawing/2014/chart" uri="{C3380CC4-5D6E-409C-BE32-E72D297353CC}">
              <c16:uniqueId val="{0000000E-2E76-4D5C-9856-FD3784E0CF37}"/>
            </c:ext>
          </c:extLst>
        </c:ser>
        <c:ser>
          <c:idx val="15"/>
          <c:order val="15"/>
          <c:tx>
            <c:strRef>
              <c:f>'246'!$AF$34</c:f>
              <c:strCache>
                <c:ptCount val="1"/>
                <c:pt idx="0">
                  <c:v>Stg.4 Shroud Fwd#12</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'246'!$AF$36:$AF$59</c:f>
              <c:numCache>
                <c:formatCode>General</c:formatCode>
                <c:ptCount val="24"/>
                <c:pt idx="13" formatCode="0.000">
                  <c:v>417.60535737298483</c:v>
                </c:pt>
                <c:pt idx="14" formatCode="0.000">
                  <c:v>417.60535737298483</c:v>
                </c:pt>
              </c:numCache>
            </c:numRef>
          </c:val>
          <c:extLst>
            <c:ext xmlns:c16="http://schemas.microsoft.com/office/drawing/2014/chart" uri="{C3380CC4-5D6E-409C-BE32-E72D297353CC}">
              <c16:uniqueId val="{0000000F-2E76-4D5C-9856-FD3784E0CF37}"/>
            </c:ext>
          </c:extLst>
        </c:ser>
        <c:ser>
          <c:idx val="16"/>
          <c:order val="16"/>
          <c:tx>
            <c:strRef>
              <c:f>'246'!$AG$34</c:f>
              <c:strCache>
                <c:ptCount val="1"/>
                <c:pt idx="0">
                  <c:v>Stg.4 Shroud Fwd#11</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'246'!$AG$36:$AG$59</c:f>
              <c:numCache>
                <c:formatCode>General</c:formatCode>
                <c:ptCount val="24"/>
                <c:pt idx="14" formatCode="0.000">
                  <c:v>417.58312280197299</c:v>
                </c:pt>
                <c:pt idx="15" formatCode="0.000">
                  <c:v>417.58312280197299</c:v>
                </c:pt>
              </c:numCache>
            </c:numRef>
          </c:val>
          <c:extLst>
            <c:ext xmlns:c16="http://schemas.microsoft.com/office/drawing/2014/chart" uri="{C3380CC4-5D6E-409C-BE32-E72D297353CC}">
              <c16:uniqueId val="{00000010-2E76-4D5C-9856-FD3784E0CF37}"/>
            </c:ext>
          </c:extLst>
        </c:ser>
        <c:ser>
          <c:idx val="17"/>
          <c:order val="17"/>
          <c:tx>
            <c:strRef>
              <c:f>'246'!$AH$34</c:f>
              <c:strCache>
                <c:ptCount val="1"/>
                <c:pt idx="0">
                  <c:v>Stg.4 Shroud Fwd#10</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'246'!$AH$36:$AH$59</c:f>
              <c:numCache>
                <c:formatCode>General</c:formatCode>
                <c:ptCount val="24"/>
                <c:pt idx="15" formatCode="0.000">
                  <c:v>417.59135212511404</c:v>
                </c:pt>
                <c:pt idx="16" formatCode="0.000">
                  <c:v>417.59135212511404</c:v>
                </c:pt>
              </c:numCache>
            </c:numRef>
          </c:val>
          <c:extLst>
            <c:ext xmlns:c16="http://schemas.microsoft.com/office/drawing/2014/chart" uri="{C3380CC4-5D6E-409C-BE32-E72D297353CC}">
              <c16:uniqueId val="{00000011-2E76-4D5C-9856-FD3784E0CF37}"/>
            </c:ext>
          </c:extLst>
        </c:ser>
        <c:ser>
          <c:idx val="18"/>
          <c:order val="18"/>
          <c:tx>
            <c:strRef>
              <c:f>'246'!$AI$34</c:f>
              <c:strCache>
                <c:ptCount val="1"/>
                <c:pt idx="0">
                  <c:v>Stg.4 Shroud Fwd#9</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'246'!$AI$36:$AI$59</c:f>
              <c:numCache>
                <c:formatCode>General</c:formatCode>
                <c:ptCount val="24"/>
                <c:pt idx="16" formatCode="0.000">
                  <c:v>417.63263736365116</c:v>
                </c:pt>
                <c:pt idx="17" formatCode="0.000">
                  <c:v>417.63263736365116</c:v>
                </c:pt>
              </c:numCache>
            </c:numRef>
          </c:val>
          <c:extLst>
            <c:ext xmlns:c16="http://schemas.microsoft.com/office/drawing/2014/chart" uri="{C3380CC4-5D6E-409C-BE32-E72D297353CC}">
              <c16:uniqueId val="{00000012-2E76-4D5C-9856-FD3784E0CF37}"/>
            </c:ext>
          </c:extLst>
        </c:ser>
        <c:ser>
          <c:idx val="19"/>
          <c:order val="19"/>
          <c:tx>
            <c:strRef>
              <c:f>'246'!$AJ$34</c:f>
              <c:strCache>
                <c:ptCount val="1"/>
                <c:pt idx="0">
                  <c:v>Stg.4 Shroud Fwd#8</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'246'!$AJ$36:$AJ$59</c:f>
              <c:numCache>
                <c:formatCode>General</c:formatCode>
                <c:ptCount val="24"/>
                <c:pt idx="17" formatCode="0.000">
                  <c:v>417.68217867025783</c:v>
                </c:pt>
                <c:pt idx="18" formatCode="0.000">
                  <c:v>417.68217867025783</c:v>
                </c:pt>
              </c:numCache>
            </c:numRef>
          </c:val>
          <c:extLst>
            <c:ext xmlns:c16="http://schemas.microsoft.com/office/drawing/2014/chart" uri="{C3380CC4-5D6E-409C-BE32-E72D297353CC}">
              <c16:uniqueId val="{00000013-2E76-4D5C-9856-FD3784E0CF37}"/>
            </c:ext>
          </c:extLst>
        </c:ser>
        <c:ser>
          <c:idx val="20"/>
          <c:order val="20"/>
          <c:tx>
            <c:strRef>
              <c:f>'246'!$AK$34</c:f>
              <c:strCache>
                <c:ptCount val="1"/>
                <c:pt idx="0">
                  <c:v>Stg.4 Shroud Fwd#7</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'246'!$AK$36:$AK$59</c:f>
              <c:numCache>
                <c:formatCode>General</c:formatCode>
                <c:ptCount val="24"/>
                <c:pt idx="18" formatCode="0.000">
                  <c:v>417.70876800340909</c:v>
                </c:pt>
                <c:pt idx="19" formatCode="0.000">
                  <c:v>417.70876800340909</c:v>
                </c:pt>
              </c:numCache>
            </c:numRef>
          </c:val>
          <c:extLst>
            <c:ext xmlns:c16="http://schemas.microsoft.com/office/drawing/2014/chart" uri="{C3380CC4-5D6E-409C-BE32-E72D297353CC}">
              <c16:uniqueId val="{00000014-2E76-4D5C-9856-FD3784E0CF37}"/>
            </c:ext>
          </c:extLst>
        </c:ser>
        <c:ser>
          <c:idx val="21"/>
          <c:order val="21"/>
          <c:tx>
            <c:strRef>
              <c:f>'246'!$AL$34</c:f>
              <c:strCache>
                <c:ptCount val="1"/>
                <c:pt idx="0">
                  <c:v>Stg.4 Shroud Fwd#6</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'246'!$AL$36:$AL$59</c:f>
              <c:numCache>
                <c:formatCode>General</c:formatCode>
                <c:ptCount val="24"/>
                <c:pt idx="19" formatCode="0.000">
                  <c:v>417.69896533480801</c:v>
                </c:pt>
                <c:pt idx="20" formatCode="0.000">
                  <c:v>417.69896533480801</c:v>
                </c:pt>
              </c:numCache>
            </c:numRef>
          </c:val>
          <c:extLst>
            <c:ext xmlns:c16="http://schemas.microsoft.com/office/drawing/2014/chart" uri="{C3380CC4-5D6E-409C-BE32-E72D297353CC}">
              <c16:uniqueId val="{00000015-2E76-4D5C-9856-FD3784E0CF37}"/>
            </c:ext>
          </c:extLst>
        </c:ser>
        <c:ser>
          <c:idx val="22"/>
          <c:order val="22"/>
          <c:tx>
            <c:strRef>
              <c:f>'246'!$AM$34</c:f>
              <c:strCache>
                <c:ptCount val="1"/>
                <c:pt idx="0">
                  <c:v>Stg.4 Shroud Fwd#5</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'246'!$AM$36:$AM$59</c:f>
              <c:numCache>
                <c:formatCode>General</c:formatCode>
                <c:ptCount val="24"/>
                <c:pt idx="20" formatCode="0.000">
                  <c:v>417.66886666706569</c:v>
                </c:pt>
                <c:pt idx="21" formatCode="0.000">
                  <c:v>417.66886666706569</c:v>
                </c:pt>
              </c:numCache>
            </c:numRef>
          </c:val>
          <c:extLst>
            <c:ext xmlns:c16="http://schemas.microsoft.com/office/drawing/2014/chart" uri="{C3380CC4-5D6E-409C-BE32-E72D297353CC}">
              <c16:uniqueId val="{00000016-2E76-4D5C-9856-FD3784E0CF37}"/>
            </c:ext>
          </c:extLst>
        </c:ser>
        <c:ser>
          <c:idx val="23"/>
          <c:order val="23"/>
          <c:tx>
            <c:strRef>
              <c:f>'246'!$AN$34</c:f>
              <c:strCache>
                <c:ptCount val="1"/>
                <c:pt idx="0">
                  <c:v>Stg.4 Shroud Fwd#4</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'246'!$AN$36:$AN$59</c:f>
              <c:numCache>
                <c:formatCode>General</c:formatCode>
                <c:ptCount val="24"/>
                <c:pt idx="21" formatCode="0.000">
                  <c:v>417.61790400045982</c:v>
                </c:pt>
                <c:pt idx="22" formatCode="0.000">
                  <c:v>417.61790400045982</c:v>
                </c:pt>
              </c:numCache>
            </c:numRef>
          </c:val>
          <c:extLst>
            <c:ext xmlns:c16="http://schemas.microsoft.com/office/drawing/2014/chart" uri="{C3380CC4-5D6E-409C-BE32-E72D297353CC}">
              <c16:uniqueId val="{00000017-2E76-4D5C-9856-FD3784E0CF37}"/>
            </c:ext>
          </c:extLst>
        </c:ser>
        <c:ser>
          <c:idx val="24"/>
          <c:order val="24"/>
          <c:tx>
            <c:strRef>
              <c:f>'246'!$AO$34</c:f>
              <c:strCache>
                <c:ptCount val="1"/>
                <c:pt idx="0">
                  <c:v>Stg.4 Shroud Fwd#3</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'246'!$AO$36:$AO$59</c:f>
              <c:numCache>
                <c:formatCode>General</c:formatCode>
                <c:ptCount val="24"/>
                <c:pt idx="22" formatCode="0.000">
                  <c:v>417.5732853362008</c:v>
                </c:pt>
                <c:pt idx="23" formatCode="0.000">
                  <c:v>417.5732853362008</c:v>
                </c:pt>
              </c:numCache>
            </c:numRef>
          </c:val>
          <c:extLst>
            <c:ext xmlns:c16="http://schemas.microsoft.com/office/drawing/2014/chart" uri="{C3380CC4-5D6E-409C-BE32-E72D297353CC}">
              <c16:uniqueId val="{00000018-2E76-4D5C-9856-FD3784E0CF37}"/>
            </c:ext>
          </c:extLst>
        </c:ser>
        <c:ser>
          <c:idx val="25"/>
          <c:order val="25"/>
          <c:tx>
            <c:strRef>
              <c:f>'246'!$AP$34</c:f>
              <c:strCache>
                <c:ptCount val="1"/>
                <c:pt idx="0">
                  <c:v>Stg.4 Shroud Fwd#2</c:v>
                </c:pt>
              </c:strCache>
            </c:strRef>
          </c:tx>
          <c:marker>
            <c:symbol val="none"/>
          </c:marker>
          <c:cat>
            <c:numRef>
              <c:f>'246'!$J$36:$J$59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'246'!$AP$36:$AP$59</c:f>
              <c:numCache>
                <c:formatCode>General</c:formatCode>
                <c:ptCount val="24"/>
                <c:pt idx="0" formatCode="0.000">
                  <c:v>417.57490667224192</c:v>
                </c:pt>
                <c:pt idx="23" formatCode="0.000">
                  <c:v>417.57490667224192</c:v>
                </c:pt>
              </c:numCache>
            </c:numRef>
          </c:val>
          <c:extLst>
            <c:ext xmlns:c16="http://schemas.microsoft.com/office/drawing/2014/chart" uri="{C3380CC4-5D6E-409C-BE32-E72D297353CC}">
              <c16:uniqueId val="{00000019-2E76-4D5C-9856-FD3784E0CF37}"/>
            </c:ext>
          </c:extLst>
        </c:ser>
        <c:dLbls>
          <c:showLegendKey val="0"/>
          <c:showVal val="0"/>
          <c:showCatName val="0"/>
          <c:showSerName val="0"/>
          <c:showPercent val="0"/>
          <c:showBubbleSize val="0"/>
        </c:dLbls>
        <c:axId val="183029760"/>
        <c:axId val="183179456"/>
      </c:radarChart>
      <c:catAx>
        <c:axId val="1830297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3179456"/>
        <c:crosses val="autoZero"/>
        <c:auto val="1"/>
        <c:lblAlgn val="ctr"/>
        <c:lblOffset val="100"/>
        <c:noMultiLvlLbl val="0"/>
      </c:catAx>
      <c:valAx>
        <c:axId val="18317945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3029760"/>
        <c:crosses val="autoZero"/>
        <c:crossBetween val="between"/>
        <c:majorUnit val="5.000000000000001E-2"/>
      </c:valAx>
    </c:plotArea>
    <c:legend>
      <c:legendPos val="r"/>
      <c:layout>
        <c:manualLayout>
          <c:xMode val="edge"/>
          <c:yMode val="edge"/>
          <c:x val="0.75693150597950609"/>
          <c:y val="0"/>
          <c:w val="0.23186849496117629"/>
          <c:h val="1"/>
        </c:manualLayout>
      </c:layout>
      <c:overlay val="0"/>
      <c:txPr>
        <a:bodyPr/>
        <a:lstStyle/>
        <a:p>
          <a:pPr>
            <a:defRPr lang="ja-JP" sz="700"/>
          </a:pPr>
          <a:endParaRPr lang="en-US"/>
        </a:p>
      </c:txPr>
    </c:legend>
    <c:plotVisOnly val="1"/>
    <c:dispBlanksAs val="gap"/>
    <c:showDLblsOverMax val="0"/>
  </c:chart>
  <c:txPr>
    <a:bodyPr/>
    <a:lstStyle/>
    <a:p>
      <a:pPr>
        <a:defRPr sz="1000"/>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'248'!$K$9</c:f>
              <c:strCache>
                <c:ptCount val="1"/>
                <c:pt idx="0">
                  <c:v>CMM</c:v>
                </c:pt>
              </c:strCache>
            </c:strRef>
          </c:tx>
          <c:marker>
            <c:symbol val="none"/>
          </c:marker>
          <c:cat>
            <c:numRef>
              <c:f>'248'!$J$11:$J$26</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'248'!$K$11:$K$26</c:f>
              <c:numCache>
                <c:formatCode>General</c:formatCode>
                <c:ptCount val="16"/>
                <c:pt idx="0">
                  <c:v>419.49600000119187</c:v>
                </c:pt>
                <c:pt idx="1">
                  <c:v>419.53400020141396</c:v>
                </c:pt>
                <c:pt idx="2">
                  <c:v>419.53800000000001</c:v>
                </c:pt>
                <c:pt idx="3">
                  <c:v>419.48200011919465</c:v>
                </c:pt>
                <c:pt idx="4">
                  <c:v>419.49400000000003</c:v>
                </c:pt>
                <c:pt idx="5">
                  <c:v>419.50900009654146</c:v>
                </c:pt>
                <c:pt idx="6">
                  <c:v>419.50400000119191</c:v>
                </c:pt>
                <c:pt idx="7">
                  <c:v>419.51400004290684</c:v>
                </c:pt>
                <c:pt idx="8">
                  <c:v>419.46600000000001</c:v>
                </c:pt>
                <c:pt idx="9">
                  <c:v>419.4230000429161</c:v>
                </c:pt>
                <c:pt idx="10">
                  <c:v>419.48899999999998</c:v>
                </c:pt>
                <c:pt idx="11">
                  <c:v>419.58</c:v>
                </c:pt>
                <c:pt idx="12">
                  <c:v>419.59800000119162</c:v>
                </c:pt>
                <c:pt idx="13">
                  <c:v>419.51100000476748</c:v>
                </c:pt>
                <c:pt idx="14">
                  <c:v>419.41500000000002</c:v>
                </c:pt>
                <c:pt idx="15">
                  <c:v>419.42800034451676</c:v>
                </c:pt>
              </c:numCache>
            </c:numRef>
          </c:val>
          <c:extLst>
            <c:ext xmlns:c16="http://schemas.microsoft.com/office/drawing/2014/chart" uri="{C3380CC4-5D6E-409C-BE32-E72D297353CC}">
              <c16:uniqueId val="{00000000-4CBC-4277-A228-985686E02681}"/>
            </c:ext>
          </c:extLst>
        </c:ser>
        <c:ser>
          <c:idx val="1"/>
          <c:order val="1"/>
          <c:tx>
            <c:strRef>
              <c:f>'248'!$L$9</c:f>
              <c:strCache>
                <c:ptCount val="1"/>
                <c:pt idx="0">
                  <c:v>Dwg Min</c:v>
                </c:pt>
              </c:strCache>
            </c:strRef>
          </c:tx>
          <c:spPr>
            <a:ln>
              <a:prstDash val="dash"/>
            </a:ln>
          </c:spPr>
          <c:marker>
            <c:symbol val="none"/>
          </c:marker>
          <c:val>
            <c:numRef>
              <c:f>'248'!$L$11:$L$26</c:f>
              <c:numCache>
                <c:formatCode>General</c:formatCode>
                <c:ptCount val="16"/>
                <c:pt idx="0">
                  <c:v>419.41</c:v>
                </c:pt>
                <c:pt idx="1">
                  <c:v>419.41</c:v>
                </c:pt>
                <c:pt idx="2">
                  <c:v>419.41</c:v>
                </c:pt>
                <c:pt idx="3">
                  <c:v>419.41</c:v>
                </c:pt>
                <c:pt idx="4">
                  <c:v>419.41</c:v>
                </c:pt>
                <c:pt idx="5">
                  <c:v>419.41</c:v>
                </c:pt>
                <c:pt idx="6">
                  <c:v>419.41</c:v>
                </c:pt>
                <c:pt idx="7">
                  <c:v>419.41</c:v>
                </c:pt>
                <c:pt idx="8">
                  <c:v>419.41</c:v>
                </c:pt>
                <c:pt idx="9">
                  <c:v>419.41</c:v>
                </c:pt>
                <c:pt idx="10">
                  <c:v>419.41</c:v>
                </c:pt>
                <c:pt idx="11">
                  <c:v>419.41</c:v>
                </c:pt>
                <c:pt idx="12">
                  <c:v>419.41</c:v>
                </c:pt>
                <c:pt idx="13">
                  <c:v>419.41</c:v>
                </c:pt>
                <c:pt idx="14">
                  <c:v>419.41</c:v>
                </c:pt>
                <c:pt idx="15">
                  <c:v>419.41</c:v>
                </c:pt>
              </c:numCache>
            </c:numRef>
          </c:val>
          <c:extLst>
            <c:ext xmlns:c16="http://schemas.microsoft.com/office/drawing/2014/chart" uri="{C3380CC4-5D6E-409C-BE32-E72D297353CC}">
              <c16:uniqueId val="{00000001-4CBC-4277-A228-985686E02681}"/>
            </c:ext>
          </c:extLst>
        </c:ser>
        <c:ser>
          <c:idx val="2"/>
          <c:order val="2"/>
          <c:tx>
            <c:strRef>
              <c:f>'248'!$M$9</c:f>
              <c:strCache>
                <c:ptCount val="1"/>
                <c:pt idx="0">
                  <c:v>Dwg Max</c:v>
                </c:pt>
              </c:strCache>
            </c:strRef>
          </c:tx>
          <c:spPr>
            <a:ln>
              <a:prstDash val="dash"/>
            </a:ln>
          </c:spPr>
          <c:marker>
            <c:symbol val="none"/>
          </c:marker>
          <c:val>
            <c:numRef>
              <c:f>'248'!$M$11:$M$26</c:f>
              <c:numCache>
                <c:formatCode>General</c:formatCode>
                <c:ptCount val="16"/>
                <c:pt idx="0">
                  <c:v>419.59</c:v>
                </c:pt>
                <c:pt idx="1">
                  <c:v>419.59</c:v>
                </c:pt>
                <c:pt idx="2">
                  <c:v>419.59</c:v>
                </c:pt>
                <c:pt idx="3">
                  <c:v>419.59</c:v>
                </c:pt>
                <c:pt idx="4">
                  <c:v>419.59</c:v>
                </c:pt>
                <c:pt idx="5">
                  <c:v>419.59</c:v>
                </c:pt>
                <c:pt idx="6">
                  <c:v>419.59</c:v>
                </c:pt>
                <c:pt idx="7">
                  <c:v>419.59</c:v>
                </c:pt>
                <c:pt idx="8">
                  <c:v>419.59</c:v>
                </c:pt>
                <c:pt idx="9">
                  <c:v>419.59</c:v>
                </c:pt>
                <c:pt idx="10">
                  <c:v>419.59</c:v>
                </c:pt>
                <c:pt idx="11">
                  <c:v>419.59</c:v>
                </c:pt>
                <c:pt idx="12">
                  <c:v>419.59</c:v>
                </c:pt>
                <c:pt idx="13">
                  <c:v>419.59</c:v>
                </c:pt>
                <c:pt idx="14">
                  <c:v>419.59</c:v>
                </c:pt>
                <c:pt idx="15">
                  <c:v>419.59</c:v>
                </c:pt>
              </c:numCache>
            </c:numRef>
          </c:val>
          <c:extLst>
            <c:ext xmlns:c16="http://schemas.microsoft.com/office/drawing/2014/chart" uri="{C3380CC4-5D6E-409C-BE32-E72D297353CC}">
              <c16:uniqueId val="{00000002-4CBC-4277-A228-985686E02681}"/>
            </c:ext>
          </c:extLst>
        </c:ser>
        <c:dLbls>
          <c:showLegendKey val="0"/>
          <c:showVal val="0"/>
          <c:showCatName val="0"/>
          <c:showSerName val="0"/>
          <c:showPercent val="0"/>
          <c:showBubbleSize val="0"/>
        </c:dLbls>
        <c:axId val="175028224"/>
        <c:axId val="182260224"/>
      </c:radarChart>
      <c:catAx>
        <c:axId val="17502822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2260224"/>
        <c:crosses val="autoZero"/>
        <c:auto val="1"/>
        <c:lblAlgn val="ctr"/>
        <c:lblOffset val="100"/>
        <c:noMultiLvlLbl val="0"/>
      </c:catAx>
      <c:valAx>
        <c:axId val="18226022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75028224"/>
        <c:crosses val="autoZero"/>
        <c:crossBetween val="between"/>
        <c:majorUnit val="5.000000000000001E-2"/>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'248'!$AQ$34</c:f>
              <c:strCache>
                <c:ptCount val="1"/>
                <c:pt idx="0">
                  <c:v>LPT Case Hook R Min</c:v>
                </c:pt>
              </c:strCache>
            </c:strRef>
          </c:tx>
          <c:spPr>
            <a:ln w="28575">
              <a:prstDash val="dash"/>
            </a:ln>
          </c:spPr>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'248'!$AQ$36:$AQ$59</c:f>
              <c:numCache>
                <c:formatCode>General</c:formatCode>
                <c:ptCount val="24"/>
                <c:pt idx="0">
                  <c:v>419.46800000000002</c:v>
                </c:pt>
                <c:pt idx="1">
                  <c:v>419.46800000000002</c:v>
                </c:pt>
                <c:pt idx="2">
                  <c:v>419.46800000000002</c:v>
                </c:pt>
                <c:pt idx="3">
                  <c:v>419.46800000000002</c:v>
                </c:pt>
                <c:pt idx="4">
                  <c:v>419.46800000000002</c:v>
                </c:pt>
                <c:pt idx="5">
                  <c:v>419.46800000000002</c:v>
                </c:pt>
                <c:pt idx="6">
                  <c:v>419.46800000000002</c:v>
                </c:pt>
                <c:pt idx="7">
                  <c:v>419.46800000000002</c:v>
                </c:pt>
                <c:pt idx="8">
                  <c:v>419.46800000000002</c:v>
                </c:pt>
                <c:pt idx="9">
                  <c:v>419.46800000000002</c:v>
                </c:pt>
                <c:pt idx="10">
                  <c:v>419.46800000000002</c:v>
                </c:pt>
                <c:pt idx="11">
                  <c:v>419.46800000000002</c:v>
                </c:pt>
                <c:pt idx="12">
                  <c:v>419.46800000000002</c:v>
                </c:pt>
                <c:pt idx="13">
                  <c:v>419.46800000000002</c:v>
                </c:pt>
                <c:pt idx="14">
                  <c:v>419.46800000000002</c:v>
                </c:pt>
                <c:pt idx="15">
                  <c:v>419.46800000000002</c:v>
                </c:pt>
                <c:pt idx="16">
                  <c:v>419.46800000000002</c:v>
                </c:pt>
                <c:pt idx="17">
                  <c:v>419.46800000000002</c:v>
                </c:pt>
                <c:pt idx="18">
                  <c:v>419.46800000000002</c:v>
                </c:pt>
                <c:pt idx="19">
                  <c:v>419.46800000000002</c:v>
                </c:pt>
                <c:pt idx="20">
                  <c:v>419.46800000000002</c:v>
                </c:pt>
                <c:pt idx="21">
                  <c:v>419.46800000000002</c:v>
                </c:pt>
                <c:pt idx="22">
                  <c:v>419.46800000000002</c:v>
                </c:pt>
                <c:pt idx="23">
                  <c:v>419.46800000000002</c:v>
                </c:pt>
              </c:numCache>
            </c:numRef>
          </c:val>
          <c:extLst>
            <c:ext xmlns:c16="http://schemas.microsoft.com/office/drawing/2014/chart" uri="{C3380CC4-5D6E-409C-BE32-E72D297353CC}">
              <c16:uniqueId val="{00000000-DCF5-44EF-83BB-81A3985A0FDE}"/>
            </c:ext>
          </c:extLst>
        </c:ser>
        <c:ser>
          <c:idx val="1"/>
          <c:order val="1"/>
          <c:tx>
            <c:strRef>
              <c:f>'248'!$AR$34</c:f>
              <c:strCache>
                <c:ptCount val="1"/>
                <c:pt idx="0">
                  <c:v>LPT Case Hook R Max</c:v>
                </c:pt>
              </c:strCache>
            </c:strRef>
          </c:tx>
          <c:spPr>
            <a:ln w="28575">
              <a:prstDash val="dash"/>
            </a:ln>
          </c:spPr>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'248'!$AR$36:$AR$59</c:f>
              <c:numCache>
                <c:formatCode>General</c:formatCode>
                <c:ptCount val="24"/>
                <c:pt idx="0">
                  <c:v>419.53199999999998</c:v>
                </c:pt>
                <c:pt idx="1">
                  <c:v>419.53199999999998</c:v>
                </c:pt>
                <c:pt idx="2">
                  <c:v>419.53199999999998</c:v>
                </c:pt>
                <c:pt idx="3">
                  <c:v>419.53199999999998</c:v>
                </c:pt>
                <c:pt idx="4">
                  <c:v>419.53199999999998</c:v>
                </c:pt>
                <c:pt idx="5">
                  <c:v>419.53199999999998</c:v>
                </c:pt>
                <c:pt idx="6">
                  <c:v>419.53199999999998</c:v>
                </c:pt>
                <c:pt idx="7">
                  <c:v>419.53199999999998</c:v>
                </c:pt>
                <c:pt idx="8">
                  <c:v>419.53199999999998</c:v>
                </c:pt>
                <c:pt idx="9">
                  <c:v>419.53199999999998</c:v>
                </c:pt>
                <c:pt idx="10">
                  <c:v>419.53199999999998</c:v>
                </c:pt>
                <c:pt idx="11">
                  <c:v>419.53199999999998</c:v>
                </c:pt>
                <c:pt idx="12">
                  <c:v>419.53199999999998</c:v>
                </c:pt>
                <c:pt idx="13">
                  <c:v>419.53199999999998</c:v>
                </c:pt>
                <c:pt idx="14">
                  <c:v>419.53199999999998</c:v>
                </c:pt>
                <c:pt idx="15">
                  <c:v>419.53199999999998</c:v>
                </c:pt>
                <c:pt idx="16">
                  <c:v>419.53199999999998</c:v>
                </c:pt>
                <c:pt idx="17">
                  <c:v>419.53199999999998</c:v>
                </c:pt>
                <c:pt idx="18">
                  <c:v>419.53199999999998</c:v>
                </c:pt>
                <c:pt idx="19">
                  <c:v>419.53199999999998</c:v>
                </c:pt>
                <c:pt idx="20">
                  <c:v>419.53199999999998</c:v>
                </c:pt>
                <c:pt idx="21">
                  <c:v>419.53199999999998</c:v>
                </c:pt>
                <c:pt idx="22">
                  <c:v>419.53199999999998</c:v>
                </c:pt>
                <c:pt idx="23">
                  <c:v>419.53199999999998</c:v>
                </c:pt>
              </c:numCache>
            </c:numRef>
          </c:val>
          <c:extLst>
            <c:ext xmlns:c16="http://schemas.microsoft.com/office/drawing/2014/chart" uri="{C3380CC4-5D6E-409C-BE32-E72D297353CC}">
              <c16:uniqueId val="{00000001-DCF5-44EF-83BB-81A3985A0FDE}"/>
            </c:ext>
          </c:extLst>
        </c:ser>
        <c:ser>
          <c:idx val="2"/>
          <c:order val="2"/>
          <c:tx>
            <c:strRef>
              <c:f>'248'!$S$34</c:f>
              <c:strCache>
                <c:ptCount val="1"/>
                <c:pt idx="0">
                  <c:v>Stg.4 Shroud Aft#1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'248'!$S$36:$S$59</c:f>
              <c:numCache>
                <c:formatCode>0.000</c:formatCode>
                <c:ptCount val="24"/>
                <c:pt idx="0">
                  <c:v>419.45411221268</c:v>
                </c:pt>
                <c:pt idx="1">
                  <c:v>419.45411221268</c:v>
                </c:pt>
              </c:numCache>
            </c:numRef>
          </c:val>
          <c:extLst>
            <c:ext xmlns:c16="http://schemas.microsoft.com/office/drawing/2014/chart" uri="{C3380CC4-5D6E-409C-BE32-E72D297353CC}">
              <c16:uniqueId val="{00000002-DCF5-44EF-83BB-81A3985A0FDE}"/>
            </c:ext>
          </c:extLst>
        </c:ser>
        <c:ser>
          <c:idx val="3"/>
          <c:order val="3"/>
          <c:tx>
            <c:strRef>
              <c:f>'248'!$T$34</c:f>
              <c:strCache>
                <c:ptCount val="1"/>
                <c:pt idx="0">
                  <c:v>Stg.4 Shroud Aft#24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'248'!$T$36:$T$59</c:f>
              <c:numCache>
                <c:formatCode>0.000</c:formatCode>
                <c:ptCount val="24"/>
                <c:pt idx="1">
                  <c:v>419.49368542149108</c:v>
                </c:pt>
                <c:pt idx="2">
                  <c:v>419.49368542149108</c:v>
                </c:pt>
              </c:numCache>
            </c:numRef>
          </c:val>
          <c:extLst>
            <c:ext xmlns:c16="http://schemas.microsoft.com/office/drawing/2014/chart" uri="{C3380CC4-5D6E-409C-BE32-E72D297353CC}">
              <c16:uniqueId val="{00000003-DCF5-44EF-83BB-81A3985A0FDE}"/>
            </c:ext>
          </c:extLst>
        </c:ser>
        <c:ser>
          <c:idx val="4"/>
          <c:order val="4"/>
          <c:tx>
            <c:strRef>
              <c:f>'248'!$U$34</c:f>
              <c:strCache>
                <c:ptCount val="1"/>
                <c:pt idx="0">
                  <c:v>Stg.4 Shroud Aft#23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'248'!$U$36:$U$59</c:f>
              <c:numCache>
                <c:formatCode>General</c:formatCode>
                <c:ptCount val="24"/>
                <c:pt idx="2" formatCode="0.000">
                  <c:v>419.52239746797636</c:v>
                </c:pt>
                <c:pt idx="3" formatCode="0.000">
                  <c:v>419.52239746797636</c:v>
                </c:pt>
              </c:numCache>
            </c:numRef>
          </c:val>
          <c:extLst>
            <c:ext xmlns:c16="http://schemas.microsoft.com/office/drawing/2014/chart" uri="{C3380CC4-5D6E-409C-BE32-E72D297353CC}">
              <c16:uniqueId val="{00000004-DCF5-44EF-83BB-81A3985A0FDE}"/>
            </c:ext>
          </c:extLst>
        </c:ser>
        <c:ser>
          <c:idx val="5"/>
          <c:order val="5"/>
          <c:tx>
            <c:strRef>
              <c:f>'248'!$V$34</c:f>
              <c:strCache>
                <c:ptCount val="1"/>
                <c:pt idx="0">
                  <c:v>Stg.4 Shroud Aft#22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'248'!$V$36:$V$59</c:f>
              <c:numCache>
                <c:formatCode>General</c:formatCode>
                <c:ptCount val="24"/>
                <c:pt idx="3" formatCode="0.000">
                  <c:v>419.53553612407097</c:v>
                </c:pt>
                <c:pt idx="4" formatCode="0.000">
                  <c:v>419.53553612407097</c:v>
                </c:pt>
              </c:numCache>
            </c:numRef>
          </c:val>
          <c:extLst>
            <c:ext xmlns:c16="http://schemas.microsoft.com/office/drawing/2014/chart" uri="{C3380CC4-5D6E-409C-BE32-E72D297353CC}">
              <c16:uniqueId val="{00000005-DCF5-44EF-83BB-81A3985A0FDE}"/>
            </c:ext>
          </c:extLst>
        </c:ser>
        <c:ser>
          <c:idx val="6"/>
          <c:order val="6"/>
          <c:tx>
            <c:strRef>
              <c:f>'248'!$W$34</c:f>
              <c:strCache>
                <c:ptCount val="1"/>
                <c:pt idx="0">
                  <c:v>Stg.4 Shroud Aft#21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'248'!$W$36:$W$59</c:f>
              <c:numCache>
                <c:formatCode>General</c:formatCode>
                <c:ptCount val="24"/>
                <c:pt idx="4" formatCode="0.000">
                  <c:v>419.52668271801855</c:v>
                </c:pt>
                <c:pt idx="5" formatCode="0.000">
                  <c:v>419.52668271801855</c:v>
                </c:pt>
              </c:numCache>
            </c:numRef>
          </c:val>
          <c:extLst>
            <c:ext xmlns:c16="http://schemas.microsoft.com/office/drawing/2014/chart" uri="{C3380CC4-5D6E-409C-BE32-E72D297353CC}">
              <c16:uniqueId val="{00000006-DCF5-44EF-83BB-81A3985A0FDE}"/>
            </c:ext>
          </c:extLst>
        </c:ser>
        <c:ser>
          <c:idx val="7"/>
          <c:order val="7"/>
          <c:tx>
            <c:strRef>
              <c:f>'248'!$X$34</c:f>
              <c:strCache>
                <c:ptCount val="1"/>
                <c:pt idx="0">
                  <c:v>Stg.4 Shroud Aft#20</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'248'!$X$36:$X$59</c:f>
              <c:numCache>
                <c:formatCode>General</c:formatCode>
                <c:ptCount val="24"/>
                <c:pt idx="5" formatCode="0.000">
                  <c:v>419.49955207946311</c:v>
                </c:pt>
                <c:pt idx="6" formatCode="0.000">
                  <c:v>419.49955207946311</c:v>
                </c:pt>
              </c:numCache>
            </c:numRef>
          </c:val>
          <c:extLst>
            <c:ext xmlns:c16="http://schemas.microsoft.com/office/drawing/2014/chart" uri="{C3380CC4-5D6E-409C-BE32-E72D297353CC}">
              <c16:uniqueId val="{00000007-DCF5-44EF-83BB-81A3985A0FDE}"/>
            </c:ext>
          </c:extLst>
        </c:ser>
        <c:ser>
          <c:idx val="8"/>
          <c:order val="8"/>
          <c:tx>
            <c:strRef>
              <c:f>'248'!$Y$34</c:f>
              <c:strCache>
                <c:ptCount val="1"/>
                <c:pt idx="0">
                  <c:v>Stg.4 Shroud Aft#19</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'248'!$Y$36:$Y$59</c:f>
              <c:numCache>
                <c:formatCode>General</c:formatCode>
                <c:ptCount val="24"/>
                <c:pt idx="6" formatCode="0.000">
                  <c:v>419.48660807342389</c:v>
                </c:pt>
                <c:pt idx="7" formatCode="0.000">
                  <c:v>419.48660807342389</c:v>
                </c:pt>
              </c:numCache>
            </c:numRef>
          </c:val>
          <c:extLst>
            <c:ext xmlns:c16="http://schemas.microsoft.com/office/drawing/2014/chart" uri="{C3380CC4-5D6E-409C-BE32-E72D297353CC}">
              <c16:uniqueId val="{00000008-DCF5-44EF-83BB-81A3985A0FDE}"/>
            </c:ext>
          </c:extLst>
        </c:ser>
        <c:ser>
          <c:idx val="9"/>
          <c:order val="9"/>
          <c:tx>
            <c:strRef>
              <c:f>'248'!$Z$34</c:f>
              <c:strCache>
                <c:ptCount val="1"/>
                <c:pt idx="0">
                  <c:v>Stg.4 Shroud Aft#18</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'248'!$Z$36:$Z$59</c:f>
              <c:numCache>
                <c:formatCode>General</c:formatCode>
                <c:ptCount val="24"/>
                <c:pt idx="7" formatCode="0.000">
                  <c:v>419.49518403538218</c:v>
                </c:pt>
                <c:pt idx="8" formatCode="0.000">
                  <c:v>419.49518403538218</c:v>
                </c:pt>
              </c:numCache>
            </c:numRef>
          </c:val>
          <c:extLst>
            <c:ext xmlns:c16="http://schemas.microsoft.com/office/drawing/2014/chart" uri="{C3380CC4-5D6E-409C-BE32-E72D297353CC}">
              <c16:uniqueId val="{00000009-DCF5-44EF-83BB-81A3985A0FDE}"/>
            </c:ext>
          </c:extLst>
        </c:ser>
        <c:ser>
          <c:idx val="10"/>
          <c:order val="10"/>
          <c:tx>
            <c:strRef>
              <c:f>'248'!$AA$34</c:f>
              <c:strCache>
                <c:ptCount val="1"/>
                <c:pt idx="0">
                  <c:v>Stg.4 Shroud Aft#17</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'248'!$AA$36:$AA$59</c:f>
              <c:numCache>
                <c:formatCode>General</c:formatCode>
                <c:ptCount val="24"/>
                <c:pt idx="8" formatCode="0.000">
                  <c:v>419.50425339772448</c:v>
                </c:pt>
                <c:pt idx="9" formatCode="0.000">
                  <c:v>419.50425339772448</c:v>
                </c:pt>
              </c:numCache>
            </c:numRef>
          </c:val>
          <c:extLst>
            <c:ext xmlns:c16="http://schemas.microsoft.com/office/drawing/2014/chart" uri="{C3380CC4-5D6E-409C-BE32-E72D297353CC}">
              <c16:uniqueId val="{0000000A-DCF5-44EF-83BB-81A3985A0FDE}"/>
            </c:ext>
          </c:extLst>
        </c:ser>
        <c:ser>
          <c:idx val="11"/>
          <c:order val="11"/>
          <c:tx>
            <c:strRef>
              <c:f>'248'!$AB$34</c:f>
              <c:strCache>
                <c:ptCount val="1"/>
                <c:pt idx="0">
                  <c:v>Stg.4 Shroud Aft#16</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'248'!$AB$36:$AB$59</c:f>
              <c:numCache>
                <c:formatCode>General</c:formatCode>
                <c:ptCount val="24"/>
                <c:pt idx="9" formatCode="0.000">
                  <c:v>419.50708005992726</c:v>
                </c:pt>
                <c:pt idx="10" formatCode="0.000">
                  <c:v>419.50708005992726</c:v>
                </c:pt>
              </c:numCache>
            </c:numRef>
          </c:val>
          <c:extLst>
            <c:ext xmlns:c16="http://schemas.microsoft.com/office/drawing/2014/chart" uri="{C3380CC4-5D6E-409C-BE32-E72D297353CC}">
              <c16:uniqueId val="{0000000B-DCF5-44EF-83BB-81A3985A0FDE}"/>
            </c:ext>
          </c:extLst>
        </c:ser>
        <c:ser>
          <c:idx val="12"/>
          <c:order val="12"/>
          <c:tx>
            <c:strRef>
              <c:f>'248'!$AC$34</c:f>
              <c:strCache>
                <c:ptCount val="1"/>
                <c:pt idx="0">
                  <c:v>Stg.4 Shroud Aft#15</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'248'!$AC$36:$AC$59</c:f>
              <c:numCache>
                <c:formatCode>General</c:formatCode>
                <c:ptCount val="24"/>
                <c:pt idx="10" formatCode="0.000">
                  <c:v>419.50662668934393</c:v>
                </c:pt>
                <c:pt idx="11" formatCode="0.000">
                  <c:v>419.50662668934393</c:v>
                </c:pt>
              </c:numCache>
            </c:numRef>
          </c:val>
          <c:extLst>
            <c:ext xmlns:c16="http://schemas.microsoft.com/office/drawing/2014/chart" uri="{C3380CC4-5D6E-409C-BE32-E72D297353CC}">
              <c16:uniqueId val="{0000000C-DCF5-44EF-83BB-81A3985A0FDE}"/>
            </c:ext>
          </c:extLst>
        </c:ser>
        <c:ser>
          <c:idx val="13"/>
          <c:order val="13"/>
          <c:tx>
            <c:strRef>
              <c:f>'248'!$AD$34</c:f>
              <c:strCache>
                <c:ptCount val="1"/>
                <c:pt idx="0">
                  <c:v>Stg.4 Shroud Aft#14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'248'!$AD$36:$AD$59</c:f>
              <c:numCache>
                <c:formatCode>General</c:formatCode>
                <c:ptCount val="24"/>
                <c:pt idx="11" formatCode="0.000">
                  <c:v>419.50970402897167</c:v>
                </c:pt>
                <c:pt idx="12" formatCode="0.000">
                  <c:v>419.50970402897167</c:v>
                </c:pt>
              </c:numCache>
            </c:numRef>
          </c:val>
          <c:extLst>
            <c:ext xmlns:c16="http://schemas.microsoft.com/office/drawing/2014/chart" uri="{C3380CC4-5D6E-409C-BE32-E72D297353CC}">
              <c16:uniqueId val="{0000000D-DCF5-44EF-83BB-81A3985A0FDE}"/>
            </c:ext>
          </c:extLst>
        </c:ser>
        <c:ser>
          <c:idx val="14"/>
          <c:order val="14"/>
          <c:tx>
            <c:strRef>
              <c:f>'248'!$AE$34</c:f>
              <c:strCache>
                <c:ptCount val="1"/>
                <c:pt idx="0">
                  <c:v>Stg.4 Shroud Aft#13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'248'!$AE$36:$AE$59</c:f>
              <c:numCache>
                <c:formatCode>General</c:formatCode>
                <c:ptCount val="24"/>
                <c:pt idx="12" formatCode="0.000">
                  <c:v>419.49556802643065</c:v>
                </c:pt>
                <c:pt idx="13" formatCode="0.000">
                  <c:v>419.49556802643065</c:v>
                </c:pt>
              </c:numCache>
            </c:numRef>
          </c:val>
          <c:extLst>
            <c:ext xmlns:c16="http://schemas.microsoft.com/office/drawing/2014/chart" uri="{C3380CC4-5D6E-409C-BE32-E72D297353CC}">
              <c16:uniqueId val="{0000000E-DCF5-44EF-83BB-81A3985A0FDE}"/>
            </c:ext>
          </c:extLst>
        </c:ser>
        <c:ser>
          <c:idx val="15"/>
          <c:order val="15"/>
          <c:tx>
            <c:strRef>
              <c:f>'248'!$AF$34</c:f>
              <c:strCache>
                <c:ptCount val="1"/>
                <c:pt idx="0">
                  <c:v>Stg.4 Shroud Aft#12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'248'!$AF$36:$AF$59</c:f>
              <c:numCache>
                <c:formatCode>General</c:formatCode>
                <c:ptCount val="24"/>
                <c:pt idx="13" formatCode="0.000">
                  <c:v>419.46452801430405</c:v>
                </c:pt>
                <c:pt idx="14" formatCode="0.000">
                  <c:v>419.46452801430405</c:v>
                </c:pt>
              </c:numCache>
            </c:numRef>
          </c:val>
          <c:extLst>
            <c:ext xmlns:c16="http://schemas.microsoft.com/office/drawing/2014/chart" uri="{C3380CC4-5D6E-409C-BE32-E72D297353CC}">
              <c16:uniqueId val="{0000000F-DCF5-44EF-83BB-81A3985A0FDE}"/>
            </c:ext>
          </c:extLst>
        </c:ser>
        <c:ser>
          <c:idx val="16"/>
          <c:order val="16"/>
          <c:tx>
            <c:strRef>
              <c:f>'248'!$AG$34</c:f>
              <c:strCache>
                <c:ptCount val="1"/>
                <c:pt idx="0">
                  <c:v>Stg.4 Shroud Aft#11</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'248'!$AG$36:$AG$59</c:f>
              <c:numCache>
                <c:formatCode>General</c:formatCode>
                <c:ptCount val="24"/>
                <c:pt idx="14" formatCode="0.000">
                  <c:v>419.43791602861074</c:v>
                </c:pt>
                <c:pt idx="15" formatCode="0.000">
                  <c:v>419.43791602861074</c:v>
                </c:pt>
              </c:numCache>
            </c:numRef>
          </c:val>
          <c:extLst>
            <c:ext xmlns:c16="http://schemas.microsoft.com/office/drawing/2014/chart" uri="{C3380CC4-5D6E-409C-BE32-E72D297353CC}">
              <c16:uniqueId val="{00000010-DCF5-44EF-83BB-81A3985A0FDE}"/>
            </c:ext>
          </c:extLst>
        </c:ser>
        <c:ser>
          <c:idx val="17"/>
          <c:order val="17"/>
          <c:tx>
            <c:strRef>
              <c:f>'248'!$AH$34</c:f>
              <c:strCache>
                <c:ptCount val="1"/>
                <c:pt idx="0">
                  <c:v>Stg.4 Shroud Aft#10</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'248'!$AH$36:$AH$59</c:f>
              <c:numCache>
                <c:formatCode>General</c:formatCode>
                <c:ptCount val="24"/>
                <c:pt idx="15" formatCode="0.000">
                  <c:v>419.4483440264363</c:v>
                </c:pt>
                <c:pt idx="16" formatCode="0.000">
                  <c:v>419.4483440264363</c:v>
                </c:pt>
              </c:numCache>
            </c:numRef>
          </c:val>
          <c:extLst>
            <c:ext xmlns:c16="http://schemas.microsoft.com/office/drawing/2014/chart" uri="{C3380CC4-5D6E-409C-BE32-E72D297353CC}">
              <c16:uniqueId val="{00000011-DCF5-44EF-83BB-81A3985A0FDE}"/>
            </c:ext>
          </c:extLst>
        </c:ser>
        <c:ser>
          <c:idx val="18"/>
          <c:order val="18"/>
          <c:tx>
            <c:strRef>
              <c:f>'248'!$AI$34</c:f>
              <c:strCache>
                <c:ptCount val="1"/>
                <c:pt idx="0">
                  <c:v>Stg.4 Shroud Aft#9</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'248'!$AI$36:$AI$59</c:f>
              <c:numCache>
                <c:formatCode>General</c:formatCode>
                <c:ptCount val="24"/>
                <c:pt idx="16" formatCode="0.000">
                  <c:v>419.49714400606547</c:v>
                </c:pt>
                <c:pt idx="17" formatCode="0.000">
                  <c:v>419.49714400606547</c:v>
                </c:pt>
              </c:numCache>
            </c:numRef>
          </c:val>
          <c:extLst>
            <c:ext xmlns:c16="http://schemas.microsoft.com/office/drawing/2014/chart" uri="{C3380CC4-5D6E-409C-BE32-E72D297353CC}">
              <c16:uniqueId val="{00000012-DCF5-44EF-83BB-81A3985A0FDE}"/>
            </c:ext>
          </c:extLst>
        </c:ser>
        <c:ser>
          <c:idx val="19"/>
          <c:order val="19"/>
          <c:tx>
            <c:strRef>
              <c:f>'248'!$AJ$34</c:f>
              <c:strCache>
                <c:ptCount val="1"/>
                <c:pt idx="0">
                  <c:v>Stg.4 Shroud Aft#8</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'248'!$AJ$36:$AJ$59</c:f>
              <c:numCache>
                <c:formatCode>General</c:formatCode>
                <c:ptCount val="24"/>
                <c:pt idx="17" formatCode="0.000">
                  <c:v>419.5524280000302</c:v>
                </c:pt>
                <c:pt idx="18" formatCode="0.000">
                  <c:v>419.5524280000302</c:v>
                </c:pt>
              </c:numCache>
            </c:numRef>
          </c:val>
          <c:extLst>
            <c:ext xmlns:c16="http://schemas.microsoft.com/office/drawing/2014/chart" uri="{C3380CC4-5D6E-409C-BE32-E72D297353CC}">
              <c16:uniqueId val="{00000013-DCF5-44EF-83BB-81A3985A0FDE}"/>
            </c:ext>
          </c:extLst>
        </c:ser>
        <c:ser>
          <c:idx val="20"/>
          <c:order val="20"/>
          <c:tx>
            <c:strRef>
              <c:f>'248'!$AK$34</c:f>
              <c:strCache>
                <c:ptCount val="1"/>
                <c:pt idx="0">
                  <c:v>Stg.4 Shroud Aft#7</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'248'!$AK$36:$AK$59</c:f>
              <c:numCache>
                <c:formatCode>General</c:formatCode>
                <c:ptCount val="24"/>
                <c:pt idx="18" formatCode="0.000">
                  <c:v>419.58691200045757</c:v>
                </c:pt>
                <c:pt idx="19" formatCode="0.000">
                  <c:v>419.58691200045757</c:v>
                </c:pt>
              </c:numCache>
            </c:numRef>
          </c:val>
          <c:extLst>
            <c:ext xmlns:c16="http://schemas.microsoft.com/office/drawing/2014/chart" uri="{C3380CC4-5D6E-409C-BE32-E72D297353CC}">
              <c16:uniqueId val="{00000014-DCF5-44EF-83BB-81A3985A0FDE}"/>
            </c:ext>
          </c:extLst>
        </c:ser>
        <c:ser>
          <c:idx val="21"/>
          <c:order val="21"/>
          <c:tx>
            <c:strRef>
              <c:f>'248'!$AL$34</c:f>
              <c:strCache>
                <c:ptCount val="1"/>
                <c:pt idx="0">
                  <c:v>Stg.4 Shroud Aft#6</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'248'!$AL$36:$AL$59</c:f>
              <c:numCache>
                <c:formatCode>General</c:formatCode>
                <c:ptCount val="24"/>
                <c:pt idx="19" formatCode="0.000">
                  <c:v>419.57875200170974</c:v>
                </c:pt>
                <c:pt idx="20" formatCode="0.000">
                  <c:v>419.57875200170974</c:v>
                </c:pt>
              </c:numCache>
            </c:numRef>
          </c:val>
          <c:extLst>
            <c:ext xmlns:c16="http://schemas.microsoft.com/office/drawing/2014/chart" uri="{C3380CC4-5D6E-409C-BE32-E72D297353CC}">
              <c16:uniqueId val="{00000015-DCF5-44EF-83BB-81A3985A0FDE}"/>
            </c:ext>
          </c:extLst>
        </c:ser>
        <c:ser>
          <c:idx val="22"/>
          <c:order val="22"/>
          <c:tx>
            <c:strRef>
              <c:f>'248'!$AM$34</c:f>
              <c:strCache>
                <c:ptCount val="1"/>
                <c:pt idx="0">
                  <c:v>Stg.4 Shroud Aft#5</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'248'!$AM$36:$AM$59</c:f>
              <c:numCache>
                <c:formatCode>General</c:formatCode>
                <c:ptCount val="24"/>
                <c:pt idx="20" formatCode="0.000">
                  <c:v>419.5353640035454</c:v>
                </c:pt>
                <c:pt idx="21" formatCode="0.000">
                  <c:v>419.5353640035454</c:v>
                </c:pt>
              </c:numCache>
            </c:numRef>
          </c:val>
          <c:extLst>
            <c:ext xmlns:c16="http://schemas.microsoft.com/office/drawing/2014/chart" uri="{C3380CC4-5D6E-409C-BE32-E72D297353CC}">
              <c16:uniqueId val="{00000016-DCF5-44EF-83BB-81A3985A0FDE}"/>
            </c:ext>
          </c:extLst>
        </c:ser>
        <c:ser>
          <c:idx val="23"/>
          <c:order val="23"/>
          <c:tx>
            <c:strRef>
              <c:f>'248'!$AN$34</c:f>
              <c:strCache>
                <c:ptCount val="1"/>
                <c:pt idx="0">
                  <c:v>Stg.4 Shroud Aft#4</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'248'!$AN$36:$AN$59</c:f>
              <c:numCache>
                <c:formatCode>General</c:formatCode>
                <c:ptCount val="24"/>
                <c:pt idx="21" formatCode="0.000">
                  <c:v>419.4741360029368</c:v>
                </c:pt>
                <c:pt idx="22" formatCode="0.000">
                  <c:v>419.4741360029368</c:v>
                </c:pt>
              </c:numCache>
            </c:numRef>
          </c:val>
          <c:extLst>
            <c:ext xmlns:c16="http://schemas.microsoft.com/office/drawing/2014/chart" uri="{C3380CC4-5D6E-409C-BE32-E72D297353CC}">
              <c16:uniqueId val="{00000017-DCF5-44EF-83BB-81A3985A0FDE}"/>
            </c:ext>
          </c:extLst>
        </c:ser>
        <c:ser>
          <c:idx val="24"/>
          <c:order val="24"/>
          <c:tx>
            <c:strRef>
              <c:f>'248'!$AO$34</c:f>
              <c:strCache>
                <c:ptCount val="1"/>
                <c:pt idx="0">
                  <c:v>Stg.4 Shroud Aft#3</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'248'!$AO$36:$AO$59</c:f>
              <c:numCache>
                <c:formatCode>General</c:formatCode>
                <c:ptCount val="24"/>
                <c:pt idx="22" formatCode="0.000">
                  <c:v>419.43106406682102</c:v>
                </c:pt>
                <c:pt idx="23" formatCode="0.000">
                  <c:v>419.43106406682102</c:v>
                </c:pt>
              </c:numCache>
            </c:numRef>
          </c:val>
          <c:extLst>
            <c:ext xmlns:c16="http://schemas.microsoft.com/office/drawing/2014/chart" uri="{C3380CC4-5D6E-409C-BE32-E72D297353CC}">
              <c16:uniqueId val="{00000018-DCF5-44EF-83BB-81A3985A0FDE}"/>
            </c:ext>
          </c:extLst>
        </c:ser>
        <c:ser>
          <c:idx val="25"/>
          <c:order val="25"/>
          <c:tx>
            <c:strRef>
              <c:f>'248'!$AP$34</c:f>
              <c:strCache>
                <c:ptCount val="1"/>
                <c:pt idx="0">
                  <c:v>Stg.4 Shroud Aft#2</c:v>
                </c:pt>
              </c:strCache>
            </c:strRef>
          </c:tx>
          <c:marker>
            <c:symbol val="none"/>
          </c:marker>
          <c:cat>
            <c:numRef>
              <c:f>'248'!$J$36:$J$59</c:f>
              <c:numCache>
                <c:formatCode>General</c:formatCode>
                <c:ptCount val="24"/>
                <c:pt idx="0">
                  <c:v>1</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numCache>
            </c:numRef>
          </c:cat>
          <c:val>
            <c:numRef>
              <c:f>'248'!$AP$36:$AP$59</c:f>
              <c:numCache>
                <c:formatCode>General</c:formatCode>
                <c:ptCount val="24"/>
                <c:pt idx="0" formatCode="0.000">
                  <c:v>419.43679083090132</c:v>
                </c:pt>
                <c:pt idx="23" formatCode="0.000">
                  <c:v>419.43679083090132</c:v>
                </c:pt>
              </c:numCache>
            </c:numRef>
          </c:val>
          <c:extLst>
            <c:ext xmlns:c16="http://schemas.microsoft.com/office/drawing/2014/chart" uri="{C3380CC4-5D6E-409C-BE32-E72D297353CC}">
              <c16:uniqueId val="{00000019-DCF5-44EF-83BB-81A3985A0FDE}"/>
            </c:ext>
          </c:extLst>
        </c:ser>
        <c:dLbls>
          <c:showLegendKey val="0"/>
          <c:showVal val="0"/>
          <c:showCatName val="0"/>
          <c:showSerName val="0"/>
          <c:showPercent val="0"/>
          <c:showBubbleSize val="0"/>
        </c:dLbls>
        <c:axId val="183030784"/>
        <c:axId val="183380224"/>
      </c:radarChart>
      <c:catAx>
        <c:axId val="18303078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3380224"/>
        <c:crosses val="autoZero"/>
        <c:auto val="1"/>
        <c:lblAlgn val="ctr"/>
        <c:lblOffset val="100"/>
        <c:noMultiLvlLbl val="0"/>
      </c:catAx>
      <c:valAx>
        <c:axId val="183380224"/>
        <c:scaling>
          <c:orientation val="minMax"/>
          <c:min val="419.35"/>
        </c:scaling>
        <c:delete val="0"/>
        <c:axPos val="l"/>
        <c:majorGridlines/>
        <c:numFmt formatCode="General" sourceLinked="1"/>
        <c:majorTickMark val="cross"/>
        <c:minorTickMark val="none"/>
        <c:tickLblPos val="nextTo"/>
        <c:txPr>
          <a:bodyPr/>
          <a:lstStyle/>
          <a:p>
            <a:pPr>
              <a:defRPr lang="ja-JP"/>
            </a:pPr>
            <a:endParaRPr lang="en-US"/>
          </a:p>
        </c:txPr>
        <c:crossAx val="183030784"/>
        <c:crosses val="autoZero"/>
        <c:crossBetween val="between"/>
        <c:majorUnit val="5.000000000000001E-2"/>
      </c:valAx>
    </c:plotArea>
    <c:legend>
      <c:legendPos val="r"/>
      <c:layout>
        <c:manualLayout>
          <c:xMode val="edge"/>
          <c:yMode val="edge"/>
          <c:x val="0.75693143452628542"/>
          <c:y val="0"/>
          <c:w val="0.23186856312200801"/>
          <c:h val="1"/>
        </c:manualLayout>
      </c:layout>
      <c:overlay val="0"/>
      <c:txPr>
        <a:bodyPr/>
        <a:lstStyle/>
        <a:p>
          <a:pPr>
            <a:defRPr lang="ja-JP" sz="7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4" Type="http://schemas.openxmlformats.org/officeDocument/2006/relationships/chart" Target="../charts/chart2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 Id="rId4" Type="http://schemas.openxmlformats.org/officeDocument/2006/relationships/chart" Target="../charts/chart3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chart" Target="../charts/chart36.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chart" Target="../charts/chart39.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47.xml"/><Relationship Id="rId2" Type="http://schemas.openxmlformats.org/officeDocument/2006/relationships/chart" Target="../charts/chart46.xml"/><Relationship Id="rId1" Type="http://schemas.openxmlformats.org/officeDocument/2006/relationships/chart" Target="../charts/chart45.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chart" Target="../charts/chart48.xml"/><Relationship Id="rId4" Type="http://schemas.openxmlformats.org/officeDocument/2006/relationships/chart" Target="../charts/chart51.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s>
</file>

<file path=xl/drawings/_rels/drawing21.xml.rels><?xml version="1.0" encoding="UTF-8" standalone="yes"?>
<Relationships xmlns="http://schemas.openxmlformats.org/package/2006/relationships"><Relationship Id="rId8" Type="http://schemas.openxmlformats.org/officeDocument/2006/relationships/chart" Target="../charts/chart65.xml"/><Relationship Id="rId3" Type="http://schemas.openxmlformats.org/officeDocument/2006/relationships/chart" Target="../charts/chart60.xml"/><Relationship Id="rId7" Type="http://schemas.openxmlformats.org/officeDocument/2006/relationships/chart" Target="../charts/chart64.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chart" Target="../charts/chart63.xml"/><Relationship Id="rId5" Type="http://schemas.openxmlformats.org/officeDocument/2006/relationships/chart" Target="../charts/chart62.xml"/><Relationship Id="rId4" Type="http://schemas.openxmlformats.org/officeDocument/2006/relationships/chart" Target="../charts/chart61.xml"/></Relationships>
</file>

<file path=xl/drawings/_rels/drawing22.xml.rels><?xml version="1.0" encoding="UTF-8" standalone="yes"?>
<Relationships xmlns="http://schemas.openxmlformats.org/package/2006/relationships"><Relationship Id="rId13" Type="http://schemas.openxmlformats.org/officeDocument/2006/relationships/chart" Target="../charts/chart78.xml"/><Relationship Id="rId18" Type="http://schemas.openxmlformats.org/officeDocument/2006/relationships/chart" Target="../charts/chart83.xml"/><Relationship Id="rId26" Type="http://schemas.openxmlformats.org/officeDocument/2006/relationships/image" Target="../media/image7.emf"/><Relationship Id="rId39" Type="http://schemas.openxmlformats.org/officeDocument/2006/relationships/chart" Target="../charts/chart96.xml"/><Relationship Id="rId21" Type="http://schemas.openxmlformats.org/officeDocument/2006/relationships/chart" Target="../charts/chart84.xml"/><Relationship Id="rId34" Type="http://schemas.openxmlformats.org/officeDocument/2006/relationships/chart" Target="../charts/chart93.xml"/><Relationship Id="rId42" Type="http://schemas.openxmlformats.org/officeDocument/2006/relationships/chart" Target="../charts/chart99.xml"/><Relationship Id="rId47" Type="http://schemas.openxmlformats.org/officeDocument/2006/relationships/chart" Target="../charts/chart103.xml"/><Relationship Id="rId50" Type="http://schemas.openxmlformats.org/officeDocument/2006/relationships/chart" Target="../charts/chart105.xml"/><Relationship Id="rId55" Type="http://schemas.openxmlformats.org/officeDocument/2006/relationships/chart" Target="../charts/chart108.xml"/><Relationship Id="rId7" Type="http://schemas.openxmlformats.org/officeDocument/2006/relationships/chart" Target="../charts/chart72.xml"/><Relationship Id="rId2" Type="http://schemas.openxmlformats.org/officeDocument/2006/relationships/chart" Target="../charts/chart67.xml"/><Relationship Id="rId16" Type="http://schemas.openxmlformats.org/officeDocument/2006/relationships/chart" Target="../charts/chart81.xml"/><Relationship Id="rId29" Type="http://schemas.openxmlformats.org/officeDocument/2006/relationships/chart" Target="../charts/chart90.xml"/><Relationship Id="rId11" Type="http://schemas.openxmlformats.org/officeDocument/2006/relationships/chart" Target="../charts/chart76.xml"/><Relationship Id="rId24" Type="http://schemas.openxmlformats.org/officeDocument/2006/relationships/chart" Target="../charts/chart87.xml"/><Relationship Id="rId32" Type="http://schemas.openxmlformats.org/officeDocument/2006/relationships/image" Target="../media/image9.emf"/><Relationship Id="rId37" Type="http://schemas.openxmlformats.org/officeDocument/2006/relationships/image" Target="../media/image10.emf"/><Relationship Id="rId40" Type="http://schemas.openxmlformats.org/officeDocument/2006/relationships/chart" Target="../charts/chart97.xml"/><Relationship Id="rId45" Type="http://schemas.openxmlformats.org/officeDocument/2006/relationships/chart" Target="../charts/chart101.xml"/><Relationship Id="rId53" Type="http://schemas.openxmlformats.org/officeDocument/2006/relationships/image" Target="../media/image14.emf"/><Relationship Id="rId58" Type="http://schemas.openxmlformats.org/officeDocument/2006/relationships/chart" Target="../charts/chart111.xml"/><Relationship Id="rId5" Type="http://schemas.openxmlformats.org/officeDocument/2006/relationships/chart" Target="../charts/chart70.xml"/><Relationship Id="rId19" Type="http://schemas.openxmlformats.org/officeDocument/2006/relationships/image" Target="../media/image4.emf"/><Relationship Id="rId4" Type="http://schemas.openxmlformats.org/officeDocument/2006/relationships/chart" Target="../charts/chart69.xml"/><Relationship Id="rId9" Type="http://schemas.openxmlformats.org/officeDocument/2006/relationships/chart" Target="../charts/chart74.xml"/><Relationship Id="rId14" Type="http://schemas.openxmlformats.org/officeDocument/2006/relationships/chart" Target="../charts/chart79.xml"/><Relationship Id="rId22" Type="http://schemas.openxmlformats.org/officeDocument/2006/relationships/chart" Target="../charts/chart85.xml"/><Relationship Id="rId27" Type="http://schemas.openxmlformats.org/officeDocument/2006/relationships/chart" Target="../charts/chart88.xml"/><Relationship Id="rId30" Type="http://schemas.openxmlformats.org/officeDocument/2006/relationships/chart" Target="../charts/chart91.xml"/><Relationship Id="rId35" Type="http://schemas.openxmlformats.org/officeDocument/2006/relationships/chart" Target="../charts/chart94.xml"/><Relationship Id="rId43" Type="http://schemas.openxmlformats.org/officeDocument/2006/relationships/image" Target="../media/image12.emf"/><Relationship Id="rId48" Type="http://schemas.openxmlformats.org/officeDocument/2006/relationships/image" Target="../media/image13.emf"/><Relationship Id="rId56" Type="http://schemas.openxmlformats.org/officeDocument/2006/relationships/chart" Target="../charts/chart109.xml"/><Relationship Id="rId8" Type="http://schemas.openxmlformats.org/officeDocument/2006/relationships/chart" Target="../charts/chart73.xml"/><Relationship Id="rId51" Type="http://schemas.openxmlformats.org/officeDocument/2006/relationships/chart" Target="../charts/chart106.xml"/><Relationship Id="rId3" Type="http://schemas.openxmlformats.org/officeDocument/2006/relationships/chart" Target="../charts/chart68.xml"/><Relationship Id="rId12" Type="http://schemas.openxmlformats.org/officeDocument/2006/relationships/chart" Target="../charts/chart77.xml"/><Relationship Id="rId17" Type="http://schemas.openxmlformats.org/officeDocument/2006/relationships/chart" Target="../charts/chart82.xml"/><Relationship Id="rId25" Type="http://schemas.openxmlformats.org/officeDocument/2006/relationships/image" Target="../media/image6.emf"/><Relationship Id="rId33" Type="http://schemas.openxmlformats.org/officeDocument/2006/relationships/chart" Target="../charts/chart92.xml"/><Relationship Id="rId38" Type="http://schemas.openxmlformats.org/officeDocument/2006/relationships/image" Target="../media/image11.emf"/><Relationship Id="rId46" Type="http://schemas.openxmlformats.org/officeDocument/2006/relationships/chart" Target="../charts/chart102.xml"/><Relationship Id="rId59" Type="http://schemas.openxmlformats.org/officeDocument/2006/relationships/image" Target="../media/image16.emf"/><Relationship Id="rId20" Type="http://schemas.openxmlformats.org/officeDocument/2006/relationships/image" Target="../media/image5.emf"/><Relationship Id="rId41" Type="http://schemas.openxmlformats.org/officeDocument/2006/relationships/chart" Target="../charts/chart98.xml"/><Relationship Id="rId54" Type="http://schemas.openxmlformats.org/officeDocument/2006/relationships/image" Target="../media/image15.emf"/><Relationship Id="rId1" Type="http://schemas.openxmlformats.org/officeDocument/2006/relationships/chart" Target="../charts/chart66.xml"/><Relationship Id="rId6" Type="http://schemas.openxmlformats.org/officeDocument/2006/relationships/chart" Target="../charts/chart71.xml"/><Relationship Id="rId15" Type="http://schemas.openxmlformats.org/officeDocument/2006/relationships/chart" Target="../charts/chart80.xml"/><Relationship Id="rId23" Type="http://schemas.openxmlformats.org/officeDocument/2006/relationships/chart" Target="../charts/chart86.xml"/><Relationship Id="rId28" Type="http://schemas.openxmlformats.org/officeDocument/2006/relationships/chart" Target="../charts/chart89.xml"/><Relationship Id="rId36" Type="http://schemas.openxmlformats.org/officeDocument/2006/relationships/chart" Target="../charts/chart95.xml"/><Relationship Id="rId49" Type="http://schemas.openxmlformats.org/officeDocument/2006/relationships/chart" Target="../charts/chart104.xml"/><Relationship Id="rId57" Type="http://schemas.openxmlformats.org/officeDocument/2006/relationships/chart" Target="../charts/chart110.xml"/><Relationship Id="rId10" Type="http://schemas.openxmlformats.org/officeDocument/2006/relationships/chart" Target="../charts/chart75.xml"/><Relationship Id="rId31" Type="http://schemas.openxmlformats.org/officeDocument/2006/relationships/image" Target="../media/image8.emf"/><Relationship Id="rId44" Type="http://schemas.openxmlformats.org/officeDocument/2006/relationships/chart" Target="../charts/chart100.xml"/><Relationship Id="rId52" Type="http://schemas.openxmlformats.org/officeDocument/2006/relationships/chart" Target="../charts/chart107.xml"/></Relationships>
</file>

<file path=xl/drawings/_rels/vmlDrawing15.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editAs="oneCell">
    <xdr:from>
      <xdr:col>1</xdr:col>
      <xdr:colOff>577850</xdr:colOff>
      <xdr:row>22</xdr:row>
      <xdr:rowOff>87920</xdr:rowOff>
    </xdr:from>
    <xdr:to>
      <xdr:col>10</xdr:col>
      <xdr:colOff>441244</xdr:colOff>
      <xdr:row>44</xdr:row>
      <xdr:rowOff>57150</xdr:rowOff>
    </xdr:to>
    <xdr:pic>
      <xdr:nvPicPr>
        <xdr:cNvPr id="2" name="図 1">
          <a:extLst>
            <a:ext uri="{FF2B5EF4-FFF2-40B4-BE49-F238E27FC236}">
              <a16:creationId xmlns:a16="http://schemas.microsoft.com/office/drawing/2014/main" id="{DADBAE05-5D16-445D-A482-41AB2EC44CCA}"/>
            </a:ext>
          </a:extLst>
        </xdr:cNvPr>
        <xdr:cNvPicPr>
          <a:picLocks noChangeAspect="1"/>
        </xdr:cNvPicPr>
      </xdr:nvPicPr>
      <xdr:blipFill>
        <a:blip xmlns:r="http://schemas.openxmlformats.org/officeDocument/2006/relationships" r:embed="rId1"/>
        <a:stretch>
          <a:fillRect/>
        </a:stretch>
      </xdr:blipFill>
      <xdr:spPr>
        <a:xfrm>
          <a:off x="1187450" y="3999520"/>
          <a:ext cx="5438694" cy="3880830"/>
        </a:xfrm>
        <a:prstGeom prst="rect">
          <a:avLst/>
        </a:prstGeom>
      </xdr:spPr>
    </xdr:pic>
    <xdr:clientData/>
  </xdr:twoCellAnchor>
  <xdr:twoCellAnchor editAs="oneCell">
    <xdr:from>
      <xdr:col>1</xdr:col>
      <xdr:colOff>546100</xdr:colOff>
      <xdr:row>46</xdr:row>
      <xdr:rowOff>55696</xdr:rowOff>
    </xdr:from>
    <xdr:to>
      <xdr:col>10</xdr:col>
      <xdr:colOff>463550</xdr:colOff>
      <xdr:row>68</xdr:row>
      <xdr:rowOff>63499</xdr:rowOff>
    </xdr:to>
    <xdr:pic>
      <xdr:nvPicPr>
        <xdr:cNvPr id="3" name="図 2">
          <a:extLst>
            <a:ext uri="{FF2B5EF4-FFF2-40B4-BE49-F238E27FC236}">
              <a16:creationId xmlns:a16="http://schemas.microsoft.com/office/drawing/2014/main" id="{CFB4C7CB-A7C7-4EA8-8E6B-DFCDC0664A4D}"/>
            </a:ext>
          </a:extLst>
        </xdr:cNvPr>
        <xdr:cNvPicPr>
          <a:picLocks noChangeAspect="1"/>
        </xdr:cNvPicPr>
      </xdr:nvPicPr>
      <xdr:blipFill>
        <a:blip xmlns:r="http://schemas.openxmlformats.org/officeDocument/2006/relationships" r:embed="rId2"/>
        <a:stretch>
          <a:fillRect/>
        </a:stretch>
      </xdr:blipFill>
      <xdr:spPr>
        <a:xfrm>
          <a:off x="1155700" y="8234496"/>
          <a:ext cx="5492750" cy="3919403"/>
        </a:xfrm>
        <a:prstGeom prst="rect">
          <a:avLst/>
        </a:prstGeom>
      </xdr:spPr>
    </xdr:pic>
    <xdr:clientData/>
  </xdr:twoCellAnchor>
  <xdr:twoCellAnchor editAs="oneCell">
    <xdr:from>
      <xdr:col>1</xdr:col>
      <xdr:colOff>438150</xdr:colOff>
      <xdr:row>12</xdr:row>
      <xdr:rowOff>76200</xdr:rowOff>
    </xdr:from>
    <xdr:to>
      <xdr:col>10</xdr:col>
      <xdr:colOff>113579</xdr:colOff>
      <xdr:row>18</xdr:row>
      <xdr:rowOff>171302</xdr:rowOff>
    </xdr:to>
    <xdr:pic>
      <xdr:nvPicPr>
        <xdr:cNvPr id="4" name="図 3">
          <a:extLst>
            <a:ext uri="{FF2B5EF4-FFF2-40B4-BE49-F238E27FC236}">
              <a16:creationId xmlns:a16="http://schemas.microsoft.com/office/drawing/2014/main" id="{82BC05CF-B61A-4E8B-B533-4DC0F4E8E108}"/>
            </a:ext>
          </a:extLst>
        </xdr:cNvPr>
        <xdr:cNvPicPr>
          <a:picLocks noChangeAspect="1"/>
        </xdr:cNvPicPr>
      </xdr:nvPicPr>
      <xdr:blipFill>
        <a:blip xmlns:r="http://schemas.openxmlformats.org/officeDocument/2006/relationships" r:embed="rId3"/>
        <a:stretch>
          <a:fillRect/>
        </a:stretch>
      </xdr:blipFill>
      <xdr:spPr>
        <a:xfrm>
          <a:off x="1104900" y="2247900"/>
          <a:ext cx="5771429" cy="11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8</xdr:col>
      <xdr:colOff>0</xdr:colOff>
      <xdr:row>55</xdr:row>
      <xdr:rowOff>0</xdr:rowOff>
    </xdr:from>
    <xdr:ext cx="6123600" cy="5129893"/>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18</xdr:col>
      <xdr:colOff>0</xdr:colOff>
      <xdr:row>55</xdr:row>
      <xdr:rowOff>0</xdr:rowOff>
    </xdr:from>
    <xdr:ext cx="6803572" cy="5129893"/>
    <xdr:graphicFrame macro="">
      <xdr:nvGraphicFramePr>
        <xdr:cNvPr id="3" name="グラフ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wsDr>
</file>

<file path=xl/drawings/drawing3.xml><?xml version="1.0" encoding="utf-8"?>
<xdr:wsDr xmlns:xdr="http://schemas.openxmlformats.org/drawingml/2006/spreadsheetDrawing" xmlns:a="http://schemas.openxmlformats.org/drawingml/2006/main">
  <xdr:twoCellAnchor editAs="oneCell">
    <xdr:from>
      <xdr:col>8</xdr:col>
      <xdr:colOff>0</xdr:colOff>
      <xdr:row>55</xdr:row>
      <xdr:rowOff>0</xdr:rowOff>
    </xdr:from>
    <xdr:to>
      <xdr:col>17</xdr:col>
      <xdr:colOff>0</xdr:colOff>
      <xdr:row>84</xdr:row>
      <xdr:rowOff>0</xdr:rowOff>
    </xdr:to>
    <xdr:graphicFrame macro="">
      <xdr:nvGraphicFramePr>
        <xdr:cNvPr id="2" name="グラフ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55</xdr:row>
      <xdr:rowOff>0</xdr:rowOff>
    </xdr:from>
    <xdr:to>
      <xdr:col>28</xdr:col>
      <xdr:colOff>0</xdr:colOff>
      <xdr:row>84</xdr:row>
      <xdr:rowOff>0</xdr:rowOff>
    </xdr:to>
    <xdr:graphicFrame macro="">
      <xdr:nvGraphicFramePr>
        <xdr:cNvPr id="3" name="グラフ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0</xdr:colOff>
      <xdr:row>55</xdr:row>
      <xdr:rowOff>0</xdr:rowOff>
    </xdr:from>
    <xdr:to>
      <xdr:col>39</xdr:col>
      <xdr:colOff>0</xdr:colOff>
      <xdr:row>84</xdr:row>
      <xdr:rowOff>0</xdr:rowOff>
    </xdr:to>
    <xdr:graphicFrame macro="">
      <xdr:nvGraphicFramePr>
        <xdr:cNvPr id="4" name="グラフ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72</xdr:row>
      <xdr:rowOff>176892</xdr:rowOff>
    </xdr:from>
    <xdr:to>
      <xdr:col>22</xdr:col>
      <xdr:colOff>0</xdr:colOff>
      <xdr:row>116</xdr:row>
      <xdr:rowOff>-1</xdr:rowOff>
    </xdr:to>
    <xdr:graphicFrame macro="">
      <xdr:nvGraphicFramePr>
        <xdr:cNvPr id="2" name="グラフ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0</xdr:colOff>
      <xdr:row>73</xdr:row>
      <xdr:rowOff>0</xdr:rowOff>
    </xdr:from>
    <xdr:to>
      <xdr:col>38</xdr:col>
      <xdr:colOff>0</xdr:colOff>
      <xdr:row>116</xdr:row>
      <xdr:rowOff>0</xdr:rowOff>
    </xdr:to>
    <xdr:graphicFrame macro="">
      <xdr:nvGraphicFramePr>
        <xdr:cNvPr id="3" name="グラフ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55</xdr:row>
      <xdr:rowOff>0</xdr:rowOff>
    </xdr:from>
    <xdr:to>
      <xdr:col>18</xdr:col>
      <xdr:colOff>1</xdr:colOff>
      <xdr:row>84</xdr:row>
      <xdr:rowOff>2721</xdr:rowOff>
    </xdr:to>
    <xdr:graphicFrame macro="">
      <xdr:nvGraphicFramePr>
        <xdr:cNvPr id="2" name="グラフ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xdr:colOff>
      <xdr:row>55</xdr:row>
      <xdr:rowOff>0</xdr:rowOff>
    </xdr:from>
    <xdr:to>
      <xdr:col>29</xdr:col>
      <xdr:colOff>1360</xdr:colOff>
      <xdr:row>84</xdr:row>
      <xdr:rowOff>0</xdr:rowOff>
    </xdr:to>
    <xdr:graphicFrame macro="">
      <xdr:nvGraphicFramePr>
        <xdr:cNvPr id="3" name="グラフ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0</xdr:colOff>
      <xdr:row>7</xdr:row>
      <xdr:rowOff>176892</xdr:rowOff>
    </xdr:from>
    <xdr:to>
      <xdr:col>31</xdr:col>
      <xdr:colOff>0</xdr:colOff>
      <xdr:row>29</xdr:row>
      <xdr:rowOff>0</xdr:rowOff>
    </xdr:to>
    <xdr:graphicFrame macro="">
      <xdr:nvGraphicFramePr>
        <xdr:cNvPr id="4" name="グラフ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1</xdr:colOff>
      <xdr:row>8</xdr:row>
      <xdr:rowOff>0</xdr:rowOff>
    </xdr:from>
    <xdr:to>
      <xdr:col>36</xdr:col>
      <xdr:colOff>0</xdr:colOff>
      <xdr:row>29</xdr:row>
      <xdr:rowOff>1</xdr:rowOff>
    </xdr:to>
    <xdr:graphicFrame macro="">
      <xdr:nvGraphicFramePr>
        <xdr:cNvPr id="5" name="グラフ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72</xdr:row>
      <xdr:rowOff>176892</xdr:rowOff>
    </xdr:from>
    <xdr:to>
      <xdr:col>22</xdr:col>
      <xdr:colOff>0</xdr:colOff>
      <xdr:row>116</xdr:row>
      <xdr:rowOff>-1</xdr:rowOff>
    </xdr:to>
    <xdr:graphicFrame macro="">
      <xdr:nvGraphicFramePr>
        <xdr:cNvPr id="2" name="グラフ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0</xdr:colOff>
      <xdr:row>73</xdr:row>
      <xdr:rowOff>0</xdr:rowOff>
    </xdr:from>
    <xdr:to>
      <xdr:col>38</xdr:col>
      <xdr:colOff>0</xdr:colOff>
      <xdr:row>116</xdr:row>
      <xdr:rowOff>0</xdr:rowOff>
    </xdr:to>
    <xdr:graphicFrame macro="">
      <xdr:nvGraphicFramePr>
        <xdr:cNvPr id="3" name="グラフ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39</xdr:col>
      <xdr:colOff>-1</xdr:colOff>
      <xdr:row>73</xdr:row>
      <xdr:rowOff>0</xdr:rowOff>
    </xdr:from>
    <xdr:to>
      <xdr:col>54</xdr:col>
      <xdr:colOff>5442</xdr:colOff>
      <xdr:row>116</xdr:row>
      <xdr:rowOff>0</xdr:rowOff>
    </xdr:to>
    <xdr:graphicFrame macro="">
      <xdr:nvGraphicFramePr>
        <xdr:cNvPr id="4" name="グラフ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0</xdr:colOff>
      <xdr:row>55</xdr:row>
      <xdr:rowOff>0</xdr:rowOff>
    </xdr:from>
    <xdr:to>
      <xdr:col>18</xdr:col>
      <xdr:colOff>1</xdr:colOff>
      <xdr:row>84</xdr:row>
      <xdr:rowOff>0</xdr:rowOff>
    </xdr:to>
    <xdr:graphicFrame macro="">
      <xdr:nvGraphicFramePr>
        <xdr:cNvPr id="2" name="グラフ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xdr:colOff>
      <xdr:row>55</xdr:row>
      <xdr:rowOff>0</xdr:rowOff>
    </xdr:from>
    <xdr:to>
      <xdr:col>29</xdr:col>
      <xdr:colOff>1360</xdr:colOff>
      <xdr:row>84</xdr:row>
      <xdr:rowOff>0</xdr:rowOff>
    </xdr:to>
    <xdr:graphicFrame macro="">
      <xdr:nvGraphicFramePr>
        <xdr:cNvPr id="3" name="グラフ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0</xdr:colOff>
      <xdr:row>55</xdr:row>
      <xdr:rowOff>0</xdr:rowOff>
    </xdr:from>
    <xdr:to>
      <xdr:col>40</xdr:col>
      <xdr:colOff>1</xdr:colOff>
      <xdr:row>84</xdr:row>
      <xdr:rowOff>0</xdr:rowOff>
    </xdr:to>
    <xdr:graphicFrame macro="">
      <xdr:nvGraphicFramePr>
        <xdr:cNvPr id="4" name="グラフ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0</xdr:colOff>
      <xdr:row>60</xdr:row>
      <xdr:rowOff>0</xdr:rowOff>
    </xdr:from>
    <xdr:to>
      <xdr:col>22</xdr:col>
      <xdr:colOff>0</xdr:colOff>
      <xdr:row>103</xdr:row>
      <xdr:rowOff>0</xdr:rowOff>
    </xdr:to>
    <xdr:graphicFrame macro="">
      <xdr:nvGraphicFramePr>
        <xdr:cNvPr id="2" name="グラフ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0</xdr:colOff>
      <xdr:row>60</xdr:row>
      <xdr:rowOff>0</xdr:rowOff>
    </xdr:from>
    <xdr:to>
      <xdr:col>38</xdr:col>
      <xdr:colOff>0</xdr:colOff>
      <xdr:row>103</xdr:row>
      <xdr:rowOff>0</xdr:rowOff>
    </xdr:to>
    <xdr:graphicFrame macro="">
      <xdr:nvGraphicFramePr>
        <xdr:cNvPr id="3" name="グラフ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9</xdr:col>
      <xdr:colOff>0</xdr:colOff>
      <xdr:row>60</xdr:row>
      <xdr:rowOff>0</xdr:rowOff>
    </xdr:from>
    <xdr:to>
      <xdr:col>17</xdr:col>
      <xdr:colOff>580571</xdr:colOff>
      <xdr:row>89</xdr:row>
      <xdr:rowOff>1</xdr:rowOff>
    </xdr:to>
    <xdr:graphicFrame macro="">
      <xdr:nvGraphicFramePr>
        <xdr:cNvPr id="2" name="グラフ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0</xdr:colOff>
      <xdr:row>60</xdr:row>
      <xdr:rowOff>0</xdr:rowOff>
    </xdr:from>
    <xdr:to>
      <xdr:col>29</xdr:col>
      <xdr:colOff>0</xdr:colOff>
      <xdr:row>89</xdr:row>
      <xdr:rowOff>0</xdr:rowOff>
    </xdr:to>
    <xdr:graphicFrame macro="">
      <xdr:nvGraphicFramePr>
        <xdr:cNvPr id="3" name="グラフ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680356</xdr:colOff>
      <xdr:row>8</xdr:row>
      <xdr:rowOff>0</xdr:rowOff>
    </xdr:from>
    <xdr:to>
      <xdr:col>31</xdr:col>
      <xdr:colOff>0</xdr:colOff>
      <xdr:row>29</xdr:row>
      <xdr:rowOff>0</xdr:rowOff>
    </xdr:to>
    <xdr:graphicFrame macro="">
      <xdr:nvGraphicFramePr>
        <xdr:cNvPr id="4" name="グラフ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0</xdr:colOff>
      <xdr:row>8</xdr:row>
      <xdr:rowOff>0</xdr:rowOff>
    </xdr:from>
    <xdr:to>
      <xdr:col>35</xdr:col>
      <xdr:colOff>680356</xdr:colOff>
      <xdr:row>29</xdr:row>
      <xdr:rowOff>1</xdr:rowOff>
    </xdr:to>
    <xdr:graphicFrame macro="">
      <xdr:nvGraphicFramePr>
        <xdr:cNvPr id="5" name="グラフ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60</xdr:row>
      <xdr:rowOff>0</xdr:rowOff>
    </xdr:from>
    <xdr:to>
      <xdr:col>22</xdr:col>
      <xdr:colOff>0</xdr:colOff>
      <xdr:row>103</xdr:row>
      <xdr:rowOff>0</xdr:rowOff>
    </xdr:to>
    <xdr:graphicFrame macro="">
      <xdr:nvGraphicFramePr>
        <xdr:cNvPr id="2" name="グラフ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0</xdr:colOff>
      <xdr:row>60</xdr:row>
      <xdr:rowOff>0</xdr:rowOff>
    </xdr:from>
    <xdr:to>
      <xdr:col>38</xdr:col>
      <xdr:colOff>0</xdr:colOff>
      <xdr:row>103</xdr:row>
      <xdr:rowOff>0</xdr:rowOff>
    </xdr:to>
    <xdr:graphicFrame macro="">
      <xdr:nvGraphicFramePr>
        <xdr:cNvPr id="3" name="グラフ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39</xdr:col>
      <xdr:colOff>-1</xdr:colOff>
      <xdr:row>60</xdr:row>
      <xdr:rowOff>0</xdr:rowOff>
    </xdr:from>
    <xdr:to>
      <xdr:col>54</xdr:col>
      <xdr:colOff>5442</xdr:colOff>
      <xdr:row>103</xdr:row>
      <xdr:rowOff>0</xdr:rowOff>
    </xdr:to>
    <xdr:graphicFrame macro="">
      <xdr:nvGraphicFramePr>
        <xdr:cNvPr id="4" name="グラフ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0</xdr:colOff>
      <xdr:row>60</xdr:row>
      <xdr:rowOff>0</xdr:rowOff>
    </xdr:from>
    <xdr:to>
      <xdr:col>18</xdr:col>
      <xdr:colOff>1</xdr:colOff>
      <xdr:row>89</xdr:row>
      <xdr:rowOff>0</xdr:rowOff>
    </xdr:to>
    <xdr:graphicFrame macro="">
      <xdr:nvGraphicFramePr>
        <xdr:cNvPr id="2" name="グラフ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0</xdr:colOff>
      <xdr:row>60</xdr:row>
      <xdr:rowOff>0</xdr:rowOff>
    </xdr:from>
    <xdr:to>
      <xdr:col>28</xdr:col>
      <xdr:colOff>598713</xdr:colOff>
      <xdr:row>89</xdr:row>
      <xdr:rowOff>0</xdr:rowOff>
    </xdr:to>
    <xdr:graphicFrame macro="">
      <xdr:nvGraphicFramePr>
        <xdr:cNvPr id="3" name="グラフ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0</xdr:colOff>
      <xdr:row>60</xdr:row>
      <xdr:rowOff>0</xdr:rowOff>
    </xdr:from>
    <xdr:to>
      <xdr:col>40</xdr:col>
      <xdr:colOff>1</xdr:colOff>
      <xdr:row>89</xdr:row>
      <xdr:rowOff>0</xdr:rowOff>
    </xdr:to>
    <xdr:graphicFrame macro="">
      <xdr:nvGraphicFramePr>
        <xdr:cNvPr id="4" name="グラフ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9</xdr:col>
      <xdr:colOff>0</xdr:colOff>
      <xdr:row>61</xdr:row>
      <xdr:rowOff>0</xdr:rowOff>
    </xdr:from>
    <xdr:to>
      <xdr:col>18</xdr:col>
      <xdr:colOff>0</xdr:colOff>
      <xdr:row>90</xdr:row>
      <xdr:rowOff>0</xdr:rowOff>
    </xdr:to>
    <xdr:graphicFrame macro="">
      <xdr:nvGraphicFramePr>
        <xdr:cNvPr id="2" name="グラフ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0</xdr:colOff>
      <xdr:row>61</xdr:row>
      <xdr:rowOff>1</xdr:rowOff>
    </xdr:from>
    <xdr:to>
      <xdr:col>29</xdr:col>
      <xdr:colOff>0</xdr:colOff>
      <xdr:row>90</xdr:row>
      <xdr:rowOff>1</xdr:rowOff>
    </xdr:to>
    <xdr:graphicFrame macro="">
      <xdr:nvGraphicFramePr>
        <xdr:cNvPr id="3" name="グラフ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0</xdr:colOff>
      <xdr:row>61</xdr:row>
      <xdr:rowOff>1</xdr:rowOff>
    </xdr:from>
    <xdr:to>
      <xdr:col>18</xdr:col>
      <xdr:colOff>0</xdr:colOff>
      <xdr:row>90</xdr:row>
      <xdr:rowOff>1</xdr:rowOff>
    </xdr:to>
    <xdr:graphicFrame macro="">
      <xdr:nvGraphicFramePr>
        <xdr:cNvPr id="2" name="グラフ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xdr:colOff>
      <xdr:row>61</xdr:row>
      <xdr:rowOff>1</xdr:rowOff>
    </xdr:from>
    <xdr:to>
      <xdr:col>29</xdr:col>
      <xdr:colOff>1</xdr:colOff>
      <xdr:row>90</xdr:row>
      <xdr:rowOff>0</xdr:rowOff>
    </xdr:to>
    <xdr:graphicFrame macro="">
      <xdr:nvGraphicFramePr>
        <xdr:cNvPr id="3" name="グラフ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0</xdr:colOff>
      <xdr:row>8</xdr:row>
      <xdr:rowOff>0</xdr:rowOff>
    </xdr:from>
    <xdr:to>
      <xdr:col>31</xdr:col>
      <xdr:colOff>1</xdr:colOff>
      <xdr:row>29</xdr:row>
      <xdr:rowOff>0</xdr:rowOff>
    </xdr:to>
    <xdr:graphicFrame macro="">
      <xdr:nvGraphicFramePr>
        <xdr:cNvPr id="4" name="グラフ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1</xdr:colOff>
      <xdr:row>8</xdr:row>
      <xdr:rowOff>0</xdr:rowOff>
    </xdr:from>
    <xdr:to>
      <xdr:col>36</xdr:col>
      <xdr:colOff>0</xdr:colOff>
      <xdr:row>29</xdr:row>
      <xdr:rowOff>1</xdr:rowOff>
    </xdr:to>
    <xdr:graphicFrame macro="">
      <xdr:nvGraphicFramePr>
        <xdr:cNvPr id="5" name="グラフ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9</xdr:col>
      <xdr:colOff>0</xdr:colOff>
      <xdr:row>61</xdr:row>
      <xdr:rowOff>1</xdr:rowOff>
    </xdr:from>
    <xdr:to>
      <xdr:col>18</xdr:col>
      <xdr:colOff>0</xdr:colOff>
      <xdr:row>90</xdr:row>
      <xdr:rowOff>1</xdr:rowOff>
    </xdr:to>
    <xdr:graphicFrame macro="">
      <xdr:nvGraphicFramePr>
        <xdr:cNvPr id="2" name="グラフ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xdr:colOff>
      <xdr:row>61</xdr:row>
      <xdr:rowOff>1</xdr:rowOff>
    </xdr:from>
    <xdr:to>
      <xdr:col>29</xdr:col>
      <xdr:colOff>0</xdr:colOff>
      <xdr:row>90</xdr:row>
      <xdr:rowOff>1</xdr:rowOff>
    </xdr:to>
    <xdr:graphicFrame macro="">
      <xdr:nvGraphicFramePr>
        <xdr:cNvPr id="3" name="グラフ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1</xdr:colOff>
      <xdr:row>61</xdr:row>
      <xdr:rowOff>0</xdr:rowOff>
    </xdr:from>
    <xdr:to>
      <xdr:col>40</xdr:col>
      <xdr:colOff>0</xdr:colOff>
      <xdr:row>90</xdr:row>
      <xdr:rowOff>0</xdr:rowOff>
    </xdr:to>
    <xdr:graphicFrame macro="">
      <xdr:nvGraphicFramePr>
        <xdr:cNvPr id="4" name="グラフ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8</xdr:col>
      <xdr:colOff>680356</xdr:colOff>
      <xdr:row>61</xdr:row>
      <xdr:rowOff>0</xdr:rowOff>
    </xdr:from>
    <xdr:to>
      <xdr:col>18</xdr:col>
      <xdr:colOff>5442</xdr:colOff>
      <xdr:row>90</xdr:row>
      <xdr:rowOff>2719</xdr:rowOff>
    </xdr:to>
    <xdr:graphicFrame macro="">
      <xdr:nvGraphicFramePr>
        <xdr:cNvPr id="2" name="グラフ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xdr:colOff>
      <xdr:row>61</xdr:row>
      <xdr:rowOff>1</xdr:rowOff>
    </xdr:from>
    <xdr:to>
      <xdr:col>29</xdr:col>
      <xdr:colOff>4534</xdr:colOff>
      <xdr:row>90</xdr:row>
      <xdr:rowOff>1</xdr:rowOff>
    </xdr:to>
    <xdr:graphicFrame macro="">
      <xdr:nvGraphicFramePr>
        <xdr:cNvPr id="3" name="グラフ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1</xdr:colOff>
      <xdr:row>61</xdr:row>
      <xdr:rowOff>1</xdr:rowOff>
    </xdr:from>
    <xdr:to>
      <xdr:col>40</xdr:col>
      <xdr:colOff>2</xdr:colOff>
      <xdr:row>90</xdr:row>
      <xdr:rowOff>1</xdr:rowOff>
    </xdr:to>
    <xdr:graphicFrame macro="">
      <xdr:nvGraphicFramePr>
        <xdr:cNvPr id="4" name="グラフ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8</xdr:col>
      <xdr:colOff>680356</xdr:colOff>
      <xdr:row>53</xdr:row>
      <xdr:rowOff>0</xdr:rowOff>
    </xdr:from>
    <xdr:to>
      <xdr:col>18</xdr:col>
      <xdr:colOff>186870</xdr:colOff>
      <xdr:row>82</xdr:row>
      <xdr:rowOff>2720</xdr:rowOff>
    </xdr:to>
    <xdr:graphicFrame macro="">
      <xdr:nvGraphicFramePr>
        <xdr:cNvPr id="2" name="グラフ 1">
          <a:extLst>
            <a:ext uri="{FF2B5EF4-FFF2-40B4-BE49-F238E27FC236}">
              <a16:creationId xmlns:a16="http://schemas.microsoft.com/office/drawing/2014/main" id="{02A05935-51F1-455B-B823-867D5DA12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xdr:colOff>
      <xdr:row>53</xdr:row>
      <xdr:rowOff>1</xdr:rowOff>
    </xdr:from>
    <xdr:to>
      <xdr:col>29</xdr:col>
      <xdr:colOff>1812</xdr:colOff>
      <xdr:row>82</xdr:row>
      <xdr:rowOff>0</xdr:rowOff>
    </xdr:to>
    <xdr:graphicFrame macro="">
      <xdr:nvGraphicFramePr>
        <xdr:cNvPr id="3" name="グラフ 2">
          <a:extLst>
            <a:ext uri="{FF2B5EF4-FFF2-40B4-BE49-F238E27FC236}">
              <a16:creationId xmlns:a16="http://schemas.microsoft.com/office/drawing/2014/main" id="{F0DE5D64-2640-4BEA-81F3-B38310E423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0</xdr:colOff>
      <xdr:row>53</xdr:row>
      <xdr:rowOff>1</xdr:rowOff>
    </xdr:from>
    <xdr:to>
      <xdr:col>40</xdr:col>
      <xdr:colOff>252386</xdr:colOff>
      <xdr:row>82</xdr:row>
      <xdr:rowOff>0</xdr:rowOff>
    </xdr:to>
    <xdr:graphicFrame macro="">
      <xdr:nvGraphicFramePr>
        <xdr:cNvPr id="4" name="step1s4">
          <a:extLst>
            <a:ext uri="{FF2B5EF4-FFF2-40B4-BE49-F238E27FC236}">
              <a16:creationId xmlns:a16="http://schemas.microsoft.com/office/drawing/2014/main" id="{0B529A8C-E515-4AB6-B07A-B16CDB81E05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680356</xdr:colOff>
      <xdr:row>61</xdr:row>
      <xdr:rowOff>0</xdr:rowOff>
    </xdr:from>
    <xdr:to>
      <xdr:col>18</xdr:col>
      <xdr:colOff>5442</xdr:colOff>
      <xdr:row>90</xdr:row>
      <xdr:rowOff>2719</xdr:rowOff>
    </xdr:to>
    <xdr:graphicFrame macro="">
      <xdr:nvGraphicFramePr>
        <xdr:cNvPr id="2" name="グラフ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xdr:colOff>
      <xdr:row>61</xdr:row>
      <xdr:rowOff>1</xdr:rowOff>
    </xdr:from>
    <xdr:to>
      <xdr:col>29</xdr:col>
      <xdr:colOff>1813</xdr:colOff>
      <xdr:row>90</xdr:row>
      <xdr:rowOff>1</xdr:rowOff>
    </xdr:to>
    <xdr:graphicFrame macro="">
      <xdr:nvGraphicFramePr>
        <xdr:cNvPr id="3" name="グラフ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0</xdr:colOff>
      <xdr:row>61</xdr:row>
      <xdr:rowOff>1</xdr:rowOff>
    </xdr:from>
    <xdr:to>
      <xdr:col>40</xdr:col>
      <xdr:colOff>252386</xdr:colOff>
      <xdr:row>90</xdr:row>
      <xdr:rowOff>1</xdr:rowOff>
    </xdr:to>
    <xdr:graphicFrame macro="">
      <xdr:nvGraphicFramePr>
        <xdr:cNvPr id="4" name="step1s4">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9</xdr:col>
      <xdr:colOff>0</xdr:colOff>
      <xdr:row>61</xdr:row>
      <xdr:rowOff>1</xdr:rowOff>
    </xdr:from>
    <xdr:to>
      <xdr:col>18</xdr:col>
      <xdr:colOff>181428</xdr:colOff>
      <xdr:row>90</xdr:row>
      <xdr:rowOff>1</xdr:rowOff>
    </xdr:to>
    <xdr:graphicFrame macro="">
      <xdr:nvGraphicFramePr>
        <xdr:cNvPr id="2" name="グラフ 1">
          <a:extLst>
            <a:ext uri="{FF2B5EF4-FFF2-40B4-BE49-F238E27FC236}">
              <a16:creationId xmlns:a16="http://schemas.microsoft.com/office/drawing/2014/main" id="{22E140FB-0491-4EB0-B22D-EF5FDFBCB1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xdr:colOff>
      <xdr:row>61</xdr:row>
      <xdr:rowOff>1</xdr:rowOff>
    </xdr:from>
    <xdr:to>
      <xdr:col>29</xdr:col>
      <xdr:colOff>1</xdr:colOff>
      <xdr:row>90</xdr:row>
      <xdr:rowOff>0</xdr:rowOff>
    </xdr:to>
    <xdr:graphicFrame macro="">
      <xdr:nvGraphicFramePr>
        <xdr:cNvPr id="3" name="グラフ 2">
          <a:extLst>
            <a:ext uri="{FF2B5EF4-FFF2-40B4-BE49-F238E27FC236}">
              <a16:creationId xmlns:a16="http://schemas.microsoft.com/office/drawing/2014/main" id="{4837272F-8F77-4CF0-9D3B-C84718709A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0</xdr:colOff>
      <xdr:row>8</xdr:row>
      <xdr:rowOff>0</xdr:rowOff>
    </xdr:from>
    <xdr:to>
      <xdr:col>31</xdr:col>
      <xdr:colOff>1</xdr:colOff>
      <xdr:row>29</xdr:row>
      <xdr:rowOff>0</xdr:rowOff>
    </xdr:to>
    <xdr:graphicFrame macro="">
      <xdr:nvGraphicFramePr>
        <xdr:cNvPr id="4" name="グラフ 3">
          <a:extLst>
            <a:ext uri="{FF2B5EF4-FFF2-40B4-BE49-F238E27FC236}">
              <a16:creationId xmlns:a16="http://schemas.microsoft.com/office/drawing/2014/main" id="{203F357A-70F4-48AA-A6FD-0FA93B18A9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1</xdr:colOff>
      <xdr:row>8</xdr:row>
      <xdr:rowOff>0</xdr:rowOff>
    </xdr:from>
    <xdr:to>
      <xdr:col>36</xdr:col>
      <xdr:colOff>0</xdr:colOff>
      <xdr:row>29</xdr:row>
      <xdr:rowOff>1</xdr:rowOff>
    </xdr:to>
    <xdr:graphicFrame macro="">
      <xdr:nvGraphicFramePr>
        <xdr:cNvPr id="5" name="グラフ 4">
          <a:extLst>
            <a:ext uri="{FF2B5EF4-FFF2-40B4-BE49-F238E27FC236}">
              <a16:creationId xmlns:a16="http://schemas.microsoft.com/office/drawing/2014/main" id="{D3004868-62DC-4DE4-B4A6-63CE2CAF77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8</xdr:col>
      <xdr:colOff>680356</xdr:colOff>
      <xdr:row>61</xdr:row>
      <xdr:rowOff>0</xdr:rowOff>
    </xdr:from>
    <xdr:to>
      <xdr:col>18</xdr:col>
      <xdr:colOff>186870</xdr:colOff>
      <xdr:row>89</xdr:row>
      <xdr:rowOff>176891</xdr:rowOff>
    </xdr:to>
    <xdr:graphicFrame macro="">
      <xdr:nvGraphicFramePr>
        <xdr:cNvPr id="2" name="グラフ 1">
          <a:extLst>
            <a:ext uri="{FF2B5EF4-FFF2-40B4-BE49-F238E27FC236}">
              <a16:creationId xmlns:a16="http://schemas.microsoft.com/office/drawing/2014/main" id="{A72B1803-9835-4BAE-9F0D-83ACD93AAE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xdr:colOff>
      <xdr:row>61</xdr:row>
      <xdr:rowOff>1</xdr:rowOff>
    </xdr:from>
    <xdr:to>
      <xdr:col>29</xdr:col>
      <xdr:colOff>1812</xdr:colOff>
      <xdr:row>90</xdr:row>
      <xdr:rowOff>1</xdr:rowOff>
    </xdr:to>
    <xdr:graphicFrame macro="">
      <xdr:nvGraphicFramePr>
        <xdr:cNvPr id="3" name="グラフ 2">
          <a:extLst>
            <a:ext uri="{FF2B5EF4-FFF2-40B4-BE49-F238E27FC236}">
              <a16:creationId xmlns:a16="http://schemas.microsoft.com/office/drawing/2014/main" id="{CD650CCE-1E96-4118-884A-FD4C28EF5A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0</xdr:colOff>
      <xdr:row>61</xdr:row>
      <xdr:rowOff>1</xdr:rowOff>
    </xdr:from>
    <xdr:to>
      <xdr:col>40</xdr:col>
      <xdr:colOff>252386</xdr:colOff>
      <xdr:row>90</xdr:row>
      <xdr:rowOff>1</xdr:rowOff>
    </xdr:to>
    <xdr:graphicFrame macro="">
      <xdr:nvGraphicFramePr>
        <xdr:cNvPr id="4" name="step1s4">
          <a:extLst>
            <a:ext uri="{FF2B5EF4-FFF2-40B4-BE49-F238E27FC236}">
              <a16:creationId xmlns:a16="http://schemas.microsoft.com/office/drawing/2014/main" id="{5D197856-2A9B-4D90-B15A-31480756892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8</xdr:col>
      <xdr:colOff>680356</xdr:colOff>
      <xdr:row>61</xdr:row>
      <xdr:rowOff>0</xdr:rowOff>
    </xdr:from>
    <xdr:to>
      <xdr:col>18</xdr:col>
      <xdr:colOff>186870</xdr:colOff>
      <xdr:row>89</xdr:row>
      <xdr:rowOff>176891</xdr:rowOff>
    </xdr:to>
    <xdr:graphicFrame macro="">
      <xdr:nvGraphicFramePr>
        <xdr:cNvPr id="2" name="グラフ 1">
          <a:extLst>
            <a:ext uri="{FF2B5EF4-FFF2-40B4-BE49-F238E27FC236}">
              <a16:creationId xmlns:a16="http://schemas.microsoft.com/office/drawing/2014/main" id="{2A94F98F-C1EA-4A49-864B-65289E952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xdr:colOff>
      <xdr:row>61</xdr:row>
      <xdr:rowOff>1</xdr:rowOff>
    </xdr:from>
    <xdr:to>
      <xdr:col>29</xdr:col>
      <xdr:colOff>1812</xdr:colOff>
      <xdr:row>90</xdr:row>
      <xdr:rowOff>1</xdr:rowOff>
    </xdr:to>
    <xdr:graphicFrame macro="">
      <xdr:nvGraphicFramePr>
        <xdr:cNvPr id="3" name="グラフ 2">
          <a:extLst>
            <a:ext uri="{FF2B5EF4-FFF2-40B4-BE49-F238E27FC236}">
              <a16:creationId xmlns:a16="http://schemas.microsoft.com/office/drawing/2014/main" id="{55B4DB72-495A-4915-8313-BA90A81EAF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1</xdr:colOff>
      <xdr:row>61</xdr:row>
      <xdr:rowOff>1</xdr:rowOff>
    </xdr:from>
    <xdr:to>
      <xdr:col>40</xdr:col>
      <xdr:colOff>252114</xdr:colOff>
      <xdr:row>90</xdr:row>
      <xdr:rowOff>1501</xdr:rowOff>
    </xdr:to>
    <xdr:graphicFrame macro="">
      <xdr:nvGraphicFramePr>
        <xdr:cNvPr id="4" name="step2s4">
          <a:extLst>
            <a:ext uri="{FF2B5EF4-FFF2-40B4-BE49-F238E27FC236}">
              <a16:creationId xmlns:a16="http://schemas.microsoft.com/office/drawing/2014/main" id="{0C8CD976-7B0A-4047-BC0B-0FC5C3A814AE}"/>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oneCell">
    <xdr:from>
      <xdr:col>57</xdr:col>
      <xdr:colOff>3201</xdr:colOff>
      <xdr:row>32</xdr:row>
      <xdr:rowOff>0</xdr:rowOff>
    </xdr:from>
    <xdr:to>
      <xdr:col>71</xdr:col>
      <xdr:colOff>0</xdr:colOff>
      <xdr:row>57</xdr:row>
      <xdr:rowOff>0</xdr:rowOff>
    </xdr:to>
    <xdr:graphicFrame macro="">
      <xdr:nvGraphicFramePr>
        <xdr:cNvPr id="7" name="グラフ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57</xdr:col>
      <xdr:colOff>3201</xdr:colOff>
      <xdr:row>59</xdr:row>
      <xdr:rowOff>2</xdr:rowOff>
    </xdr:from>
    <xdr:to>
      <xdr:col>71</xdr:col>
      <xdr:colOff>0</xdr:colOff>
      <xdr:row>84</xdr:row>
      <xdr:rowOff>0</xdr:rowOff>
    </xdr:to>
    <xdr:graphicFrame macro="">
      <xdr:nvGraphicFramePr>
        <xdr:cNvPr id="8" name="グラフ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98</xdr:col>
      <xdr:colOff>680356</xdr:colOff>
      <xdr:row>32</xdr:row>
      <xdr:rowOff>0</xdr:rowOff>
    </xdr:from>
    <xdr:to>
      <xdr:col>108</xdr:col>
      <xdr:colOff>0</xdr:colOff>
      <xdr:row>54</xdr:row>
      <xdr:rowOff>0</xdr:rowOff>
    </xdr:to>
    <xdr:graphicFrame macro="">
      <xdr:nvGraphicFramePr>
        <xdr:cNvPr id="4" name="グラフ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98</xdr:col>
      <xdr:colOff>680356</xdr:colOff>
      <xdr:row>54</xdr:row>
      <xdr:rowOff>0</xdr:rowOff>
    </xdr:from>
    <xdr:to>
      <xdr:col>108</xdr:col>
      <xdr:colOff>0</xdr:colOff>
      <xdr:row>76</xdr:row>
      <xdr:rowOff>2719</xdr:rowOff>
    </xdr:to>
    <xdr:graphicFrame macro="">
      <xdr:nvGraphicFramePr>
        <xdr:cNvPr id="6" name="グラフ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72</xdr:col>
      <xdr:colOff>0</xdr:colOff>
      <xdr:row>32</xdr:row>
      <xdr:rowOff>0</xdr:rowOff>
    </xdr:from>
    <xdr:to>
      <xdr:col>85</xdr:col>
      <xdr:colOff>418622</xdr:colOff>
      <xdr:row>57</xdr:row>
      <xdr:rowOff>0</xdr:rowOff>
    </xdr:to>
    <xdr:graphicFrame macro="">
      <xdr:nvGraphicFramePr>
        <xdr:cNvPr id="10" name="グラフ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72</xdr:col>
      <xdr:colOff>-1</xdr:colOff>
      <xdr:row>59</xdr:row>
      <xdr:rowOff>0</xdr:rowOff>
    </xdr:from>
    <xdr:to>
      <xdr:col>83</xdr:col>
      <xdr:colOff>1</xdr:colOff>
      <xdr:row>84</xdr:row>
      <xdr:rowOff>0</xdr:rowOff>
    </xdr:to>
    <xdr:graphicFrame macro="">
      <xdr:nvGraphicFramePr>
        <xdr:cNvPr id="12" name="グラフ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86</xdr:col>
      <xdr:colOff>0</xdr:colOff>
      <xdr:row>32</xdr:row>
      <xdr:rowOff>0</xdr:rowOff>
    </xdr:from>
    <xdr:to>
      <xdr:col>94</xdr:col>
      <xdr:colOff>618307</xdr:colOff>
      <xdr:row>54</xdr:row>
      <xdr:rowOff>0</xdr:rowOff>
    </xdr:to>
    <xdr:graphicFrame macro="">
      <xdr:nvGraphicFramePr>
        <xdr:cNvPr id="13" name="グラフ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86</xdr:col>
      <xdr:colOff>0</xdr:colOff>
      <xdr:row>54</xdr:row>
      <xdr:rowOff>0</xdr:rowOff>
    </xdr:from>
    <xdr:to>
      <xdr:col>94</xdr:col>
      <xdr:colOff>618307</xdr:colOff>
      <xdr:row>76</xdr:row>
      <xdr:rowOff>2719</xdr:rowOff>
    </xdr:to>
    <xdr:graphicFrame macro="">
      <xdr:nvGraphicFramePr>
        <xdr:cNvPr id="14" name="グラフ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editAs="oneCell">
    <xdr:from>
      <xdr:col>30</xdr:col>
      <xdr:colOff>3609</xdr:colOff>
      <xdr:row>3</xdr:row>
      <xdr:rowOff>240630</xdr:rowOff>
    </xdr:from>
    <xdr:to>
      <xdr:col>37</xdr:col>
      <xdr:colOff>132009</xdr:colOff>
      <xdr:row>16</xdr:row>
      <xdr:rowOff>130830</xdr:rowOff>
    </xdr:to>
    <xdr:graphicFrame macro="">
      <xdr:nvGraphicFramePr>
        <xdr:cNvPr id="59" name="steps1">
          <a:extLst>
            <a:ext uri="{FF2B5EF4-FFF2-40B4-BE49-F238E27FC236}">
              <a16:creationId xmlns:a16="http://schemas.microsoft.com/office/drawing/2014/main" id="{00000000-0008-0000-1200-00003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30</xdr:col>
      <xdr:colOff>2720</xdr:colOff>
      <xdr:row>47</xdr:row>
      <xdr:rowOff>240631</xdr:rowOff>
    </xdr:from>
    <xdr:to>
      <xdr:col>37</xdr:col>
      <xdr:colOff>131120</xdr:colOff>
      <xdr:row>60</xdr:row>
      <xdr:rowOff>83206</xdr:rowOff>
    </xdr:to>
    <xdr:graphicFrame macro="">
      <xdr:nvGraphicFramePr>
        <xdr:cNvPr id="67" name="steps2">
          <a:extLst>
            <a:ext uri="{FF2B5EF4-FFF2-40B4-BE49-F238E27FC236}">
              <a16:creationId xmlns:a16="http://schemas.microsoft.com/office/drawing/2014/main" id="{00000000-0008-0000-1200-00004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2720</xdr:colOff>
      <xdr:row>92</xdr:row>
      <xdr:rowOff>0</xdr:rowOff>
    </xdr:from>
    <xdr:to>
      <xdr:col>37</xdr:col>
      <xdr:colOff>131120</xdr:colOff>
      <xdr:row>104</xdr:row>
      <xdr:rowOff>109275</xdr:rowOff>
    </xdr:to>
    <xdr:graphicFrame macro="">
      <xdr:nvGraphicFramePr>
        <xdr:cNvPr id="72" name="steps3">
          <a:extLst>
            <a:ext uri="{FF2B5EF4-FFF2-40B4-BE49-F238E27FC236}">
              <a16:creationId xmlns:a16="http://schemas.microsoft.com/office/drawing/2014/main" id="{00000000-0008-0000-1200-00004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30</xdr:col>
      <xdr:colOff>2720</xdr:colOff>
      <xdr:row>180</xdr:row>
      <xdr:rowOff>1</xdr:rowOff>
    </xdr:from>
    <xdr:to>
      <xdr:col>37</xdr:col>
      <xdr:colOff>131120</xdr:colOff>
      <xdr:row>192</xdr:row>
      <xdr:rowOff>109276</xdr:rowOff>
    </xdr:to>
    <xdr:graphicFrame macro="">
      <xdr:nvGraphicFramePr>
        <xdr:cNvPr id="77" name="steps4">
          <a:extLst>
            <a:ext uri="{FF2B5EF4-FFF2-40B4-BE49-F238E27FC236}">
              <a16:creationId xmlns:a16="http://schemas.microsoft.com/office/drawing/2014/main" id="{00000000-0008-0000-1200-00004D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2720</xdr:colOff>
      <xdr:row>225</xdr:row>
      <xdr:rowOff>0</xdr:rowOff>
    </xdr:from>
    <xdr:to>
      <xdr:col>37</xdr:col>
      <xdr:colOff>131120</xdr:colOff>
      <xdr:row>237</xdr:row>
      <xdr:rowOff>109275</xdr:rowOff>
    </xdr:to>
    <xdr:graphicFrame macro="">
      <xdr:nvGraphicFramePr>
        <xdr:cNvPr id="83" name="stepn2">
          <a:extLst>
            <a:ext uri="{FF2B5EF4-FFF2-40B4-BE49-F238E27FC236}">
              <a16:creationId xmlns:a16="http://schemas.microsoft.com/office/drawing/2014/main" id="{00000000-0008-0000-1200-00005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30</xdr:col>
      <xdr:colOff>2720</xdr:colOff>
      <xdr:row>268</xdr:row>
      <xdr:rowOff>240631</xdr:rowOff>
    </xdr:from>
    <xdr:to>
      <xdr:col>37</xdr:col>
      <xdr:colOff>131120</xdr:colOff>
      <xdr:row>281</xdr:row>
      <xdr:rowOff>92731</xdr:rowOff>
    </xdr:to>
    <xdr:graphicFrame macro="">
      <xdr:nvGraphicFramePr>
        <xdr:cNvPr id="88" name="stepn3">
          <a:extLst>
            <a:ext uri="{FF2B5EF4-FFF2-40B4-BE49-F238E27FC236}">
              <a16:creationId xmlns:a16="http://schemas.microsoft.com/office/drawing/2014/main" id="{00000000-0008-0000-1200-00005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30</xdr:col>
      <xdr:colOff>5442</xdr:colOff>
      <xdr:row>312</xdr:row>
      <xdr:rowOff>240631</xdr:rowOff>
    </xdr:from>
    <xdr:to>
      <xdr:col>37</xdr:col>
      <xdr:colOff>133842</xdr:colOff>
      <xdr:row>325</xdr:row>
      <xdr:rowOff>73681</xdr:rowOff>
    </xdr:to>
    <xdr:graphicFrame macro="">
      <xdr:nvGraphicFramePr>
        <xdr:cNvPr id="93" name="stepn4">
          <a:extLst>
            <a:ext uri="{FF2B5EF4-FFF2-40B4-BE49-F238E27FC236}">
              <a16:creationId xmlns:a16="http://schemas.microsoft.com/office/drawing/2014/main" id="{00000000-0008-0000-1200-00005D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0</xdr:colOff>
      <xdr:row>359</xdr:row>
      <xdr:rowOff>24</xdr:rowOff>
    </xdr:from>
    <xdr:to>
      <xdr:col>20</xdr:col>
      <xdr:colOff>238800</xdr:colOff>
      <xdr:row>377</xdr:row>
      <xdr:rowOff>19824</xdr:rowOff>
    </xdr:to>
    <xdr:grpSp>
      <xdr:nvGrpSpPr>
        <xdr:cNvPr id="9" name="radius">
          <a:extLst>
            <a:ext uri="{FF2B5EF4-FFF2-40B4-BE49-F238E27FC236}">
              <a16:creationId xmlns:a16="http://schemas.microsoft.com/office/drawing/2014/main" id="{00000000-0008-0000-1200-000009000000}"/>
            </a:ext>
          </a:extLst>
        </xdr:cNvPr>
        <xdr:cNvGrpSpPr>
          <a:grpSpLocks noChangeAspect="1"/>
        </xdr:cNvGrpSpPr>
      </xdr:nvGrpSpPr>
      <xdr:grpSpPr>
        <a:xfrm>
          <a:off x="7181850" y="95773899"/>
          <a:ext cx="6944400" cy="4820400"/>
          <a:chOff x="6123214" y="75002571"/>
          <a:chExt cx="13020349" cy="10116649"/>
        </a:xfrm>
      </xdr:grpSpPr>
      <xdr:graphicFrame macro="">
        <xdr:nvGraphicFramePr>
          <xdr:cNvPr id="37" name="グラフ 36">
            <a:extLst>
              <a:ext uri="{FF2B5EF4-FFF2-40B4-BE49-F238E27FC236}">
                <a16:creationId xmlns:a16="http://schemas.microsoft.com/office/drawing/2014/main" id="{00000000-0008-0000-1200-000025000000}"/>
              </a:ext>
            </a:extLst>
          </xdr:cNvPr>
          <xdr:cNvGraphicFramePr>
            <a:graphicFrameLocks noChangeAspect="1"/>
          </xdr:cNvGraphicFramePr>
        </xdr:nvGraphicFramePr>
        <xdr:xfrm>
          <a:off x="6123214" y="75002572"/>
          <a:ext cx="4340191" cy="5057475"/>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8" name="グラフ 37">
            <a:extLst>
              <a:ext uri="{FF2B5EF4-FFF2-40B4-BE49-F238E27FC236}">
                <a16:creationId xmlns:a16="http://schemas.microsoft.com/office/drawing/2014/main" id="{00000000-0008-0000-1200-000026000000}"/>
              </a:ext>
            </a:extLst>
          </xdr:cNvPr>
          <xdr:cNvGraphicFramePr>
            <a:graphicFrameLocks noChangeAspect="1"/>
          </xdr:cNvGraphicFramePr>
        </xdr:nvGraphicFramePr>
        <xdr:xfrm>
          <a:off x="6123215" y="80061747"/>
          <a:ext cx="4340188" cy="5057473"/>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9" name="グラフ 38">
            <a:extLst>
              <a:ext uri="{FF2B5EF4-FFF2-40B4-BE49-F238E27FC236}">
                <a16:creationId xmlns:a16="http://schemas.microsoft.com/office/drawing/2014/main" id="{00000000-0008-0000-1200-000027000000}"/>
              </a:ext>
            </a:extLst>
          </xdr:cNvPr>
          <xdr:cNvGraphicFramePr>
            <a:graphicFrameLocks noChangeAspect="1"/>
          </xdr:cNvGraphicFramePr>
        </xdr:nvGraphicFramePr>
        <xdr:xfrm>
          <a:off x="10470400" y="75002571"/>
          <a:ext cx="4340191" cy="5057475"/>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グラフ 39">
            <a:extLst>
              <a:ext uri="{FF2B5EF4-FFF2-40B4-BE49-F238E27FC236}">
                <a16:creationId xmlns:a16="http://schemas.microsoft.com/office/drawing/2014/main" id="{00000000-0008-0000-1200-000028000000}"/>
              </a:ext>
            </a:extLst>
          </xdr:cNvPr>
          <xdr:cNvGraphicFramePr>
            <a:graphicFrameLocks noChangeAspect="1"/>
          </xdr:cNvGraphicFramePr>
        </xdr:nvGraphicFramePr>
        <xdr:xfrm>
          <a:off x="10463291" y="80061747"/>
          <a:ext cx="4340189" cy="5057473"/>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1" name="グラフ 40">
            <a:extLst>
              <a:ext uri="{FF2B5EF4-FFF2-40B4-BE49-F238E27FC236}">
                <a16:creationId xmlns:a16="http://schemas.microsoft.com/office/drawing/2014/main" id="{00000000-0008-0000-1200-000029000000}"/>
              </a:ext>
            </a:extLst>
          </xdr:cNvPr>
          <xdr:cNvGraphicFramePr>
            <a:graphicFrameLocks noChangeAspect="1"/>
          </xdr:cNvGraphicFramePr>
        </xdr:nvGraphicFramePr>
        <xdr:xfrm>
          <a:off x="14803370" y="75002571"/>
          <a:ext cx="4340193" cy="5057475"/>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42" name="グラフ 41">
            <a:extLst>
              <a:ext uri="{FF2B5EF4-FFF2-40B4-BE49-F238E27FC236}">
                <a16:creationId xmlns:a16="http://schemas.microsoft.com/office/drawing/2014/main" id="{00000000-0008-0000-1200-00002A000000}"/>
              </a:ext>
            </a:extLst>
          </xdr:cNvPr>
          <xdr:cNvGraphicFramePr>
            <a:graphicFrameLocks noChangeAspect="1"/>
          </xdr:cNvGraphicFramePr>
        </xdr:nvGraphicFramePr>
        <xdr:xfrm>
          <a:off x="14803370" y="80061747"/>
          <a:ext cx="4340189" cy="5057473"/>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editAs="oneCell">
    <xdr:from>
      <xdr:col>29</xdr:col>
      <xdr:colOff>481814</xdr:colOff>
      <xdr:row>137</xdr:row>
      <xdr:rowOff>12338</xdr:rowOff>
    </xdr:from>
    <xdr:to>
      <xdr:col>37</xdr:col>
      <xdr:colOff>614</xdr:colOff>
      <xdr:row>149</xdr:row>
      <xdr:rowOff>121613</xdr:rowOff>
    </xdr:to>
    <xdr:graphicFrame macro="">
      <xdr:nvGraphicFramePr>
        <xdr:cNvPr id="95" name="step1s4">
          <a:extLst>
            <a:ext uri="{FF2B5EF4-FFF2-40B4-BE49-F238E27FC236}">
              <a16:creationId xmlns:a16="http://schemas.microsoft.com/office/drawing/2014/main" id="{B15F1D30-DF73-4C63-A36A-F1A3CCDCAF8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1360</xdr:colOff>
      <xdr:row>3</xdr:row>
      <xdr:rowOff>240629</xdr:rowOff>
    </xdr:from>
    <xdr:to>
      <xdr:col>20</xdr:col>
      <xdr:colOff>9760</xdr:colOff>
      <xdr:row>23</xdr:row>
      <xdr:rowOff>20729</xdr:rowOff>
    </xdr:to>
    <xdr:grpSp>
      <xdr:nvGrpSpPr>
        <xdr:cNvPr id="12" name="cmms1">
          <a:extLst>
            <a:ext uri="{FF2B5EF4-FFF2-40B4-BE49-F238E27FC236}">
              <a16:creationId xmlns:a16="http://schemas.microsoft.com/office/drawing/2014/main" id="{465367A6-9FC9-414F-8156-A3A47E0BDEFE}"/>
            </a:ext>
          </a:extLst>
        </xdr:cNvPr>
        <xdr:cNvGrpSpPr>
          <a:grpSpLocks noChangeAspect="1"/>
        </xdr:cNvGrpSpPr>
      </xdr:nvGrpSpPr>
      <xdr:grpSpPr>
        <a:xfrm>
          <a:off x="7183210" y="1040729"/>
          <a:ext cx="6714000" cy="5076000"/>
          <a:chOff x="7301320" y="972149"/>
          <a:chExt cx="6714000" cy="4847400"/>
        </a:xfrm>
      </xdr:grpSpPr>
      <xdr:grpSp>
        <xdr:nvGrpSpPr>
          <xdr:cNvPr id="2" name="cmms1">
            <a:extLst>
              <a:ext uri="{FF2B5EF4-FFF2-40B4-BE49-F238E27FC236}">
                <a16:creationId xmlns:a16="http://schemas.microsoft.com/office/drawing/2014/main" id="{00000000-0008-0000-1200-000002000000}"/>
              </a:ext>
            </a:extLst>
          </xdr:cNvPr>
          <xdr:cNvGrpSpPr>
            <a:grpSpLocks noChangeAspect="1"/>
          </xdr:cNvGrpSpPr>
        </xdr:nvGrpSpPr>
        <xdr:grpSpPr>
          <a:xfrm>
            <a:off x="7301320" y="972149"/>
            <a:ext cx="6714000" cy="4847400"/>
            <a:chOff x="6123213" y="707569"/>
            <a:chExt cx="10763907" cy="9744806"/>
          </a:xfrm>
        </xdr:grpSpPr>
        <xdr:graphicFrame macro="">
          <xdr:nvGraphicFramePr>
            <xdr:cNvPr id="55" name="グラフ 54">
              <a:extLst>
                <a:ext uri="{FF2B5EF4-FFF2-40B4-BE49-F238E27FC236}">
                  <a16:creationId xmlns:a16="http://schemas.microsoft.com/office/drawing/2014/main" id="{00000000-0008-0000-1200-000037000000}"/>
                </a:ext>
              </a:extLst>
            </xdr:cNvPr>
            <xdr:cNvGraphicFramePr>
              <a:graphicFrameLocks noChangeAspect="1"/>
            </xdr:cNvGraphicFramePr>
          </xdr:nvGraphicFramePr>
          <xdr:xfrm>
            <a:off x="6123213" y="707569"/>
            <a:ext cx="5378856" cy="4870913"/>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58" name="グラフ 57">
              <a:extLst>
                <a:ext uri="{FF2B5EF4-FFF2-40B4-BE49-F238E27FC236}">
                  <a16:creationId xmlns:a16="http://schemas.microsoft.com/office/drawing/2014/main" id="{00000000-0008-0000-1200-00003A000000}"/>
                </a:ext>
              </a:extLst>
            </xdr:cNvPr>
            <xdr:cNvGraphicFramePr>
              <a:graphicFrameLocks noChangeAspect="1"/>
            </xdr:cNvGraphicFramePr>
          </xdr:nvGraphicFramePr>
          <xdr:xfrm>
            <a:off x="11508260" y="5581462"/>
            <a:ext cx="5378856" cy="4870913"/>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61" name="グラフ 60">
              <a:extLst>
                <a:ext uri="{FF2B5EF4-FFF2-40B4-BE49-F238E27FC236}">
                  <a16:creationId xmlns:a16="http://schemas.microsoft.com/office/drawing/2014/main" id="{00000000-0008-0000-1200-00003D000000}"/>
                </a:ext>
              </a:extLst>
            </xdr:cNvPr>
            <xdr:cNvGraphicFramePr>
              <a:graphicFrameLocks noChangeAspect="1"/>
            </xdr:cNvGraphicFramePr>
          </xdr:nvGraphicFramePr>
          <xdr:xfrm>
            <a:off x="6123214" y="5581194"/>
            <a:ext cx="5378856" cy="487091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62" name="グラフ 61">
              <a:extLst>
                <a:ext uri="{FF2B5EF4-FFF2-40B4-BE49-F238E27FC236}">
                  <a16:creationId xmlns:a16="http://schemas.microsoft.com/office/drawing/2014/main" id="{00000000-0008-0000-1200-00003E000000}"/>
                </a:ext>
              </a:extLst>
            </xdr:cNvPr>
            <xdr:cNvGraphicFramePr>
              <a:graphicFrameLocks noChangeAspect="1"/>
            </xdr:cNvGraphicFramePr>
          </xdr:nvGraphicFramePr>
          <xdr:xfrm>
            <a:off x="11508264" y="707570"/>
            <a:ext cx="5378856" cy="4870913"/>
          </xdr:xfrm>
          <a:graphic>
            <a:graphicData uri="http://schemas.openxmlformats.org/drawingml/2006/chart">
              <c:chart xmlns:c="http://schemas.openxmlformats.org/drawingml/2006/chart" xmlns:r="http://schemas.openxmlformats.org/officeDocument/2006/relationships" r:id="rId18"/>
            </a:graphicData>
          </a:graphic>
        </xdr:graphicFrame>
      </xdr:grpSp>
      <mc:AlternateContent xmlns:mc="http://schemas.openxmlformats.org/markup-compatibility/2006" xmlns:a14="http://schemas.microsoft.com/office/drawing/2010/main">
        <mc:Choice Requires="a14">
          <xdr:pic>
            <xdr:nvPicPr>
              <xdr:cNvPr id="96" name="図 95">
                <a:extLst>
                  <a:ext uri="{FF2B5EF4-FFF2-40B4-BE49-F238E27FC236}">
                    <a16:creationId xmlns:a16="http://schemas.microsoft.com/office/drawing/2014/main" id="{4024840E-E5E2-4C05-B9AB-B39C95ABF9C6}"/>
                  </a:ext>
                </a:extLst>
              </xdr:cNvPr>
              <xdr:cNvPicPr>
                <a:picLocks noChangeAspect="1" noChangeArrowheads="1"/>
                <a:extLst>
                  <a:ext uri="{84589F7E-364E-4C9E-8A38-B11213B215E9}">
                    <a14:cameraTool cellRange="'105'!$P$27:$R$30" spid="_x0000_s24621"/>
                  </a:ext>
                </a:extLst>
              </xdr:cNvPicPr>
            </xdr:nvPicPr>
            <xdr:blipFill>
              <a:blip xmlns:r="http://schemas.openxmlformats.org/officeDocument/2006/relationships" r:embed="rId19"/>
              <a:srcRect/>
              <a:stretch>
                <a:fillRect/>
              </a:stretch>
            </xdr:blipFill>
            <xdr:spPr bwMode="auto">
              <a:xfrm>
                <a:off x="8983980" y="2697480"/>
                <a:ext cx="1996440" cy="70866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97" name="図 96">
                <a:extLst>
                  <a:ext uri="{FF2B5EF4-FFF2-40B4-BE49-F238E27FC236}">
                    <a16:creationId xmlns:a16="http://schemas.microsoft.com/office/drawing/2014/main" id="{A2274FEA-D4DD-43B8-A702-34F0AE3A0E0C}"/>
                  </a:ext>
                </a:extLst>
              </xdr:cNvPr>
              <xdr:cNvPicPr>
                <a:picLocks noChangeAspect="1" noChangeArrowheads="1"/>
                <a:extLst>
                  <a:ext uri="{84589F7E-364E-4C9E-8A38-B11213B215E9}">
                    <a14:cameraTool cellRange="'236'!$P$27:$R$30" spid="_x0000_s24622"/>
                  </a:ext>
                </a:extLst>
              </xdr:cNvPicPr>
            </xdr:nvPicPr>
            <xdr:blipFill>
              <a:blip xmlns:r="http://schemas.openxmlformats.org/officeDocument/2006/relationships" r:embed="rId20"/>
              <a:srcRect/>
              <a:stretch>
                <a:fillRect/>
              </a:stretch>
            </xdr:blipFill>
            <xdr:spPr bwMode="auto">
              <a:xfrm>
                <a:off x="12123420" y="2689860"/>
                <a:ext cx="1859280" cy="7086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9</xdr:col>
      <xdr:colOff>1360</xdr:colOff>
      <xdr:row>47</xdr:row>
      <xdr:rowOff>240632</xdr:rowOff>
    </xdr:from>
    <xdr:to>
      <xdr:col>20</xdr:col>
      <xdr:colOff>9760</xdr:colOff>
      <xdr:row>66</xdr:row>
      <xdr:rowOff>239807</xdr:rowOff>
    </xdr:to>
    <xdr:grpSp>
      <xdr:nvGrpSpPr>
        <xdr:cNvPr id="13" name="cmms2">
          <a:extLst>
            <a:ext uri="{FF2B5EF4-FFF2-40B4-BE49-F238E27FC236}">
              <a16:creationId xmlns:a16="http://schemas.microsoft.com/office/drawing/2014/main" id="{405F1560-5FFC-4296-85D0-12781FE2F8DC}"/>
            </a:ext>
          </a:extLst>
        </xdr:cNvPr>
        <xdr:cNvGrpSpPr>
          <a:grpSpLocks noChangeAspect="1"/>
        </xdr:cNvGrpSpPr>
      </xdr:nvGrpSpPr>
      <xdr:grpSpPr>
        <a:xfrm>
          <a:off x="7183210" y="12737432"/>
          <a:ext cx="6714000" cy="5076000"/>
          <a:chOff x="7301320" y="11899232"/>
          <a:chExt cx="6714000" cy="4870260"/>
        </a:xfrm>
      </xdr:grpSpPr>
      <xdr:grpSp>
        <xdr:nvGrpSpPr>
          <xdr:cNvPr id="3" name="cmms2">
            <a:extLst>
              <a:ext uri="{FF2B5EF4-FFF2-40B4-BE49-F238E27FC236}">
                <a16:creationId xmlns:a16="http://schemas.microsoft.com/office/drawing/2014/main" id="{00000000-0008-0000-1200-000003000000}"/>
              </a:ext>
            </a:extLst>
          </xdr:cNvPr>
          <xdr:cNvGrpSpPr>
            <a:grpSpLocks noChangeAspect="1"/>
          </xdr:cNvGrpSpPr>
        </xdr:nvGrpSpPr>
        <xdr:grpSpPr>
          <a:xfrm>
            <a:off x="7301320" y="11899232"/>
            <a:ext cx="6714000" cy="4870260"/>
            <a:chOff x="6123213" y="11144249"/>
            <a:chExt cx="10765572" cy="9724985"/>
          </a:xfrm>
        </xdr:grpSpPr>
        <xdr:graphicFrame macro="">
          <xdr:nvGraphicFramePr>
            <xdr:cNvPr id="63" name="グラフ 62">
              <a:extLst>
                <a:ext uri="{FF2B5EF4-FFF2-40B4-BE49-F238E27FC236}">
                  <a16:creationId xmlns:a16="http://schemas.microsoft.com/office/drawing/2014/main" id="{00000000-0008-0000-1200-00003F000000}"/>
                </a:ext>
              </a:extLst>
            </xdr:cNvPr>
            <xdr:cNvGraphicFramePr>
              <a:graphicFrameLocks noChangeAspect="1"/>
            </xdr:cNvGraphicFramePr>
          </xdr:nvGraphicFramePr>
          <xdr:xfrm>
            <a:off x="6123213" y="11144249"/>
            <a:ext cx="5377602" cy="4861604"/>
          </xdr:xfrm>
          <a:graphic>
            <a:graphicData uri="http://schemas.openxmlformats.org/drawingml/2006/chart">
              <c:chart xmlns:c="http://schemas.openxmlformats.org/drawingml/2006/chart" xmlns:r="http://schemas.openxmlformats.org/officeDocument/2006/relationships" r:id="rId21"/>
            </a:graphicData>
          </a:graphic>
        </xdr:graphicFrame>
        <xdr:graphicFrame macro="">
          <xdr:nvGraphicFramePr>
            <xdr:cNvPr id="64" name="グラフ 63">
              <a:extLst>
                <a:ext uri="{FF2B5EF4-FFF2-40B4-BE49-F238E27FC236}">
                  <a16:creationId xmlns:a16="http://schemas.microsoft.com/office/drawing/2014/main" id="{00000000-0008-0000-1200-000040000000}"/>
                </a:ext>
              </a:extLst>
            </xdr:cNvPr>
            <xdr:cNvGraphicFramePr>
              <a:graphicFrameLocks noChangeAspect="1"/>
            </xdr:cNvGraphicFramePr>
          </xdr:nvGraphicFramePr>
          <xdr:xfrm>
            <a:off x="6126849" y="16007628"/>
            <a:ext cx="5377602" cy="4861604"/>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65" name="グラフ 64">
              <a:extLst>
                <a:ext uri="{FF2B5EF4-FFF2-40B4-BE49-F238E27FC236}">
                  <a16:creationId xmlns:a16="http://schemas.microsoft.com/office/drawing/2014/main" id="{00000000-0008-0000-1200-000041000000}"/>
                </a:ext>
              </a:extLst>
            </xdr:cNvPr>
            <xdr:cNvGraphicFramePr>
              <a:graphicFrameLocks noChangeAspect="1"/>
            </xdr:cNvGraphicFramePr>
          </xdr:nvGraphicFramePr>
          <xdr:xfrm>
            <a:off x="11510121" y="11144250"/>
            <a:ext cx="5377602" cy="4861604"/>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66" name="グラフ 65">
              <a:extLst>
                <a:ext uri="{FF2B5EF4-FFF2-40B4-BE49-F238E27FC236}">
                  <a16:creationId xmlns:a16="http://schemas.microsoft.com/office/drawing/2014/main" id="{00000000-0008-0000-1200-000042000000}"/>
                </a:ext>
              </a:extLst>
            </xdr:cNvPr>
            <xdr:cNvGraphicFramePr>
              <a:graphicFrameLocks noChangeAspect="1"/>
            </xdr:cNvGraphicFramePr>
          </xdr:nvGraphicFramePr>
          <xdr:xfrm>
            <a:off x="11511183" y="16007630"/>
            <a:ext cx="5377602" cy="4861604"/>
          </xdr:xfrm>
          <a:graphic>
            <a:graphicData uri="http://schemas.openxmlformats.org/drawingml/2006/chart">
              <c:chart xmlns:c="http://schemas.openxmlformats.org/drawingml/2006/chart" xmlns:r="http://schemas.openxmlformats.org/officeDocument/2006/relationships" r:id="rId24"/>
            </a:graphicData>
          </a:graphic>
        </xdr:graphicFrame>
      </xdr:grpSp>
      <mc:AlternateContent xmlns:mc="http://schemas.openxmlformats.org/markup-compatibility/2006" xmlns:a14="http://schemas.microsoft.com/office/drawing/2010/main">
        <mc:Choice Requires="a14">
          <xdr:pic>
            <xdr:nvPicPr>
              <xdr:cNvPr id="98" name="図 97">
                <a:extLst>
                  <a:ext uri="{FF2B5EF4-FFF2-40B4-BE49-F238E27FC236}">
                    <a16:creationId xmlns:a16="http://schemas.microsoft.com/office/drawing/2014/main" id="{C661D454-88A2-4C3B-A5C3-2D8F0AB99935}"/>
                  </a:ext>
                </a:extLst>
              </xdr:cNvPr>
              <xdr:cNvPicPr>
                <a:picLocks noChangeAspect="1" noChangeArrowheads="1"/>
                <a:extLst>
                  <a:ext uri="{84589F7E-364E-4C9E-8A38-B11213B215E9}">
                    <a14:cameraTool cellRange="'238'!$P$27:$R$30" spid="_x0000_s24623"/>
                  </a:ext>
                </a:extLst>
              </xdr:cNvPicPr>
            </xdr:nvPicPr>
            <xdr:blipFill>
              <a:blip xmlns:r="http://schemas.openxmlformats.org/officeDocument/2006/relationships" r:embed="rId25"/>
              <a:srcRect/>
              <a:stretch>
                <a:fillRect/>
              </a:stretch>
            </xdr:blipFill>
            <xdr:spPr bwMode="auto">
              <a:xfrm>
                <a:off x="9098280" y="13639800"/>
                <a:ext cx="1836420" cy="70866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99" name="図 98">
                <a:extLst>
                  <a:ext uri="{FF2B5EF4-FFF2-40B4-BE49-F238E27FC236}">
                    <a16:creationId xmlns:a16="http://schemas.microsoft.com/office/drawing/2014/main" id="{0B06AFB6-994F-453E-8C50-202B11AA2701}"/>
                  </a:ext>
                </a:extLst>
              </xdr:cNvPr>
              <xdr:cNvPicPr>
                <a:picLocks noChangeAspect="1" noChangeArrowheads="1"/>
                <a:extLst>
                  <a:ext uri="{84589F7E-364E-4C9E-8A38-B11213B215E9}">
                    <a14:cameraTool cellRange="'240'!$P$27:$R$30" spid="_x0000_s24624"/>
                  </a:ext>
                </a:extLst>
              </xdr:cNvPicPr>
            </xdr:nvPicPr>
            <xdr:blipFill>
              <a:blip xmlns:r="http://schemas.openxmlformats.org/officeDocument/2006/relationships" r:embed="rId26"/>
              <a:srcRect/>
              <a:stretch>
                <a:fillRect/>
              </a:stretch>
            </xdr:blipFill>
            <xdr:spPr bwMode="auto">
              <a:xfrm>
                <a:off x="12153900" y="13670280"/>
                <a:ext cx="1836420" cy="7086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9</xdr:col>
      <xdr:colOff>0</xdr:colOff>
      <xdr:row>92</xdr:row>
      <xdr:rowOff>0</xdr:rowOff>
    </xdr:from>
    <xdr:to>
      <xdr:col>20</xdr:col>
      <xdr:colOff>8400</xdr:colOff>
      <xdr:row>110</xdr:row>
      <xdr:rowOff>265875</xdr:rowOff>
    </xdr:to>
    <xdr:grpSp>
      <xdr:nvGrpSpPr>
        <xdr:cNvPr id="14" name="cmms3">
          <a:extLst>
            <a:ext uri="{FF2B5EF4-FFF2-40B4-BE49-F238E27FC236}">
              <a16:creationId xmlns:a16="http://schemas.microsoft.com/office/drawing/2014/main" id="{F2E7124F-E234-4244-9A6F-751D026641C8}"/>
            </a:ext>
          </a:extLst>
        </xdr:cNvPr>
        <xdr:cNvGrpSpPr>
          <a:grpSpLocks noChangeAspect="1"/>
        </xdr:cNvGrpSpPr>
      </xdr:nvGrpSpPr>
      <xdr:grpSpPr>
        <a:xfrm>
          <a:off x="7181850" y="24507825"/>
          <a:ext cx="6714000" cy="5076000"/>
          <a:chOff x="7299960" y="22867620"/>
          <a:chExt cx="6714000" cy="4870260"/>
        </a:xfrm>
      </xdr:grpSpPr>
      <xdr:grpSp>
        <xdr:nvGrpSpPr>
          <xdr:cNvPr id="4" name="cmms3">
            <a:extLst>
              <a:ext uri="{FF2B5EF4-FFF2-40B4-BE49-F238E27FC236}">
                <a16:creationId xmlns:a16="http://schemas.microsoft.com/office/drawing/2014/main" id="{00000000-0008-0000-1200-000004000000}"/>
              </a:ext>
            </a:extLst>
          </xdr:cNvPr>
          <xdr:cNvGrpSpPr>
            <a:grpSpLocks noChangeAspect="1"/>
          </xdr:cNvGrpSpPr>
        </xdr:nvGrpSpPr>
        <xdr:grpSpPr>
          <a:xfrm>
            <a:off x="7299960" y="22867620"/>
            <a:ext cx="6714000" cy="4870260"/>
            <a:chOff x="6123213" y="21580929"/>
            <a:chExt cx="10757615" cy="9749850"/>
          </a:xfrm>
        </xdr:grpSpPr>
        <xdr:graphicFrame macro="">
          <xdr:nvGraphicFramePr>
            <xdr:cNvPr id="68" name="グラフ 67">
              <a:extLst>
                <a:ext uri="{FF2B5EF4-FFF2-40B4-BE49-F238E27FC236}">
                  <a16:creationId xmlns:a16="http://schemas.microsoft.com/office/drawing/2014/main" id="{00000000-0008-0000-1200-000044000000}"/>
                </a:ext>
              </a:extLst>
            </xdr:cNvPr>
            <xdr:cNvGraphicFramePr>
              <a:graphicFrameLocks noChangeAspect="1"/>
            </xdr:cNvGraphicFramePr>
          </xdr:nvGraphicFramePr>
          <xdr:xfrm>
            <a:off x="6123213" y="21580929"/>
            <a:ext cx="5377618" cy="4865486"/>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9" name="グラフ 68">
              <a:extLst>
                <a:ext uri="{FF2B5EF4-FFF2-40B4-BE49-F238E27FC236}">
                  <a16:creationId xmlns:a16="http://schemas.microsoft.com/office/drawing/2014/main" id="{00000000-0008-0000-1200-000045000000}"/>
                </a:ext>
              </a:extLst>
            </xdr:cNvPr>
            <xdr:cNvGraphicFramePr>
              <a:graphicFrameLocks noChangeAspect="1"/>
            </xdr:cNvGraphicFramePr>
          </xdr:nvGraphicFramePr>
          <xdr:xfrm>
            <a:off x="6132253" y="26459216"/>
            <a:ext cx="5377618" cy="4865486"/>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70" name="グラフ 69">
              <a:extLst>
                <a:ext uri="{FF2B5EF4-FFF2-40B4-BE49-F238E27FC236}">
                  <a16:creationId xmlns:a16="http://schemas.microsoft.com/office/drawing/2014/main" id="{00000000-0008-0000-1200-000046000000}"/>
                </a:ext>
              </a:extLst>
            </xdr:cNvPr>
            <xdr:cNvGraphicFramePr>
              <a:graphicFrameLocks noChangeAspect="1"/>
            </xdr:cNvGraphicFramePr>
          </xdr:nvGraphicFramePr>
          <xdr:xfrm>
            <a:off x="11503210" y="21580929"/>
            <a:ext cx="5377618" cy="4865486"/>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71" name="グラフ 70">
              <a:extLst>
                <a:ext uri="{FF2B5EF4-FFF2-40B4-BE49-F238E27FC236}">
                  <a16:creationId xmlns:a16="http://schemas.microsoft.com/office/drawing/2014/main" id="{00000000-0008-0000-1200-000047000000}"/>
                </a:ext>
              </a:extLst>
            </xdr:cNvPr>
            <xdr:cNvGraphicFramePr>
              <a:graphicFrameLocks noChangeAspect="1"/>
            </xdr:cNvGraphicFramePr>
          </xdr:nvGraphicFramePr>
          <xdr:xfrm>
            <a:off x="11503207" y="26465293"/>
            <a:ext cx="5377618" cy="4865486"/>
          </xdr:xfrm>
          <a:graphic>
            <a:graphicData uri="http://schemas.openxmlformats.org/drawingml/2006/chart">
              <c:chart xmlns:c="http://schemas.openxmlformats.org/drawingml/2006/chart" xmlns:r="http://schemas.openxmlformats.org/officeDocument/2006/relationships" r:id="rId30"/>
            </a:graphicData>
          </a:graphic>
        </xdr:graphicFrame>
      </xdr:grpSp>
      <mc:AlternateContent xmlns:mc="http://schemas.openxmlformats.org/markup-compatibility/2006" xmlns:a14="http://schemas.microsoft.com/office/drawing/2010/main">
        <mc:Choice Requires="a14">
          <xdr:pic>
            <xdr:nvPicPr>
              <xdr:cNvPr id="100" name="図 99">
                <a:extLst>
                  <a:ext uri="{FF2B5EF4-FFF2-40B4-BE49-F238E27FC236}">
                    <a16:creationId xmlns:a16="http://schemas.microsoft.com/office/drawing/2014/main" id="{A5F198C4-A9A8-4552-A6D1-EEC2081D4502}"/>
                  </a:ext>
                </a:extLst>
              </xdr:cNvPr>
              <xdr:cNvPicPr>
                <a:picLocks noChangeAspect="1" noChangeArrowheads="1"/>
                <a:extLst>
                  <a:ext uri="{84589F7E-364E-4C9E-8A38-B11213B215E9}">
                    <a14:cameraTool cellRange="'242'!$P$27:$R$30" spid="_x0000_s24625"/>
                  </a:ext>
                </a:extLst>
              </xdr:cNvPicPr>
            </xdr:nvPicPr>
            <xdr:blipFill>
              <a:blip xmlns:r="http://schemas.openxmlformats.org/officeDocument/2006/relationships" r:embed="rId31"/>
              <a:srcRect/>
              <a:stretch>
                <a:fillRect/>
              </a:stretch>
            </xdr:blipFill>
            <xdr:spPr bwMode="auto">
              <a:xfrm>
                <a:off x="8976360" y="24597360"/>
                <a:ext cx="1836420" cy="70866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101" name="図 100">
                <a:extLst>
                  <a:ext uri="{FF2B5EF4-FFF2-40B4-BE49-F238E27FC236}">
                    <a16:creationId xmlns:a16="http://schemas.microsoft.com/office/drawing/2014/main" id="{1C152242-B64A-477F-AD14-70E0184728B0}"/>
                  </a:ext>
                </a:extLst>
              </xdr:cNvPr>
              <xdr:cNvPicPr>
                <a:picLocks noChangeAspect="1" noChangeArrowheads="1"/>
                <a:extLst>
                  <a:ext uri="{84589F7E-364E-4C9E-8A38-B11213B215E9}">
                    <a14:cameraTool cellRange="'244'!$P$27:$R$30" spid="_x0000_s24626"/>
                  </a:ext>
                </a:extLst>
              </xdr:cNvPicPr>
            </xdr:nvPicPr>
            <xdr:blipFill>
              <a:blip xmlns:r="http://schemas.openxmlformats.org/officeDocument/2006/relationships" r:embed="rId32"/>
              <a:srcRect/>
              <a:stretch>
                <a:fillRect/>
              </a:stretch>
            </xdr:blipFill>
            <xdr:spPr bwMode="auto">
              <a:xfrm>
                <a:off x="12146280" y="24574500"/>
                <a:ext cx="1859280" cy="7086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9</xdr:col>
      <xdr:colOff>0</xdr:colOff>
      <xdr:row>224</xdr:row>
      <xdr:rowOff>242611</xdr:rowOff>
    </xdr:from>
    <xdr:to>
      <xdr:col>20</xdr:col>
      <xdr:colOff>8400</xdr:colOff>
      <xdr:row>243</xdr:row>
      <xdr:rowOff>241786</xdr:rowOff>
    </xdr:to>
    <xdr:grpSp>
      <xdr:nvGrpSpPr>
        <xdr:cNvPr id="16" name="cmmn2">
          <a:extLst>
            <a:ext uri="{FF2B5EF4-FFF2-40B4-BE49-F238E27FC236}">
              <a16:creationId xmlns:a16="http://schemas.microsoft.com/office/drawing/2014/main" id="{C696AF79-F886-46B2-8B55-121FC093E677}"/>
            </a:ext>
          </a:extLst>
        </xdr:cNvPr>
        <xdr:cNvGrpSpPr>
          <a:grpSpLocks noChangeAspect="1"/>
        </xdr:cNvGrpSpPr>
      </xdr:nvGrpSpPr>
      <xdr:grpSpPr>
        <a:xfrm>
          <a:off x="7181850" y="59983411"/>
          <a:ext cx="6714000" cy="5076000"/>
          <a:chOff x="7299960" y="55982911"/>
          <a:chExt cx="6714000" cy="4870260"/>
        </a:xfrm>
      </xdr:grpSpPr>
      <xdr:grpSp>
        <xdr:nvGrpSpPr>
          <xdr:cNvPr id="6" name="cmmn2">
            <a:extLst>
              <a:ext uri="{FF2B5EF4-FFF2-40B4-BE49-F238E27FC236}">
                <a16:creationId xmlns:a16="http://schemas.microsoft.com/office/drawing/2014/main" id="{00000000-0008-0000-1200-000006000000}"/>
              </a:ext>
            </a:extLst>
          </xdr:cNvPr>
          <xdr:cNvGrpSpPr>
            <a:grpSpLocks noChangeAspect="1"/>
          </xdr:cNvGrpSpPr>
        </xdr:nvGrpSpPr>
        <xdr:grpSpPr>
          <a:xfrm>
            <a:off x="7299960" y="55982911"/>
            <a:ext cx="6714000" cy="4870260"/>
            <a:chOff x="6123214" y="42808071"/>
            <a:chExt cx="10761973" cy="9764168"/>
          </a:xfrm>
        </xdr:grpSpPr>
        <xdr:graphicFrame macro="">
          <xdr:nvGraphicFramePr>
            <xdr:cNvPr id="78" name="グラフ 77">
              <a:extLst>
                <a:ext uri="{FF2B5EF4-FFF2-40B4-BE49-F238E27FC236}">
                  <a16:creationId xmlns:a16="http://schemas.microsoft.com/office/drawing/2014/main" id="{00000000-0008-0000-1200-00004E000000}"/>
                </a:ext>
              </a:extLst>
            </xdr:cNvPr>
            <xdr:cNvGraphicFramePr>
              <a:graphicFrameLocks noChangeAspect="1"/>
            </xdr:cNvGraphicFramePr>
          </xdr:nvGraphicFramePr>
          <xdr:xfrm>
            <a:off x="6123214" y="42808071"/>
            <a:ext cx="5377491" cy="4896541"/>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79" name="グラフ 78">
              <a:extLst>
                <a:ext uri="{FF2B5EF4-FFF2-40B4-BE49-F238E27FC236}">
                  <a16:creationId xmlns:a16="http://schemas.microsoft.com/office/drawing/2014/main" id="{00000000-0008-0000-1200-00004F000000}"/>
                </a:ext>
              </a:extLst>
            </xdr:cNvPr>
            <xdr:cNvGraphicFramePr>
              <a:graphicFrameLocks noChangeAspect="1"/>
            </xdr:cNvGraphicFramePr>
          </xdr:nvGraphicFramePr>
          <xdr:xfrm>
            <a:off x="6123214" y="47710422"/>
            <a:ext cx="5377491" cy="4861814"/>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80" name="グラフ 79">
              <a:extLst>
                <a:ext uri="{FF2B5EF4-FFF2-40B4-BE49-F238E27FC236}">
                  <a16:creationId xmlns:a16="http://schemas.microsoft.com/office/drawing/2014/main" id="{00000000-0008-0000-1200-000050000000}"/>
                </a:ext>
              </a:extLst>
            </xdr:cNvPr>
            <xdr:cNvGraphicFramePr>
              <a:graphicFrameLocks noChangeAspect="1"/>
            </xdr:cNvGraphicFramePr>
          </xdr:nvGraphicFramePr>
          <xdr:xfrm>
            <a:off x="11507694" y="42840577"/>
            <a:ext cx="5377491" cy="4861814"/>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81" name="グラフ 80">
              <a:extLst>
                <a:ext uri="{FF2B5EF4-FFF2-40B4-BE49-F238E27FC236}">
                  <a16:creationId xmlns:a16="http://schemas.microsoft.com/office/drawing/2014/main" id="{00000000-0008-0000-1200-000051000000}"/>
                </a:ext>
              </a:extLst>
            </xdr:cNvPr>
            <xdr:cNvGraphicFramePr>
              <a:graphicFrameLocks noChangeAspect="1"/>
            </xdr:cNvGraphicFramePr>
          </xdr:nvGraphicFramePr>
          <xdr:xfrm>
            <a:off x="11507696" y="47710427"/>
            <a:ext cx="5377491" cy="4861812"/>
          </xdr:xfrm>
          <a:graphic>
            <a:graphicData uri="http://schemas.openxmlformats.org/drawingml/2006/chart">
              <c:chart xmlns:c="http://schemas.openxmlformats.org/drawingml/2006/chart" xmlns:r="http://schemas.openxmlformats.org/officeDocument/2006/relationships" r:id="rId36"/>
            </a:graphicData>
          </a:graphic>
        </xdr:graphicFrame>
      </xdr:grpSp>
      <mc:AlternateContent xmlns:mc="http://schemas.openxmlformats.org/markup-compatibility/2006" xmlns:a14="http://schemas.microsoft.com/office/drawing/2010/main">
        <mc:Choice Requires="a14">
          <xdr:pic>
            <xdr:nvPicPr>
              <xdr:cNvPr id="104" name="図 103">
                <a:extLst>
                  <a:ext uri="{FF2B5EF4-FFF2-40B4-BE49-F238E27FC236}">
                    <a16:creationId xmlns:a16="http://schemas.microsoft.com/office/drawing/2014/main" id="{2CE19147-116B-4B72-B405-1A6796CD1094}"/>
                  </a:ext>
                </a:extLst>
              </xdr:cNvPr>
              <xdr:cNvPicPr>
                <a:picLocks noChangeAspect="1" noChangeArrowheads="1"/>
                <a:extLst>
                  <a:ext uri="{84589F7E-364E-4C9E-8A38-B11213B215E9}">
                    <a14:cameraTool cellRange="'237'!$P$27:$R$30" spid="_x0000_s24627"/>
                  </a:ext>
                </a:extLst>
              </xdr:cNvPicPr>
            </xdr:nvPicPr>
            <xdr:blipFill>
              <a:blip xmlns:r="http://schemas.openxmlformats.org/officeDocument/2006/relationships" r:embed="rId37"/>
              <a:srcRect/>
              <a:stretch>
                <a:fillRect/>
              </a:stretch>
            </xdr:blipFill>
            <xdr:spPr bwMode="auto">
              <a:xfrm>
                <a:off x="9052560" y="57706260"/>
                <a:ext cx="1859280" cy="70866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105" name="図 104">
                <a:extLst>
                  <a:ext uri="{FF2B5EF4-FFF2-40B4-BE49-F238E27FC236}">
                    <a16:creationId xmlns:a16="http://schemas.microsoft.com/office/drawing/2014/main" id="{824F1421-9D0D-433A-9B2F-889971930C34}"/>
                  </a:ext>
                </a:extLst>
              </xdr:cNvPr>
              <xdr:cNvPicPr>
                <a:picLocks noChangeAspect="1" noChangeArrowheads="1"/>
                <a:extLst>
                  <a:ext uri="{84589F7E-364E-4C9E-8A38-B11213B215E9}">
                    <a14:cameraTool cellRange="'239'!$P$27:$R$30" spid="_x0000_s24628"/>
                  </a:ext>
                </a:extLst>
              </xdr:cNvPicPr>
            </xdr:nvPicPr>
            <xdr:blipFill>
              <a:blip xmlns:r="http://schemas.openxmlformats.org/officeDocument/2006/relationships" r:embed="rId38"/>
              <a:srcRect/>
              <a:stretch>
                <a:fillRect/>
              </a:stretch>
            </xdr:blipFill>
            <xdr:spPr bwMode="auto">
              <a:xfrm>
                <a:off x="12161520" y="57759600"/>
                <a:ext cx="1836420" cy="7086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9</xdr:col>
      <xdr:colOff>0</xdr:colOff>
      <xdr:row>268</xdr:row>
      <xdr:rowOff>242616</xdr:rowOff>
    </xdr:from>
    <xdr:to>
      <xdr:col>20</xdr:col>
      <xdr:colOff>8400</xdr:colOff>
      <xdr:row>287</xdr:row>
      <xdr:rowOff>251316</xdr:rowOff>
    </xdr:to>
    <xdr:grpSp>
      <xdr:nvGrpSpPr>
        <xdr:cNvPr id="17" name="cmmn3">
          <a:extLst>
            <a:ext uri="{FF2B5EF4-FFF2-40B4-BE49-F238E27FC236}">
              <a16:creationId xmlns:a16="http://schemas.microsoft.com/office/drawing/2014/main" id="{8B6EDA11-CE52-4F2E-A84B-CAF21606A25E}"/>
            </a:ext>
          </a:extLst>
        </xdr:cNvPr>
        <xdr:cNvGrpSpPr>
          <a:grpSpLocks noChangeAspect="1"/>
        </xdr:cNvGrpSpPr>
      </xdr:nvGrpSpPr>
      <xdr:grpSpPr>
        <a:xfrm>
          <a:off x="7181850" y="71727741"/>
          <a:ext cx="6714000" cy="5076000"/>
          <a:chOff x="7299960" y="66948096"/>
          <a:chExt cx="6714000" cy="4862640"/>
        </a:xfrm>
      </xdr:grpSpPr>
      <xdr:grpSp>
        <xdr:nvGrpSpPr>
          <xdr:cNvPr id="7" name="cmmn3">
            <a:extLst>
              <a:ext uri="{FF2B5EF4-FFF2-40B4-BE49-F238E27FC236}">
                <a16:creationId xmlns:a16="http://schemas.microsoft.com/office/drawing/2014/main" id="{00000000-0008-0000-1200-000007000000}"/>
              </a:ext>
            </a:extLst>
          </xdr:cNvPr>
          <xdr:cNvGrpSpPr>
            <a:grpSpLocks noChangeAspect="1"/>
          </xdr:cNvGrpSpPr>
        </xdr:nvGrpSpPr>
        <xdr:grpSpPr>
          <a:xfrm>
            <a:off x="7299960" y="66948096"/>
            <a:ext cx="6714000" cy="4862640"/>
            <a:chOff x="6123214" y="53244750"/>
            <a:chExt cx="10761974" cy="9729165"/>
          </a:xfrm>
        </xdr:grpSpPr>
        <xdr:graphicFrame macro="">
          <xdr:nvGraphicFramePr>
            <xdr:cNvPr id="84" name="グラフ 83">
              <a:extLst>
                <a:ext uri="{FF2B5EF4-FFF2-40B4-BE49-F238E27FC236}">
                  <a16:creationId xmlns:a16="http://schemas.microsoft.com/office/drawing/2014/main" id="{00000000-0008-0000-1200-000054000000}"/>
                </a:ext>
              </a:extLst>
            </xdr:cNvPr>
            <xdr:cNvGraphicFramePr>
              <a:graphicFrameLocks noChangeAspect="1"/>
            </xdr:cNvGraphicFramePr>
          </xdr:nvGraphicFramePr>
          <xdr:xfrm>
            <a:off x="6123214" y="53244750"/>
            <a:ext cx="5377491" cy="4859175"/>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85" name="グラフ 84">
              <a:extLst>
                <a:ext uri="{FF2B5EF4-FFF2-40B4-BE49-F238E27FC236}">
                  <a16:creationId xmlns:a16="http://schemas.microsoft.com/office/drawing/2014/main" id="{00000000-0008-0000-1200-000055000000}"/>
                </a:ext>
              </a:extLst>
            </xdr:cNvPr>
            <xdr:cNvGraphicFramePr>
              <a:graphicFrameLocks noChangeAspect="1"/>
            </xdr:cNvGraphicFramePr>
          </xdr:nvGraphicFramePr>
          <xdr:xfrm>
            <a:off x="6123214" y="58114735"/>
            <a:ext cx="5377491" cy="4859175"/>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86" name="グラフ 85">
              <a:extLst>
                <a:ext uri="{FF2B5EF4-FFF2-40B4-BE49-F238E27FC236}">
                  <a16:creationId xmlns:a16="http://schemas.microsoft.com/office/drawing/2014/main" id="{00000000-0008-0000-1200-000056000000}"/>
                </a:ext>
              </a:extLst>
            </xdr:cNvPr>
            <xdr:cNvGraphicFramePr>
              <a:graphicFrameLocks noChangeAspect="1"/>
            </xdr:cNvGraphicFramePr>
          </xdr:nvGraphicFramePr>
          <xdr:xfrm>
            <a:off x="11507696" y="53244751"/>
            <a:ext cx="5377491" cy="4859175"/>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87" name="グラフ 86">
              <a:extLst>
                <a:ext uri="{FF2B5EF4-FFF2-40B4-BE49-F238E27FC236}">
                  <a16:creationId xmlns:a16="http://schemas.microsoft.com/office/drawing/2014/main" id="{00000000-0008-0000-1200-000057000000}"/>
                </a:ext>
              </a:extLst>
            </xdr:cNvPr>
            <xdr:cNvGraphicFramePr>
              <a:graphicFrameLocks noChangeAspect="1"/>
            </xdr:cNvGraphicFramePr>
          </xdr:nvGraphicFramePr>
          <xdr:xfrm>
            <a:off x="11507697" y="58114740"/>
            <a:ext cx="5377491" cy="4859175"/>
          </xdr:xfrm>
          <a:graphic>
            <a:graphicData uri="http://schemas.openxmlformats.org/drawingml/2006/chart">
              <c:chart xmlns:c="http://schemas.openxmlformats.org/drawingml/2006/chart" xmlns:r="http://schemas.openxmlformats.org/officeDocument/2006/relationships" r:id="rId42"/>
            </a:graphicData>
          </a:graphic>
        </xdr:graphicFrame>
      </xdr:grpSp>
      <mc:AlternateContent xmlns:mc="http://schemas.openxmlformats.org/markup-compatibility/2006" xmlns:a14="http://schemas.microsoft.com/office/drawing/2010/main">
        <mc:Choice Requires="a14">
          <xdr:pic>
            <xdr:nvPicPr>
              <xdr:cNvPr id="106" name="図 105">
                <a:extLst>
                  <a:ext uri="{FF2B5EF4-FFF2-40B4-BE49-F238E27FC236}">
                    <a16:creationId xmlns:a16="http://schemas.microsoft.com/office/drawing/2014/main" id="{CC01CAB0-346F-435F-8218-370DF81BD8C7}"/>
                  </a:ext>
                </a:extLst>
              </xdr:cNvPr>
              <xdr:cNvPicPr>
                <a:picLocks noChangeAspect="1" noChangeArrowheads="1"/>
                <a:extLst>
                  <a:ext uri="{84589F7E-364E-4C9E-8A38-B11213B215E9}">
                    <a14:cameraTool cellRange="'241'!$P$27:$R$30" spid="_x0000_s24629"/>
                  </a:ext>
                </a:extLst>
              </xdr:cNvPicPr>
            </xdr:nvPicPr>
            <xdr:blipFill>
              <a:blip xmlns:r="http://schemas.openxmlformats.org/officeDocument/2006/relationships" r:embed="rId43"/>
              <a:srcRect/>
              <a:stretch>
                <a:fillRect/>
              </a:stretch>
            </xdr:blipFill>
            <xdr:spPr bwMode="auto">
              <a:xfrm>
                <a:off x="9121140" y="68640960"/>
                <a:ext cx="1836420" cy="70866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107" name="図 106">
                <a:extLst>
                  <a:ext uri="{FF2B5EF4-FFF2-40B4-BE49-F238E27FC236}">
                    <a16:creationId xmlns:a16="http://schemas.microsoft.com/office/drawing/2014/main" id="{296217E1-4DCB-45D4-ABB0-1F59ED1A90BC}"/>
                  </a:ext>
                </a:extLst>
              </xdr:cNvPr>
              <xdr:cNvPicPr>
                <a:picLocks noChangeAspect="1" noChangeArrowheads="1"/>
                <a:extLst>
                  <a:ext uri="{84589F7E-364E-4C9E-8A38-B11213B215E9}">
                    <a14:cameraTool cellRange="'243'!$P$27:$R$30" spid="_x0000_s24630"/>
                  </a:ext>
                </a:extLst>
              </xdr:cNvPicPr>
            </xdr:nvPicPr>
            <xdr:blipFill>
              <a:blip xmlns:r="http://schemas.openxmlformats.org/officeDocument/2006/relationships" r:embed="rId38"/>
              <a:srcRect/>
              <a:stretch>
                <a:fillRect/>
              </a:stretch>
            </xdr:blipFill>
            <xdr:spPr bwMode="auto">
              <a:xfrm>
                <a:off x="12169140" y="68618100"/>
                <a:ext cx="1836420" cy="7086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9</xdr:col>
      <xdr:colOff>0</xdr:colOff>
      <xdr:row>313</xdr:row>
      <xdr:rowOff>2</xdr:rowOff>
    </xdr:from>
    <xdr:to>
      <xdr:col>20</xdr:col>
      <xdr:colOff>8400</xdr:colOff>
      <xdr:row>331</xdr:row>
      <xdr:rowOff>256352</xdr:rowOff>
    </xdr:to>
    <xdr:grpSp>
      <xdr:nvGrpSpPr>
        <xdr:cNvPr id="18" name="cmmn4">
          <a:extLst>
            <a:ext uri="{FF2B5EF4-FFF2-40B4-BE49-F238E27FC236}">
              <a16:creationId xmlns:a16="http://schemas.microsoft.com/office/drawing/2014/main" id="{775E4571-56A0-415A-8E78-01BFA5BFE21C}"/>
            </a:ext>
          </a:extLst>
        </xdr:cNvPr>
        <xdr:cNvGrpSpPr>
          <a:grpSpLocks noChangeAspect="1"/>
        </xdr:cNvGrpSpPr>
      </xdr:nvGrpSpPr>
      <xdr:grpSpPr>
        <a:xfrm>
          <a:off x="7181850" y="83486627"/>
          <a:ext cx="6714000" cy="5076000"/>
          <a:chOff x="7299960" y="77906882"/>
          <a:chExt cx="6736080" cy="4877880"/>
        </a:xfrm>
      </xdr:grpSpPr>
      <xdr:grpSp>
        <xdr:nvGrpSpPr>
          <xdr:cNvPr id="8" name="cmmn4">
            <a:extLst>
              <a:ext uri="{FF2B5EF4-FFF2-40B4-BE49-F238E27FC236}">
                <a16:creationId xmlns:a16="http://schemas.microsoft.com/office/drawing/2014/main" id="{00000000-0008-0000-1200-000008000000}"/>
              </a:ext>
            </a:extLst>
          </xdr:cNvPr>
          <xdr:cNvGrpSpPr>
            <a:grpSpLocks noChangeAspect="1"/>
          </xdr:cNvGrpSpPr>
        </xdr:nvGrpSpPr>
        <xdr:grpSpPr>
          <a:xfrm>
            <a:off x="7299960" y="77906882"/>
            <a:ext cx="6714000" cy="4877880"/>
            <a:chOff x="6123214" y="63681428"/>
            <a:chExt cx="10761974" cy="9761319"/>
          </a:xfrm>
        </xdr:grpSpPr>
        <xdr:graphicFrame macro="">
          <xdr:nvGraphicFramePr>
            <xdr:cNvPr id="89" name="グラフ 88">
              <a:extLst>
                <a:ext uri="{FF2B5EF4-FFF2-40B4-BE49-F238E27FC236}">
                  <a16:creationId xmlns:a16="http://schemas.microsoft.com/office/drawing/2014/main" id="{00000000-0008-0000-1200-000059000000}"/>
                </a:ext>
              </a:extLst>
            </xdr:cNvPr>
            <xdr:cNvGraphicFramePr>
              <a:graphicFrameLocks noChangeAspect="1"/>
            </xdr:cNvGraphicFramePr>
          </xdr:nvGraphicFramePr>
          <xdr:xfrm>
            <a:off x="6123214" y="63681428"/>
            <a:ext cx="5377491" cy="4878027"/>
          </xdr:xfrm>
          <a:graphic>
            <a:graphicData uri="http://schemas.openxmlformats.org/drawingml/2006/chart">
              <c:chart xmlns:c="http://schemas.openxmlformats.org/drawingml/2006/chart" xmlns:r="http://schemas.openxmlformats.org/officeDocument/2006/relationships" r:id="rId44"/>
            </a:graphicData>
          </a:graphic>
        </xdr:graphicFrame>
        <xdr:graphicFrame macro="">
          <xdr:nvGraphicFramePr>
            <xdr:cNvPr id="90" name="グラフ 89">
              <a:extLst>
                <a:ext uri="{FF2B5EF4-FFF2-40B4-BE49-F238E27FC236}">
                  <a16:creationId xmlns:a16="http://schemas.microsoft.com/office/drawing/2014/main" id="{00000000-0008-0000-1200-00005A000000}"/>
                </a:ext>
              </a:extLst>
            </xdr:cNvPr>
            <xdr:cNvGraphicFramePr>
              <a:graphicFrameLocks noChangeAspect="1"/>
            </xdr:cNvGraphicFramePr>
          </xdr:nvGraphicFramePr>
          <xdr:xfrm>
            <a:off x="6123214" y="68564716"/>
            <a:ext cx="5377491" cy="4878027"/>
          </xdr:xfrm>
          <a:graphic>
            <a:graphicData uri="http://schemas.openxmlformats.org/drawingml/2006/chart">
              <c:chart xmlns:c="http://schemas.openxmlformats.org/drawingml/2006/chart" xmlns:r="http://schemas.openxmlformats.org/officeDocument/2006/relationships" r:id="rId45"/>
            </a:graphicData>
          </a:graphic>
        </xdr:graphicFrame>
        <xdr:graphicFrame macro="">
          <xdr:nvGraphicFramePr>
            <xdr:cNvPr id="91" name="グラフ 90">
              <a:extLst>
                <a:ext uri="{FF2B5EF4-FFF2-40B4-BE49-F238E27FC236}">
                  <a16:creationId xmlns:a16="http://schemas.microsoft.com/office/drawing/2014/main" id="{00000000-0008-0000-1200-00005B000000}"/>
                </a:ext>
              </a:extLst>
            </xdr:cNvPr>
            <xdr:cNvGraphicFramePr>
              <a:graphicFrameLocks noChangeAspect="1"/>
            </xdr:cNvGraphicFramePr>
          </xdr:nvGraphicFramePr>
          <xdr:xfrm>
            <a:off x="11507696" y="63681428"/>
            <a:ext cx="5377491" cy="4878027"/>
          </xdr:xfrm>
          <a:graphic>
            <a:graphicData uri="http://schemas.openxmlformats.org/drawingml/2006/chart">
              <c:chart xmlns:c="http://schemas.openxmlformats.org/drawingml/2006/chart" xmlns:r="http://schemas.openxmlformats.org/officeDocument/2006/relationships" r:id="rId46"/>
            </a:graphicData>
          </a:graphic>
        </xdr:graphicFrame>
        <xdr:graphicFrame macro="">
          <xdr:nvGraphicFramePr>
            <xdr:cNvPr id="92" name="グラフ 91">
              <a:extLst>
                <a:ext uri="{FF2B5EF4-FFF2-40B4-BE49-F238E27FC236}">
                  <a16:creationId xmlns:a16="http://schemas.microsoft.com/office/drawing/2014/main" id="{00000000-0008-0000-1200-00005C000000}"/>
                </a:ext>
              </a:extLst>
            </xdr:cNvPr>
            <xdr:cNvGraphicFramePr>
              <a:graphicFrameLocks noChangeAspect="1"/>
            </xdr:cNvGraphicFramePr>
          </xdr:nvGraphicFramePr>
          <xdr:xfrm>
            <a:off x="11507697" y="68564720"/>
            <a:ext cx="5377491" cy="4878027"/>
          </xdr:xfrm>
          <a:graphic>
            <a:graphicData uri="http://schemas.openxmlformats.org/drawingml/2006/chart">
              <c:chart xmlns:c="http://schemas.openxmlformats.org/drawingml/2006/chart" xmlns:r="http://schemas.openxmlformats.org/officeDocument/2006/relationships" r:id="rId47"/>
            </a:graphicData>
          </a:graphic>
        </xdr:graphicFrame>
      </xdr:grpSp>
      <mc:AlternateContent xmlns:mc="http://schemas.openxmlformats.org/markup-compatibility/2006" xmlns:a14="http://schemas.microsoft.com/office/drawing/2010/main">
        <mc:Choice Requires="a14">
          <xdr:pic>
            <xdr:nvPicPr>
              <xdr:cNvPr id="108" name="図 107">
                <a:extLst>
                  <a:ext uri="{FF2B5EF4-FFF2-40B4-BE49-F238E27FC236}">
                    <a16:creationId xmlns:a16="http://schemas.microsoft.com/office/drawing/2014/main" id="{E6FF4E66-306B-479B-94EC-96F45AB954B2}"/>
                  </a:ext>
                </a:extLst>
              </xdr:cNvPr>
              <xdr:cNvPicPr>
                <a:picLocks noChangeAspect="1" noChangeArrowheads="1"/>
                <a:extLst>
                  <a:ext uri="{84589F7E-364E-4C9E-8A38-B11213B215E9}">
                    <a14:cameraTool cellRange="'245'!$P$19:$R$22" spid="_x0000_s24631"/>
                  </a:ext>
                </a:extLst>
              </xdr:cNvPicPr>
            </xdr:nvPicPr>
            <xdr:blipFill>
              <a:blip xmlns:r="http://schemas.openxmlformats.org/officeDocument/2006/relationships" r:embed="rId38"/>
              <a:srcRect/>
              <a:stretch>
                <a:fillRect/>
              </a:stretch>
            </xdr:blipFill>
            <xdr:spPr bwMode="auto">
              <a:xfrm>
                <a:off x="9174480" y="79659480"/>
                <a:ext cx="1836420" cy="70866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109" name="図 108">
                <a:extLst>
                  <a:ext uri="{FF2B5EF4-FFF2-40B4-BE49-F238E27FC236}">
                    <a16:creationId xmlns:a16="http://schemas.microsoft.com/office/drawing/2014/main" id="{C763B91B-E079-4223-9BC7-84EB9D9153E8}"/>
                  </a:ext>
                </a:extLst>
              </xdr:cNvPr>
              <xdr:cNvPicPr>
                <a:picLocks noChangeAspect="1" noChangeArrowheads="1"/>
                <a:extLst>
                  <a:ext uri="{84589F7E-364E-4C9E-8A38-B11213B215E9}">
                    <a14:cameraTool cellRange="'247'!$P$27:$R$30" spid="_x0000_s24632"/>
                  </a:ext>
                </a:extLst>
              </xdr:cNvPicPr>
            </xdr:nvPicPr>
            <xdr:blipFill>
              <a:blip xmlns:r="http://schemas.openxmlformats.org/officeDocument/2006/relationships" r:embed="rId48"/>
              <a:srcRect/>
              <a:stretch>
                <a:fillRect/>
              </a:stretch>
            </xdr:blipFill>
            <xdr:spPr bwMode="auto">
              <a:xfrm>
                <a:off x="12199620" y="79621380"/>
                <a:ext cx="1836420" cy="7086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9</xdr:col>
      <xdr:colOff>566967</xdr:colOff>
      <xdr:row>136</xdr:row>
      <xdr:rowOff>242610</xdr:rowOff>
    </xdr:from>
    <xdr:to>
      <xdr:col>20</xdr:col>
      <xdr:colOff>575367</xdr:colOff>
      <xdr:row>155</xdr:row>
      <xdr:rowOff>241785</xdr:rowOff>
    </xdr:to>
    <xdr:grpSp>
      <xdr:nvGrpSpPr>
        <xdr:cNvPr id="19" name="cmms41">
          <a:extLst>
            <a:ext uri="{FF2B5EF4-FFF2-40B4-BE49-F238E27FC236}">
              <a16:creationId xmlns:a16="http://schemas.microsoft.com/office/drawing/2014/main" id="{C65A0A87-DEE3-4191-B9A6-09170D59B07B}"/>
            </a:ext>
          </a:extLst>
        </xdr:cNvPr>
        <xdr:cNvGrpSpPr>
          <a:grpSpLocks noChangeAspect="1"/>
        </xdr:cNvGrpSpPr>
      </xdr:nvGrpSpPr>
      <xdr:grpSpPr>
        <a:xfrm>
          <a:off x="7748817" y="36494760"/>
          <a:ext cx="6714000" cy="5076000"/>
          <a:chOff x="7866927" y="34075410"/>
          <a:chExt cx="6714000" cy="4847400"/>
        </a:xfrm>
      </xdr:grpSpPr>
      <xdr:graphicFrame macro="">
        <xdr:nvGraphicFramePr>
          <xdr:cNvPr id="57" name="グラフ 56">
            <a:extLst>
              <a:ext uri="{FF2B5EF4-FFF2-40B4-BE49-F238E27FC236}">
                <a16:creationId xmlns:a16="http://schemas.microsoft.com/office/drawing/2014/main" id="{1D3E5556-470D-46FD-BEE7-0FEDB997EA81}"/>
              </a:ext>
            </a:extLst>
          </xdr:cNvPr>
          <xdr:cNvGraphicFramePr>
            <a:graphicFrameLocks noChangeAspect="1"/>
          </xdr:cNvGraphicFramePr>
        </xdr:nvGraphicFramePr>
        <xdr:xfrm>
          <a:off x="7866927" y="34075410"/>
          <a:ext cx="3356065" cy="2423344"/>
        </xdr:xfrm>
        <a:graphic>
          <a:graphicData uri="http://schemas.openxmlformats.org/drawingml/2006/chart">
            <c:chart xmlns:c="http://schemas.openxmlformats.org/drawingml/2006/chart" xmlns:r="http://schemas.openxmlformats.org/officeDocument/2006/relationships" r:id="rId49"/>
          </a:graphicData>
        </a:graphic>
      </xdr:graphicFrame>
      <xdr:graphicFrame macro="">
        <xdr:nvGraphicFramePr>
          <xdr:cNvPr id="60" name="グラフ 59">
            <a:extLst>
              <a:ext uri="{FF2B5EF4-FFF2-40B4-BE49-F238E27FC236}">
                <a16:creationId xmlns:a16="http://schemas.microsoft.com/office/drawing/2014/main" id="{DB3EAA3A-DB24-4ADF-A195-CC952BC34754}"/>
              </a:ext>
            </a:extLst>
          </xdr:cNvPr>
          <xdr:cNvGraphicFramePr>
            <a:graphicFrameLocks noChangeAspect="1"/>
          </xdr:cNvGraphicFramePr>
        </xdr:nvGraphicFramePr>
        <xdr:xfrm>
          <a:off x="7866927" y="36499466"/>
          <a:ext cx="3356065" cy="2423344"/>
        </xdr:xfrm>
        <a:graphic>
          <a:graphicData uri="http://schemas.openxmlformats.org/drawingml/2006/chart">
            <c:chart xmlns:c="http://schemas.openxmlformats.org/drawingml/2006/chart" xmlns:r="http://schemas.openxmlformats.org/officeDocument/2006/relationships" r:id="rId50"/>
          </a:graphicData>
        </a:graphic>
      </xdr:graphicFrame>
      <xdr:graphicFrame macro="">
        <xdr:nvGraphicFramePr>
          <xdr:cNvPr id="82" name="グラフ 81">
            <a:extLst>
              <a:ext uri="{FF2B5EF4-FFF2-40B4-BE49-F238E27FC236}">
                <a16:creationId xmlns:a16="http://schemas.microsoft.com/office/drawing/2014/main" id="{B1391DC8-BEAF-4734-B004-DA388AE8A942}"/>
              </a:ext>
            </a:extLst>
          </xdr:cNvPr>
          <xdr:cNvGraphicFramePr>
            <a:graphicFrameLocks noChangeAspect="1"/>
          </xdr:cNvGraphicFramePr>
        </xdr:nvGraphicFramePr>
        <xdr:xfrm>
          <a:off x="11221020" y="34075463"/>
          <a:ext cx="3356065" cy="2423344"/>
        </xdr:xfrm>
        <a:graphic>
          <a:graphicData uri="http://schemas.openxmlformats.org/drawingml/2006/chart">
            <c:chart xmlns:c="http://schemas.openxmlformats.org/drawingml/2006/chart" xmlns:r="http://schemas.openxmlformats.org/officeDocument/2006/relationships" r:id="rId51"/>
          </a:graphicData>
        </a:graphic>
      </xdr:graphicFrame>
      <xdr:graphicFrame macro="">
        <xdr:nvGraphicFramePr>
          <xdr:cNvPr id="94" name="グラフ 93">
            <a:extLst>
              <a:ext uri="{FF2B5EF4-FFF2-40B4-BE49-F238E27FC236}">
                <a16:creationId xmlns:a16="http://schemas.microsoft.com/office/drawing/2014/main" id="{4EC92BAE-66C2-4CEB-A534-0F5486E1401D}"/>
              </a:ext>
            </a:extLst>
          </xdr:cNvPr>
          <xdr:cNvGraphicFramePr>
            <a:graphicFrameLocks noChangeAspect="1"/>
          </xdr:cNvGraphicFramePr>
        </xdr:nvGraphicFramePr>
        <xdr:xfrm>
          <a:off x="11224862" y="36497720"/>
          <a:ext cx="3356065" cy="2423344"/>
        </xdr:xfrm>
        <a:graphic>
          <a:graphicData uri="http://schemas.openxmlformats.org/drawingml/2006/chart">
            <c:chart xmlns:c="http://schemas.openxmlformats.org/drawingml/2006/chart" xmlns:r="http://schemas.openxmlformats.org/officeDocument/2006/relationships" r:id="rId52"/>
          </a:graphicData>
        </a:graphic>
      </xdr:graphicFrame>
      <mc:AlternateContent xmlns:mc="http://schemas.openxmlformats.org/markup-compatibility/2006" xmlns:a14="http://schemas.microsoft.com/office/drawing/2010/main">
        <mc:Choice Requires="a14">
          <xdr:pic>
            <xdr:nvPicPr>
              <xdr:cNvPr id="112" name="図 111">
                <a:extLst>
                  <a:ext uri="{FF2B5EF4-FFF2-40B4-BE49-F238E27FC236}">
                    <a16:creationId xmlns:a16="http://schemas.microsoft.com/office/drawing/2014/main" id="{95551C8F-DDBD-46BF-9E4D-0A88BF9B0793}"/>
                  </a:ext>
                </a:extLst>
              </xdr:cNvPr>
              <xdr:cNvPicPr>
                <a:picLocks noChangeAspect="1" noChangeArrowheads="1"/>
                <a:extLst>
                  <a:ext uri="{84589F7E-364E-4C9E-8A38-B11213B215E9}">
                    <a14:cameraTool cellRange="'201'!$P$27:$R$30" spid="_x0000_s24633"/>
                  </a:ext>
                </a:extLst>
              </xdr:cNvPicPr>
            </xdr:nvPicPr>
            <xdr:blipFill>
              <a:blip xmlns:r="http://schemas.openxmlformats.org/officeDocument/2006/relationships" r:embed="rId53"/>
              <a:srcRect/>
              <a:stretch>
                <a:fillRect/>
              </a:stretch>
            </xdr:blipFill>
            <xdr:spPr bwMode="auto">
              <a:xfrm>
                <a:off x="12740640" y="35760660"/>
                <a:ext cx="1836420" cy="70866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113" name="図 112">
                <a:extLst>
                  <a:ext uri="{FF2B5EF4-FFF2-40B4-BE49-F238E27FC236}">
                    <a16:creationId xmlns:a16="http://schemas.microsoft.com/office/drawing/2014/main" id="{8806BAA6-2241-4C80-8205-1EDF346A84A5}"/>
                  </a:ext>
                </a:extLst>
              </xdr:cNvPr>
              <xdr:cNvPicPr>
                <a:picLocks noChangeAspect="1" noChangeArrowheads="1"/>
                <a:extLst>
                  <a:ext uri="{84589F7E-364E-4C9E-8A38-B11213B215E9}">
                    <a14:cameraTool cellRange="'246'!$P$27:$R$30" spid="_x0000_s24634"/>
                  </a:ext>
                </a:extLst>
              </xdr:cNvPicPr>
            </xdr:nvPicPr>
            <xdr:blipFill>
              <a:blip xmlns:r="http://schemas.openxmlformats.org/officeDocument/2006/relationships" r:embed="rId54"/>
              <a:srcRect/>
              <a:stretch>
                <a:fillRect/>
              </a:stretch>
            </xdr:blipFill>
            <xdr:spPr bwMode="auto">
              <a:xfrm>
                <a:off x="9723120" y="35791140"/>
                <a:ext cx="1836420" cy="7086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9</xdr:col>
      <xdr:colOff>1360</xdr:colOff>
      <xdr:row>179</xdr:row>
      <xdr:rowOff>242594</xdr:rowOff>
    </xdr:from>
    <xdr:to>
      <xdr:col>20</xdr:col>
      <xdr:colOff>9760</xdr:colOff>
      <xdr:row>198</xdr:row>
      <xdr:rowOff>241769</xdr:rowOff>
    </xdr:to>
    <xdr:grpSp>
      <xdr:nvGrpSpPr>
        <xdr:cNvPr id="20" name="cmms4">
          <a:extLst>
            <a:ext uri="{FF2B5EF4-FFF2-40B4-BE49-F238E27FC236}">
              <a16:creationId xmlns:a16="http://schemas.microsoft.com/office/drawing/2014/main" id="{6F284DDA-CD4D-471C-AFD3-20CA8947C7CB}"/>
            </a:ext>
          </a:extLst>
        </xdr:cNvPr>
        <xdr:cNvGrpSpPr>
          <a:grpSpLocks noChangeAspect="1"/>
        </xdr:cNvGrpSpPr>
      </xdr:nvGrpSpPr>
      <xdr:grpSpPr>
        <a:xfrm>
          <a:off x="7183210" y="47972369"/>
          <a:ext cx="6714000" cy="5076000"/>
          <a:chOff x="7301320" y="44773874"/>
          <a:chExt cx="6727100" cy="4870260"/>
        </a:xfrm>
      </xdr:grpSpPr>
      <xdr:grpSp>
        <xdr:nvGrpSpPr>
          <xdr:cNvPr id="5" name="cmms4">
            <a:extLst>
              <a:ext uri="{FF2B5EF4-FFF2-40B4-BE49-F238E27FC236}">
                <a16:creationId xmlns:a16="http://schemas.microsoft.com/office/drawing/2014/main" id="{00000000-0008-0000-1200-000005000000}"/>
              </a:ext>
            </a:extLst>
          </xdr:cNvPr>
          <xdr:cNvGrpSpPr>
            <a:grpSpLocks noChangeAspect="1"/>
          </xdr:cNvGrpSpPr>
        </xdr:nvGrpSpPr>
        <xdr:grpSpPr>
          <a:xfrm>
            <a:off x="7301320" y="44773874"/>
            <a:ext cx="6714000" cy="4870260"/>
            <a:chOff x="6123213" y="32017607"/>
            <a:chExt cx="10761975" cy="9731660"/>
          </a:xfrm>
        </xdr:grpSpPr>
        <xdr:graphicFrame macro="">
          <xdr:nvGraphicFramePr>
            <xdr:cNvPr id="73" name="グラフ 72">
              <a:extLst>
                <a:ext uri="{FF2B5EF4-FFF2-40B4-BE49-F238E27FC236}">
                  <a16:creationId xmlns:a16="http://schemas.microsoft.com/office/drawing/2014/main" id="{00000000-0008-0000-1200-000049000000}"/>
                </a:ext>
              </a:extLst>
            </xdr:cNvPr>
            <xdr:cNvGraphicFramePr>
              <a:graphicFrameLocks noChangeAspect="1"/>
            </xdr:cNvGraphicFramePr>
          </xdr:nvGraphicFramePr>
          <xdr:xfrm>
            <a:off x="6123213" y="32017607"/>
            <a:ext cx="5377492" cy="4861815"/>
          </xdr:xfrm>
          <a:graphic>
            <a:graphicData uri="http://schemas.openxmlformats.org/drawingml/2006/chart">
              <c:chart xmlns:c="http://schemas.openxmlformats.org/drawingml/2006/chart" xmlns:r="http://schemas.openxmlformats.org/officeDocument/2006/relationships" r:id="rId55"/>
            </a:graphicData>
          </a:graphic>
        </xdr:graphicFrame>
        <xdr:graphicFrame macro="">
          <xdr:nvGraphicFramePr>
            <xdr:cNvPr id="74" name="グラフ 73">
              <a:extLst>
                <a:ext uri="{FF2B5EF4-FFF2-40B4-BE49-F238E27FC236}">
                  <a16:creationId xmlns:a16="http://schemas.microsoft.com/office/drawing/2014/main" id="{00000000-0008-0000-1200-00004A000000}"/>
                </a:ext>
              </a:extLst>
            </xdr:cNvPr>
            <xdr:cNvGraphicFramePr>
              <a:graphicFrameLocks noChangeAspect="1"/>
            </xdr:cNvGraphicFramePr>
          </xdr:nvGraphicFramePr>
          <xdr:xfrm>
            <a:off x="6123214" y="36887451"/>
            <a:ext cx="5377492" cy="4861816"/>
          </xdr:xfrm>
          <a:graphic>
            <a:graphicData uri="http://schemas.openxmlformats.org/drawingml/2006/chart">
              <c:chart xmlns:c="http://schemas.openxmlformats.org/drawingml/2006/chart" xmlns:r="http://schemas.openxmlformats.org/officeDocument/2006/relationships" r:id="rId56"/>
            </a:graphicData>
          </a:graphic>
        </xdr:graphicFrame>
        <xdr:graphicFrame macro="">
          <xdr:nvGraphicFramePr>
            <xdr:cNvPr id="75" name="グラフ 74">
              <a:extLst>
                <a:ext uri="{FF2B5EF4-FFF2-40B4-BE49-F238E27FC236}">
                  <a16:creationId xmlns:a16="http://schemas.microsoft.com/office/drawing/2014/main" id="{00000000-0008-0000-1200-00004B000000}"/>
                </a:ext>
              </a:extLst>
            </xdr:cNvPr>
            <xdr:cNvGraphicFramePr>
              <a:graphicFrameLocks noChangeAspect="1"/>
            </xdr:cNvGraphicFramePr>
          </xdr:nvGraphicFramePr>
          <xdr:xfrm>
            <a:off x="11507696" y="32028441"/>
            <a:ext cx="5377492" cy="4861816"/>
          </xdr:xfrm>
          <a:graphic>
            <a:graphicData uri="http://schemas.openxmlformats.org/drawingml/2006/chart">
              <c:chart xmlns:c="http://schemas.openxmlformats.org/drawingml/2006/chart" xmlns:r="http://schemas.openxmlformats.org/officeDocument/2006/relationships" r:id="rId57"/>
            </a:graphicData>
          </a:graphic>
        </xdr:graphicFrame>
        <xdr:graphicFrame macro="">
          <xdr:nvGraphicFramePr>
            <xdr:cNvPr id="76" name="グラフ 75">
              <a:extLst>
                <a:ext uri="{FF2B5EF4-FFF2-40B4-BE49-F238E27FC236}">
                  <a16:creationId xmlns:a16="http://schemas.microsoft.com/office/drawing/2014/main" id="{00000000-0008-0000-1200-00004C000000}"/>
                </a:ext>
              </a:extLst>
            </xdr:cNvPr>
            <xdr:cNvGraphicFramePr>
              <a:graphicFrameLocks noChangeAspect="1"/>
            </xdr:cNvGraphicFramePr>
          </xdr:nvGraphicFramePr>
          <xdr:xfrm>
            <a:off x="11507692" y="36876617"/>
            <a:ext cx="5377492" cy="4861816"/>
          </xdr:xfrm>
          <a:graphic>
            <a:graphicData uri="http://schemas.openxmlformats.org/drawingml/2006/chart">
              <c:chart xmlns:c="http://schemas.openxmlformats.org/drawingml/2006/chart" xmlns:r="http://schemas.openxmlformats.org/officeDocument/2006/relationships" r:id="rId58"/>
            </a:graphicData>
          </a:graphic>
        </xdr:graphicFrame>
      </xdr:grpSp>
      <mc:AlternateContent xmlns:mc="http://schemas.openxmlformats.org/markup-compatibility/2006" xmlns:a14="http://schemas.microsoft.com/office/drawing/2010/main">
        <mc:Choice Requires="a14">
          <xdr:pic>
            <xdr:nvPicPr>
              <xdr:cNvPr id="110" name="図 109">
                <a:extLst>
                  <a:ext uri="{FF2B5EF4-FFF2-40B4-BE49-F238E27FC236}">
                    <a16:creationId xmlns:a16="http://schemas.microsoft.com/office/drawing/2014/main" id="{289F5FA2-21D5-475E-BCD7-C04238F105EB}"/>
                  </a:ext>
                </a:extLst>
              </xdr:cNvPr>
              <xdr:cNvPicPr>
                <a:picLocks noChangeAspect="1" noChangeArrowheads="1"/>
                <a:extLst>
                  <a:ext uri="{84589F7E-364E-4C9E-8A38-B11213B215E9}">
                    <a14:cameraTool cellRange="'248'!$P$27:$R$30" spid="_x0000_s24635"/>
                  </a:ext>
                </a:extLst>
              </xdr:cNvPicPr>
            </xdr:nvPicPr>
            <xdr:blipFill>
              <a:blip xmlns:r="http://schemas.openxmlformats.org/officeDocument/2006/relationships" r:embed="rId59"/>
              <a:srcRect/>
              <a:stretch>
                <a:fillRect/>
              </a:stretch>
            </xdr:blipFill>
            <xdr:spPr bwMode="auto">
              <a:xfrm>
                <a:off x="12192000" y="46451520"/>
                <a:ext cx="1836420" cy="70866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114" name="図 113">
                <a:extLst>
                  <a:ext uri="{FF2B5EF4-FFF2-40B4-BE49-F238E27FC236}">
                    <a16:creationId xmlns:a16="http://schemas.microsoft.com/office/drawing/2014/main" id="{A120D9D0-E341-487B-9179-CB1E51F2AC84}"/>
                  </a:ext>
                </a:extLst>
              </xdr:cNvPr>
              <xdr:cNvPicPr>
                <a:picLocks noChangeAspect="1" noChangeArrowheads="1"/>
                <a:extLst>
                  <a:ext uri="{84589F7E-364E-4C9E-8A38-B11213B215E9}">
                    <a14:cameraTool cellRange="'246'!$P$27:$R$30" spid="_x0000_s24636"/>
                  </a:ext>
                </a:extLst>
              </xdr:cNvPicPr>
            </xdr:nvPicPr>
            <xdr:blipFill>
              <a:blip xmlns:r="http://schemas.openxmlformats.org/officeDocument/2006/relationships" r:embed="rId54"/>
              <a:srcRect/>
              <a:stretch>
                <a:fillRect/>
              </a:stretch>
            </xdr:blipFill>
            <xdr:spPr bwMode="auto">
              <a:xfrm>
                <a:off x="9060180" y="46535340"/>
                <a:ext cx="1836420" cy="70866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 displayName="テーブル1" ref="B385:B387" totalsRowShown="0" headerRowDxfId="2" dataDxfId="1">
  <autoFilter ref="B385:B387" xr:uid="{00000000-0009-0000-0100-000001000000}"/>
  <tableColumns count="1">
    <tableColumn id="1" xr3:uid="{00000000-0010-0000-0000-000001000000}" name="CMM Data Loca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5.xml"/><Relationship Id="rId4" Type="http://schemas.openxmlformats.org/officeDocument/2006/relationships/table" Target="../tables/table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B1:B46"/>
  <sheetViews>
    <sheetView tabSelected="1" topLeftCell="A40" workbookViewId="0">
      <selection activeCell="M20" sqref="M20"/>
    </sheetView>
  </sheetViews>
  <sheetFormatPr defaultColWidth="8.5703125" defaultRowHeight="14.25"/>
  <cols>
    <col min="1" max="1" width="8.5703125" style="5"/>
    <col min="2" max="2" width="10" style="5" bestFit="1" customWidth="1"/>
    <col min="3" max="16384" width="8.5703125" style="5"/>
  </cols>
  <sheetData>
    <row r="1" spans="2:2">
      <c r="B1" s="135">
        <v>44272</v>
      </c>
    </row>
    <row r="2" spans="2:2">
      <c r="B2" s="5" t="s">
        <v>382</v>
      </c>
    </row>
    <row r="4" spans="2:2">
      <c r="B4" s="5" t="s">
        <v>383</v>
      </c>
    </row>
    <row r="5" spans="2:2">
      <c r="B5" s="5" t="s">
        <v>384</v>
      </c>
    </row>
    <row r="6" spans="2:2">
      <c r="B6" s="5" t="s">
        <v>385</v>
      </c>
    </row>
    <row r="7" spans="2:2">
      <c r="B7" s="5" t="s">
        <v>386</v>
      </c>
    </row>
    <row r="8" spans="2:2">
      <c r="B8" s="5" t="s">
        <v>387</v>
      </c>
    </row>
    <row r="9" spans="2:2">
      <c r="B9" s="5" t="s">
        <v>394</v>
      </c>
    </row>
    <row r="10" spans="2:2">
      <c r="B10" s="5" t="s">
        <v>391</v>
      </c>
    </row>
    <row r="12" spans="2:2">
      <c r="B12" s="5" t="s">
        <v>393</v>
      </c>
    </row>
    <row r="21" spans="2:2">
      <c r="B21" s="5" t="s">
        <v>388</v>
      </c>
    </row>
    <row r="22" spans="2:2">
      <c r="B22" s="5" t="s">
        <v>389</v>
      </c>
    </row>
    <row r="46" spans="2:2">
      <c r="B46" s="5" t="s">
        <v>392</v>
      </c>
    </row>
  </sheetData>
  <phoneticPr fontId="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A1:AL84"/>
  <sheetViews>
    <sheetView zoomScale="70" zoomScaleNormal="70" workbookViewId="0">
      <selection activeCell="A39" sqref="A39"/>
    </sheetView>
  </sheetViews>
  <sheetFormatPr defaultRowHeight="15"/>
  <cols>
    <col min="1" max="1" width="24.42578125" customWidth="1"/>
    <col min="3" max="3" width="11.5703125" bestFit="1" customWidth="1"/>
    <col min="8" max="13" width="9" style="5"/>
    <col min="14" max="14" width="9.5703125" style="5" bestFit="1" customWidth="1"/>
    <col min="15" max="15" width="9" style="5"/>
    <col min="16" max="17" width="10" style="5" bestFit="1" customWidth="1"/>
    <col min="18" max="36" width="9" style="5"/>
    <col min="37" max="37" width="10.42578125" style="5" bestFit="1" customWidth="1"/>
    <col min="38" max="38" width="11" style="5" bestFit="1" customWidth="1"/>
  </cols>
  <sheetData>
    <row r="1" spans="1:17" s="5" customFormat="1">
      <c r="A1" s="90" t="s">
        <v>404</v>
      </c>
      <c r="B1" s="90"/>
      <c r="C1" s="90"/>
      <c r="D1" s="90"/>
      <c r="E1" s="90"/>
      <c r="F1" s="90"/>
      <c r="G1" s="90"/>
    </row>
    <row r="2" spans="1:17" s="5" customFormat="1">
      <c r="A2" s="90" t="s">
        <v>405</v>
      </c>
      <c r="B2" s="90" t="s">
        <v>406</v>
      </c>
      <c r="C2" s="90"/>
      <c r="D2" s="90" t="s">
        <v>406</v>
      </c>
      <c r="E2" s="90"/>
      <c r="F2" s="90"/>
      <c r="G2" s="90"/>
    </row>
    <row r="3" spans="1:17" s="5" customFormat="1">
      <c r="A3" s="90" t="s">
        <v>407</v>
      </c>
      <c r="B3" s="90" t="s">
        <v>408</v>
      </c>
      <c r="C3" s="90">
        <v>0.215</v>
      </c>
      <c r="D3" s="90" t="s">
        <v>409</v>
      </c>
      <c r="E3" s="90">
        <v>0.13</v>
      </c>
      <c r="F3" s="90" t="s">
        <v>1033</v>
      </c>
      <c r="G3" s="90">
        <v>8.5000000000000006E-2</v>
      </c>
    </row>
    <row r="4" spans="1:17" s="5" customFormat="1">
      <c r="A4" s="121" t="s">
        <v>410</v>
      </c>
      <c r="B4" s="90" t="s">
        <v>406</v>
      </c>
      <c r="C4" s="90"/>
      <c r="D4" s="90"/>
      <c r="E4" s="90"/>
      <c r="F4" s="90"/>
      <c r="G4" s="90"/>
      <c r="J4" s="5" t="s">
        <v>0</v>
      </c>
    </row>
    <row r="5" spans="1:17" s="5" customFormat="1">
      <c r="A5" s="90"/>
      <c r="B5" s="90"/>
      <c r="C5" s="90"/>
      <c r="D5" s="90"/>
      <c r="E5" s="90"/>
      <c r="F5" s="90"/>
      <c r="G5" s="90"/>
      <c r="L5" s="6" t="s">
        <v>1</v>
      </c>
      <c r="M5" s="7">
        <f>716.64-2.02*2</f>
        <v>712.6</v>
      </c>
    </row>
    <row r="6" spans="1:17" s="5" customFormat="1">
      <c r="A6" s="90"/>
      <c r="B6" s="90"/>
      <c r="C6" s="90"/>
      <c r="D6" s="90"/>
      <c r="E6" s="90"/>
      <c r="F6" s="90"/>
      <c r="G6" s="90"/>
      <c r="L6" s="6" t="s">
        <v>2</v>
      </c>
      <c r="M6" s="8">
        <f>M5+0.05+0.025*2</f>
        <v>712.69999999999993</v>
      </c>
    </row>
    <row r="7" spans="1:17" s="5" customFormat="1" ht="16.5" customHeight="1">
      <c r="A7" s="90"/>
      <c r="B7" s="90"/>
      <c r="C7" s="90"/>
      <c r="D7" s="90"/>
      <c r="E7" s="90"/>
      <c r="F7" s="90"/>
      <c r="G7" s="90"/>
      <c r="L7" s="6" t="s">
        <v>3</v>
      </c>
      <c r="M7" s="8">
        <f>M5-0.05-0.025*2</f>
        <v>712.50000000000011</v>
      </c>
    </row>
    <row r="8" spans="1:17" s="5" customFormat="1">
      <c r="A8" s="90"/>
      <c r="B8" s="90"/>
      <c r="C8" s="90"/>
      <c r="D8" s="90"/>
      <c r="E8" s="90"/>
      <c r="F8" s="90"/>
      <c r="G8" s="90"/>
    </row>
    <row r="9" spans="1:17" s="5" customFormat="1">
      <c r="A9" s="90" t="s">
        <v>1034</v>
      </c>
      <c r="B9" s="90"/>
      <c r="C9" s="90" t="s">
        <v>411</v>
      </c>
      <c r="D9" s="90"/>
      <c r="E9" s="90"/>
      <c r="F9" s="90"/>
      <c r="G9" s="90"/>
      <c r="I9" s="9" t="s">
        <v>4</v>
      </c>
      <c r="J9" s="144" t="s">
        <v>5</v>
      </c>
      <c r="K9" s="10" t="s">
        <v>6</v>
      </c>
      <c r="L9" s="10" t="s">
        <v>7</v>
      </c>
      <c r="M9" s="10" t="s">
        <v>8</v>
      </c>
      <c r="P9" s="11" t="s">
        <v>9</v>
      </c>
      <c r="Q9" s="2"/>
    </row>
    <row r="10" spans="1:17" s="5" customFormat="1">
      <c r="A10" s="90" t="s">
        <v>412</v>
      </c>
      <c r="B10" s="90" t="s">
        <v>413</v>
      </c>
      <c r="C10" s="137">
        <v>356.15899999999999</v>
      </c>
      <c r="D10" s="90"/>
      <c r="E10" s="90"/>
      <c r="F10" s="90"/>
      <c r="G10" s="90"/>
      <c r="H10" s="9" t="s">
        <v>10</v>
      </c>
      <c r="I10" s="9" t="s">
        <v>11</v>
      </c>
      <c r="J10" s="145"/>
      <c r="K10" s="10" t="s">
        <v>12</v>
      </c>
      <c r="L10" s="10" t="s">
        <v>12</v>
      </c>
      <c r="M10" s="10" t="s">
        <v>12</v>
      </c>
      <c r="P10" s="11" t="s">
        <v>13</v>
      </c>
      <c r="Q10" s="2"/>
    </row>
    <row r="11" spans="1:17" s="5" customFormat="1">
      <c r="A11" s="90" t="s">
        <v>414</v>
      </c>
      <c r="B11" s="90" t="s">
        <v>415</v>
      </c>
      <c r="C11" s="137">
        <v>0</v>
      </c>
      <c r="D11" s="90"/>
      <c r="E11" s="90"/>
      <c r="F11" s="90"/>
      <c r="G11" s="90"/>
      <c r="H11" s="13">
        <v>1</v>
      </c>
      <c r="I11" s="13">
        <v>0</v>
      </c>
      <c r="J11" s="10">
        <v>1</v>
      </c>
      <c r="K11" s="14">
        <f>SQRT(C10^2+C11^2)</f>
        <v>356.15899999999999</v>
      </c>
      <c r="L11" s="15">
        <f t="shared" ref="L11:L26" si="0">M$7/2</f>
        <v>356.25000000000006</v>
      </c>
      <c r="M11" s="15">
        <f t="shared" ref="M11:M26" si="1">M$6/2</f>
        <v>356.34999999999997</v>
      </c>
      <c r="P11" s="13">
        <f t="shared" ref="P11:P18" si="2">K11+K19</f>
        <v>712.40800000000002</v>
      </c>
      <c r="Q11" s="2"/>
    </row>
    <row r="12" spans="1:17" s="5" customFormat="1">
      <c r="A12" s="121" t="s">
        <v>416</v>
      </c>
      <c r="B12" s="90" t="s">
        <v>417</v>
      </c>
      <c r="C12" s="137">
        <v>-240.875</v>
      </c>
      <c r="D12" s="90"/>
      <c r="E12" s="90"/>
      <c r="F12" s="90"/>
      <c r="G12" s="90"/>
      <c r="H12" s="13">
        <v>2</v>
      </c>
      <c r="I12" s="13">
        <f t="shared" ref="I12:I26" si="3">I11+360/16</f>
        <v>22.5</v>
      </c>
      <c r="J12" s="10">
        <v>16</v>
      </c>
      <c r="K12" s="16">
        <f>SQRT(C55^2+C56^2)</f>
        <v>356.17500001263426</v>
      </c>
      <c r="L12" s="15">
        <f t="shared" si="0"/>
        <v>356.25000000000006</v>
      </c>
      <c r="M12" s="15">
        <f t="shared" si="1"/>
        <v>356.34999999999997</v>
      </c>
      <c r="P12" s="13">
        <f t="shared" si="2"/>
        <v>712.4730000126342</v>
      </c>
      <c r="Q12" s="2"/>
    </row>
    <row r="13" spans="1:17" s="5" customFormat="1">
      <c r="A13" s="90" t="s">
        <v>412</v>
      </c>
      <c r="B13" s="90" t="s">
        <v>413</v>
      </c>
      <c r="C13" s="137">
        <v>356.23500000000001</v>
      </c>
      <c r="D13" s="90"/>
      <c r="E13" s="90"/>
      <c r="F13" s="90"/>
      <c r="G13" s="90"/>
      <c r="H13" s="13">
        <v>3</v>
      </c>
      <c r="I13" s="13">
        <f t="shared" si="3"/>
        <v>45</v>
      </c>
      <c r="J13" s="10">
        <v>15</v>
      </c>
      <c r="K13" s="16">
        <f>SQRT(C52^2+C53^2)</f>
        <v>356.26500000140345</v>
      </c>
      <c r="L13" s="15">
        <f t="shared" si="0"/>
        <v>356.25000000000006</v>
      </c>
      <c r="M13" s="15">
        <f t="shared" si="1"/>
        <v>356.34999999999997</v>
      </c>
      <c r="P13" s="13">
        <f t="shared" si="2"/>
        <v>712.58600000280671</v>
      </c>
      <c r="Q13" s="2"/>
    </row>
    <row r="14" spans="1:17" s="5" customFormat="1">
      <c r="A14" s="90" t="s">
        <v>418</v>
      </c>
      <c r="B14" s="90" t="s">
        <v>415</v>
      </c>
      <c r="C14" s="137">
        <v>-1E-3</v>
      </c>
      <c r="D14" s="90"/>
      <c r="E14" s="90"/>
      <c r="F14" s="90"/>
      <c r="G14" s="90"/>
      <c r="H14" s="13">
        <v>4</v>
      </c>
      <c r="I14" s="13">
        <f t="shared" si="3"/>
        <v>67.5</v>
      </c>
      <c r="J14" s="10">
        <v>14</v>
      </c>
      <c r="K14" s="16">
        <f>SQRT(C49^2+C50^2)</f>
        <v>356.35600000140306</v>
      </c>
      <c r="L14" s="15">
        <f t="shared" si="0"/>
        <v>356.25000000000006</v>
      </c>
      <c r="M14" s="15">
        <f t="shared" si="1"/>
        <v>356.34999999999997</v>
      </c>
      <c r="P14" s="13">
        <f t="shared" si="2"/>
        <v>712.66200000701622</v>
      </c>
      <c r="Q14" s="2"/>
    </row>
    <row r="15" spans="1:17" s="5" customFormat="1">
      <c r="A15" s="121" t="s">
        <v>419</v>
      </c>
      <c r="B15" s="90" t="s">
        <v>417</v>
      </c>
      <c r="C15" s="137">
        <v>-240.875</v>
      </c>
      <c r="D15" s="90"/>
      <c r="E15" s="90"/>
      <c r="F15" s="90"/>
      <c r="G15" s="90"/>
      <c r="H15" s="13">
        <v>5</v>
      </c>
      <c r="I15" s="13">
        <f t="shared" si="3"/>
        <v>90</v>
      </c>
      <c r="J15" s="10">
        <v>13</v>
      </c>
      <c r="K15" s="16">
        <f>SQRT(C46^2+C47^2)</f>
        <v>356.375</v>
      </c>
      <c r="L15" s="15">
        <f t="shared" si="0"/>
        <v>356.25000000000006</v>
      </c>
      <c r="M15" s="15">
        <f t="shared" si="1"/>
        <v>356.34999999999997</v>
      </c>
      <c r="P15" s="13">
        <f t="shared" si="2"/>
        <v>712.68000000000006</v>
      </c>
      <c r="Q15" s="2"/>
    </row>
    <row r="16" spans="1:17" s="5" customFormat="1">
      <c r="A16" s="90" t="s">
        <v>412</v>
      </c>
      <c r="B16" s="90" t="s">
        <v>413</v>
      </c>
      <c r="C16" s="137">
        <v>356.31</v>
      </c>
      <c r="D16" s="90"/>
      <c r="E16" s="90"/>
      <c r="F16" s="90"/>
      <c r="G16" s="90"/>
      <c r="H16" s="13">
        <v>6</v>
      </c>
      <c r="I16" s="13">
        <f t="shared" si="3"/>
        <v>112.5</v>
      </c>
      <c r="J16" s="10">
        <v>12</v>
      </c>
      <c r="K16" s="16">
        <f>SQRT(C43^2+C44^2)</f>
        <v>356.34199999999998</v>
      </c>
      <c r="L16" s="15">
        <f t="shared" si="0"/>
        <v>356.25000000000006</v>
      </c>
      <c r="M16" s="15">
        <f t="shared" si="1"/>
        <v>356.34999999999997</v>
      </c>
      <c r="P16" s="13">
        <f t="shared" si="2"/>
        <v>712.67</v>
      </c>
      <c r="Q16" s="2"/>
    </row>
    <row r="17" spans="1:19" s="5" customFormat="1">
      <c r="A17" s="90" t="s">
        <v>420</v>
      </c>
      <c r="B17" s="90" t="s">
        <v>415</v>
      </c>
      <c r="C17" s="137">
        <v>0</v>
      </c>
      <c r="D17" s="90"/>
      <c r="E17" s="90"/>
      <c r="F17" s="90"/>
      <c r="G17" s="90"/>
      <c r="H17" s="13">
        <v>7</v>
      </c>
      <c r="I17" s="13">
        <f t="shared" si="3"/>
        <v>135</v>
      </c>
      <c r="J17" s="10">
        <v>11</v>
      </c>
      <c r="K17" s="16">
        <f>SQRT(C40^2+C41^2)</f>
        <v>356.27800000561359</v>
      </c>
      <c r="L17" s="15">
        <f t="shared" si="0"/>
        <v>356.25000000000006</v>
      </c>
      <c r="M17" s="15">
        <f t="shared" si="1"/>
        <v>356.34999999999997</v>
      </c>
      <c r="P17" s="13">
        <f t="shared" si="2"/>
        <v>712.58800000561359</v>
      </c>
      <c r="Q17" s="2"/>
    </row>
    <row r="18" spans="1:19" s="5" customFormat="1">
      <c r="A18" s="121" t="s">
        <v>421</v>
      </c>
      <c r="B18" s="90" t="s">
        <v>417</v>
      </c>
      <c r="C18" s="137">
        <v>-240.874</v>
      </c>
      <c r="D18" s="90"/>
      <c r="E18" s="90"/>
      <c r="F18" s="90"/>
      <c r="G18" s="90"/>
      <c r="H18" s="13">
        <v>8</v>
      </c>
      <c r="I18" s="13">
        <f t="shared" si="3"/>
        <v>157.5</v>
      </c>
      <c r="J18" s="10">
        <v>10</v>
      </c>
      <c r="K18" s="16">
        <f>SQRT(C37^2+C38^2)</f>
        <v>356.24</v>
      </c>
      <c r="L18" s="15">
        <f t="shared" si="0"/>
        <v>356.25000000000006</v>
      </c>
      <c r="M18" s="15">
        <f t="shared" si="1"/>
        <v>356.34999999999997</v>
      </c>
      <c r="P18" s="13">
        <f t="shared" si="2"/>
        <v>712.4750000014036</v>
      </c>
      <c r="Q18" s="2"/>
    </row>
    <row r="19" spans="1:19" s="5" customFormat="1">
      <c r="A19" s="90" t="s">
        <v>412</v>
      </c>
      <c r="B19" s="90" t="s">
        <v>413</v>
      </c>
      <c r="C19" s="137">
        <v>356.32799999999997</v>
      </c>
      <c r="D19" s="90"/>
      <c r="E19" s="90"/>
      <c r="F19" s="90"/>
      <c r="G19" s="90"/>
      <c r="H19" s="13">
        <v>9</v>
      </c>
      <c r="I19" s="13">
        <f t="shared" si="3"/>
        <v>180</v>
      </c>
      <c r="J19" s="10">
        <v>9</v>
      </c>
      <c r="K19" s="16">
        <f>SQRT(C34^2+C35^2)</f>
        <v>356.24900000000002</v>
      </c>
      <c r="L19" s="15">
        <f t="shared" si="0"/>
        <v>356.25000000000006</v>
      </c>
      <c r="M19" s="15">
        <f t="shared" si="1"/>
        <v>356.34999999999997</v>
      </c>
      <c r="P19" s="13"/>
      <c r="Q19" s="2"/>
    </row>
    <row r="20" spans="1:19" s="5" customFormat="1">
      <c r="A20" s="90" t="s">
        <v>422</v>
      </c>
      <c r="B20" s="90" t="s">
        <v>415</v>
      </c>
      <c r="C20" s="137">
        <v>0</v>
      </c>
      <c r="D20" s="90"/>
      <c r="E20" s="90"/>
      <c r="F20" s="90"/>
      <c r="G20" s="90"/>
      <c r="H20" s="13">
        <v>10</v>
      </c>
      <c r="I20" s="13">
        <f t="shared" si="3"/>
        <v>202.5</v>
      </c>
      <c r="J20" s="10">
        <v>8</v>
      </c>
      <c r="K20" s="16">
        <f>SQRT(C31^2+C32^2)</f>
        <v>356.298</v>
      </c>
      <c r="L20" s="15">
        <f t="shared" si="0"/>
        <v>356.25000000000006</v>
      </c>
      <c r="M20" s="15">
        <f t="shared" si="1"/>
        <v>356.34999999999997</v>
      </c>
      <c r="P20" s="13">
        <f>MAX(P11:P18)</f>
        <v>712.68000000000006</v>
      </c>
      <c r="Q20" s="13" t="str">
        <f>IF(P20&gt;M6, CONCATENATE("O/Max ", TEXT(P20-M6, "0.000")), "-")</f>
        <v>-</v>
      </c>
    </row>
    <row r="21" spans="1:19" s="5" customFormat="1">
      <c r="A21" s="121" t="s">
        <v>423</v>
      </c>
      <c r="B21" s="90" t="s">
        <v>417</v>
      </c>
      <c r="C21" s="137">
        <v>-240.875</v>
      </c>
      <c r="D21" s="90"/>
      <c r="E21" s="90"/>
      <c r="F21" s="90"/>
      <c r="G21" s="90"/>
      <c r="H21" s="13">
        <v>11</v>
      </c>
      <c r="I21" s="13">
        <f t="shared" si="3"/>
        <v>225</v>
      </c>
      <c r="J21" s="10">
        <v>7</v>
      </c>
      <c r="K21" s="16">
        <f>SQRT(C28^2+C29^2)</f>
        <v>356.32100000140326</v>
      </c>
      <c r="L21" s="15">
        <f t="shared" si="0"/>
        <v>356.25000000000006</v>
      </c>
      <c r="M21" s="15">
        <f t="shared" si="1"/>
        <v>356.34999999999997</v>
      </c>
      <c r="P21" s="13">
        <f>MIN(P11:P18)</f>
        <v>712.40800000000002</v>
      </c>
      <c r="Q21" s="13" t="str">
        <f>IF(P21&lt;M7, CONCATENATE("U/Min ", TEXT(M7-P21, "0.000")), "-")</f>
        <v>U/Min 0.092</v>
      </c>
    </row>
    <row r="22" spans="1:19" s="5" customFormat="1">
      <c r="A22" s="90" t="s">
        <v>412</v>
      </c>
      <c r="B22" s="90" t="s">
        <v>413</v>
      </c>
      <c r="C22" s="137">
        <v>356.30500000000001</v>
      </c>
      <c r="D22" s="90"/>
      <c r="E22" s="90"/>
      <c r="F22" s="90"/>
      <c r="G22" s="90"/>
      <c r="H22" s="13">
        <v>12</v>
      </c>
      <c r="I22" s="13">
        <f t="shared" si="3"/>
        <v>247.5</v>
      </c>
      <c r="J22" s="10">
        <v>6</v>
      </c>
      <c r="K22" s="16">
        <f>SQRT(C25^2+C26^2)</f>
        <v>356.30600000561316</v>
      </c>
      <c r="L22" s="15">
        <f t="shared" si="0"/>
        <v>356.25000000000006</v>
      </c>
      <c r="M22" s="15">
        <f t="shared" si="1"/>
        <v>356.34999999999997</v>
      </c>
    </row>
    <row r="23" spans="1:19" s="5" customFormat="1">
      <c r="A23" s="90" t="s">
        <v>424</v>
      </c>
      <c r="B23" s="90" t="s">
        <v>415</v>
      </c>
      <c r="C23" s="137">
        <v>0</v>
      </c>
      <c r="D23" s="90"/>
      <c r="E23" s="90"/>
      <c r="F23" s="90"/>
      <c r="G23" s="90"/>
      <c r="H23" s="13">
        <v>13</v>
      </c>
      <c r="I23" s="13">
        <f t="shared" si="3"/>
        <v>270</v>
      </c>
      <c r="J23" s="10">
        <v>5</v>
      </c>
      <c r="K23" s="16">
        <f>SQRT(C22^2+C23^2)</f>
        <v>356.30500000000001</v>
      </c>
      <c r="L23" s="15">
        <f t="shared" si="0"/>
        <v>356.25000000000006</v>
      </c>
      <c r="M23" s="15">
        <f t="shared" si="1"/>
        <v>356.34999999999997</v>
      </c>
    </row>
    <row r="24" spans="1:19" s="5" customFormat="1">
      <c r="A24" s="121" t="s">
        <v>425</v>
      </c>
      <c r="B24" s="90" t="s">
        <v>417</v>
      </c>
      <c r="C24" s="137">
        <v>-240.876</v>
      </c>
      <c r="D24" s="90"/>
      <c r="E24" s="90"/>
      <c r="F24" s="90"/>
      <c r="G24" s="90"/>
      <c r="H24" s="13">
        <v>14</v>
      </c>
      <c r="I24" s="13">
        <f t="shared" si="3"/>
        <v>292.5</v>
      </c>
      <c r="J24" s="10">
        <v>4</v>
      </c>
      <c r="K24" s="16">
        <f>SQRT(C19^2+C20^2)</f>
        <v>356.32799999999997</v>
      </c>
      <c r="L24" s="15">
        <f t="shared" si="0"/>
        <v>356.25000000000006</v>
      </c>
      <c r="M24" s="15">
        <f t="shared" si="1"/>
        <v>356.34999999999997</v>
      </c>
    </row>
    <row r="25" spans="1:19" s="5" customFormat="1">
      <c r="A25" s="90" t="s">
        <v>412</v>
      </c>
      <c r="B25" s="90" t="s">
        <v>413</v>
      </c>
      <c r="C25" s="137">
        <v>356.30599999999998</v>
      </c>
      <c r="D25" s="90"/>
      <c r="E25" s="90"/>
      <c r="F25" s="90"/>
      <c r="G25" s="90"/>
      <c r="H25" s="13">
        <v>15</v>
      </c>
      <c r="I25" s="13">
        <f t="shared" si="3"/>
        <v>315</v>
      </c>
      <c r="J25" s="10">
        <v>3</v>
      </c>
      <c r="K25" s="16">
        <f>SQRT(C16^2+C17^2)</f>
        <v>356.31</v>
      </c>
      <c r="L25" s="15">
        <f t="shared" si="0"/>
        <v>356.25000000000006</v>
      </c>
      <c r="M25" s="15">
        <f t="shared" si="1"/>
        <v>356.34999999999997</v>
      </c>
    </row>
    <row r="26" spans="1:19" s="5" customFormat="1">
      <c r="A26" s="90" t="s">
        <v>426</v>
      </c>
      <c r="B26" s="90" t="s">
        <v>415</v>
      </c>
      <c r="C26" s="137">
        <v>-2E-3</v>
      </c>
      <c r="D26" s="90"/>
      <c r="E26" s="90"/>
      <c r="F26" s="90"/>
      <c r="G26" s="90"/>
      <c r="H26" s="13">
        <v>16</v>
      </c>
      <c r="I26" s="13">
        <f t="shared" si="3"/>
        <v>337.5</v>
      </c>
      <c r="J26" s="10">
        <v>2</v>
      </c>
      <c r="K26" s="16">
        <f>SQRT(C13^2+C14^2)</f>
        <v>356.23500000140359</v>
      </c>
      <c r="L26" s="15">
        <f t="shared" si="0"/>
        <v>356.25000000000006</v>
      </c>
      <c r="M26" s="15">
        <f t="shared" si="1"/>
        <v>356.34999999999997</v>
      </c>
    </row>
    <row r="27" spans="1:19" s="5" customFormat="1">
      <c r="A27" s="121" t="s">
        <v>427</v>
      </c>
      <c r="B27" s="90" t="s">
        <v>417</v>
      </c>
      <c r="C27" s="137">
        <v>-240.875</v>
      </c>
      <c r="D27" s="90"/>
      <c r="E27" s="90"/>
      <c r="F27" s="90"/>
      <c r="G27" s="90"/>
      <c r="H27" s="13">
        <v>17</v>
      </c>
      <c r="I27" s="13">
        <v>360</v>
      </c>
      <c r="J27" s="10">
        <v>1</v>
      </c>
      <c r="K27" s="15">
        <f>K11</f>
        <v>356.15899999999999</v>
      </c>
      <c r="P27" s="19" t="s">
        <v>271</v>
      </c>
      <c r="Q27" s="19" t="str">
        <f>M30</f>
        <v>-</v>
      </c>
    </row>
    <row r="28" spans="1:19" s="5" customFormat="1">
      <c r="A28" s="90" t="s">
        <v>412</v>
      </c>
      <c r="B28" s="90" t="s">
        <v>413</v>
      </c>
      <c r="C28" s="137">
        <v>356.32100000000003</v>
      </c>
      <c r="D28" s="90"/>
      <c r="E28" s="90"/>
      <c r="F28" s="90"/>
      <c r="G28" s="90"/>
      <c r="J28" s="10" t="s">
        <v>14</v>
      </c>
      <c r="K28" s="5">
        <f>MAX(K11:K26)</f>
        <v>356.375</v>
      </c>
      <c r="L28" s="15">
        <f>K28*2</f>
        <v>712.75</v>
      </c>
      <c r="M28" s="15" t="str">
        <f>IF(K28&gt;M26, "O/Max "&amp;TEXT(2*K28-2*M26, "0.000"), "-")</f>
        <v>O/Max 0.050</v>
      </c>
      <c r="P28" s="19" t="s">
        <v>60</v>
      </c>
      <c r="Q28" s="19" t="str">
        <f>M28</f>
        <v>O/Max 0.050</v>
      </c>
    </row>
    <row r="29" spans="1:19" s="5" customFormat="1">
      <c r="A29" s="90" t="s">
        <v>428</v>
      </c>
      <c r="B29" s="90" t="s">
        <v>415</v>
      </c>
      <c r="C29" s="137">
        <v>-1E-3</v>
      </c>
      <c r="D29" s="90"/>
      <c r="E29" s="90"/>
      <c r="F29" s="90"/>
      <c r="G29" s="90"/>
      <c r="J29" s="10" t="s">
        <v>16</v>
      </c>
      <c r="K29" s="15">
        <f>MIN(K11:K26)</f>
        <v>356.15899999999999</v>
      </c>
      <c r="L29" s="15">
        <f>K29*2</f>
        <v>712.31799999999998</v>
      </c>
      <c r="M29" s="15" t="str">
        <f>IF(K29&lt;L26, "U/Min "&amp;TEXT(2*L26-2*K29, "0.000"), "-")</f>
        <v>U/Min 0.182</v>
      </c>
      <c r="P29" s="19" t="s">
        <v>62</v>
      </c>
      <c r="Q29" s="19" t="str">
        <f>M29</f>
        <v>U/Min 0.182</v>
      </c>
    </row>
    <row r="30" spans="1:19" s="5" customFormat="1">
      <c r="A30" s="121" t="s">
        <v>429</v>
      </c>
      <c r="B30" s="90" t="s">
        <v>417</v>
      </c>
      <c r="C30" s="137">
        <v>-240.875</v>
      </c>
      <c r="D30" s="90"/>
      <c r="E30" s="90"/>
      <c r="F30" s="90"/>
      <c r="G30" s="90"/>
      <c r="J30" s="17" t="s">
        <v>17</v>
      </c>
      <c r="K30" s="16">
        <f>AVERAGE(K11:K26)*2</f>
        <v>712.5677500036843</v>
      </c>
      <c r="L30" s="15"/>
      <c r="M30" s="15" t="str">
        <f>IF(K30&gt;M6, "O/Max "&amp;TEXT(K30-M6, "0.000"), IF(K30&lt;M7, "U/Min "&amp;TEXT(M7-K30, "0.000"), "-"))</f>
        <v>-</v>
      </c>
      <c r="P30" s="19" t="s">
        <v>18</v>
      </c>
      <c r="Q30" s="19" t="str">
        <f>M31</f>
        <v>O/Max 0.086</v>
      </c>
    </row>
    <row r="31" spans="1:19" s="5" customFormat="1">
      <c r="A31" s="90" t="s">
        <v>412</v>
      </c>
      <c r="B31" s="90" t="s">
        <v>413</v>
      </c>
      <c r="C31" s="137">
        <v>356.298</v>
      </c>
      <c r="D31" s="90"/>
      <c r="E31" s="90"/>
      <c r="F31" s="90"/>
      <c r="G31" s="90"/>
      <c r="J31" s="10" t="s">
        <v>19</v>
      </c>
      <c r="K31" s="18">
        <f>K28-K29</f>
        <v>0.21600000000000819</v>
      </c>
      <c r="L31" s="15"/>
      <c r="M31" s="15" t="str">
        <f>IF(K31&gt;0.13, "O/Max "&amp;TEXT(K31-0.13, "0.000"), "-")</f>
        <v>O/Max 0.086</v>
      </c>
      <c r="N31" s="5" t="s">
        <v>20</v>
      </c>
    </row>
    <row r="32" spans="1:19" s="5" customFormat="1">
      <c r="A32" s="90" t="s">
        <v>430</v>
      </c>
      <c r="B32" s="90" t="s">
        <v>415</v>
      </c>
      <c r="C32" s="137">
        <v>0</v>
      </c>
      <c r="D32" s="90"/>
      <c r="E32" s="90"/>
      <c r="F32" s="90"/>
      <c r="G32" s="90"/>
      <c r="S32" s="19" t="s">
        <v>21</v>
      </c>
    </row>
    <row r="33" spans="1:38">
      <c r="A33" s="121" t="s">
        <v>431</v>
      </c>
      <c r="B33" s="90" t="s">
        <v>417</v>
      </c>
      <c r="C33" s="137">
        <v>-240.875</v>
      </c>
      <c r="D33" s="90"/>
      <c r="E33" s="90"/>
      <c r="F33" s="90"/>
      <c r="G33" s="90"/>
      <c r="J33" s="5" t="s">
        <v>22</v>
      </c>
      <c r="M33" s="5" t="s">
        <v>23</v>
      </c>
      <c r="N33" s="5">
        <f>360/18</f>
        <v>20</v>
      </c>
      <c r="O33" s="9" t="s">
        <v>25</v>
      </c>
      <c r="P33" s="5" t="s">
        <v>27</v>
      </c>
      <c r="Q33" s="5">
        <v>-1</v>
      </c>
      <c r="R33" s="9" t="s">
        <v>25</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row>
    <row r="34" spans="1:38">
      <c r="A34" s="90" t="s">
        <v>412</v>
      </c>
      <c r="B34" s="90" t="s">
        <v>413</v>
      </c>
      <c r="C34" s="137">
        <v>356.24900000000002</v>
      </c>
      <c r="D34" s="90"/>
      <c r="E34" s="90"/>
      <c r="F34" s="90"/>
      <c r="G34" s="90"/>
      <c r="K34" s="9" t="s">
        <v>28</v>
      </c>
      <c r="M34" s="9" t="s">
        <v>30</v>
      </c>
      <c r="N34" s="9" t="s">
        <v>32</v>
      </c>
      <c r="O34" s="9" t="s">
        <v>34</v>
      </c>
      <c r="P34" s="9" t="s">
        <v>35</v>
      </c>
      <c r="Q34" s="9" t="s">
        <v>37</v>
      </c>
      <c r="S34" s="20" t="str">
        <f t="shared" ref="S34:AJ34" ca="1" si="4">CONCATENATE($S$32, "#", OFFSET($J$35, S33, 0))</f>
        <v>Stg.1 Shroud Fwd#1</v>
      </c>
      <c r="T34" s="20" t="str">
        <f t="shared" ca="1" si="4"/>
        <v>Stg.1 Shroud Fwd#18</v>
      </c>
      <c r="U34" s="20" t="str">
        <f t="shared" ca="1" si="4"/>
        <v>Stg.1 Shroud Fwd#17</v>
      </c>
      <c r="V34" s="20" t="str">
        <f t="shared" ca="1" si="4"/>
        <v>Stg.1 Shroud Fwd#16</v>
      </c>
      <c r="W34" s="20" t="str">
        <f t="shared" ca="1" si="4"/>
        <v>Stg.1 Shroud Fwd#15</v>
      </c>
      <c r="X34" s="20" t="str">
        <f t="shared" ca="1" si="4"/>
        <v>Stg.1 Shroud Fwd#14</v>
      </c>
      <c r="Y34" s="20" t="str">
        <f t="shared" ca="1" si="4"/>
        <v>Stg.1 Shroud Fwd#13</v>
      </c>
      <c r="Z34" s="20" t="str">
        <f t="shared" ca="1" si="4"/>
        <v>Stg.1 Shroud Fwd#12</v>
      </c>
      <c r="AA34" s="20" t="str">
        <f t="shared" ca="1" si="4"/>
        <v>Stg.1 Shroud Fwd#11</v>
      </c>
      <c r="AB34" s="20" t="str">
        <f t="shared" ca="1" si="4"/>
        <v>Stg.1 Shroud Fwd#10</v>
      </c>
      <c r="AC34" s="20" t="str">
        <f t="shared" ca="1" si="4"/>
        <v>Stg.1 Shroud Fwd#9</v>
      </c>
      <c r="AD34" s="20" t="str">
        <f t="shared" ca="1" si="4"/>
        <v>Stg.1 Shroud Fwd#8</v>
      </c>
      <c r="AE34" s="20" t="str">
        <f t="shared" ca="1" si="4"/>
        <v>Stg.1 Shroud Fwd#7</v>
      </c>
      <c r="AF34" s="20" t="str">
        <f t="shared" ca="1" si="4"/>
        <v>Stg.1 Shroud Fwd#6</v>
      </c>
      <c r="AG34" s="20" t="str">
        <f t="shared" ca="1" si="4"/>
        <v>Stg.1 Shroud Fwd#5</v>
      </c>
      <c r="AH34" s="20" t="str">
        <f t="shared" ca="1" si="4"/>
        <v>Stg.1 Shroud Fwd#4</v>
      </c>
      <c r="AI34" s="20" t="str">
        <f t="shared" ca="1" si="4"/>
        <v>Stg.1 Shroud Fwd#3</v>
      </c>
      <c r="AJ34" s="20" t="str">
        <f t="shared" ca="1" si="4"/>
        <v>Stg.1 Shroud Fwd#2</v>
      </c>
      <c r="AK34" s="20" t="s">
        <v>39</v>
      </c>
      <c r="AL34" s="20" t="s">
        <v>40</v>
      </c>
    </row>
    <row r="35" spans="1:38">
      <c r="A35" s="90" t="s">
        <v>432</v>
      </c>
      <c r="B35" s="90" t="s">
        <v>415</v>
      </c>
      <c r="C35" s="137">
        <v>0</v>
      </c>
      <c r="D35" s="90"/>
      <c r="E35" s="90"/>
      <c r="F35" s="90"/>
      <c r="G35" s="90"/>
      <c r="J35" s="9" t="s">
        <v>42</v>
      </c>
      <c r="K35" s="9" t="s">
        <v>43</v>
      </c>
      <c r="L35" s="9" t="s">
        <v>44</v>
      </c>
      <c r="M35" s="9" t="s">
        <v>45</v>
      </c>
      <c r="N35" s="9" t="s">
        <v>47</v>
      </c>
      <c r="O35" s="9" t="s">
        <v>43</v>
      </c>
      <c r="P35" s="9" t="s">
        <v>45</v>
      </c>
      <c r="Q35" s="9" t="s">
        <v>45</v>
      </c>
      <c r="S35" s="21"/>
      <c r="T35" s="21"/>
      <c r="U35" s="21"/>
      <c r="V35" s="21"/>
      <c r="W35" s="21"/>
      <c r="X35" s="21"/>
      <c r="Y35" s="21"/>
      <c r="Z35" s="21"/>
      <c r="AA35" s="21"/>
      <c r="AB35" s="21"/>
      <c r="AC35" s="21"/>
      <c r="AD35" s="21"/>
      <c r="AE35" s="21"/>
      <c r="AF35" s="21"/>
      <c r="AG35" s="21"/>
      <c r="AH35" s="21"/>
      <c r="AI35" s="21"/>
      <c r="AJ35" s="21"/>
      <c r="AK35" s="22" t="s">
        <v>45</v>
      </c>
      <c r="AL35" s="22" t="s">
        <v>45</v>
      </c>
    </row>
    <row r="36" spans="1:38">
      <c r="A36" s="121" t="s">
        <v>433</v>
      </c>
      <c r="B36" s="90" t="s">
        <v>417</v>
      </c>
      <c r="C36" s="137">
        <v>-240.875</v>
      </c>
      <c r="D36" s="90"/>
      <c r="E36" s="90"/>
      <c r="F36" s="90"/>
      <c r="G36" s="90"/>
      <c r="J36" s="5">
        <v>1</v>
      </c>
      <c r="K36" s="23">
        <f>IF(Q33&lt;0, 360+$Q$33, $Q$33)</f>
        <v>359</v>
      </c>
      <c r="L36" s="24">
        <f t="shared" ref="L36:L53" si="5">MATCH($K36, $I$11:$I$27, 1)</f>
        <v>16</v>
      </c>
      <c r="M36" s="5">
        <f>VLOOKUP(L36, $H$11:$K$27, 4, FALSE)</f>
        <v>356.23500000140359</v>
      </c>
      <c r="N36" s="25">
        <f t="shared" ref="N36:N53" si="6">(VLOOKUP(L36+1, $H$11:$K$27, 4, FALSE) - VLOOKUP(L36, $H$11:$K$27, 4, FALSE))/(VLOOKUP(L36+1, $H$11:$K$27, 2, FALSE) - VLOOKUP(L36, $H$11:$K$27, 2, FALSE))</f>
        <v>-3.3777778401599791E-3</v>
      </c>
      <c r="O36" s="26">
        <f t="shared" ref="O36:O53" si="7">K36-VLOOKUP(L36, $H$11:$I$27, 2, FALSE)</f>
        <v>21.5</v>
      </c>
      <c r="P36" s="27">
        <f t="shared" ref="P36:P53" si="8">M36+N36*O36</f>
        <v>356.16237777784016</v>
      </c>
      <c r="Q36" s="27">
        <f>(P36+P53)/2</f>
        <v>356.19615555624176</v>
      </c>
      <c r="S36" s="28">
        <f>Q36</f>
        <v>356.19615555624176</v>
      </c>
      <c r="T36" s="29"/>
      <c r="U36" s="29"/>
      <c r="V36" s="29"/>
      <c r="W36" s="29"/>
      <c r="X36" s="29"/>
      <c r="Y36" s="29"/>
      <c r="Z36" s="29"/>
      <c r="AA36" s="29"/>
      <c r="AB36" s="29"/>
      <c r="AC36" s="29"/>
      <c r="AD36" s="29"/>
      <c r="AE36" s="29"/>
      <c r="AF36" s="29"/>
      <c r="AG36" s="29"/>
      <c r="AH36" s="29"/>
      <c r="AI36" s="29"/>
      <c r="AJ36" s="28">
        <f>AJ53</f>
        <v>356.26330000077979</v>
      </c>
      <c r="AK36" s="29">
        <f t="shared" ref="AK36:AK53" si="9">M$7/2</f>
        <v>356.25000000000006</v>
      </c>
      <c r="AL36" s="29">
        <f t="shared" ref="AL36:AL53" si="10">M$6/2</f>
        <v>356.34999999999997</v>
      </c>
    </row>
    <row r="37" spans="1:38">
      <c r="A37" s="90" t="s">
        <v>412</v>
      </c>
      <c r="B37" s="90" t="s">
        <v>413</v>
      </c>
      <c r="C37" s="137">
        <v>356.24</v>
      </c>
      <c r="D37" s="90"/>
      <c r="E37" s="90"/>
      <c r="F37" s="90"/>
      <c r="G37" s="90"/>
      <c r="J37" s="5">
        <v>18</v>
      </c>
      <c r="K37" s="23">
        <f t="shared" ref="K37:K53" si="11">IF(K36+$N$33&gt;360, K36+$N$33-360, K36+$N$33)</f>
        <v>19</v>
      </c>
      <c r="L37" s="24">
        <f t="shared" si="5"/>
        <v>1</v>
      </c>
      <c r="M37" s="5">
        <f t="shared" ref="M37:M53" si="12">VLOOKUP(L37, $H$11:$K$26, 4, FALSE)</f>
        <v>356.15899999999999</v>
      </c>
      <c r="N37" s="25">
        <f t="shared" si="6"/>
        <v>7.1111167263400909E-4</v>
      </c>
      <c r="O37" s="26">
        <f t="shared" si="7"/>
        <v>19</v>
      </c>
      <c r="P37" s="27">
        <f t="shared" si="8"/>
        <v>356.17251112178002</v>
      </c>
      <c r="Q37" s="27">
        <f t="shared" ref="Q37:Q53" si="13">(P36+P37)/2</f>
        <v>356.16744444981009</v>
      </c>
      <c r="S37" s="30">
        <f>S36</f>
        <v>356.19615555624176</v>
      </c>
      <c r="T37" s="30">
        <f>Q37</f>
        <v>356.16744444981009</v>
      </c>
      <c r="U37" s="21"/>
      <c r="V37" s="21"/>
      <c r="W37" s="21"/>
      <c r="X37" s="21"/>
      <c r="Y37" s="21"/>
      <c r="Z37" s="21"/>
      <c r="AA37" s="21"/>
      <c r="AB37" s="21"/>
      <c r="AC37" s="21"/>
      <c r="AD37" s="21"/>
      <c r="AE37" s="21"/>
      <c r="AF37" s="21"/>
      <c r="AG37" s="21"/>
      <c r="AH37" s="21"/>
      <c r="AI37" s="21"/>
      <c r="AJ37" s="21"/>
      <c r="AK37" s="21">
        <f t="shared" si="9"/>
        <v>356.25000000000006</v>
      </c>
      <c r="AL37" s="21">
        <f t="shared" si="10"/>
        <v>356.34999999999997</v>
      </c>
    </row>
    <row r="38" spans="1:38">
      <c r="A38" s="90" t="s">
        <v>434</v>
      </c>
      <c r="B38" s="90" t="s">
        <v>415</v>
      </c>
      <c r="C38" s="137">
        <v>0</v>
      </c>
      <c r="D38" s="90"/>
      <c r="E38" s="90"/>
      <c r="F38" s="90"/>
      <c r="G38" s="90"/>
      <c r="J38" s="5">
        <v>17</v>
      </c>
      <c r="K38" s="23">
        <f t="shared" si="11"/>
        <v>39</v>
      </c>
      <c r="L38" s="24">
        <f t="shared" si="5"/>
        <v>2</v>
      </c>
      <c r="M38" s="5">
        <f t="shared" si="12"/>
        <v>356.17500001263426</v>
      </c>
      <c r="N38" s="25">
        <f t="shared" si="6"/>
        <v>3.9999995008530376E-3</v>
      </c>
      <c r="O38" s="26">
        <f t="shared" si="7"/>
        <v>16.5</v>
      </c>
      <c r="P38" s="27">
        <f t="shared" si="8"/>
        <v>356.24100000439836</v>
      </c>
      <c r="Q38" s="27">
        <f t="shared" si="13"/>
        <v>356.20675556308919</v>
      </c>
      <c r="S38" s="21"/>
      <c r="T38" s="30">
        <f>T37</f>
        <v>356.16744444981009</v>
      </c>
      <c r="U38" s="30">
        <f>Q38</f>
        <v>356.20675556308919</v>
      </c>
      <c r="V38" s="21"/>
      <c r="W38" s="21"/>
      <c r="X38" s="21"/>
      <c r="Y38" s="21"/>
      <c r="Z38" s="21"/>
      <c r="AA38" s="21"/>
      <c r="AB38" s="21"/>
      <c r="AC38" s="21"/>
      <c r="AD38" s="21"/>
      <c r="AE38" s="21"/>
      <c r="AF38" s="21"/>
      <c r="AG38" s="21"/>
      <c r="AH38" s="21"/>
      <c r="AI38" s="21"/>
      <c r="AJ38" s="21"/>
      <c r="AK38" s="21">
        <f t="shared" si="9"/>
        <v>356.25000000000006</v>
      </c>
      <c r="AL38" s="21">
        <f t="shared" si="10"/>
        <v>356.34999999999997</v>
      </c>
    </row>
    <row r="39" spans="1:38">
      <c r="A39" s="121" t="s">
        <v>435</v>
      </c>
      <c r="B39" s="90" t="s">
        <v>417</v>
      </c>
      <c r="C39" s="137">
        <v>-240.876</v>
      </c>
      <c r="D39" s="90"/>
      <c r="E39" s="90"/>
      <c r="F39" s="90"/>
      <c r="G39" s="90"/>
      <c r="J39" s="5">
        <v>16</v>
      </c>
      <c r="K39" s="23">
        <f t="shared" si="11"/>
        <v>59</v>
      </c>
      <c r="L39" s="24">
        <f t="shared" si="5"/>
        <v>3</v>
      </c>
      <c r="M39" s="5">
        <f t="shared" si="12"/>
        <v>356.26500000140345</v>
      </c>
      <c r="N39" s="25">
        <f t="shared" si="6"/>
        <v>4.0444444444271239E-3</v>
      </c>
      <c r="O39" s="26">
        <f t="shared" si="7"/>
        <v>14</v>
      </c>
      <c r="P39" s="27">
        <f t="shared" si="8"/>
        <v>356.32162222362541</v>
      </c>
      <c r="Q39" s="27">
        <f t="shared" si="13"/>
        <v>356.28131111401188</v>
      </c>
      <c r="S39" s="21"/>
      <c r="T39" s="21"/>
      <c r="U39" s="30">
        <f>U38</f>
        <v>356.20675556308919</v>
      </c>
      <c r="V39" s="30">
        <f>Q39</f>
        <v>356.28131111401188</v>
      </c>
      <c r="W39" s="21"/>
      <c r="X39" s="21"/>
      <c r="Y39" s="21"/>
      <c r="Z39" s="21"/>
      <c r="AA39" s="21"/>
      <c r="AB39" s="21"/>
      <c r="AC39" s="21"/>
      <c r="AD39" s="21"/>
      <c r="AE39" s="21"/>
      <c r="AF39" s="21"/>
      <c r="AG39" s="21"/>
      <c r="AH39" s="21"/>
      <c r="AI39" s="21"/>
      <c r="AJ39" s="21"/>
      <c r="AK39" s="21">
        <f t="shared" si="9"/>
        <v>356.25000000000006</v>
      </c>
      <c r="AL39" s="21">
        <f t="shared" si="10"/>
        <v>356.34999999999997</v>
      </c>
    </row>
    <row r="40" spans="1:38">
      <c r="A40" s="90" t="s">
        <v>412</v>
      </c>
      <c r="B40" s="90" t="s">
        <v>413</v>
      </c>
      <c r="C40" s="137">
        <v>356.27800000000002</v>
      </c>
      <c r="D40" s="90"/>
      <c r="E40" s="90"/>
      <c r="F40" s="90"/>
      <c r="G40" s="90"/>
      <c r="J40" s="5">
        <v>15</v>
      </c>
      <c r="K40" s="23">
        <f t="shared" si="11"/>
        <v>79</v>
      </c>
      <c r="L40" s="24">
        <f t="shared" si="5"/>
        <v>4</v>
      </c>
      <c r="M40" s="5">
        <f t="shared" si="12"/>
        <v>356.35600000140306</v>
      </c>
      <c r="N40" s="25">
        <f t="shared" si="6"/>
        <v>8.4444438208619327E-4</v>
      </c>
      <c r="O40" s="26">
        <f t="shared" si="7"/>
        <v>11.5</v>
      </c>
      <c r="P40" s="27">
        <f t="shared" si="8"/>
        <v>356.36571111179705</v>
      </c>
      <c r="Q40" s="27">
        <f t="shared" si="13"/>
        <v>356.3436666677112</v>
      </c>
      <c r="S40" s="21"/>
      <c r="T40" s="21"/>
      <c r="U40" s="21"/>
      <c r="V40" s="30">
        <f>V39</f>
        <v>356.28131111401188</v>
      </c>
      <c r="W40" s="30">
        <f>Q40</f>
        <v>356.3436666677112</v>
      </c>
      <c r="X40" s="21"/>
      <c r="Y40" s="21"/>
      <c r="Z40" s="21"/>
      <c r="AA40" s="21"/>
      <c r="AB40" s="21"/>
      <c r="AC40" s="21"/>
      <c r="AD40" s="21"/>
      <c r="AE40" s="21"/>
      <c r="AF40" s="21"/>
      <c r="AG40" s="21"/>
      <c r="AH40" s="21"/>
      <c r="AI40" s="21"/>
      <c r="AJ40" s="21"/>
      <c r="AK40" s="21">
        <f t="shared" si="9"/>
        <v>356.25000000000006</v>
      </c>
      <c r="AL40" s="21">
        <f t="shared" si="10"/>
        <v>356.34999999999997</v>
      </c>
    </row>
    <row r="41" spans="1:38">
      <c r="A41" s="90" t="s">
        <v>436</v>
      </c>
      <c r="B41" s="90" t="s">
        <v>415</v>
      </c>
      <c r="C41" s="137">
        <v>2E-3</v>
      </c>
      <c r="D41" s="90"/>
      <c r="E41" s="90"/>
      <c r="F41" s="90"/>
      <c r="G41" s="90"/>
      <c r="J41" s="5">
        <v>14</v>
      </c>
      <c r="K41" s="23">
        <f t="shared" si="11"/>
        <v>99</v>
      </c>
      <c r="L41" s="24">
        <f t="shared" si="5"/>
        <v>5</v>
      </c>
      <c r="M41" s="5">
        <f t="shared" si="12"/>
        <v>356.375</v>
      </c>
      <c r="N41" s="25">
        <f t="shared" si="6"/>
        <v>-1.4666666666673539E-3</v>
      </c>
      <c r="O41" s="26">
        <f t="shared" si="7"/>
        <v>9</v>
      </c>
      <c r="P41" s="27">
        <f t="shared" si="8"/>
        <v>356.36180000000002</v>
      </c>
      <c r="Q41" s="27">
        <f t="shared" si="13"/>
        <v>356.36375555589854</v>
      </c>
      <c r="S41" s="21"/>
      <c r="T41" s="21"/>
      <c r="U41" s="21"/>
      <c r="V41" s="21"/>
      <c r="W41" s="30">
        <f>W40</f>
        <v>356.3436666677112</v>
      </c>
      <c r="X41" s="30">
        <f>Q41</f>
        <v>356.36375555589854</v>
      </c>
      <c r="Y41" s="21"/>
      <c r="Z41" s="21"/>
      <c r="AA41" s="21"/>
      <c r="AB41" s="21"/>
      <c r="AC41" s="21"/>
      <c r="AD41" s="21"/>
      <c r="AE41" s="21"/>
      <c r="AF41" s="21"/>
      <c r="AG41" s="21"/>
      <c r="AH41" s="21"/>
      <c r="AI41" s="21"/>
      <c r="AJ41" s="21"/>
      <c r="AK41" s="21">
        <f t="shared" si="9"/>
        <v>356.25000000000006</v>
      </c>
      <c r="AL41" s="21">
        <f t="shared" si="10"/>
        <v>356.34999999999997</v>
      </c>
    </row>
    <row r="42" spans="1:38">
      <c r="A42" s="121" t="s">
        <v>437</v>
      </c>
      <c r="B42" s="90" t="s">
        <v>417</v>
      </c>
      <c r="C42" s="137">
        <v>-240.875</v>
      </c>
      <c r="D42" s="90"/>
      <c r="E42" s="90"/>
      <c r="F42" s="90"/>
      <c r="G42" s="90"/>
      <c r="J42" s="5">
        <v>13</v>
      </c>
      <c r="K42" s="23">
        <f t="shared" si="11"/>
        <v>119</v>
      </c>
      <c r="L42" s="24">
        <f t="shared" si="5"/>
        <v>6</v>
      </c>
      <c r="M42" s="5">
        <f t="shared" si="12"/>
        <v>356.34199999999998</v>
      </c>
      <c r="N42" s="25">
        <f t="shared" si="6"/>
        <v>-2.8444441949507866E-3</v>
      </c>
      <c r="O42" s="26">
        <f t="shared" si="7"/>
        <v>6.5</v>
      </c>
      <c r="P42" s="27">
        <f t="shared" si="8"/>
        <v>356.32351111273283</v>
      </c>
      <c r="Q42" s="27">
        <f t="shared" si="13"/>
        <v>356.34265555636642</v>
      </c>
      <c r="S42" s="21"/>
      <c r="T42" s="21"/>
      <c r="U42" s="21"/>
      <c r="V42" s="21"/>
      <c r="W42" s="21"/>
      <c r="X42" s="30">
        <f>X41</f>
        <v>356.36375555589854</v>
      </c>
      <c r="Y42" s="30">
        <f>Q42</f>
        <v>356.34265555636642</v>
      </c>
      <c r="Z42" s="21"/>
      <c r="AA42" s="21"/>
      <c r="AB42" s="21"/>
      <c r="AC42" s="21"/>
      <c r="AD42" s="21"/>
      <c r="AE42" s="21"/>
      <c r="AF42" s="21"/>
      <c r="AG42" s="21"/>
      <c r="AH42" s="21"/>
      <c r="AI42" s="21"/>
      <c r="AJ42" s="21"/>
      <c r="AK42" s="21">
        <f t="shared" si="9"/>
        <v>356.25000000000006</v>
      </c>
      <c r="AL42" s="21">
        <f t="shared" si="10"/>
        <v>356.34999999999997</v>
      </c>
    </row>
    <row r="43" spans="1:38">
      <c r="A43" s="90" t="s">
        <v>412</v>
      </c>
      <c r="B43" s="90" t="s">
        <v>413</v>
      </c>
      <c r="C43" s="137">
        <v>356.34199999999998</v>
      </c>
      <c r="D43" s="90"/>
      <c r="E43" s="90"/>
      <c r="F43" s="90"/>
      <c r="G43" s="90"/>
      <c r="J43" s="5">
        <v>12</v>
      </c>
      <c r="K43" s="23">
        <f t="shared" si="11"/>
        <v>139</v>
      </c>
      <c r="L43" s="24">
        <f t="shared" si="5"/>
        <v>7</v>
      </c>
      <c r="M43" s="5">
        <f t="shared" si="12"/>
        <v>356.27800000561359</v>
      </c>
      <c r="N43" s="25">
        <f t="shared" si="6"/>
        <v>-1.6888891383814552E-3</v>
      </c>
      <c r="O43" s="26">
        <f t="shared" si="7"/>
        <v>4</v>
      </c>
      <c r="P43" s="27">
        <f t="shared" si="8"/>
        <v>356.27124444906008</v>
      </c>
      <c r="Q43" s="27">
        <f t="shared" si="13"/>
        <v>356.29737778089645</v>
      </c>
      <c r="S43" s="21"/>
      <c r="T43" s="21"/>
      <c r="U43" s="21"/>
      <c r="V43" s="21"/>
      <c r="W43" s="21"/>
      <c r="X43" s="21"/>
      <c r="Y43" s="30">
        <f>Y42</f>
        <v>356.34265555636642</v>
      </c>
      <c r="Z43" s="30">
        <f>Q43</f>
        <v>356.29737778089645</v>
      </c>
      <c r="AA43" s="21"/>
      <c r="AB43" s="21"/>
      <c r="AC43" s="21"/>
      <c r="AD43" s="21"/>
      <c r="AE43" s="21"/>
      <c r="AF43" s="21"/>
      <c r="AG43" s="21"/>
      <c r="AH43" s="21"/>
      <c r="AI43" s="21"/>
      <c r="AJ43" s="21"/>
      <c r="AK43" s="21">
        <f t="shared" si="9"/>
        <v>356.25000000000006</v>
      </c>
      <c r="AL43" s="21">
        <f t="shared" si="10"/>
        <v>356.34999999999997</v>
      </c>
    </row>
    <row r="44" spans="1:38">
      <c r="A44" s="90" t="s">
        <v>438</v>
      </c>
      <c r="B44" s="90" t="s">
        <v>415</v>
      </c>
      <c r="C44" s="137">
        <v>0</v>
      </c>
      <c r="D44" s="90"/>
      <c r="E44" s="90"/>
      <c r="F44" s="90"/>
      <c r="G44" s="90"/>
      <c r="J44" s="5">
        <v>11</v>
      </c>
      <c r="K44" s="23">
        <f t="shared" si="11"/>
        <v>159</v>
      </c>
      <c r="L44" s="24">
        <f t="shared" si="5"/>
        <v>8</v>
      </c>
      <c r="M44" s="5">
        <f t="shared" si="12"/>
        <v>356.24</v>
      </c>
      <c r="N44" s="25">
        <f t="shared" si="6"/>
        <v>4.0000000000064675E-4</v>
      </c>
      <c r="O44" s="26">
        <f t="shared" si="7"/>
        <v>1.5</v>
      </c>
      <c r="P44" s="27">
        <f t="shared" si="8"/>
        <v>356.24060000000003</v>
      </c>
      <c r="Q44" s="27">
        <f t="shared" si="13"/>
        <v>356.25592222453008</v>
      </c>
      <c r="S44" s="21"/>
      <c r="T44" s="21"/>
      <c r="U44" s="21"/>
      <c r="V44" s="21"/>
      <c r="W44" s="21"/>
      <c r="X44" s="21"/>
      <c r="Y44" s="21"/>
      <c r="Z44" s="30">
        <f>Z43</f>
        <v>356.29737778089645</v>
      </c>
      <c r="AA44" s="30">
        <f>Q44</f>
        <v>356.25592222453008</v>
      </c>
      <c r="AB44" s="21"/>
      <c r="AC44" s="21"/>
      <c r="AD44" s="21"/>
      <c r="AE44" s="21"/>
      <c r="AF44" s="21"/>
      <c r="AG44" s="21"/>
      <c r="AH44" s="21"/>
      <c r="AI44" s="21"/>
      <c r="AJ44" s="21"/>
      <c r="AK44" s="21">
        <f t="shared" si="9"/>
        <v>356.25000000000006</v>
      </c>
      <c r="AL44" s="21">
        <f t="shared" si="10"/>
        <v>356.34999999999997</v>
      </c>
    </row>
    <row r="45" spans="1:38">
      <c r="A45" s="121" t="s">
        <v>439</v>
      </c>
      <c r="B45" s="90" t="s">
        <v>417</v>
      </c>
      <c r="C45" s="137">
        <v>-240.875</v>
      </c>
      <c r="D45" s="90"/>
      <c r="E45" s="90"/>
      <c r="F45" s="90"/>
      <c r="G45" s="90"/>
      <c r="J45" s="5">
        <v>10</v>
      </c>
      <c r="K45" s="23">
        <f t="shared" si="11"/>
        <v>179</v>
      </c>
      <c r="L45" s="24">
        <f t="shared" si="5"/>
        <v>8</v>
      </c>
      <c r="M45" s="5">
        <f t="shared" si="12"/>
        <v>356.24</v>
      </c>
      <c r="N45" s="25">
        <f t="shared" si="6"/>
        <v>4.0000000000064675E-4</v>
      </c>
      <c r="O45" s="26">
        <f t="shared" si="7"/>
        <v>21.5</v>
      </c>
      <c r="P45" s="27">
        <f t="shared" si="8"/>
        <v>356.24860000000001</v>
      </c>
      <c r="Q45" s="27">
        <f t="shared" si="13"/>
        <v>356.24459999999999</v>
      </c>
      <c r="S45" s="21"/>
      <c r="T45" s="21"/>
      <c r="U45" s="21"/>
      <c r="V45" s="21"/>
      <c r="W45" s="21"/>
      <c r="X45" s="21"/>
      <c r="Y45" s="21"/>
      <c r="Z45" s="21"/>
      <c r="AA45" s="30">
        <f>AA44</f>
        <v>356.25592222453008</v>
      </c>
      <c r="AB45" s="30">
        <f>Q45</f>
        <v>356.24459999999999</v>
      </c>
      <c r="AC45" s="21"/>
      <c r="AD45" s="21"/>
      <c r="AE45" s="21"/>
      <c r="AF45" s="21"/>
      <c r="AG45" s="21"/>
      <c r="AH45" s="21"/>
      <c r="AI45" s="21"/>
      <c r="AJ45" s="21"/>
      <c r="AK45" s="21">
        <f t="shared" si="9"/>
        <v>356.25000000000006</v>
      </c>
      <c r="AL45" s="21">
        <f t="shared" si="10"/>
        <v>356.34999999999997</v>
      </c>
    </row>
    <row r="46" spans="1:38">
      <c r="A46" s="90" t="s">
        <v>412</v>
      </c>
      <c r="B46" s="90" t="s">
        <v>413</v>
      </c>
      <c r="C46" s="137">
        <v>356.375</v>
      </c>
      <c r="D46" s="90"/>
      <c r="E46" s="90"/>
      <c r="F46" s="90"/>
      <c r="G46" s="90"/>
      <c r="J46" s="5">
        <v>9</v>
      </c>
      <c r="K46" s="23">
        <f t="shared" si="11"/>
        <v>199</v>
      </c>
      <c r="L46" s="24">
        <f t="shared" si="5"/>
        <v>9</v>
      </c>
      <c r="M46" s="5">
        <f t="shared" si="12"/>
        <v>356.24900000000002</v>
      </c>
      <c r="N46" s="25">
        <f t="shared" si="6"/>
        <v>2.1777777777768075E-3</v>
      </c>
      <c r="O46" s="26">
        <f t="shared" si="7"/>
        <v>19</v>
      </c>
      <c r="P46" s="27">
        <f t="shared" si="8"/>
        <v>356.29037777777779</v>
      </c>
      <c r="Q46" s="27">
        <f t="shared" si="13"/>
        <v>356.26948888888887</v>
      </c>
      <c r="S46" s="21"/>
      <c r="T46" s="21"/>
      <c r="U46" s="21"/>
      <c r="V46" s="21"/>
      <c r="W46" s="21"/>
      <c r="X46" s="21"/>
      <c r="Y46" s="21"/>
      <c r="Z46" s="21"/>
      <c r="AA46" s="21"/>
      <c r="AB46" s="30">
        <f>AB45</f>
        <v>356.24459999999999</v>
      </c>
      <c r="AC46" s="30">
        <f>Q46</f>
        <v>356.26948888888887</v>
      </c>
      <c r="AD46" s="21"/>
      <c r="AE46" s="21"/>
      <c r="AF46" s="21"/>
      <c r="AG46" s="21"/>
      <c r="AH46" s="21"/>
      <c r="AI46" s="21"/>
      <c r="AJ46" s="21"/>
      <c r="AK46" s="21">
        <f t="shared" si="9"/>
        <v>356.25000000000006</v>
      </c>
      <c r="AL46" s="21">
        <f t="shared" si="10"/>
        <v>356.34999999999997</v>
      </c>
    </row>
    <row r="47" spans="1:38">
      <c r="A47" s="90" t="s">
        <v>440</v>
      </c>
      <c r="B47" s="90" t="s">
        <v>415</v>
      </c>
      <c r="C47" s="137">
        <v>0</v>
      </c>
      <c r="D47" s="90"/>
      <c r="E47" s="90"/>
      <c r="F47" s="90"/>
      <c r="G47" s="90"/>
      <c r="J47" s="5">
        <v>8</v>
      </c>
      <c r="K47" s="23">
        <f t="shared" si="11"/>
        <v>219</v>
      </c>
      <c r="L47" s="24">
        <f t="shared" si="5"/>
        <v>10</v>
      </c>
      <c r="M47" s="5">
        <f t="shared" si="12"/>
        <v>356.298</v>
      </c>
      <c r="N47" s="25">
        <f t="shared" si="6"/>
        <v>1.0222222845893865E-3</v>
      </c>
      <c r="O47" s="26">
        <f t="shared" si="7"/>
        <v>16.5</v>
      </c>
      <c r="P47" s="27">
        <f t="shared" si="8"/>
        <v>356.31486666769575</v>
      </c>
      <c r="Q47" s="27">
        <f t="shared" si="13"/>
        <v>356.30262222273677</v>
      </c>
      <c r="S47" s="21"/>
      <c r="T47" s="21"/>
      <c r="U47" s="21"/>
      <c r="V47" s="21"/>
      <c r="W47" s="21"/>
      <c r="X47" s="21"/>
      <c r="Y47" s="21"/>
      <c r="Z47" s="21"/>
      <c r="AA47" s="21"/>
      <c r="AB47" s="21"/>
      <c r="AC47" s="30">
        <f>AC46</f>
        <v>356.26948888888887</v>
      </c>
      <c r="AD47" s="30">
        <f>Q47</f>
        <v>356.30262222273677</v>
      </c>
      <c r="AE47" s="21"/>
      <c r="AF47" s="21"/>
      <c r="AG47" s="21"/>
      <c r="AH47" s="21"/>
      <c r="AI47" s="21"/>
      <c r="AJ47" s="21"/>
      <c r="AK47" s="21">
        <f t="shared" si="9"/>
        <v>356.25000000000006</v>
      </c>
      <c r="AL47" s="21">
        <f t="shared" si="10"/>
        <v>356.34999999999997</v>
      </c>
    </row>
    <row r="48" spans="1:38">
      <c r="A48" s="121" t="s">
        <v>441</v>
      </c>
      <c r="B48" s="90" t="s">
        <v>417</v>
      </c>
      <c r="C48" s="137">
        <v>-240.874</v>
      </c>
      <c r="D48" s="90"/>
      <c r="E48" s="90"/>
      <c r="F48" s="90"/>
      <c r="G48" s="90"/>
      <c r="J48" s="5">
        <v>7</v>
      </c>
      <c r="K48" s="23">
        <f t="shared" si="11"/>
        <v>239</v>
      </c>
      <c r="L48" s="24">
        <f t="shared" si="5"/>
        <v>11</v>
      </c>
      <c r="M48" s="5">
        <f t="shared" si="12"/>
        <v>356.32100000140326</v>
      </c>
      <c r="N48" s="25">
        <f t="shared" si="6"/>
        <v>-6.6666647956026281E-4</v>
      </c>
      <c r="O48" s="26">
        <f t="shared" si="7"/>
        <v>14</v>
      </c>
      <c r="P48" s="27">
        <f t="shared" si="8"/>
        <v>356.31166667068942</v>
      </c>
      <c r="Q48" s="27">
        <f t="shared" si="13"/>
        <v>356.31326666919256</v>
      </c>
      <c r="S48" s="21"/>
      <c r="T48" s="21"/>
      <c r="U48" s="21"/>
      <c r="V48" s="21"/>
      <c r="W48" s="21"/>
      <c r="X48" s="21"/>
      <c r="Y48" s="21"/>
      <c r="Z48" s="21"/>
      <c r="AA48" s="21"/>
      <c r="AB48" s="21"/>
      <c r="AC48" s="21"/>
      <c r="AD48" s="30">
        <f>AD47</f>
        <v>356.30262222273677</v>
      </c>
      <c r="AE48" s="30">
        <f>Q48</f>
        <v>356.31326666919256</v>
      </c>
      <c r="AF48" s="21"/>
      <c r="AG48" s="21"/>
      <c r="AH48" s="21"/>
      <c r="AI48" s="21"/>
      <c r="AJ48" s="21"/>
      <c r="AK48" s="21">
        <f t="shared" si="9"/>
        <v>356.25000000000006</v>
      </c>
      <c r="AL48" s="21">
        <f t="shared" si="10"/>
        <v>356.34999999999997</v>
      </c>
    </row>
    <row r="49" spans="1:38">
      <c r="A49" s="90" t="s">
        <v>412</v>
      </c>
      <c r="B49" s="90" t="s">
        <v>413</v>
      </c>
      <c r="C49" s="137">
        <v>356.35599999999999</v>
      </c>
      <c r="D49" s="90"/>
      <c r="E49" s="90"/>
      <c r="F49" s="90"/>
      <c r="G49" s="90"/>
      <c r="J49" s="5">
        <v>6</v>
      </c>
      <c r="K49" s="23">
        <f t="shared" si="11"/>
        <v>259</v>
      </c>
      <c r="L49" s="24">
        <f t="shared" si="5"/>
        <v>12</v>
      </c>
      <c r="M49" s="5">
        <f t="shared" si="12"/>
        <v>356.30600000561316</v>
      </c>
      <c r="N49" s="25">
        <f t="shared" si="6"/>
        <v>-4.4444693917790169E-5</v>
      </c>
      <c r="O49" s="26">
        <f t="shared" si="7"/>
        <v>11.5</v>
      </c>
      <c r="P49" s="27">
        <f t="shared" si="8"/>
        <v>356.3054888916331</v>
      </c>
      <c r="Q49" s="27">
        <f t="shared" si="13"/>
        <v>356.30857778116126</v>
      </c>
      <c r="S49" s="21"/>
      <c r="T49" s="21"/>
      <c r="U49" s="21"/>
      <c r="V49" s="21"/>
      <c r="W49" s="21"/>
      <c r="X49" s="21"/>
      <c r="Y49" s="21"/>
      <c r="Z49" s="21"/>
      <c r="AA49" s="21"/>
      <c r="AB49" s="21"/>
      <c r="AC49" s="21"/>
      <c r="AD49" s="21"/>
      <c r="AE49" s="30">
        <f>AE48</f>
        <v>356.31326666919256</v>
      </c>
      <c r="AF49" s="30">
        <f>Q49</f>
        <v>356.30857778116126</v>
      </c>
      <c r="AG49" s="21"/>
      <c r="AH49" s="21"/>
      <c r="AI49" s="21"/>
      <c r="AJ49" s="21"/>
      <c r="AK49" s="21">
        <f t="shared" si="9"/>
        <v>356.25000000000006</v>
      </c>
      <c r="AL49" s="21">
        <f t="shared" si="10"/>
        <v>356.34999999999997</v>
      </c>
    </row>
    <row r="50" spans="1:38">
      <c r="A50" s="90" t="s">
        <v>442</v>
      </c>
      <c r="B50" s="90" t="s">
        <v>415</v>
      </c>
      <c r="C50" s="137">
        <v>-1E-3</v>
      </c>
      <c r="D50" s="90"/>
      <c r="E50" s="90"/>
      <c r="F50" s="90"/>
      <c r="G50" s="90"/>
      <c r="J50" s="5">
        <v>5</v>
      </c>
      <c r="K50" s="23">
        <f t="shared" si="11"/>
        <v>279</v>
      </c>
      <c r="L50" s="24">
        <f t="shared" si="5"/>
        <v>13</v>
      </c>
      <c r="M50" s="5">
        <f t="shared" si="12"/>
        <v>356.30500000000001</v>
      </c>
      <c r="N50" s="25">
        <f t="shared" si="6"/>
        <v>1.0222222222207873E-3</v>
      </c>
      <c r="O50" s="26">
        <f t="shared" si="7"/>
        <v>9</v>
      </c>
      <c r="P50" s="27">
        <f t="shared" si="8"/>
        <v>356.31419999999997</v>
      </c>
      <c r="Q50" s="27">
        <f t="shared" si="13"/>
        <v>356.30984444581657</v>
      </c>
      <c r="S50" s="21"/>
      <c r="T50" s="21"/>
      <c r="U50" s="21"/>
      <c r="V50" s="21"/>
      <c r="W50" s="21"/>
      <c r="X50" s="21"/>
      <c r="Y50" s="21"/>
      <c r="Z50" s="21"/>
      <c r="AA50" s="21"/>
      <c r="AB50" s="21"/>
      <c r="AC50" s="21"/>
      <c r="AD50" s="21"/>
      <c r="AE50" s="21"/>
      <c r="AF50" s="30">
        <f>AF49</f>
        <v>356.30857778116126</v>
      </c>
      <c r="AG50" s="30">
        <f>Q50</f>
        <v>356.30984444581657</v>
      </c>
      <c r="AH50" s="21"/>
      <c r="AI50" s="21"/>
      <c r="AJ50" s="21"/>
      <c r="AK50" s="21">
        <f t="shared" si="9"/>
        <v>356.25000000000006</v>
      </c>
      <c r="AL50" s="21">
        <f t="shared" si="10"/>
        <v>356.34999999999997</v>
      </c>
    </row>
    <row r="51" spans="1:38">
      <c r="A51" s="121" t="s">
        <v>443</v>
      </c>
      <c r="B51" s="90" t="s">
        <v>417</v>
      </c>
      <c r="C51" s="137">
        <v>-240.875</v>
      </c>
      <c r="D51" s="90"/>
      <c r="E51" s="90"/>
      <c r="F51" s="90"/>
      <c r="G51" s="90"/>
      <c r="J51" s="5">
        <v>4</v>
      </c>
      <c r="K51" s="23">
        <f t="shared" si="11"/>
        <v>299</v>
      </c>
      <c r="L51" s="24">
        <f t="shared" si="5"/>
        <v>14</v>
      </c>
      <c r="M51" s="5">
        <f t="shared" si="12"/>
        <v>356.32799999999997</v>
      </c>
      <c r="N51" s="25">
        <f t="shared" si="6"/>
        <v>-7.9999999999876708E-4</v>
      </c>
      <c r="O51" s="26">
        <f t="shared" si="7"/>
        <v>6.5</v>
      </c>
      <c r="P51" s="27">
        <f t="shared" si="8"/>
        <v>356.32279999999997</v>
      </c>
      <c r="Q51" s="27">
        <f t="shared" si="13"/>
        <v>356.31849999999997</v>
      </c>
      <c r="S51" s="21"/>
      <c r="T51" s="21"/>
      <c r="U51" s="21"/>
      <c r="V51" s="21"/>
      <c r="W51" s="21"/>
      <c r="X51" s="21"/>
      <c r="Y51" s="21"/>
      <c r="Z51" s="21"/>
      <c r="AA51" s="21"/>
      <c r="AB51" s="21"/>
      <c r="AC51" s="21"/>
      <c r="AD51" s="21"/>
      <c r="AE51" s="21"/>
      <c r="AF51" s="21"/>
      <c r="AG51" s="30">
        <f>AG50</f>
        <v>356.30984444581657</v>
      </c>
      <c r="AH51" s="30">
        <f>Q51</f>
        <v>356.31849999999997</v>
      </c>
      <c r="AI51" s="21"/>
      <c r="AJ51" s="21"/>
      <c r="AK51" s="21">
        <f t="shared" si="9"/>
        <v>356.25000000000006</v>
      </c>
      <c r="AL51" s="21">
        <f t="shared" si="10"/>
        <v>356.34999999999997</v>
      </c>
    </row>
    <row r="52" spans="1:38">
      <c r="A52" s="90" t="s">
        <v>412</v>
      </c>
      <c r="B52" s="90" t="s">
        <v>413</v>
      </c>
      <c r="C52" s="137">
        <v>356.26499999999999</v>
      </c>
      <c r="D52" s="90"/>
      <c r="E52" s="90"/>
      <c r="F52" s="90"/>
      <c r="G52" s="90"/>
      <c r="J52" s="5">
        <v>3</v>
      </c>
      <c r="K52" s="23">
        <f t="shared" si="11"/>
        <v>319</v>
      </c>
      <c r="L52" s="24">
        <f t="shared" si="5"/>
        <v>15</v>
      </c>
      <c r="M52" s="5">
        <f t="shared" si="12"/>
        <v>356.31</v>
      </c>
      <c r="N52" s="25">
        <f t="shared" si="6"/>
        <v>-3.3333332709515971E-3</v>
      </c>
      <c r="O52" s="26">
        <f t="shared" si="7"/>
        <v>4</v>
      </c>
      <c r="P52" s="27">
        <f t="shared" si="8"/>
        <v>356.29666666691622</v>
      </c>
      <c r="Q52" s="27">
        <f t="shared" si="13"/>
        <v>356.3097333334581</v>
      </c>
      <c r="S52" s="21"/>
      <c r="T52" s="21"/>
      <c r="U52" s="21"/>
      <c r="V52" s="21"/>
      <c r="W52" s="21"/>
      <c r="X52" s="21"/>
      <c r="Y52" s="21"/>
      <c r="Z52" s="21"/>
      <c r="AA52" s="21"/>
      <c r="AB52" s="21"/>
      <c r="AC52" s="21"/>
      <c r="AD52" s="21"/>
      <c r="AE52" s="21"/>
      <c r="AF52" s="21"/>
      <c r="AG52" s="21"/>
      <c r="AH52" s="30">
        <f>AH51</f>
        <v>356.31849999999997</v>
      </c>
      <c r="AI52" s="30">
        <f>Q52</f>
        <v>356.3097333334581</v>
      </c>
      <c r="AJ52" s="21"/>
      <c r="AK52" s="21">
        <f t="shared" si="9"/>
        <v>356.25000000000006</v>
      </c>
      <c r="AL52" s="21">
        <f t="shared" si="10"/>
        <v>356.34999999999997</v>
      </c>
    </row>
    <row r="53" spans="1:38">
      <c r="A53" s="90" t="s">
        <v>444</v>
      </c>
      <c r="B53" s="90" t="s">
        <v>415</v>
      </c>
      <c r="C53" s="137">
        <v>-1E-3</v>
      </c>
      <c r="D53" s="90"/>
      <c r="E53" s="90"/>
      <c r="F53" s="90"/>
      <c r="G53" s="90"/>
      <c r="J53" s="5">
        <v>2</v>
      </c>
      <c r="K53" s="23">
        <f t="shared" si="11"/>
        <v>339</v>
      </c>
      <c r="L53" s="24">
        <f t="shared" si="5"/>
        <v>16</v>
      </c>
      <c r="M53" s="5">
        <f t="shared" si="12"/>
        <v>356.23500000140359</v>
      </c>
      <c r="N53" s="25">
        <f t="shared" si="6"/>
        <v>-3.3777778401599791E-3</v>
      </c>
      <c r="O53" s="26">
        <f t="shared" si="7"/>
        <v>1.5</v>
      </c>
      <c r="P53" s="27">
        <f t="shared" si="8"/>
        <v>356.22993333464336</v>
      </c>
      <c r="Q53" s="27">
        <f t="shared" si="13"/>
        <v>356.26330000077979</v>
      </c>
      <c r="S53" s="31"/>
      <c r="T53" s="31"/>
      <c r="U53" s="31"/>
      <c r="V53" s="31"/>
      <c r="W53" s="31"/>
      <c r="X53" s="31"/>
      <c r="Y53" s="31"/>
      <c r="Z53" s="31"/>
      <c r="AA53" s="31"/>
      <c r="AB53" s="31"/>
      <c r="AC53" s="31"/>
      <c r="AD53" s="31"/>
      <c r="AE53" s="31"/>
      <c r="AF53" s="31"/>
      <c r="AG53" s="31"/>
      <c r="AH53" s="31"/>
      <c r="AI53" s="32">
        <f>AI52</f>
        <v>356.3097333334581</v>
      </c>
      <c r="AJ53" s="32">
        <f>Q53</f>
        <v>356.26330000077979</v>
      </c>
      <c r="AK53" s="31">
        <f t="shared" si="9"/>
        <v>356.25000000000006</v>
      </c>
      <c r="AL53" s="31">
        <f t="shared" si="10"/>
        <v>356.34999999999997</v>
      </c>
    </row>
    <row r="54" spans="1:38">
      <c r="A54" s="121" t="s">
        <v>445</v>
      </c>
      <c r="B54" s="90" t="s">
        <v>417</v>
      </c>
      <c r="C54" s="137">
        <v>-240.875</v>
      </c>
      <c r="D54" s="90"/>
      <c r="E54" s="90"/>
      <c r="F54" s="90"/>
      <c r="G54" s="90"/>
      <c r="K54" s="24">
        <f>K36</f>
        <v>359</v>
      </c>
    </row>
    <row r="55" spans="1:38">
      <c r="A55" s="90" t="s">
        <v>412</v>
      </c>
      <c r="B55" s="90" t="s">
        <v>413</v>
      </c>
      <c r="C55" s="137">
        <v>356.17500000000001</v>
      </c>
      <c r="D55" s="90"/>
      <c r="E55" s="90"/>
      <c r="F55" s="90"/>
      <c r="G55" s="90"/>
    </row>
    <row r="56" spans="1:38">
      <c r="A56" s="90" t="s">
        <v>446</v>
      </c>
      <c r="B56" s="90" t="s">
        <v>415</v>
      </c>
      <c r="C56" s="137">
        <v>-3.0000000000000001E-3</v>
      </c>
      <c r="D56" s="90"/>
      <c r="E56" s="90"/>
      <c r="F56" s="90"/>
      <c r="G56" s="90"/>
      <c r="I56" s="33"/>
      <c r="J56" s="33"/>
      <c r="K56" s="33"/>
      <c r="L56" s="33"/>
      <c r="M56" s="33"/>
      <c r="N56" s="33"/>
      <c r="O56" s="33"/>
      <c r="P56" s="33"/>
      <c r="Q56" s="33"/>
      <c r="S56" s="33"/>
      <c r="T56" s="33"/>
      <c r="U56" s="33"/>
      <c r="V56" s="33"/>
      <c r="W56" s="33"/>
      <c r="X56" s="33"/>
      <c r="Y56" s="33"/>
      <c r="Z56" s="33"/>
      <c r="AA56" s="33"/>
      <c r="AB56" s="33"/>
    </row>
    <row r="57" spans="1:38">
      <c r="A57" s="121" t="s">
        <v>447</v>
      </c>
      <c r="B57" s="90" t="s">
        <v>417</v>
      </c>
      <c r="C57" s="137">
        <v>-240.875</v>
      </c>
      <c r="D57" s="90"/>
      <c r="E57" s="90"/>
      <c r="F57" s="90"/>
      <c r="G57" s="90"/>
      <c r="I57" s="33"/>
      <c r="J57" s="33"/>
      <c r="K57" s="33"/>
      <c r="L57" s="33"/>
      <c r="M57" s="33"/>
      <c r="N57" s="33"/>
      <c r="O57" s="33"/>
      <c r="P57" s="33"/>
      <c r="Q57" s="33"/>
      <c r="S57" s="33"/>
      <c r="T57" s="33"/>
      <c r="U57" s="33"/>
      <c r="V57" s="33"/>
      <c r="W57" s="33"/>
      <c r="X57" s="33"/>
      <c r="Y57" s="33"/>
      <c r="Z57" s="33"/>
      <c r="AA57" s="33"/>
      <c r="AB57" s="33"/>
    </row>
    <row r="58" spans="1:38">
      <c r="I58" s="33"/>
      <c r="J58" s="33"/>
      <c r="K58" s="33"/>
      <c r="L58" s="33"/>
      <c r="M58" s="33"/>
      <c r="N58" s="33"/>
      <c r="O58" s="33"/>
      <c r="P58" s="33"/>
      <c r="Q58" s="33"/>
      <c r="S58" s="33"/>
      <c r="T58" s="33"/>
      <c r="U58" s="33"/>
      <c r="V58" s="33"/>
      <c r="W58" s="33"/>
      <c r="X58" s="33"/>
      <c r="Y58" s="33"/>
      <c r="Z58" s="33"/>
      <c r="AA58" s="33"/>
      <c r="AB58" s="33"/>
    </row>
    <row r="59" spans="1:38">
      <c r="I59" s="33"/>
      <c r="J59" s="33"/>
      <c r="K59" s="33"/>
      <c r="L59" s="33"/>
      <c r="M59" s="33"/>
      <c r="N59" s="33"/>
      <c r="O59" s="33"/>
      <c r="P59" s="33"/>
      <c r="Q59" s="33"/>
      <c r="S59" s="33"/>
      <c r="T59" s="33"/>
      <c r="U59" s="33"/>
      <c r="V59" s="33"/>
      <c r="W59" s="33"/>
      <c r="X59" s="33"/>
      <c r="Y59" s="33"/>
      <c r="Z59" s="33"/>
      <c r="AA59" s="33"/>
      <c r="AB59" s="33"/>
    </row>
    <row r="60" spans="1:38">
      <c r="I60" s="33"/>
      <c r="J60" s="33"/>
      <c r="K60" s="33"/>
      <c r="L60" s="33"/>
      <c r="M60" s="33"/>
      <c r="N60" s="33"/>
      <c r="O60" s="33"/>
      <c r="P60" s="33"/>
      <c r="Q60" s="33"/>
      <c r="S60" s="33"/>
      <c r="T60" s="33"/>
      <c r="U60" s="33"/>
      <c r="V60" s="33"/>
      <c r="W60" s="33"/>
      <c r="X60" s="33"/>
      <c r="Y60" s="33"/>
      <c r="Z60" s="33"/>
      <c r="AA60" s="33"/>
      <c r="AB60" s="33"/>
    </row>
    <row r="61" spans="1:38">
      <c r="I61" s="33"/>
      <c r="J61" s="33"/>
      <c r="K61" s="33"/>
      <c r="L61" s="33"/>
      <c r="M61" s="33"/>
      <c r="N61" s="33"/>
      <c r="O61" s="33"/>
      <c r="P61" s="33"/>
      <c r="Q61" s="33"/>
      <c r="S61" s="33"/>
      <c r="T61" s="33"/>
      <c r="U61" s="33"/>
      <c r="V61" s="33"/>
      <c r="W61" s="33"/>
      <c r="X61" s="33"/>
      <c r="Y61" s="33"/>
      <c r="Z61" s="33"/>
      <c r="AA61" s="33"/>
      <c r="AB61" s="33"/>
    </row>
    <row r="62" spans="1:38">
      <c r="I62" s="33"/>
      <c r="J62" s="33"/>
      <c r="K62" s="33"/>
      <c r="L62" s="33"/>
      <c r="M62" s="33"/>
      <c r="N62" s="33"/>
      <c r="O62" s="33"/>
      <c r="P62" s="33"/>
      <c r="Q62" s="33"/>
      <c r="S62" s="33"/>
      <c r="T62" s="33"/>
      <c r="U62" s="33"/>
      <c r="V62" s="33"/>
      <c r="W62" s="33"/>
      <c r="X62" s="33"/>
      <c r="Y62" s="33"/>
      <c r="Z62" s="33"/>
      <c r="AA62" s="33"/>
      <c r="AB62" s="33"/>
    </row>
    <row r="63" spans="1:38">
      <c r="I63" s="33"/>
      <c r="J63" s="33"/>
      <c r="K63" s="33"/>
      <c r="L63" s="33"/>
      <c r="M63" s="33"/>
      <c r="N63" s="33"/>
      <c r="O63" s="33"/>
      <c r="P63" s="33"/>
      <c r="Q63" s="33"/>
      <c r="S63" s="33"/>
      <c r="T63" s="33"/>
      <c r="U63" s="33"/>
      <c r="V63" s="33"/>
      <c r="W63" s="33"/>
      <c r="X63" s="33"/>
      <c r="Y63" s="33"/>
      <c r="Z63" s="33"/>
      <c r="AA63" s="33"/>
      <c r="AB63" s="33"/>
    </row>
    <row r="64" spans="1:38">
      <c r="I64" s="33"/>
      <c r="J64" s="33"/>
      <c r="K64" s="33"/>
      <c r="L64" s="33"/>
      <c r="M64" s="33"/>
      <c r="N64" s="33"/>
      <c r="O64" s="33"/>
      <c r="P64" s="33"/>
      <c r="Q64" s="33"/>
      <c r="S64" s="33"/>
      <c r="T64" s="33"/>
      <c r="U64" s="33"/>
      <c r="V64" s="33"/>
      <c r="W64" s="33"/>
      <c r="X64" s="33"/>
      <c r="Y64" s="33"/>
      <c r="Z64" s="33"/>
      <c r="AA64" s="33"/>
      <c r="AB64" s="33"/>
    </row>
    <row r="65" spans="1:28" s="5" customFormat="1">
      <c r="A65"/>
      <c r="B65"/>
      <c r="C65"/>
      <c r="D65"/>
      <c r="E65"/>
      <c r="F65"/>
      <c r="G65"/>
      <c r="I65" s="33"/>
      <c r="J65" s="33"/>
      <c r="K65" s="33"/>
      <c r="L65" s="33"/>
      <c r="M65" s="33"/>
      <c r="N65" s="33"/>
      <c r="O65" s="33"/>
      <c r="P65" s="33"/>
      <c r="Q65" s="33"/>
      <c r="S65" s="33"/>
      <c r="T65" s="33"/>
      <c r="U65" s="33"/>
      <c r="V65" s="33"/>
      <c r="W65" s="33"/>
      <c r="X65" s="33"/>
      <c r="Y65" s="33"/>
      <c r="Z65" s="33"/>
      <c r="AA65" s="33"/>
      <c r="AB65" s="33"/>
    </row>
    <row r="66" spans="1:28" s="5" customFormat="1">
      <c r="A66"/>
      <c r="B66"/>
      <c r="C66"/>
      <c r="D66"/>
      <c r="E66"/>
      <c r="F66"/>
      <c r="G66"/>
      <c r="I66" s="33"/>
      <c r="J66" s="33"/>
      <c r="K66" s="33"/>
      <c r="L66" s="33"/>
      <c r="M66" s="33"/>
      <c r="N66" s="33"/>
      <c r="O66" s="33"/>
      <c r="P66" s="33"/>
      <c r="Q66" s="33"/>
      <c r="S66" s="33"/>
      <c r="T66" s="33"/>
      <c r="U66" s="33"/>
      <c r="V66" s="33"/>
      <c r="W66" s="33"/>
      <c r="X66" s="33"/>
      <c r="Y66" s="33"/>
      <c r="Z66" s="33"/>
      <c r="AA66" s="33"/>
      <c r="AB66" s="33"/>
    </row>
    <row r="67" spans="1:28" s="5" customFormat="1">
      <c r="A67"/>
      <c r="B67"/>
      <c r="C67"/>
      <c r="D67"/>
      <c r="E67"/>
      <c r="F67"/>
      <c r="G67"/>
      <c r="I67" s="33"/>
      <c r="J67" s="33"/>
      <c r="K67" s="33"/>
      <c r="L67" s="33"/>
      <c r="M67" s="33"/>
      <c r="N67" s="33"/>
      <c r="O67" s="33"/>
      <c r="P67" s="33"/>
      <c r="Q67" s="33"/>
      <c r="S67" s="33"/>
      <c r="T67" s="33"/>
      <c r="U67" s="33"/>
      <c r="V67" s="33"/>
      <c r="W67" s="33"/>
      <c r="X67" s="33"/>
      <c r="Y67" s="33"/>
      <c r="Z67" s="33"/>
      <c r="AA67" s="33"/>
      <c r="AB67" s="33"/>
    </row>
    <row r="68" spans="1:28" s="5" customFormat="1">
      <c r="A68"/>
      <c r="B68"/>
      <c r="C68"/>
      <c r="D68"/>
      <c r="E68"/>
      <c r="F68"/>
      <c r="G68"/>
      <c r="I68" s="33"/>
      <c r="J68" s="33"/>
      <c r="K68" s="33"/>
      <c r="L68" s="33"/>
      <c r="M68" s="33"/>
      <c r="N68" s="33"/>
      <c r="O68" s="33"/>
      <c r="P68" s="33"/>
      <c r="Q68" s="33"/>
      <c r="S68" s="33"/>
      <c r="T68" s="33"/>
      <c r="U68" s="33"/>
      <c r="V68" s="33"/>
      <c r="W68" s="33"/>
      <c r="X68" s="33"/>
      <c r="Y68" s="33"/>
      <c r="Z68" s="33"/>
      <c r="AA68" s="33"/>
      <c r="AB68" s="33"/>
    </row>
    <row r="69" spans="1:28" s="5" customFormat="1">
      <c r="A69"/>
      <c r="B69"/>
      <c r="C69"/>
      <c r="D69"/>
      <c r="E69"/>
      <c r="F69"/>
      <c r="G69"/>
      <c r="I69" s="33"/>
      <c r="J69" s="33"/>
      <c r="K69" s="33"/>
      <c r="L69" s="33"/>
      <c r="M69" s="33"/>
      <c r="N69" s="33"/>
      <c r="O69" s="33"/>
      <c r="P69" s="33"/>
      <c r="Q69" s="33"/>
      <c r="S69" s="33"/>
      <c r="T69" s="33"/>
      <c r="U69" s="33"/>
      <c r="V69" s="33"/>
      <c r="W69" s="33"/>
      <c r="X69" s="33"/>
      <c r="Y69" s="33"/>
      <c r="Z69" s="33"/>
      <c r="AA69" s="33"/>
      <c r="AB69" s="33"/>
    </row>
    <row r="70" spans="1:28" s="5" customFormat="1">
      <c r="A70"/>
      <c r="B70"/>
      <c r="C70"/>
      <c r="D70"/>
      <c r="E70"/>
      <c r="F70"/>
      <c r="G70"/>
      <c r="I70" s="33"/>
      <c r="J70" s="33"/>
      <c r="K70" s="33"/>
      <c r="L70" s="33"/>
      <c r="M70" s="33"/>
      <c r="N70" s="33"/>
      <c r="O70" s="33"/>
      <c r="P70" s="33"/>
      <c r="Q70" s="33"/>
      <c r="S70" s="33"/>
      <c r="T70" s="33"/>
      <c r="U70" s="33"/>
      <c r="V70" s="33"/>
      <c r="W70" s="33"/>
      <c r="X70" s="33"/>
      <c r="Y70" s="33"/>
      <c r="Z70" s="33"/>
      <c r="AA70" s="33"/>
      <c r="AB70" s="33"/>
    </row>
    <row r="71" spans="1:28" s="5" customFormat="1">
      <c r="A71"/>
      <c r="B71"/>
      <c r="C71"/>
      <c r="D71"/>
      <c r="E71"/>
      <c r="F71"/>
      <c r="G71"/>
      <c r="I71" s="33"/>
      <c r="J71" s="33"/>
      <c r="K71" s="33"/>
      <c r="L71" s="33"/>
      <c r="M71" s="33"/>
      <c r="N71" s="33"/>
      <c r="O71" s="33"/>
      <c r="P71" s="33"/>
      <c r="Q71" s="33"/>
      <c r="S71" s="33"/>
      <c r="T71" s="33"/>
      <c r="U71" s="33"/>
      <c r="V71" s="33"/>
      <c r="W71" s="33"/>
      <c r="X71" s="33"/>
      <c r="Y71" s="33"/>
      <c r="Z71" s="33"/>
      <c r="AA71" s="33"/>
      <c r="AB71" s="33"/>
    </row>
    <row r="72" spans="1:28" s="5" customFormat="1">
      <c r="A72"/>
      <c r="B72"/>
      <c r="C72"/>
      <c r="D72"/>
      <c r="E72"/>
      <c r="F72"/>
      <c r="G72"/>
      <c r="I72" s="33"/>
      <c r="J72" s="33"/>
      <c r="K72" s="33"/>
      <c r="L72" s="33"/>
      <c r="M72" s="33"/>
      <c r="N72" s="33"/>
      <c r="O72" s="33"/>
      <c r="P72" s="33"/>
      <c r="Q72" s="33"/>
      <c r="S72" s="33"/>
      <c r="T72" s="33"/>
      <c r="U72" s="33"/>
      <c r="V72" s="33"/>
      <c r="W72" s="33"/>
      <c r="X72" s="33"/>
      <c r="Y72" s="33"/>
      <c r="Z72" s="33"/>
      <c r="AA72" s="33"/>
      <c r="AB72" s="33"/>
    </row>
    <row r="73" spans="1:28" s="5" customFormat="1">
      <c r="A73"/>
      <c r="B73"/>
      <c r="C73"/>
      <c r="D73"/>
      <c r="E73"/>
      <c r="F73"/>
      <c r="G73"/>
      <c r="I73" s="33"/>
      <c r="J73" s="33"/>
      <c r="K73" s="33"/>
      <c r="L73" s="33"/>
      <c r="M73" s="33"/>
      <c r="N73" s="33"/>
      <c r="O73" s="33"/>
      <c r="P73" s="33"/>
      <c r="Q73" s="33"/>
      <c r="S73" s="33"/>
      <c r="T73" s="33"/>
      <c r="U73" s="33"/>
      <c r="V73" s="33"/>
      <c r="W73" s="33"/>
      <c r="X73" s="33"/>
      <c r="Y73" s="33"/>
      <c r="Z73" s="33"/>
      <c r="AA73" s="33"/>
      <c r="AB73" s="33"/>
    </row>
    <row r="74" spans="1:28" s="5" customFormat="1">
      <c r="A74"/>
      <c r="B74"/>
      <c r="C74"/>
      <c r="D74"/>
      <c r="E74"/>
      <c r="F74"/>
      <c r="G74"/>
      <c r="I74" s="33"/>
      <c r="J74" s="33"/>
      <c r="K74" s="33"/>
      <c r="L74" s="33"/>
      <c r="M74" s="33"/>
      <c r="N74" s="33"/>
      <c r="O74" s="33"/>
      <c r="P74" s="33"/>
      <c r="Q74" s="33"/>
      <c r="S74" s="33"/>
      <c r="T74" s="33"/>
      <c r="U74" s="33"/>
      <c r="V74" s="33"/>
      <c r="W74" s="33"/>
      <c r="X74" s="33"/>
      <c r="Y74" s="33"/>
      <c r="Z74" s="33"/>
      <c r="AA74" s="33"/>
      <c r="AB74" s="33"/>
    </row>
    <row r="75" spans="1:28" s="5" customFormat="1">
      <c r="A75"/>
      <c r="B75"/>
      <c r="C75"/>
      <c r="D75"/>
      <c r="E75"/>
      <c r="F75"/>
      <c r="G75"/>
      <c r="I75" s="33"/>
      <c r="J75" s="33"/>
      <c r="K75" s="33"/>
      <c r="L75" s="33"/>
      <c r="M75" s="33"/>
      <c r="N75" s="33"/>
      <c r="O75" s="33"/>
      <c r="P75" s="33"/>
      <c r="Q75" s="33"/>
      <c r="S75" s="33"/>
      <c r="T75" s="33"/>
      <c r="U75" s="33"/>
      <c r="V75" s="33"/>
      <c r="W75" s="33"/>
      <c r="X75" s="33"/>
      <c r="Y75" s="33"/>
      <c r="Z75" s="33"/>
      <c r="AA75" s="33"/>
      <c r="AB75" s="33"/>
    </row>
    <row r="76" spans="1:28" s="5" customFormat="1">
      <c r="A76"/>
      <c r="B76"/>
      <c r="C76"/>
      <c r="D76"/>
      <c r="E76"/>
      <c r="F76"/>
      <c r="G76"/>
      <c r="I76" s="33"/>
      <c r="J76" s="33"/>
      <c r="K76" s="33"/>
      <c r="L76" s="33"/>
      <c r="M76" s="33"/>
      <c r="N76" s="33"/>
      <c r="O76" s="33"/>
      <c r="P76" s="33"/>
      <c r="Q76" s="33"/>
      <c r="S76" s="33"/>
      <c r="T76" s="33"/>
      <c r="U76" s="33"/>
      <c r="V76" s="33"/>
      <c r="W76" s="33"/>
      <c r="X76" s="33"/>
      <c r="Y76" s="33"/>
      <c r="Z76" s="33"/>
      <c r="AA76" s="33"/>
      <c r="AB76" s="33"/>
    </row>
    <row r="77" spans="1:28" s="5" customFormat="1">
      <c r="A77"/>
      <c r="B77"/>
      <c r="C77"/>
      <c r="D77"/>
      <c r="E77"/>
      <c r="F77"/>
      <c r="G77"/>
      <c r="I77" s="33"/>
      <c r="J77" s="33"/>
      <c r="K77" s="33"/>
      <c r="L77" s="33"/>
      <c r="M77" s="33"/>
      <c r="N77" s="33"/>
      <c r="O77" s="33"/>
      <c r="P77" s="33"/>
      <c r="Q77" s="33"/>
      <c r="S77" s="33"/>
      <c r="T77" s="33"/>
      <c r="U77" s="33"/>
      <c r="V77" s="33"/>
      <c r="W77" s="33"/>
      <c r="X77" s="33"/>
      <c r="Y77" s="33"/>
      <c r="Z77" s="33"/>
      <c r="AA77" s="33"/>
      <c r="AB77" s="33"/>
    </row>
    <row r="78" spans="1:28" s="5" customFormat="1">
      <c r="A78"/>
      <c r="B78"/>
      <c r="C78"/>
      <c r="D78"/>
      <c r="E78"/>
      <c r="F78"/>
      <c r="G78"/>
      <c r="I78" s="33"/>
      <c r="J78" s="33"/>
      <c r="K78" s="33"/>
      <c r="L78" s="33"/>
      <c r="M78" s="33"/>
      <c r="N78" s="33"/>
      <c r="O78" s="33"/>
      <c r="P78" s="33"/>
      <c r="Q78" s="33"/>
      <c r="S78" s="33"/>
      <c r="T78" s="33"/>
      <c r="U78" s="33"/>
      <c r="V78" s="33"/>
      <c r="W78" s="33"/>
      <c r="X78" s="33"/>
      <c r="Y78" s="33"/>
      <c r="Z78" s="33"/>
      <c r="AA78" s="33"/>
      <c r="AB78" s="33"/>
    </row>
    <row r="79" spans="1:28" s="5" customFormat="1">
      <c r="A79"/>
      <c r="B79"/>
      <c r="C79"/>
      <c r="D79"/>
      <c r="E79"/>
      <c r="F79"/>
      <c r="G79"/>
      <c r="I79" s="33"/>
      <c r="J79" s="33"/>
      <c r="K79" s="33"/>
      <c r="L79" s="33"/>
      <c r="M79" s="33"/>
      <c r="N79" s="33"/>
      <c r="O79" s="33"/>
      <c r="P79" s="33"/>
      <c r="Q79" s="33"/>
      <c r="S79" s="33"/>
      <c r="T79" s="33"/>
      <c r="U79" s="33"/>
      <c r="V79" s="33"/>
      <c r="W79" s="33"/>
      <c r="X79" s="33"/>
      <c r="Y79" s="33"/>
      <c r="Z79" s="33"/>
      <c r="AA79" s="33"/>
      <c r="AB79" s="33"/>
    </row>
    <row r="80" spans="1:28" s="5" customFormat="1">
      <c r="A80"/>
      <c r="B80"/>
      <c r="C80"/>
      <c r="D80"/>
      <c r="E80"/>
      <c r="F80"/>
      <c r="G80"/>
      <c r="I80" s="33"/>
      <c r="J80" s="33"/>
      <c r="K80" s="33"/>
      <c r="L80" s="33"/>
      <c r="M80" s="33"/>
      <c r="N80" s="33"/>
      <c r="O80" s="33"/>
      <c r="P80" s="33"/>
      <c r="Q80" s="33"/>
      <c r="S80" s="33"/>
      <c r="T80" s="33"/>
      <c r="U80" s="33"/>
      <c r="V80" s="33"/>
      <c r="W80" s="33"/>
      <c r="X80" s="33"/>
      <c r="Y80" s="33"/>
      <c r="Z80" s="33"/>
      <c r="AA80" s="33"/>
      <c r="AB80" s="33"/>
    </row>
    <row r="81" spans="1:28" s="5" customFormat="1">
      <c r="A81"/>
      <c r="B81"/>
      <c r="C81"/>
      <c r="D81"/>
      <c r="E81"/>
      <c r="F81"/>
      <c r="G81"/>
      <c r="I81" s="33"/>
      <c r="J81" s="33"/>
      <c r="K81" s="33"/>
      <c r="L81" s="33"/>
      <c r="M81" s="33"/>
      <c r="N81" s="33"/>
      <c r="O81" s="33"/>
      <c r="P81" s="33"/>
      <c r="Q81" s="33"/>
      <c r="S81" s="33"/>
      <c r="T81" s="33"/>
      <c r="U81" s="33"/>
      <c r="V81" s="33"/>
      <c r="W81" s="33"/>
      <c r="X81" s="33"/>
      <c r="Y81" s="33"/>
      <c r="Z81" s="33"/>
      <c r="AA81" s="33"/>
      <c r="AB81" s="33"/>
    </row>
    <row r="82" spans="1:28" s="5" customFormat="1">
      <c r="A82"/>
      <c r="B82"/>
      <c r="C82"/>
      <c r="D82"/>
      <c r="E82"/>
      <c r="F82"/>
      <c r="G82"/>
      <c r="I82" s="33"/>
      <c r="J82" s="33"/>
      <c r="K82" s="33"/>
      <c r="L82" s="33"/>
      <c r="M82" s="33"/>
      <c r="N82" s="33"/>
      <c r="O82" s="33"/>
      <c r="P82" s="33"/>
      <c r="Q82" s="33"/>
      <c r="S82" s="33"/>
      <c r="T82" s="33"/>
      <c r="U82" s="33"/>
      <c r="V82" s="33"/>
      <c r="W82" s="33"/>
      <c r="X82" s="33"/>
      <c r="Y82" s="33"/>
      <c r="Z82" s="33"/>
      <c r="AA82" s="33"/>
      <c r="AB82" s="33"/>
    </row>
    <row r="83" spans="1:28" s="5" customFormat="1">
      <c r="A83"/>
      <c r="B83"/>
      <c r="C83"/>
      <c r="D83"/>
      <c r="E83"/>
      <c r="F83"/>
      <c r="G83"/>
      <c r="I83" s="33"/>
      <c r="J83" s="33"/>
      <c r="K83" s="33"/>
      <c r="L83" s="33"/>
      <c r="M83" s="33"/>
      <c r="N83" s="33"/>
      <c r="O83" s="33"/>
      <c r="P83" s="33"/>
      <c r="Q83" s="33"/>
      <c r="S83" s="33"/>
      <c r="T83" s="33"/>
      <c r="U83" s="33"/>
      <c r="V83" s="33"/>
      <c r="W83" s="33"/>
      <c r="X83" s="33"/>
      <c r="Y83" s="33"/>
      <c r="Z83" s="33"/>
      <c r="AA83" s="33"/>
      <c r="AB83" s="33"/>
    </row>
    <row r="84" spans="1:28" s="5" customFormat="1">
      <c r="A84"/>
      <c r="B84"/>
      <c r="C84"/>
      <c r="D84"/>
      <c r="E84"/>
      <c r="F84"/>
      <c r="G84"/>
      <c r="I84" s="33"/>
      <c r="J84" s="33"/>
      <c r="K84" s="33"/>
      <c r="L84" s="33"/>
      <c r="M84" s="33"/>
      <c r="N84" s="33"/>
      <c r="O84" s="33"/>
      <c r="P84" s="33"/>
      <c r="Q84" s="33"/>
      <c r="S84" s="33"/>
      <c r="T84" s="33"/>
      <c r="U84" s="33"/>
      <c r="V84" s="33"/>
      <c r="W84" s="33"/>
      <c r="X84" s="33"/>
      <c r="Y84" s="33"/>
      <c r="Z84" s="33"/>
      <c r="AA84" s="33"/>
      <c r="AB84" s="33"/>
    </row>
  </sheetData>
  <mergeCells count="1">
    <mergeCell ref="J9:J10"/>
  </mergeCells>
  <phoneticPr fontId="2"/>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A1:AY157"/>
  <sheetViews>
    <sheetView zoomScale="70" zoomScaleNormal="70" workbookViewId="0">
      <selection activeCell="L11" sqref="L11"/>
    </sheetView>
  </sheetViews>
  <sheetFormatPr defaultColWidth="9" defaultRowHeight="15"/>
  <cols>
    <col min="1" max="1" width="24.42578125" style="90" customWidth="1"/>
    <col min="2" max="7" width="9" style="90" customWidth="1"/>
    <col min="8" max="8" width="7" style="2" customWidth="1"/>
    <col min="9" max="9" width="9" style="2" customWidth="1"/>
    <col min="10" max="14" width="9" style="13"/>
    <col min="15" max="25" width="9" style="2"/>
    <col min="26" max="28" width="9" style="2" customWidth="1"/>
    <col min="29" max="29" width="9" style="2"/>
    <col min="30" max="32" width="9" style="2" customWidth="1"/>
    <col min="33" max="33" width="9" style="2"/>
    <col min="34" max="34" width="9" style="2" customWidth="1"/>
    <col min="35" max="16384" width="9" style="2"/>
  </cols>
  <sheetData>
    <row r="1" spans="1:27">
      <c r="A1" s="90" t="s">
        <v>448</v>
      </c>
    </row>
    <row r="2" spans="1:27">
      <c r="A2" s="90" t="s">
        <v>449</v>
      </c>
      <c r="B2" s="90" t="s">
        <v>450</v>
      </c>
      <c r="C2" s="90">
        <v>718.76800000000003</v>
      </c>
      <c r="D2" s="90" t="s">
        <v>451</v>
      </c>
      <c r="E2" s="90">
        <v>718.8</v>
      </c>
    </row>
    <row r="3" spans="1:27">
      <c r="A3" s="90" t="s">
        <v>452</v>
      </c>
      <c r="B3" s="90" t="s">
        <v>408</v>
      </c>
      <c r="C3" s="90">
        <v>-3.2000000000000001E-2</v>
      </c>
      <c r="D3" s="90" t="s">
        <v>453</v>
      </c>
      <c r="E3" s="90">
        <v>6.4000000000000001E-2</v>
      </c>
      <c r="F3" s="90" t="s">
        <v>406</v>
      </c>
    </row>
    <row r="4" spans="1:27">
      <c r="A4" s="121" t="s">
        <v>454</v>
      </c>
      <c r="B4" s="90" t="s">
        <v>455</v>
      </c>
      <c r="C4" s="90">
        <v>-6.4000000000000001E-2</v>
      </c>
      <c r="J4" s="13" t="s">
        <v>48</v>
      </c>
    </row>
    <row r="5" spans="1:27">
      <c r="A5" s="90" t="s">
        <v>1034</v>
      </c>
      <c r="C5" s="90" t="s">
        <v>411</v>
      </c>
      <c r="L5" s="6" t="s">
        <v>1</v>
      </c>
      <c r="M5" s="6">
        <v>718.8</v>
      </c>
    </row>
    <row r="6" spans="1:27">
      <c r="A6" s="90" t="s">
        <v>412</v>
      </c>
      <c r="B6" s="90" t="s">
        <v>413</v>
      </c>
      <c r="C6" s="90">
        <v>359.36599999999999</v>
      </c>
      <c r="L6" s="6" t="s">
        <v>2</v>
      </c>
      <c r="M6" s="13">
        <f>M5+0.064</f>
        <v>718.86399999999992</v>
      </c>
    </row>
    <row r="7" spans="1:27">
      <c r="A7" s="90" t="s">
        <v>456</v>
      </c>
      <c r="B7" s="90" t="s">
        <v>415</v>
      </c>
      <c r="C7" s="90">
        <v>0</v>
      </c>
      <c r="L7" s="6" t="s">
        <v>3</v>
      </c>
      <c r="M7" s="13">
        <f>M5-0.064</f>
        <v>718.73599999999999</v>
      </c>
    </row>
    <row r="8" spans="1:27">
      <c r="A8" s="121" t="s">
        <v>457</v>
      </c>
      <c r="B8" s="90" t="s">
        <v>417</v>
      </c>
      <c r="C8" s="90">
        <v>-208.375</v>
      </c>
    </row>
    <row r="9" spans="1:27">
      <c r="A9" s="90" t="s">
        <v>412</v>
      </c>
      <c r="B9" s="90" t="s">
        <v>413</v>
      </c>
      <c r="C9" s="90">
        <v>359.35700000000003</v>
      </c>
      <c r="H9" s="5"/>
      <c r="I9" s="9" t="s">
        <v>4</v>
      </c>
      <c r="J9" s="144" t="s">
        <v>49</v>
      </c>
      <c r="K9" s="10" t="s">
        <v>6</v>
      </c>
      <c r="L9" s="10" t="s">
        <v>7</v>
      </c>
      <c r="M9" s="10" t="s">
        <v>8</v>
      </c>
      <c r="P9" s="11" t="s">
        <v>9</v>
      </c>
      <c r="Y9" s="13"/>
      <c r="Z9" s="13" t="s">
        <v>275</v>
      </c>
      <c r="AA9" s="13" t="s">
        <v>276</v>
      </c>
    </row>
    <row r="10" spans="1:27">
      <c r="A10" s="90" t="s">
        <v>458</v>
      </c>
      <c r="B10" s="90" t="s">
        <v>415</v>
      </c>
      <c r="C10" s="90">
        <v>1E-3</v>
      </c>
      <c r="H10" s="9" t="s">
        <v>10</v>
      </c>
      <c r="I10" s="9" t="s">
        <v>11</v>
      </c>
      <c r="J10" s="145"/>
      <c r="K10" s="10" t="s">
        <v>12</v>
      </c>
      <c r="L10" s="10" t="s">
        <v>12</v>
      </c>
      <c r="M10" s="10" t="s">
        <v>12</v>
      </c>
      <c r="P10" s="11" t="s">
        <v>13</v>
      </c>
      <c r="Y10" s="13" t="s">
        <v>277</v>
      </c>
      <c r="Z10" s="13">
        <f>AQ89</f>
        <v>18</v>
      </c>
      <c r="AA10" s="13">
        <f>AR89</f>
        <v>2</v>
      </c>
    </row>
    <row r="11" spans="1:27">
      <c r="A11" s="121" t="s">
        <v>459</v>
      </c>
      <c r="B11" s="90" t="s">
        <v>417</v>
      </c>
      <c r="C11" s="90">
        <v>-208.375</v>
      </c>
      <c r="H11" s="13">
        <v>1</v>
      </c>
      <c r="I11" s="13">
        <v>0</v>
      </c>
      <c r="J11" s="10">
        <v>1</v>
      </c>
      <c r="K11" s="14">
        <f>SQRT(C6^2+C7^2)</f>
        <v>359.36599999999999</v>
      </c>
      <c r="L11" s="141">
        <f>M$7/2-0.116/2</f>
        <v>359.31</v>
      </c>
      <c r="M11" s="141">
        <f>M$6/2+0.116/2</f>
        <v>359.48999999999995</v>
      </c>
      <c r="P11" s="13">
        <f>K11+K19</f>
        <v>718.71299999999997</v>
      </c>
      <c r="Y11" s="13" t="s">
        <v>278</v>
      </c>
      <c r="Z11" s="13">
        <f>AQ90</f>
        <v>14</v>
      </c>
      <c r="AA11" s="13">
        <f>AR90</f>
        <v>6</v>
      </c>
    </row>
    <row r="12" spans="1:27">
      <c r="A12" s="90" t="s">
        <v>412</v>
      </c>
      <c r="B12" s="90" t="s">
        <v>413</v>
      </c>
      <c r="C12" s="90">
        <v>359.36799999999999</v>
      </c>
      <c r="H12" s="13">
        <v>2</v>
      </c>
      <c r="I12" s="13">
        <f>I11+360/16</f>
        <v>22.5</v>
      </c>
      <c r="J12" s="10">
        <v>16</v>
      </c>
      <c r="K12" s="16">
        <f>SQRT(C51^2+C52^2)</f>
        <v>359.37600005008676</v>
      </c>
      <c r="L12" s="141">
        <f>L$11</f>
        <v>359.31</v>
      </c>
      <c r="M12" s="141">
        <f>M$11</f>
        <v>359.48999999999995</v>
      </c>
      <c r="P12" s="13">
        <f t="shared" ref="P12:P18" si="0">K12+K20</f>
        <v>718.75300006260841</v>
      </c>
    </row>
    <row r="13" spans="1:27">
      <c r="A13" s="90" t="s">
        <v>460</v>
      </c>
      <c r="B13" s="90" t="s">
        <v>415</v>
      </c>
      <c r="C13" s="90">
        <v>1E-3</v>
      </c>
      <c r="H13" s="13">
        <v>3</v>
      </c>
      <c r="I13" s="13">
        <f t="shared" ref="I13:I26" si="1">I12+360/16</f>
        <v>45</v>
      </c>
      <c r="J13" s="10">
        <v>15</v>
      </c>
      <c r="K13" s="16">
        <f>SQRT(C48^2+C49^2)</f>
        <v>359.37900000139132</v>
      </c>
      <c r="L13" s="141">
        <f t="shared" ref="L13:M26" si="2">L$11</f>
        <v>359.31</v>
      </c>
      <c r="M13" s="141">
        <f t="shared" si="2"/>
        <v>359.48999999999995</v>
      </c>
      <c r="P13" s="13">
        <f t="shared" si="0"/>
        <v>718.77100000278256</v>
      </c>
    </row>
    <row r="14" spans="1:27">
      <c r="A14" s="121" t="s">
        <v>461</v>
      </c>
      <c r="B14" s="90" t="s">
        <v>417</v>
      </c>
      <c r="C14" s="90">
        <v>-208.375</v>
      </c>
      <c r="H14" s="13">
        <v>4</v>
      </c>
      <c r="I14" s="13">
        <f t="shared" si="1"/>
        <v>67.5</v>
      </c>
      <c r="J14" s="10">
        <v>14</v>
      </c>
      <c r="K14" s="16">
        <f>SQRT(C45^2+C46^2)</f>
        <v>359.41600000139113</v>
      </c>
      <c r="L14" s="141">
        <f t="shared" si="2"/>
        <v>359.31</v>
      </c>
      <c r="M14" s="141">
        <f t="shared" si="2"/>
        <v>359.48999999999995</v>
      </c>
      <c r="P14" s="13">
        <f t="shared" si="0"/>
        <v>718.83900000695553</v>
      </c>
    </row>
    <row r="15" spans="1:27">
      <c r="A15" s="90" t="s">
        <v>412</v>
      </c>
      <c r="B15" s="90" t="s">
        <v>413</v>
      </c>
      <c r="C15" s="90">
        <v>359.40899999999999</v>
      </c>
      <c r="H15" s="13">
        <v>5</v>
      </c>
      <c r="I15" s="13">
        <f t="shared" si="1"/>
        <v>90</v>
      </c>
      <c r="J15" s="10">
        <v>13</v>
      </c>
      <c r="K15" s="16">
        <f>SQRT(C42^2+C43^2)</f>
        <v>359.41500000000002</v>
      </c>
      <c r="L15" s="141">
        <f t="shared" si="2"/>
        <v>359.31</v>
      </c>
      <c r="M15" s="141">
        <f t="shared" si="2"/>
        <v>359.48999999999995</v>
      </c>
      <c r="P15" s="13">
        <f t="shared" si="0"/>
        <v>718.82300000000009</v>
      </c>
    </row>
    <row r="16" spans="1:27">
      <c r="A16" s="90" t="s">
        <v>462</v>
      </c>
      <c r="B16" s="90" t="s">
        <v>415</v>
      </c>
      <c r="C16" s="90">
        <v>-4.0000000000000001E-3</v>
      </c>
      <c r="H16" s="13">
        <v>6</v>
      </c>
      <c r="I16" s="13">
        <f t="shared" si="1"/>
        <v>112.5</v>
      </c>
      <c r="J16" s="10">
        <v>12</v>
      </c>
      <c r="K16" s="16">
        <f>SQRT(C39^2+C40^2)</f>
        <v>359.41600000556457</v>
      </c>
      <c r="L16" s="141">
        <f t="shared" si="2"/>
        <v>359.31</v>
      </c>
      <c r="M16" s="141">
        <f t="shared" si="2"/>
        <v>359.48999999999995</v>
      </c>
      <c r="P16" s="13">
        <f t="shared" si="0"/>
        <v>718.82500002782331</v>
      </c>
    </row>
    <row r="17" spans="1:19">
      <c r="A17" s="121" t="s">
        <v>463</v>
      </c>
      <c r="B17" s="90" t="s">
        <v>417</v>
      </c>
      <c r="C17" s="90">
        <v>-208.374</v>
      </c>
      <c r="H17" s="13">
        <v>7</v>
      </c>
      <c r="I17" s="13">
        <f t="shared" si="1"/>
        <v>135</v>
      </c>
      <c r="J17" s="10">
        <v>11</v>
      </c>
      <c r="K17" s="16">
        <f>SQRT(C36^2+C37^2)</f>
        <v>359.35800000139136</v>
      </c>
      <c r="L17" s="141">
        <f t="shared" si="2"/>
        <v>359.31</v>
      </c>
      <c r="M17" s="141">
        <f t="shared" si="2"/>
        <v>359.48999999999995</v>
      </c>
      <c r="P17" s="13">
        <f t="shared" si="0"/>
        <v>718.72600000278271</v>
      </c>
    </row>
    <row r="18" spans="1:19">
      <c r="A18" s="90" t="s">
        <v>412</v>
      </c>
      <c r="B18" s="90" t="s">
        <v>413</v>
      </c>
      <c r="C18" s="90">
        <v>359.40800000000002</v>
      </c>
      <c r="H18" s="13">
        <v>8</v>
      </c>
      <c r="I18" s="13">
        <f t="shared" si="1"/>
        <v>157.5</v>
      </c>
      <c r="J18" s="10">
        <v>10</v>
      </c>
      <c r="K18" s="16">
        <f>SQRT(C33^2+C34^2)</f>
        <v>359.35000000556562</v>
      </c>
      <c r="L18" s="141">
        <f t="shared" si="2"/>
        <v>359.31</v>
      </c>
      <c r="M18" s="141">
        <f t="shared" si="2"/>
        <v>359.48999999999995</v>
      </c>
      <c r="P18" s="13">
        <f t="shared" si="0"/>
        <v>718.70700000695706</v>
      </c>
    </row>
    <row r="19" spans="1:19">
      <c r="A19" s="90" t="s">
        <v>464</v>
      </c>
      <c r="B19" s="90" t="s">
        <v>415</v>
      </c>
      <c r="C19" s="90">
        <v>0</v>
      </c>
      <c r="H19" s="13">
        <v>9</v>
      </c>
      <c r="I19" s="13">
        <f t="shared" si="1"/>
        <v>180</v>
      </c>
      <c r="J19" s="10">
        <v>9</v>
      </c>
      <c r="K19" s="16">
        <f>SQRT(C30^2+C31^2)</f>
        <v>359.34699999999998</v>
      </c>
      <c r="L19" s="141">
        <f t="shared" si="2"/>
        <v>359.31</v>
      </c>
      <c r="M19" s="141">
        <f t="shared" si="2"/>
        <v>359.48999999999995</v>
      </c>
      <c r="P19" s="13"/>
    </row>
    <row r="20" spans="1:19">
      <c r="A20" s="121" t="s">
        <v>465</v>
      </c>
      <c r="B20" s="90" t="s">
        <v>417</v>
      </c>
      <c r="C20" s="90">
        <v>-208.375</v>
      </c>
      <c r="H20" s="13">
        <v>10</v>
      </c>
      <c r="I20" s="13">
        <f t="shared" si="1"/>
        <v>202.5</v>
      </c>
      <c r="J20" s="10">
        <v>8</v>
      </c>
      <c r="K20" s="16">
        <f>SQRT(C27^2+C28^2)</f>
        <v>359.37700001252165</v>
      </c>
      <c r="L20" s="141">
        <f t="shared" si="2"/>
        <v>359.31</v>
      </c>
      <c r="M20" s="141">
        <f t="shared" si="2"/>
        <v>359.48999999999995</v>
      </c>
      <c r="P20" s="13">
        <f>MAX(P11:P18)</f>
        <v>718.83900000695553</v>
      </c>
      <c r="Q20" s="13" t="str">
        <f>IF(P20&gt;M6, CONCATENATE("O/Max ", TEXT(P20-M6, "0.000")), "-")</f>
        <v>-</v>
      </c>
    </row>
    <row r="21" spans="1:19">
      <c r="A21" s="90" t="s">
        <v>412</v>
      </c>
      <c r="B21" s="90" t="s">
        <v>413</v>
      </c>
      <c r="C21" s="90">
        <v>359.423</v>
      </c>
      <c r="H21" s="13">
        <v>11</v>
      </c>
      <c r="I21" s="13">
        <f t="shared" si="1"/>
        <v>225</v>
      </c>
      <c r="J21" s="10">
        <v>7</v>
      </c>
      <c r="K21" s="16">
        <f>SQRT(C24^2+C25^2)</f>
        <v>359.39200000139124</v>
      </c>
      <c r="L21" s="141">
        <f t="shared" si="2"/>
        <v>359.31</v>
      </c>
      <c r="M21" s="141">
        <f t="shared" si="2"/>
        <v>359.48999999999995</v>
      </c>
      <c r="P21" s="13">
        <f>MIN(P11:P18)</f>
        <v>718.70700000695706</v>
      </c>
      <c r="Q21" s="13" t="str">
        <f>IF(P21&lt;M7, CONCATENATE("U/Min ", TEXT(M7-P21, "0.000")), "-")</f>
        <v>U/Min 0.029</v>
      </c>
    </row>
    <row r="22" spans="1:19">
      <c r="A22" s="90" t="s">
        <v>466</v>
      </c>
      <c r="B22" s="90" t="s">
        <v>415</v>
      </c>
      <c r="C22" s="90">
        <v>2E-3</v>
      </c>
      <c r="H22" s="13">
        <v>12</v>
      </c>
      <c r="I22" s="13">
        <f t="shared" si="1"/>
        <v>247.5</v>
      </c>
      <c r="J22" s="10">
        <v>6</v>
      </c>
      <c r="K22" s="16">
        <f>SQRT(C21^2+C22^2)</f>
        <v>359.42300000556446</v>
      </c>
      <c r="L22" s="141">
        <f t="shared" si="2"/>
        <v>359.31</v>
      </c>
      <c r="M22" s="141">
        <f t="shared" si="2"/>
        <v>359.48999999999995</v>
      </c>
      <c r="P22" s="13"/>
    </row>
    <row r="23" spans="1:19">
      <c r="A23" s="121" t="s">
        <v>467</v>
      </c>
      <c r="B23" s="90" t="s">
        <v>417</v>
      </c>
      <c r="C23" s="90">
        <v>-208.375</v>
      </c>
      <c r="H23" s="13">
        <v>13</v>
      </c>
      <c r="I23" s="13">
        <f t="shared" si="1"/>
        <v>270</v>
      </c>
      <c r="J23" s="10">
        <v>5</v>
      </c>
      <c r="K23" s="16">
        <f>SQRT(C18^2+C19^2)</f>
        <v>359.40800000000002</v>
      </c>
      <c r="L23" s="141">
        <f t="shared" si="2"/>
        <v>359.31</v>
      </c>
      <c r="M23" s="141">
        <f t="shared" si="2"/>
        <v>359.48999999999995</v>
      </c>
      <c r="P23" s="13"/>
    </row>
    <row r="24" spans="1:19">
      <c r="A24" s="90" t="s">
        <v>412</v>
      </c>
      <c r="B24" s="90" t="s">
        <v>413</v>
      </c>
      <c r="C24" s="90">
        <v>359.392</v>
      </c>
      <c r="H24" s="13">
        <v>14</v>
      </c>
      <c r="I24" s="13">
        <f t="shared" si="1"/>
        <v>292.5</v>
      </c>
      <c r="J24" s="10">
        <v>4</v>
      </c>
      <c r="K24" s="16">
        <f>SQRT(C15^2+C16^2)</f>
        <v>359.40900002225879</v>
      </c>
      <c r="L24" s="141">
        <f t="shared" si="2"/>
        <v>359.31</v>
      </c>
      <c r="M24" s="141">
        <f t="shared" si="2"/>
        <v>359.48999999999995</v>
      </c>
      <c r="P24" s="13"/>
    </row>
    <row r="25" spans="1:19">
      <c r="A25" s="90" t="s">
        <v>468</v>
      </c>
      <c r="B25" s="90" t="s">
        <v>415</v>
      </c>
      <c r="C25" s="90">
        <v>1E-3</v>
      </c>
      <c r="H25" s="13">
        <v>15</v>
      </c>
      <c r="I25" s="13">
        <f t="shared" si="1"/>
        <v>315</v>
      </c>
      <c r="J25" s="10">
        <v>3</v>
      </c>
      <c r="K25" s="16">
        <f>SQRT(C12^2+C13^2)</f>
        <v>359.36800000139129</v>
      </c>
      <c r="L25" s="141">
        <f t="shared" si="2"/>
        <v>359.31</v>
      </c>
      <c r="M25" s="141">
        <f t="shared" si="2"/>
        <v>359.48999999999995</v>
      </c>
      <c r="P25" s="13"/>
    </row>
    <row r="26" spans="1:19">
      <c r="A26" s="121" t="s">
        <v>469</v>
      </c>
      <c r="B26" s="90" t="s">
        <v>417</v>
      </c>
      <c r="C26" s="90">
        <v>-208.376</v>
      </c>
      <c r="H26" s="13">
        <v>16</v>
      </c>
      <c r="I26" s="13">
        <f t="shared" si="1"/>
        <v>337.5</v>
      </c>
      <c r="J26" s="10">
        <v>2</v>
      </c>
      <c r="K26" s="16">
        <f>SQRT(C9^2+C10^2)</f>
        <v>359.35700000139138</v>
      </c>
      <c r="L26" s="141">
        <f t="shared" si="2"/>
        <v>359.31</v>
      </c>
      <c r="M26" s="141">
        <f t="shared" si="2"/>
        <v>359.48999999999995</v>
      </c>
      <c r="P26" s="13"/>
    </row>
    <row r="27" spans="1:19">
      <c r="A27" s="90" t="s">
        <v>412</v>
      </c>
      <c r="B27" s="90" t="s">
        <v>413</v>
      </c>
      <c r="C27" s="90">
        <v>359.37700000000001</v>
      </c>
      <c r="H27" s="13">
        <v>17</v>
      </c>
      <c r="I27" s="13">
        <v>360</v>
      </c>
      <c r="J27" s="10">
        <v>1</v>
      </c>
      <c r="K27" s="15">
        <f>K11</f>
        <v>359.36599999999999</v>
      </c>
      <c r="L27" s="5"/>
      <c r="M27" s="5"/>
      <c r="N27" s="5"/>
      <c r="P27" s="19" t="s">
        <v>271</v>
      </c>
      <c r="Q27" s="19" t="str">
        <f>M30</f>
        <v>-</v>
      </c>
      <c r="R27" s="19"/>
    </row>
    <row r="28" spans="1:19">
      <c r="A28" s="90" t="s">
        <v>470</v>
      </c>
      <c r="B28" s="90" t="s">
        <v>415</v>
      </c>
      <c r="C28" s="90">
        <v>-3.0000000000000001E-3</v>
      </c>
      <c r="J28" s="10" t="s">
        <v>14</v>
      </c>
      <c r="K28" s="5">
        <f>MAX(K11:K26)</f>
        <v>359.42300000556446</v>
      </c>
      <c r="L28" s="15">
        <f>K28*2</f>
        <v>718.84600001112892</v>
      </c>
      <c r="M28" s="15" t="str">
        <f>IF(K28&gt;M26, "O/Max "&amp;TEXT(2*K28-2*M26, "0.000"), "-")</f>
        <v>-</v>
      </c>
      <c r="N28" s="5"/>
      <c r="P28" s="19" t="s">
        <v>60</v>
      </c>
      <c r="Q28" s="19" t="str">
        <f>M28</f>
        <v>-</v>
      </c>
      <c r="R28" s="19"/>
    </row>
    <row r="29" spans="1:19">
      <c r="A29" s="121" t="s">
        <v>471</v>
      </c>
      <c r="B29" s="90" t="s">
        <v>417</v>
      </c>
      <c r="C29" s="90">
        <v>-208.375</v>
      </c>
      <c r="J29" s="10" t="s">
        <v>15</v>
      </c>
      <c r="K29" s="15">
        <f>MIN(K11:K26)</f>
        <v>359.34699999999998</v>
      </c>
      <c r="L29" s="15">
        <f>K29*2</f>
        <v>718.69399999999996</v>
      </c>
      <c r="M29" s="15" t="str">
        <f>IF(K29&lt;L26, "U/Min "&amp;TEXT(2*L26-2*K29, "0.000"), "-")</f>
        <v>-</v>
      </c>
      <c r="N29" s="5"/>
      <c r="P29" s="19" t="s">
        <v>62</v>
      </c>
      <c r="Q29" s="19" t="str">
        <f>M29</f>
        <v>-</v>
      </c>
      <c r="R29" s="19"/>
    </row>
    <row r="30" spans="1:19">
      <c r="A30" s="90" t="s">
        <v>412</v>
      </c>
      <c r="B30" s="90" t="s">
        <v>413</v>
      </c>
      <c r="C30" s="90">
        <v>359.34699999999998</v>
      </c>
      <c r="J30" s="17" t="s">
        <v>17</v>
      </c>
      <c r="K30" s="16">
        <f>AVERAGE(K11:K26)*2</f>
        <v>718.76962501373862</v>
      </c>
      <c r="L30" s="15"/>
      <c r="M30" s="15" t="str">
        <f>IF(K30&gt;M6, "O/Max "&amp;TEXT(K30-M6, "0.000"), IF(K30&lt;M7, "U/Min "&amp;TEXT(M7-K30, "0.000"), "-"))</f>
        <v>-</v>
      </c>
      <c r="N30" s="5"/>
      <c r="P30" s="19" t="s">
        <v>18</v>
      </c>
      <c r="Q30" s="19" t="str">
        <f>M31</f>
        <v>-</v>
      </c>
      <c r="R30" s="19"/>
    </row>
    <row r="31" spans="1:19">
      <c r="A31" s="90" t="s">
        <v>472</v>
      </c>
      <c r="B31" s="90" t="s">
        <v>415</v>
      </c>
      <c r="C31" s="90">
        <v>0</v>
      </c>
      <c r="J31" s="10" t="s">
        <v>18</v>
      </c>
      <c r="K31" s="18">
        <f>K28-K29</f>
        <v>7.6000005564480944E-2</v>
      </c>
      <c r="L31" s="15"/>
      <c r="M31" s="15" t="str">
        <f>IF(K31&gt;0.13, "O/Max "&amp;TEXT(K31-0.13, "0.000"), "-")</f>
        <v>-</v>
      </c>
      <c r="N31" s="5" t="s">
        <v>20</v>
      </c>
      <c r="P31" s="13"/>
    </row>
    <row r="32" spans="1:19">
      <c r="A32" s="121" t="s">
        <v>473</v>
      </c>
      <c r="B32" s="90" t="s">
        <v>417</v>
      </c>
      <c r="C32" s="90">
        <v>-208.375</v>
      </c>
      <c r="S32" s="34" t="s">
        <v>50</v>
      </c>
    </row>
    <row r="33" spans="1:38">
      <c r="A33" s="90" t="s">
        <v>412</v>
      </c>
      <c r="B33" s="90" t="s">
        <v>413</v>
      </c>
      <c r="C33" s="90">
        <v>359.35</v>
      </c>
      <c r="J33" s="5" t="s">
        <v>51</v>
      </c>
      <c r="K33" s="5"/>
      <c r="L33" s="5"/>
      <c r="M33" s="5" t="s">
        <v>52</v>
      </c>
      <c r="N33" s="5">
        <f>360/18</f>
        <v>20</v>
      </c>
      <c r="O33" s="9" t="s">
        <v>24</v>
      </c>
      <c r="P33" s="5" t="s">
        <v>26</v>
      </c>
      <c r="Q33" s="5">
        <f>'105'!$Q$33</f>
        <v>-1</v>
      </c>
      <c r="R33" s="9" t="s">
        <v>24</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c r="AL33" s="5"/>
    </row>
    <row r="34" spans="1:38">
      <c r="A34" s="90" t="s">
        <v>474</v>
      </c>
      <c r="B34" s="90" t="s">
        <v>415</v>
      </c>
      <c r="C34" s="90">
        <v>2E-3</v>
      </c>
      <c r="J34" s="5"/>
      <c r="K34" s="9" t="s">
        <v>53</v>
      </c>
      <c r="L34" s="5"/>
      <c r="M34" s="9" t="s">
        <v>29</v>
      </c>
      <c r="N34" s="9" t="s">
        <v>31</v>
      </c>
      <c r="O34" s="9" t="s">
        <v>33</v>
      </c>
      <c r="P34" s="9" t="s">
        <v>35</v>
      </c>
      <c r="Q34" s="9" t="s">
        <v>36</v>
      </c>
      <c r="R34" s="5"/>
      <c r="S34" s="20" t="str">
        <f ca="1">CONCATENATE($S$32, "#", OFFSET($J$35, S33, 0))</f>
        <v>Stg.1 Shroud Aft#1</v>
      </c>
      <c r="T34" s="20" t="str">
        <f t="shared" ref="T34:AJ34" ca="1" si="3">CONCATENATE($S$32, "#", OFFSET($J$35, T33, 0))</f>
        <v>Stg.1 Shroud Aft#18</v>
      </c>
      <c r="U34" s="20" t="str">
        <f t="shared" ca="1" si="3"/>
        <v>Stg.1 Shroud Aft#17</v>
      </c>
      <c r="V34" s="20" t="str">
        <f t="shared" ca="1" si="3"/>
        <v>Stg.1 Shroud Aft#16</v>
      </c>
      <c r="W34" s="20" t="str">
        <f t="shared" ca="1" si="3"/>
        <v>Stg.1 Shroud Aft#15</v>
      </c>
      <c r="X34" s="20" t="str">
        <f t="shared" ca="1" si="3"/>
        <v>Stg.1 Shroud Aft#14</v>
      </c>
      <c r="Y34" s="20" t="str">
        <f t="shared" ca="1" si="3"/>
        <v>Stg.1 Shroud Aft#13</v>
      </c>
      <c r="Z34" s="20" t="str">
        <f t="shared" ca="1" si="3"/>
        <v>Stg.1 Shroud Aft#12</v>
      </c>
      <c r="AA34" s="20" t="str">
        <f t="shared" ca="1" si="3"/>
        <v>Stg.1 Shroud Aft#11</v>
      </c>
      <c r="AB34" s="20" t="str">
        <f t="shared" ca="1" si="3"/>
        <v>Stg.1 Shroud Aft#10</v>
      </c>
      <c r="AC34" s="20" t="str">
        <f t="shared" ca="1" si="3"/>
        <v>Stg.1 Shroud Aft#9</v>
      </c>
      <c r="AD34" s="20" t="str">
        <f t="shared" ca="1" si="3"/>
        <v>Stg.1 Shroud Aft#8</v>
      </c>
      <c r="AE34" s="20" t="str">
        <f t="shared" ca="1" si="3"/>
        <v>Stg.1 Shroud Aft#7</v>
      </c>
      <c r="AF34" s="20" t="str">
        <f t="shared" ca="1" si="3"/>
        <v>Stg.1 Shroud Aft#6</v>
      </c>
      <c r="AG34" s="20" t="str">
        <f t="shared" ca="1" si="3"/>
        <v>Stg.1 Shroud Aft#5</v>
      </c>
      <c r="AH34" s="20" t="str">
        <f t="shared" ca="1" si="3"/>
        <v>Stg.1 Shroud Aft#4</v>
      </c>
      <c r="AI34" s="20" t="str">
        <f t="shared" ca="1" si="3"/>
        <v>Stg.1 Shroud Aft#3</v>
      </c>
      <c r="AJ34" s="20" t="str">
        <f t="shared" ca="1" si="3"/>
        <v>Stg.1 Shroud Aft#2</v>
      </c>
      <c r="AK34" s="20" t="s">
        <v>38</v>
      </c>
      <c r="AL34" s="20" t="s">
        <v>40</v>
      </c>
    </row>
    <row r="35" spans="1:38">
      <c r="A35" s="121" t="s">
        <v>475</v>
      </c>
      <c r="B35" s="90" t="s">
        <v>417</v>
      </c>
      <c r="C35" s="90">
        <v>-208.375</v>
      </c>
      <c r="J35" s="9" t="s">
        <v>41</v>
      </c>
      <c r="K35" s="9" t="s">
        <v>11</v>
      </c>
      <c r="L35" s="9" t="s">
        <v>54</v>
      </c>
      <c r="M35" s="9" t="s">
        <v>13</v>
      </c>
      <c r="N35" s="9" t="s">
        <v>46</v>
      </c>
      <c r="O35" s="9" t="s">
        <v>11</v>
      </c>
      <c r="P35" s="9" t="s">
        <v>13</v>
      </c>
      <c r="Q35" s="9" t="s">
        <v>13</v>
      </c>
      <c r="R35" s="5"/>
      <c r="S35" s="21"/>
      <c r="T35" s="21"/>
      <c r="U35" s="21"/>
      <c r="V35" s="21"/>
      <c r="W35" s="21"/>
      <c r="X35" s="21"/>
      <c r="Y35" s="21"/>
      <c r="Z35" s="21"/>
      <c r="AA35" s="21"/>
      <c r="AB35" s="21"/>
      <c r="AC35" s="21"/>
      <c r="AD35" s="21"/>
      <c r="AE35" s="21"/>
      <c r="AF35" s="21"/>
      <c r="AG35" s="21"/>
      <c r="AH35" s="21"/>
      <c r="AI35" s="21"/>
      <c r="AJ35" s="21"/>
      <c r="AK35" s="22" t="s">
        <v>13</v>
      </c>
      <c r="AL35" s="22" t="s">
        <v>13</v>
      </c>
    </row>
    <row r="36" spans="1:38">
      <c r="A36" s="90" t="s">
        <v>412</v>
      </c>
      <c r="B36" s="90" t="s">
        <v>413</v>
      </c>
      <c r="C36" s="90">
        <v>359.358</v>
      </c>
      <c r="J36" s="5">
        <v>1</v>
      </c>
      <c r="K36" s="23">
        <f>IF(Q33&lt;0, 360+$Q$33, $Q$33)</f>
        <v>359</v>
      </c>
      <c r="L36" s="24">
        <f>MATCH($K36, $I$11:$I$27, 1)</f>
        <v>16</v>
      </c>
      <c r="M36" s="5">
        <f>VLOOKUP(L36, $H$11:$K$27, 4, FALSE)</f>
        <v>359.35700000139138</v>
      </c>
      <c r="N36" s="25">
        <f>(VLOOKUP(L36+1, $H$11:$K$27, 4, FALSE) - VLOOKUP(L36, $H$11:$K$27, 4, FALSE))/(VLOOKUP(L36+1, $H$11:$K$27, 2, FALSE) - VLOOKUP(L36, $H$11:$K$27, 2, FALSE))</f>
        <v>3.9999993816005979E-4</v>
      </c>
      <c r="O36" s="26">
        <f>K36-VLOOKUP(L36, $H$11:$I$27, 2, FALSE)</f>
        <v>21.5</v>
      </c>
      <c r="P36" s="27">
        <f>M36+N36*O36</f>
        <v>359.36560000006182</v>
      </c>
      <c r="Q36" s="27">
        <f>(P36+P53)/2</f>
        <v>359.36160000068026</v>
      </c>
      <c r="R36" s="5"/>
      <c r="S36" s="28">
        <f>Q36</f>
        <v>359.36160000068026</v>
      </c>
      <c r="T36" s="29"/>
      <c r="U36" s="29"/>
      <c r="V36" s="29"/>
      <c r="W36" s="29"/>
      <c r="X36" s="29"/>
      <c r="Y36" s="29"/>
      <c r="Z36" s="29"/>
      <c r="AA36" s="29"/>
      <c r="AB36" s="29"/>
      <c r="AC36" s="29"/>
      <c r="AD36" s="29"/>
      <c r="AE36" s="29"/>
      <c r="AF36" s="29"/>
      <c r="AG36" s="29"/>
      <c r="AH36" s="29"/>
      <c r="AI36" s="29"/>
      <c r="AJ36" s="28">
        <f>AJ53</f>
        <v>359.36182222356717</v>
      </c>
      <c r="AK36" s="29">
        <f>M$7/2</f>
        <v>359.36799999999999</v>
      </c>
      <c r="AL36" s="29">
        <f>M$6/2</f>
        <v>359.43199999999996</v>
      </c>
    </row>
    <row r="37" spans="1:38">
      <c r="A37" s="90" t="s">
        <v>476</v>
      </c>
      <c r="B37" s="90" t="s">
        <v>415</v>
      </c>
      <c r="C37" s="90">
        <v>1E-3</v>
      </c>
      <c r="J37" s="5">
        <v>18</v>
      </c>
      <c r="K37" s="23">
        <f>IF(K36+$N$33&gt;360, K36+$N$33-360, K36+$N$33)</f>
        <v>19</v>
      </c>
      <c r="L37" s="24">
        <f t="shared" ref="L37:L53" si="4">MATCH($K37, $I$11:$I$27, 1)</f>
        <v>1</v>
      </c>
      <c r="M37" s="5">
        <f t="shared" ref="M37:M53" si="5">VLOOKUP(L37, $H$11:$K$27, 4, FALSE)</f>
        <v>359.36599999999999</v>
      </c>
      <c r="N37" s="25">
        <f t="shared" ref="N37:N53" si="6">(VLOOKUP(L37+1, $H$11:$K$27, 4, FALSE) - VLOOKUP(L37, $H$11:$K$27, 4, FALSE))/(VLOOKUP(L37+1, $H$11:$K$27, 2, FALSE) - VLOOKUP(L37, $H$11:$K$27, 2, FALSE))</f>
        <v>4.444466705232723E-4</v>
      </c>
      <c r="O37" s="26">
        <f t="shared" ref="O37:O53" si="7">K37-VLOOKUP(L37, $H$11:$I$27, 2, FALSE)</f>
        <v>19</v>
      </c>
      <c r="P37" s="27">
        <f t="shared" ref="P37:P53" si="8">M37+N37*O37</f>
        <v>359.37444448673995</v>
      </c>
      <c r="Q37" s="27">
        <f>(P36+P37)/2</f>
        <v>359.37002224340085</v>
      </c>
      <c r="R37" s="5"/>
      <c r="S37" s="30">
        <f>S36</f>
        <v>359.36160000068026</v>
      </c>
      <c r="T37" s="30">
        <f>Q37</f>
        <v>359.37002224340085</v>
      </c>
      <c r="U37" s="21"/>
      <c r="V37" s="21"/>
      <c r="W37" s="21"/>
      <c r="X37" s="21"/>
      <c r="Y37" s="21"/>
      <c r="Z37" s="21"/>
      <c r="AA37" s="21"/>
      <c r="AB37" s="21"/>
      <c r="AC37" s="21"/>
      <c r="AD37" s="21"/>
      <c r="AE37" s="21"/>
      <c r="AF37" s="21"/>
      <c r="AG37" s="21"/>
      <c r="AH37" s="21"/>
      <c r="AI37" s="21"/>
      <c r="AJ37" s="21"/>
      <c r="AK37" s="21">
        <f t="shared" ref="AK37:AK53" si="9">M$7/2</f>
        <v>359.36799999999999</v>
      </c>
      <c r="AL37" s="21">
        <f t="shared" ref="AL37:AL53" si="10">M$6/2</f>
        <v>359.43199999999996</v>
      </c>
    </row>
    <row r="38" spans="1:38">
      <c r="A38" s="121" t="s">
        <v>477</v>
      </c>
      <c r="B38" s="90" t="s">
        <v>417</v>
      </c>
      <c r="C38" s="90">
        <v>-208.376</v>
      </c>
      <c r="J38" s="5">
        <v>17</v>
      </c>
      <c r="K38" s="23">
        <f t="shared" ref="K38:K53" si="11">IF(K37+$N$33&gt;360, K37+$N$33-360, K37+$N$33)</f>
        <v>39</v>
      </c>
      <c r="L38" s="24">
        <f t="shared" si="4"/>
        <v>2</v>
      </c>
      <c r="M38" s="5">
        <f t="shared" si="5"/>
        <v>359.37600005008676</v>
      </c>
      <c r="N38" s="25">
        <f t="shared" si="6"/>
        <v>1.3333116909153533E-4</v>
      </c>
      <c r="O38" s="26">
        <f t="shared" si="7"/>
        <v>16.5</v>
      </c>
      <c r="P38" s="27">
        <f t="shared" si="8"/>
        <v>359.37820001437677</v>
      </c>
      <c r="Q38" s="27">
        <f t="shared" ref="Q38:Q53" si="12">(P37+P38)/2</f>
        <v>359.37632225055836</v>
      </c>
      <c r="R38" s="5"/>
      <c r="S38" s="21"/>
      <c r="T38" s="30">
        <f>T37</f>
        <v>359.37002224340085</v>
      </c>
      <c r="U38" s="30">
        <f>Q38</f>
        <v>359.37632225055836</v>
      </c>
      <c r="V38" s="21"/>
      <c r="W38" s="21"/>
      <c r="X38" s="21"/>
      <c r="Y38" s="21"/>
      <c r="Z38" s="21"/>
      <c r="AA38" s="21"/>
      <c r="AB38" s="21"/>
      <c r="AC38" s="21"/>
      <c r="AD38" s="21"/>
      <c r="AE38" s="21"/>
      <c r="AF38" s="21"/>
      <c r="AG38" s="21"/>
      <c r="AH38" s="21"/>
      <c r="AI38" s="21"/>
      <c r="AJ38" s="21"/>
      <c r="AK38" s="21">
        <f t="shared" si="9"/>
        <v>359.36799999999999</v>
      </c>
      <c r="AL38" s="21">
        <f t="shared" si="10"/>
        <v>359.43199999999996</v>
      </c>
    </row>
    <row r="39" spans="1:38">
      <c r="A39" s="90" t="s">
        <v>412</v>
      </c>
      <c r="B39" s="90" t="s">
        <v>413</v>
      </c>
      <c r="C39" s="90">
        <v>359.416</v>
      </c>
      <c r="J39" s="5">
        <v>16</v>
      </c>
      <c r="K39" s="23">
        <f t="shared" si="11"/>
        <v>59</v>
      </c>
      <c r="L39" s="24">
        <f t="shared" si="4"/>
        <v>3</v>
      </c>
      <c r="M39" s="5">
        <f t="shared" si="5"/>
        <v>359.37900000139132</v>
      </c>
      <c r="N39" s="25">
        <f t="shared" si="6"/>
        <v>1.6444444444358749E-3</v>
      </c>
      <c r="O39" s="26">
        <f t="shared" si="7"/>
        <v>14</v>
      </c>
      <c r="P39" s="27">
        <f t="shared" si="8"/>
        <v>359.40202222361341</v>
      </c>
      <c r="Q39" s="27">
        <f t="shared" si="12"/>
        <v>359.39011111899509</v>
      </c>
      <c r="R39" s="5"/>
      <c r="S39" s="21"/>
      <c r="T39" s="21"/>
      <c r="U39" s="30">
        <f>U38</f>
        <v>359.37632225055836</v>
      </c>
      <c r="V39" s="30">
        <f>Q39</f>
        <v>359.39011111899509</v>
      </c>
      <c r="W39" s="21"/>
      <c r="X39" s="21"/>
      <c r="Y39" s="21"/>
      <c r="Z39" s="21"/>
      <c r="AA39" s="21"/>
      <c r="AB39" s="21"/>
      <c r="AC39" s="21"/>
      <c r="AD39" s="21"/>
      <c r="AE39" s="21"/>
      <c r="AF39" s="21"/>
      <c r="AG39" s="21"/>
      <c r="AH39" s="21"/>
      <c r="AI39" s="21"/>
      <c r="AJ39" s="21"/>
      <c r="AK39" s="21">
        <f t="shared" si="9"/>
        <v>359.36799999999999</v>
      </c>
      <c r="AL39" s="21">
        <f t="shared" si="10"/>
        <v>359.43199999999996</v>
      </c>
    </row>
    <row r="40" spans="1:38">
      <c r="A40" s="90" t="s">
        <v>478</v>
      </c>
      <c r="B40" s="90" t="s">
        <v>415</v>
      </c>
      <c r="C40" s="90">
        <v>-2E-3</v>
      </c>
      <c r="J40" s="5">
        <v>15</v>
      </c>
      <c r="K40" s="23">
        <f t="shared" si="11"/>
        <v>79</v>
      </c>
      <c r="L40" s="24">
        <f t="shared" si="4"/>
        <v>4</v>
      </c>
      <c r="M40" s="5">
        <f t="shared" si="5"/>
        <v>359.41600000139113</v>
      </c>
      <c r="N40" s="25">
        <f t="shared" si="6"/>
        <v>-4.4444506271348571E-5</v>
      </c>
      <c r="O40" s="26">
        <f t="shared" si="7"/>
        <v>11.5</v>
      </c>
      <c r="P40" s="27">
        <f t="shared" si="8"/>
        <v>359.41548888956902</v>
      </c>
      <c r="Q40" s="27">
        <f t="shared" si="12"/>
        <v>359.40875555659125</v>
      </c>
      <c r="R40" s="5"/>
      <c r="S40" s="21"/>
      <c r="T40" s="21"/>
      <c r="U40" s="21"/>
      <c r="V40" s="30">
        <f>V39</f>
        <v>359.39011111899509</v>
      </c>
      <c r="W40" s="30">
        <f>Q40</f>
        <v>359.40875555659125</v>
      </c>
      <c r="X40" s="21"/>
      <c r="Y40" s="21"/>
      <c r="Z40" s="21"/>
      <c r="AA40" s="21"/>
      <c r="AB40" s="21"/>
      <c r="AC40" s="21"/>
      <c r="AD40" s="21"/>
      <c r="AE40" s="21"/>
      <c r="AF40" s="21"/>
      <c r="AG40" s="21"/>
      <c r="AH40" s="21"/>
      <c r="AI40" s="21"/>
      <c r="AJ40" s="21"/>
      <c r="AK40" s="21">
        <f t="shared" si="9"/>
        <v>359.36799999999999</v>
      </c>
      <c r="AL40" s="21">
        <f t="shared" si="10"/>
        <v>359.43199999999996</v>
      </c>
    </row>
    <row r="41" spans="1:38">
      <c r="A41" s="121" t="s">
        <v>479</v>
      </c>
      <c r="B41" s="90" t="s">
        <v>417</v>
      </c>
      <c r="C41" s="90">
        <v>-208.375</v>
      </c>
      <c r="J41" s="5">
        <v>14</v>
      </c>
      <c r="K41" s="23">
        <f t="shared" si="11"/>
        <v>99</v>
      </c>
      <c r="L41" s="24">
        <f t="shared" si="4"/>
        <v>5</v>
      </c>
      <c r="M41" s="5">
        <f t="shared" si="5"/>
        <v>359.41500000000002</v>
      </c>
      <c r="N41" s="25">
        <f t="shared" si="6"/>
        <v>4.4444691757740252E-5</v>
      </c>
      <c r="O41" s="26">
        <f t="shared" si="7"/>
        <v>9</v>
      </c>
      <c r="P41" s="27">
        <f t="shared" si="8"/>
        <v>359.41540000222585</v>
      </c>
      <c r="Q41" s="27">
        <f t="shared" si="12"/>
        <v>359.41544444589744</v>
      </c>
      <c r="R41" s="5"/>
      <c r="S41" s="21"/>
      <c r="T41" s="21"/>
      <c r="U41" s="21"/>
      <c r="V41" s="21"/>
      <c r="W41" s="30">
        <f>W40</f>
        <v>359.40875555659125</v>
      </c>
      <c r="X41" s="30">
        <f>Q41</f>
        <v>359.41544444589744</v>
      </c>
      <c r="Y41" s="21"/>
      <c r="Z41" s="21"/>
      <c r="AA41" s="21"/>
      <c r="AB41" s="21"/>
      <c r="AC41" s="21"/>
      <c r="AD41" s="21"/>
      <c r="AE41" s="21"/>
      <c r="AF41" s="21"/>
      <c r="AG41" s="21"/>
      <c r="AH41" s="21"/>
      <c r="AI41" s="21"/>
      <c r="AJ41" s="21"/>
      <c r="AK41" s="21">
        <f t="shared" si="9"/>
        <v>359.36799999999999</v>
      </c>
      <c r="AL41" s="21">
        <f t="shared" si="10"/>
        <v>359.43199999999996</v>
      </c>
    </row>
    <row r="42" spans="1:38">
      <c r="A42" s="90" t="s">
        <v>412</v>
      </c>
      <c r="B42" s="90" t="s">
        <v>413</v>
      </c>
      <c r="C42" s="90">
        <v>359.41500000000002</v>
      </c>
      <c r="J42" s="5">
        <v>13</v>
      </c>
      <c r="K42" s="23">
        <f t="shared" si="11"/>
        <v>119</v>
      </c>
      <c r="L42" s="24">
        <f t="shared" si="4"/>
        <v>6</v>
      </c>
      <c r="M42" s="5">
        <f t="shared" si="5"/>
        <v>359.41600000556457</v>
      </c>
      <c r="N42" s="25">
        <f t="shared" si="6"/>
        <v>-2.5777779632537405E-3</v>
      </c>
      <c r="O42" s="26">
        <f t="shared" si="7"/>
        <v>6.5</v>
      </c>
      <c r="P42" s="27">
        <f t="shared" si="8"/>
        <v>359.39924444880342</v>
      </c>
      <c r="Q42" s="27">
        <f t="shared" si="12"/>
        <v>359.40732222551463</v>
      </c>
      <c r="R42" s="5"/>
      <c r="S42" s="21"/>
      <c r="T42" s="21"/>
      <c r="U42" s="21"/>
      <c r="V42" s="21"/>
      <c r="W42" s="21"/>
      <c r="X42" s="30">
        <f>X41</f>
        <v>359.41544444589744</v>
      </c>
      <c r="Y42" s="30">
        <f>Q42</f>
        <v>359.40732222551463</v>
      </c>
      <c r="Z42" s="21"/>
      <c r="AA42" s="21"/>
      <c r="AB42" s="21"/>
      <c r="AC42" s="21"/>
      <c r="AD42" s="21"/>
      <c r="AE42" s="21"/>
      <c r="AF42" s="21"/>
      <c r="AG42" s="21"/>
      <c r="AH42" s="21"/>
      <c r="AI42" s="21"/>
      <c r="AJ42" s="21"/>
      <c r="AK42" s="21">
        <f t="shared" si="9"/>
        <v>359.36799999999999</v>
      </c>
      <c r="AL42" s="21">
        <f t="shared" si="10"/>
        <v>359.43199999999996</v>
      </c>
    </row>
    <row r="43" spans="1:38">
      <c r="A43" s="90" t="s">
        <v>480</v>
      </c>
      <c r="B43" s="90" t="s">
        <v>415</v>
      </c>
      <c r="C43" s="90">
        <v>0</v>
      </c>
      <c r="J43" s="5">
        <v>12</v>
      </c>
      <c r="K43" s="23">
        <f t="shared" si="11"/>
        <v>139</v>
      </c>
      <c r="L43" s="24">
        <f t="shared" si="4"/>
        <v>7</v>
      </c>
      <c r="M43" s="5">
        <f t="shared" si="5"/>
        <v>359.35800000139136</v>
      </c>
      <c r="N43" s="25">
        <f t="shared" si="6"/>
        <v>-3.5555537003296599E-4</v>
      </c>
      <c r="O43" s="26">
        <f t="shared" si="7"/>
        <v>4</v>
      </c>
      <c r="P43" s="27">
        <f t="shared" si="8"/>
        <v>359.35657777991122</v>
      </c>
      <c r="Q43" s="27">
        <f t="shared" si="12"/>
        <v>359.37791111435729</v>
      </c>
      <c r="R43" s="5"/>
      <c r="S43" s="21"/>
      <c r="T43" s="21"/>
      <c r="U43" s="21"/>
      <c r="V43" s="21"/>
      <c r="W43" s="21"/>
      <c r="X43" s="21"/>
      <c r="Y43" s="30">
        <f>Y42</f>
        <v>359.40732222551463</v>
      </c>
      <c r="Z43" s="30">
        <f>Q43</f>
        <v>359.37791111435729</v>
      </c>
      <c r="AA43" s="21"/>
      <c r="AB43" s="21"/>
      <c r="AC43" s="21"/>
      <c r="AD43" s="21"/>
      <c r="AE43" s="21"/>
      <c r="AF43" s="21"/>
      <c r="AG43" s="21"/>
      <c r="AH43" s="21"/>
      <c r="AI43" s="21"/>
      <c r="AJ43" s="21"/>
      <c r="AK43" s="21">
        <f t="shared" si="9"/>
        <v>359.36799999999999</v>
      </c>
      <c r="AL43" s="21">
        <f t="shared" si="10"/>
        <v>359.43199999999996</v>
      </c>
    </row>
    <row r="44" spans="1:38">
      <c r="A44" s="121" t="s">
        <v>481</v>
      </c>
      <c r="B44" s="90" t="s">
        <v>417</v>
      </c>
      <c r="C44" s="90">
        <v>-208.374</v>
      </c>
      <c r="J44" s="5">
        <v>11</v>
      </c>
      <c r="K44" s="23">
        <f t="shared" si="11"/>
        <v>159</v>
      </c>
      <c r="L44" s="24">
        <f t="shared" si="4"/>
        <v>8</v>
      </c>
      <c r="M44" s="5">
        <f t="shared" si="5"/>
        <v>359.35000000556562</v>
      </c>
      <c r="N44" s="25">
        <f t="shared" si="6"/>
        <v>-1.3333358069505467E-4</v>
      </c>
      <c r="O44" s="26">
        <f t="shared" si="7"/>
        <v>1.5</v>
      </c>
      <c r="P44" s="27">
        <f t="shared" si="8"/>
        <v>359.3498000051946</v>
      </c>
      <c r="Q44" s="27">
        <f t="shared" si="12"/>
        <v>359.35318889255291</v>
      </c>
      <c r="R44" s="5"/>
      <c r="S44" s="21"/>
      <c r="T44" s="21"/>
      <c r="U44" s="21"/>
      <c r="V44" s="21"/>
      <c r="W44" s="21"/>
      <c r="X44" s="21"/>
      <c r="Y44" s="21"/>
      <c r="Z44" s="30">
        <f>Z43</f>
        <v>359.37791111435729</v>
      </c>
      <c r="AA44" s="30">
        <f>Q44</f>
        <v>359.35318889255291</v>
      </c>
      <c r="AB44" s="21"/>
      <c r="AC44" s="21"/>
      <c r="AD44" s="21"/>
      <c r="AE44" s="21"/>
      <c r="AF44" s="21"/>
      <c r="AG44" s="21"/>
      <c r="AH44" s="21"/>
      <c r="AI44" s="21"/>
      <c r="AJ44" s="21"/>
      <c r="AK44" s="21">
        <f t="shared" si="9"/>
        <v>359.36799999999999</v>
      </c>
      <c r="AL44" s="21">
        <f t="shared" si="10"/>
        <v>359.43199999999996</v>
      </c>
    </row>
    <row r="45" spans="1:38">
      <c r="A45" s="90" t="s">
        <v>412</v>
      </c>
      <c r="B45" s="90" t="s">
        <v>413</v>
      </c>
      <c r="C45" s="90">
        <v>359.416</v>
      </c>
      <c r="J45" s="5">
        <v>10</v>
      </c>
      <c r="K45" s="23">
        <f t="shared" si="11"/>
        <v>179</v>
      </c>
      <c r="L45" s="24">
        <f t="shared" si="4"/>
        <v>8</v>
      </c>
      <c r="M45" s="5">
        <f t="shared" si="5"/>
        <v>359.35000000556562</v>
      </c>
      <c r="N45" s="25">
        <f t="shared" si="6"/>
        <v>-1.3333358069505467E-4</v>
      </c>
      <c r="O45" s="26">
        <f t="shared" si="7"/>
        <v>21.5</v>
      </c>
      <c r="P45" s="27">
        <f t="shared" si="8"/>
        <v>359.3471333335807</v>
      </c>
      <c r="Q45" s="27">
        <f t="shared" si="12"/>
        <v>359.34846666938768</v>
      </c>
      <c r="R45" s="5"/>
      <c r="S45" s="21"/>
      <c r="T45" s="21"/>
      <c r="U45" s="21"/>
      <c r="V45" s="21"/>
      <c r="W45" s="21"/>
      <c r="X45" s="21"/>
      <c r="Y45" s="21"/>
      <c r="Z45" s="21"/>
      <c r="AA45" s="30">
        <f>AA44</f>
        <v>359.35318889255291</v>
      </c>
      <c r="AB45" s="30">
        <f>Q45</f>
        <v>359.34846666938768</v>
      </c>
      <c r="AC45" s="21"/>
      <c r="AD45" s="21"/>
      <c r="AE45" s="21"/>
      <c r="AF45" s="21"/>
      <c r="AG45" s="21"/>
      <c r="AH45" s="21"/>
      <c r="AI45" s="21"/>
      <c r="AJ45" s="21"/>
      <c r="AK45" s="21">
        <f t="shared" si="9"/>
        <v>359.36799999999999</v>
      </c>
      <c r="AL45" s="21">
        <f t="shared" si="10"/>
        <v>359.43199999999996</v>
      </c>
    </row>
    <row r="46" spans="1:38">
      <c r="A46" s="90" t="s">
        <v>482</v>
      </c>
      <c r="B46" s="90" t="s">
        <v>415</v>
      </c>
      <c r="C46" s="90">
        <v>-1E-3</v>
      </c>
      <c r="J46" s="5">
        <v>9</v>
      </c>
      <c r="K46" s="23">
        <f t="shared" si="11"/>
        <v>199</v>
      </c>
      <c r="L46" s="24">
        <f t="shared" si="4"/>
        <v>9</v>
      </c>
      <c r="M46" s="5">
        <f t="shared" si="5"/>
        <v>359.34699999999998</v>
      </c>
      <c r="N46" s="25">
        <f t="shared" si="6"/>
        <v>1.3333338898519286E-3</v>
      </c>
      <c r="O46" s="26">
        <f t="shared" si="7"/>
        <v>19</v>
      </c>
      <c r="P46" s="27">
        <f t="shared" si="8"/>
        <v>359.37233334390714</v>
      </c>
      <c r="Q46" s="27">
        <f t="shared" si="12"/>
        <v>359.35973333874392</v>
      </c>
      <c r="R46" s="5"/>
      <c r="S46" s="21"/>
      <c r="T46" s="21"/>
      <c r="U46" s="21"/>
      <c r="V46" s="21"/>
      <c r="W46" s="21"/>
      <c r="X46" s="21"/>
      <c r="Y46" s="21"/>
      <c r="Z46" s="21"/>
      <c r="AA46" s="21"/>
      <c r="AB46" s="30">
        <f>AB45</f>
        <v>359.34846666938768</v>
      </c>
      <c r="AC46" s="30">
        <f>Q46</f>
        <v>359.35973333874392</v>
      </c>
      <c r="AD46" s="21"/>
      <c r="AE46" s="21"/>
      <c r="AF46" s="21"/>
      <c r="AG46" s="21"/>
      <c r="AH46" s="21"/>
      <c r="AI46" s="21"/>
      <c r="AJ46" s="21"/>
      <c r="AK46" s="21">
        <f t="shared" si="9"/>
        <v>359.36799999999999</v>
      </c>
      <c r="AL46" s="21">
        <f t="shared" si="10"/>
        <v>359.43199999999996</v>
      </c>
    </row>
    <row r="47" spans="1:38">
      <c r="A47" s="121" t="s">
        <v>483</v>
      </c>
      <c r="B47" s="90" t="s">
        <v>417</v>
      </c>
      <c r="C47" s="90">
        <v>-208.375</v>
      </c>
      <c r="J47" s="5">
        <v>8</v>
      </c>
      <c r="K47" s="23">
        <f t="shared" si="11"/>
        <v>219</v>
      </c>
      <c r="L47" s="24">
        <f t="shared" si="4"/>
        <v>10</v>
      </c>
      <c r="M47" s="5">
        <f t="shared" si="5"/>
        <v>359.37700001252165</v>
      </c>
      <c r="N47" s="25">
        <f t="shared" si="6"/>
        <v>6.6666617198178656E-4</v>
      </c>
      <c r="O47" s="26">
        <f t="shared" si="7"/>
        <v>16.5</v>
      </c>
      <c r="P47" s="27">
        <f t="shared" si="8"/>
        <v>359.38800000435936</v>
      </c>
      <c r="Q47" s="27">
        <f t="shared" si="12"/>
        <v>359.38016667413325</v>
      </c>
      <c r="R47" s="5"/>
      <c r="S47" s="21"/>
      <c r="T47" s="21"/>
      <c r="U47" s="21"/>
      <c r="V47" s="21"/>
      <c r="W47" s="21"/>
      <c r="X47" s="21"/>
      <c r="Y47" s="21"/>
      <c r="Z47" s="21"/>
      <c r="AA47" s="21"/>
      <c r="AB47" s="21"/>
      <c r="AC47" s="30">
        <f>AC46</f>
        <v>359.35973333874392</v>
      </c>
      <c r="AD47" s="30">
        <f>Q47</f>
        <v>359.38016667413325</v>
      </c>
      <c r="AE47" s="21"/>
      <c r="AF47" s="21"/>
      <c r="AG47" s="21"/>
      <c r="AH47" s="21"/>
      <c r="AI47" s="21"/>
      <c r="AJ47" s="21"/>
      <c r="AK47" s="21">
        <f t="shared" si="9"/>
        <v>359.36799999999999</v>
      </c>
      <c r="AL47" s="21">
        <f t="shared" si="10"/>
        <v>359.43199999999996</v>
      </c>
    </row>
    <row r="48" spans="1:38">
      <c r="A48" s="90" t="s">
        <v>412</v>
      </c>
      <c r="B48" s="90" t="s">
        <v>413</v>
      </c>
      <c r="C48" s="90">
        <v>359.37900000000002</v>
      </c>
      <c r="J48" s="5">
        <v>7</v>
      </c>
      <c r="K48" s="23">
        <f t="shared" si="11"/>
        <v>239</v>
      </c>
      <c r="L48" s="24">
        <f t="shared" si="4"/>
        <v>11</v>
      </c>
      <c r="M48" s="5">
        <f t="shared" si="5"/>
        <v>359.39200000139124</v>
      </c>
      <c r="N48" s="25">
        <f t="shared" si="6"/>
        <v>1.3777779632543267E-3</v>
      </c>
      <c r="O48" s="26">
        <f t="shared" si="7"/>
        <v>14</v>
      </c>
      <c r="P48" s="27">
        <f t="shared" si="8"/>
        <v>359.41128889287683</v>
      </c>
      <c r="Q48" s="27">
        <f t="shared" si="12"/>
        <v>359.39964444861812</v>
      </c>
      <c r="R48" s="5"/>
      <c r="S48" s="21"/>
      <c r="T48" s="21"/>
      <c r="U48" s="21"/>
      <c r="V48" s="21"/>
      <c r="W48" s="21"/>
      <c r="X48" s="21"/>
      <c r="Y48" s="21"/>
      <c r="Z48" s="21"/>
      <c r="AA48" s="21"/>
      <c r="AB48" s="21"/>
      <c r="AC48" s="21"/>
      <c r="AD48" s="30">
        <f>AD47</f>
        <v>359.38016667413325</v>
      </c>
      <c r="AE48" s="30">
        <f>Q48</f>
        <v>359.39964444861812</v>
      </c>
      <c r="AF48" s="21"/>
      <c r="AG48" s="21"/>
      <c r="AH48" s="21"/>
      <c r="AI48" s="21"/>
      <c r="AJ48" s="21"/>
      <c r="AK48" s="21">
        <f t="shared" si="9"/>
        <v>359.36799999999999</v>
      </c>
      <c r="AL48" s="21">
        <f t="shared" si="10"/>
        <v>359.43199999999996</v>
      </c>
    </row>
    <row r="49" spans="1:38">
      <c r="A49" s="90" t="s">
        <v>484</v>
      </c>
      <c r="B49" s="90" t="s">
        <v>415</v>
      </c>
      <c r="C49" s="90">
        <v>-1E-3</v>
      </c>
      <c r="J49" s="5">
        <v>6</v>
      </c>
      <c r="K49" s="23">
        <f t="shared" si="11"/>
        <v>259</v>
      </c>
      <c r="L49" s="24">
        <f t="shared" si="4"/>
        <v>12</v>
      </c>
      <c r="M49" s="5">
        <f t="shared" si="5"/>
        <v>359.42300000556446</v>
      </c>
      <c r="N49" s="25">
        <f t="shared" si="6"/>
        <v>-6.6666691397535439E-4</v>
      </c>
      <c r="O49" s="26">
        <f t="shared" si="7"/>
        <v>11.5</v>
      </c>
      <c r="P49" s="27">
        <f t="shared" si="8"/>
        <v>359.41533333605372</v>
      </c>
      <c r="Q49" s="27">
        <f t="shared" si="12"/>
        <v>359.41331111446527</v>
      </c>
      <c r="R49" s="5"/>
      <c r="S49" s="21"/>
      <c r="T49" s="21"/>
      <c r="U49" s="21"/>
      <c r="V49" s="21"/>
      <c r="W49" s="21"/>
      <c r="X49" s="21"/>
      <c r="Y49" s="21"/>
      <c r="Z49" s="21"/>
      <c r="AA49" s="21"/>
      <c r="AB49" s="21"/>
      <c r="AC49" s="21"/>
      <c r="AD49" s="21"/>
      <c r="AE49" s="30">
        <f>AE48</f>
        <v>359.39964444861812</v>
      </c>
      <c r="AF49" s="30">
        <f>Q49</f>
        <v>359.41331111446527</v>
      </c>
      <c r="AG49" s="21"/>
      <c r="AH49" s="21"/>
      <c r="AI49" s="21"/>
      <c r="AJ49" s="21"/>
      <c r="AK49" s="21">
        <f t="shared" si="9"/>
        <v>359.36799999999999</v>
      </c>
      <c r="AL49" s="21">
        <f t="shared" si="10"/>
        <v>359.43199999999996</v>
      </c>
    </row>
    <row r="50" spans="1:38">
      <c r="A50" s="121" t="s">
        <v>485</v>
      </c>
      <c r="B50" s="90" t="s">
        <v>417</v>
      </c>
      <c r="C50" s="90">
        <v>-208.375</v>
      </c>
      <c r="J50" s="5">
        <v>5</v>
      </c>
      <c r="K50" s="23">
        <f t="shared" si="11"/>
        <v>279</v>
      </c>
      <c r="L50" s="24">
        <f t="shared" si="4"/>
        <v>13</v>
      </c>
      <c r="M50" s="5">
        <f t="shared" si="5"/>
        <v>359.40800000000002</v>
      </c>
      <c r="N50" s="25">
        <f t="shared" si="6"/>
        <v>4.4445433723517956E-5</v>
      </c>
      <c r="O50" s="26">
        <f t="shared" si="7"/>
        <v>9</v>
      </c>
      <c r="P50" s="27">
        <f t="shared" si="8"/>
        <v>359.40840000890353</v>
      </c>
      <c r="Q50" s="27">
        <f t="shared" si="12"/>
        <v>359.4118666724786</v>
      </c>
      <c r="R50" s="5"/>
      <c r="S50" s="21"/>
      <c r="T50" s="21"/>
      <c r="U50" s="21"/>
      <c r="V50" s="21"/>
      <c r="W50" s="21"/>
      <c r="X50" s="21"/>
      <c r="Y50" s="21"/>
      <c r="Z50" s="21"/>
      <c r="AA50" s="21"/>
      <c r="AB50" s="21"/>
      <c r="AC50" s="21"/>
      <c r="AD50" s="21"/>
      <c r="AE50" s="21"/>
      <c r="AF50" s="30">
        <f>AF49</f>
        <v>359.41331111446527</v>
      </c>
      <c r="AG50" s="30">
        <f>Q50</f>
        <v>359.4118666724786</v>
      </c>
      <c r="AH50" s="21"/>
      <c r="AI50" s="21"/>
      <c r="AJ50" s="21"/>
      <c r="AK50" s="21">
        <f t="shared" si="9"/>
        <v>359.36799999999999</v>
      </c>
      <c r="AL50" s="21">
        <f t="shared" si="10"/>
        <v>359.43199999999996</v>
      </c>
    </row>
    <row r="51" spans="1:38">
      <c r="A51" s="90" t="s">
        <v>412</v>
      </c>
      <c r="B51" s="90" t="s">
        <v>413</v>
      </c>
      <c r="C51" s="90">
        <v>359.37599999999998</v>
      </c>
      <c r="J51" s="5">
        <v>4</v>
      </c>
      <c r="K51" s="23">
        <f t="shared" si="11"/>
        <v>299</v>
      </c>
      <c r="L51" s="24">
        <f t="shared" si="4"/>
        <v>14</v>
      </c>
      <c r="M51" s="5">
        <f t="shared" si="5"/>
        <v>359.40900002225879</v>
      </c>
      <c r="N51" s="25">
        <f t="shared" si="6"/>
        <v>-1.822223149666671E-3</v>
      </c>
      <c r="O51" s="26">
        <f t="shared" si="7"/>
        <v>6.5</v>
      </c>
      <c r="P51" s="27">
        <f t="shared" si="8"/>
        <v>359.39715557178596</v>
      </c>
      <c r="Q51" s="27">
        <f t="shared" si="12"/>
        <v>359.40277779034477</v>
      </c>
      <c r="R51" s="5"/>
      <c r="S51" s="21"/>
      <c r="T51" s="21"/>
      <c r="U51" s="21"/>
      <c r="V51" s="21"/>
      <c r="W51" s="21"/>
      <c r="X51" s="21"/>
      <c r="Y51" s="21"/>
      <c r="Z51" s="21"/>
      <c r="AA51" s="21"/>
      <c r="AB51" s="21"/>
      <c r="AC51" s="21"/>
      <c r="AD51" s="21"/>
      <c r="AE51" s="21"/>
      <c r="AF51" s="21"/>
      <c r="AG51" s="30">
        <f>AG50</f>
        <v>359.4118666724786</v>
      </c>
      <c r="AH51" s="30">
        <f>Q51</f>
        <v>359.40277779034477</v>
      </c>
      <c r="AI51" s="21"/>
      <c r="AJ51" s="21"/>
      <c r="AK51" s="21">
        <f t="shared" si="9"/>
        <v>359.36799999999999</v>
      </c>
      <c r="AL51" s="21">
        <f t="shared" si="10"/>
        <v>359.43199999999996</v>
      </c>
    </row>
    <row r="52" spans="1:38">
      <c r="A52" s="90" t="s">
        <v>486</v>
      </c>
      <c r="B52" s="90" t="s">
        <v>415</v>
      </c>
      <c r="C52" s="90">
        <v>-6.0000000000000001E-3</v>
      </c>
      <c r="J52" s="5">
        <v>3</v>
      </c>
      <c r="K52" s="23">
        <f t="shared" si="11"/>
        <v>319</v>
      </c>
      <c r="L52" s="24">
        <f t="shared" si="4"/>
        <v>15</v>
      </c>
      <c r="M52" s="5">
        <f t="shared" si="5"/>
        <v>359.36800000139129</v>
      </c>
      <c r="N52" s="25">
        <f t="shared" si="6"/>
        <v>-4.8888888888490734E-4</v>
      </c>
      <c r="O52" s="26">
        <f t="shared" si="7"/>
        <v>4</v>
      </c>
      <c r="P52" s="27">
        <f t="shared" si="8"/>
        <v>359.36604444583577</v>
      </c>
      <c r="Q52" s="27">
        <f t="shared" si="12"/>
        <v>359.38160000881089</v>
      </c>
      <c r="R52" s="5"/>
      <c r="S52" s="21"/>
      <c r="T52" s="21"/>
      <c r="U52" s="21"/>
      <c r="V52" s="21"/>
      <c r="W52" s="21"/>
      <c r="X52" s="21"/>
      <c r="Y52" s="21"/>
      <c r="Z52" s="21"/>
      <c r="AA52" s="21"/>
      <c r="AB52" s="21"/>
      <c r="AC52" s="21"/>
      <c r="AD52" s="21"/>
      <c r="AE52" s="21"/>
      <c r="AF52" s="21"/>
      <c r="AG52" s="21"/>
      <c r="AH52" s="30">
        <f>AH51</f>
        <v>359.40277779034477</v>
      </c>
      <c r="AI52" s="30">
        <f>Q52</f>
        <v>359.38160000881089</v>
      </c>
      <c r="AJ52" s="21"/>
      <c r="AK52" s="21">
        <f t="shared" si="9"/>
        <v>359.36799999999999</v>
      </c>
      <c r="AL52" s="21">
        <f t="shared" si="10"/>
        <v>359.43199999999996</v>
      </c>
    </row>
    <row r="53" spans="1:38">
      <c r="A53" s="121" t="s">
        <v>487</v>
      </c>
      <c r="B53" s="90" t="s">
        <v>417</v>
      </c>
      <c r="C53" s="90">
        <v>-208.374</v>
      </c>
      <c r="J53" s="5">
        <v>2</v>
      </c>
      <c r="K53" s="23">
        <f t="shared" si="11"/>
        <v>339</v>
      </c>
      <c r="L53" s="24">
        <f t="shared" si="4"/>
        <v>16</v>
      </c>
      <c r="M53" s="5">
        <f t="shared" si="5"/>
        <v>359.35700000139138</v>
      </c>
      <c r="N53" s="25">
        <f t="shared" si="6"/>
        <v>3.9999993816005979E-4</v>
      </c>
      <c r="O53" s="26">
        <f t="shared" si="7"/>
        <v>1.5</v>
      </c>
      <c r="P53" s="27">
        <f t="shared" si="8"/>
        <v>359.35760000129864</v>
      </c>
      <c r="Q53" s="27">
        <f t="shared" si="12"/>
        <v>359.36182222356717</v>
      </c>
      <c r="R53" s="5"/>
      <c r="S53" s="31"/>
      <c r="T53" s="31"/>
      <c r="U53" s="31"/>
      <c r="V53" s="31"/>
      <c r="W53" s="31"/>
      <c r="X53" s="31"/>
      <c r="Y53" s="31"/>
      <c r="Z53" s="31"/>
      <c r="AA53" s="31"/>
      <c r="AB53" s="31"/>
      <c r="AC53" s="31"/>
      <c r="AD53" s="31"/>
      <c r="AE53" s="31"/>
      <c r="AF53" s="31"/>
      <c r="AG53" s="31"/>
      <c r="AH53" s="31"/>
      <c r="AI53" s="32">
        <f>AI52</f>
        <v>359.38160000881089</v>
      </c>
      <c r="AJ53" s="32">
        <f>Q53</f>
        <v>359.36182222356717</v>
      </c>
      <c r="AK53" s="31">
        <f t="shared" si="9"/>
        <v>359.36799999999999</v>
      </c>
      <c r="AL53" s="31">
        <f t="shared" si="10"/>
        <v>359.43199999999996</v>
      </c>
    </row>
    <row r="54" spans="1:38">
      <c r="J54" s="5"/>
      <c r="K54" s="24">
        <f>K36</f>
        <v>359</v>
      </c>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row>
    <row r="56" spans="1:38">
      <c r="I56" s="33"/>
      <c r="J56" s="33"/>
      <c r="K56" s="33"/>
      <c r="L56" s="33"/>
      <c r="M56" s="33"/>
      <c r="N56" s="33"/>
      <c r="O56" s="33"/>
      <c r="P56" s="33"/>
      <c r="Q56" s="33"/>
      <c r="R56" s="5"/>
      <c r="S56" s="33"/>
      <c r="T56" s="33"/>
      <c r="U56" s="33"/>
      <c r="V56" s="33"/>
      <c r="W56" s="33"/>
      <c r="X56" s="33"/>
      <c r="Y56" s="33"/>
      <c r="Z56" s="33"/>
      <c r="AA56" s="33"/>
      <c r="AB56" s="33"/>
    </row>
    <row r="57" spans="1:38">
      <c r="I57" s="33"/>
      <c r="J57" s="33"/>
      <c r="K57" s="33"/>
      <c r="L57" s="33"/>
      <c r="M57" s="33"/>
      <c r="N57" s="33"/>
      <c r="O57" s="33"/>
      <c r="P57" s="33"/>
      <c r="Q57" s="33"/>
      <c r="R57" s="5"/>
      <c r="S57" s="33"/>
      <c r="T57" s="33"/>
      <c r="U57" s="33"/>
      <c r="V57" s="33"/>
      <c r="W57" s="33"/>
      <c r="X57" s="33"/>
      <c r="Y57" s="33"/>
      <c r="Z57" s="33"/>
      <c r="AA57" s="33"/>
      <c r="AB57" s="33"/>
    </row>
    <row r="58" spans="1:38">
      <c r="I58" s="33"/>
      <c r="J58" s="33"/>
      <c r="K58" s="33"/>
      <c r="L58" s="33"/>
      <c r="M58" s="33"/>
      <c r="N58" s="33"/>
      <c r="O58" s="33"/>
      <c r="P58" s="33"/>
      <c r="Q58" s="33"/>
      <c r="R58" s="5"/>
      <c r="S58" s="33"/>
      <c r="T58" s="33"/>
      <c r="U58" s="33"/>
      <c r="V58" s="33"/>
      <c r="W58" s="33"/>
      <c r="X58" s="33"/>
      <c r="Y58" s="33"/>
      <c r="Z58" s="33"/>
      <c r="AA58" s="33"/>
      <c r="AB58" s="33"/>
    </row>
    <row r="59" spans="1:38">
      <c r="I59" s="33"/>
      <c r="J59" s="33"/>
      <c r="K59" s="33"/>
      <c r="L59" s="33"/>
      <c r="M59" s="33"/>
      <c r="N59" s="33"/>
      <c r="O59" s="33"/>
      <c r="P59" s="33"/>
      <c r="Q59" s="33"/>
      <c r="R59" s="5"/>
      <c r="S59" s="33"/>
      <c r="T59" s="33"/>
      <c r="U59" s="33"/>
      <c r="V59" s="33"/>
      <c r="W59" s="33"/>
      <c r="X59" s="33"/>
      <c r="Y59" s="33"/>
      <c r="Z59" s="33"/>
      <c r="AA59" s="33"/>
      <c r="AB59" s="33"/>
    </row>
    <row r="60" spans="1:38">
      <c r="I60" s="33"/>
      <c r="J60" s="33"/>
      <c r="K60" s="33"/>
      <c r="L60" s="33"/>
      <c r="M60" s="33"/>
      <c r="N60" s="33"/>
      <c r="O60" s="33"/>
      <c r="P60" s="33"/>
      <c r="Q60" s="33"/>
      <c r="R60" s="5"/>
      <c r="S60" s="33"/>
      <c r="T60" s="33"/>
      <c r="U60" s="33"/>
      <c r="V60" s="33"/>
      <c r="W60" s="33"/>
      <c r="X60" s="33"/>
      <c r="Y60" s="33"/>
      <c r="Z60" s="33"/>
      <c r="AA60" s="33"/>
      <c r="AB60" s="33"/>
    </row>
    <row r="61" spans="1:38">
      <c r="I61" s="33"/>
      <c r="J61" s="33"/>
      <c r="K61" s="33"/>
      <c r="L61" s="33"/>
      <c r="M61" s="33"/>
      <c r="N61" s="33"/>
      <c r="O61" s="33"/>
      <c r="P61" s="33"/>
      <c r="Q61" s="33"/>
      <c r="R61" s="5"/>
      <c r="S61" s="33"/>
      <c r="T61" s="33"/>
      <c r="U61" s="33"/>
      <c r="V61" s="33"/>
      <c r="W61" s="33"/>
      <c r="X61" s="33"/>
      <c r="Y61" s="33"/>
      <c r="Z61" s="33"/>
      <c r="AA61" s="33"/>
      <c r="AB61" s="33"/>
    </row>
    <row r="62" spans="1:38">
      <c r="I62" s="33"/>
      <c r="J62" s="33"/>
      <c r="K62" s="33"/>
      <c r="L62" s="33"/>
      <c r="M62" s="33"/>
      <c r="N62" s="33"/>
      <c r="O62" s="33"/>
      <c r="P62" s="33"/>
      <c r="Q62" s="33"/>
      <c r="R62" s="5"/>
      <c r="S62" s="33"/>
      <c r="T62" s="33"/>
      <c r="U62" s="33"/>
      <c r="V62" s="33"/>
      <c r="W62" s="33"/>
      <c r="X62" s="33"/>
      <c r="Y62" s="33"/>
      <c r="Z62" s="33"/>
      <c r="AA62" s="33"/>
      <c r="AB62" s="33"/>
    </row>
    <row r="63" spans="1:38">
      <c r="I63" s="33"/>
      <c r="J63" s="33"/>
      <c r="K63" s="33"/>
      <c r="L63" s="33"/>
      <c r="M63" s="33"/>
      <c r="N63" s="33"/>
      <c r="O63" s="33"/>
      <c r="P63" s="33"/>
      <c r="Q63" s="33"/>
      <c r="R63" s="5"/>
      <c r="S63" s="33"/>
      <c r="T63" s="33"/>
      <c r="U63" s="33"/>
      <c r="V63" s="33"/>
      <c r="W63" s="33"/>
      <c r="X63" s="33"/>
      <c r="Y63" s="33"/>
      <c r="Z63" s="33"/>
      <c r="AA63" s="33"/>
      <c r="AB63" s="33"/>
    </row>
    <row r="64" spans="1:38">
      <c r="I64" s="33"/>
      <c r="J64" s="33"/>
      <c r="K64" s="33"/>
      <c r="L64" s="33"/>
      <c r="M64" s="33"/>
      <c r="N64" s="33"/>
      <c r="O64" s="33"/>
      <c r="P64" s="33"/>
      <c r="Q64" s="33"/>
      <c r="R64" s="5"/>
      <c r="S64" s="33"/>
      <c r="T64" s="33"/>
      <c r="U64" s="33"/>
      <c r="V64" s="33"/>
      <c r="W64" s="33"/>
      <c r="X64" s="33"/>
      <c r="Y64" s="33"/>
      <c r="Z64" s="33"/>
      <c r="AA64" s="33"/>
      <c r="AB64" s="33"/>
    </row>
    <row r="65" spans="9:28">
      <c r="I65" s="33"/>
      <c r="J65" s="33"/>
      <c r="K65" s="33"/>
      <c r="L65" s="33"/>
      <c r="M65" s="33"/>
      <c r="N65" s="33"/>
      <c r="O65" s="33"/>
      <c r="P65" s="33"/>
      <c r="Q65" s="33"/>
      <c r="R65" s="5"/>
      <c r="S65" s="33"/>
      <c r="T65" s="33"/>
      <c r="U65" s="33"/>
      <c r="V65" s="33"/>
      <c r="W65" s="33"/>
      <c r="X65" s="33"/>
      <c r="Y65" s="33"/>
      <c r="Z65" s="33"/>
      <c r="AA65" s="33"/>
      <c r="AB65" s="33"/>
    </row>
    <row r="66" spans="9:28">
      <c r="I66" s="33"/>
      <c r="J66" s="33"/>
      <c r="K66" s="33"/>
      <c r="L66" s="33"/>
      <c r="M66" s="33"/>
      <c r="N66" s="33"/>
      <c r="O66" s="33"/>
      <c r="P66" s="33"/>
      <c r="Q66" s="33"/>
      <c r="R66" s="5"/>
      <c r="S66" s="33"/>
      <c r="T66" s="33"/>
      <c r="U66" s="33"/>
      <c r="V66" s="33"/>
      <c r="W66" s="33"/>
      <c r="X66" s="33"/>
      <c r="Y66" s="33"/>
      <c r="Z66" s="33"/>
      <c r="AA66" s="33"/>
      <c r="AB66" s="33"/>
    </row>
    <row r="67" spans="9:28">
      <c r="I67" s="33"/>
      <c r="J67" s="33"/>
      <c r="K67" s="33"/>
      <c r="L67" s="33"/>
      <c r="M67" s="33"/>
      <c r="N67" s="33"/>
      <c r="O67" s="33"/>
      <c r="P67" s="33"/>
      <c r="Q67" s="33"/>
      <c r="R67" s="5"/>
      <c r="S67" s="33"/>
      <c r="T67" s="33"/>
      <c r="U67" s="33"/>
      <c r="V67" s="33"/>
      <c r="W67" s="33"/>
      <c r="X67" s="33"/>
      <c r="Y67" s="33"/>
      <c r="Z67" s="33"/>
      <c r="AA67" s="33"/>
      <c r="AB67" s="33"/>
    </row>
    <row r="68" spans="9:28">
      <c r="I68" s="33"/>
      <c r="J68" s="33"/>
      <c r="K68" s="33"/>
      <c r="L68" s="33"/>
      <c r="M68" s="33"/>
      <c r="N68" s="33"/>
      <c r="O68" s="33"/>
      <c r="P68" s="33"/>
      <c r="Q68" s="33"/>
      <c r="R68" s="5"/>
      <c r="S68" s="33"/>
      <c r="T68" s="33"/>
      <c r="U68" s="33"/>
      <c r="V68" s="33"/>
      <c r="W68" s="33"/>
      <c r="X68" s="33"/>
      <c r="Y68" s="33"/>
      <c r="Z68" s="33"/>
      <c r="AA68" s="33"/>
      <c r="AB68" s="33"/>
    </row>
    <row r="69" spans="9:28">
      <c r="I69" s="33"/>
      <c r="J69" s="33"/>
      <c r="K69" s="33"/>
      <c r="L69" s="33"/>
      <c r="M69" s="33"/>
      <c r="N69" s="33"/>
      <c r="O69" s="33"/>
      <c r="P69" s="33"/>
      <c r="Q69" s="33"/>
      <c r="R69" s="5"/>
      <c r="S69" s="33"/>
      <c r="T69" s="33"/>
      <c r="U69" s="33"/>
      <c r="V69" s="33"/>
      <c r="W69" s="33"/>
      <c r="X69" s="33"/>
      <c r="Y69" s="33"/>
      <c r="Z69" s="33"/>
      <c r="AA69" s="33"/>
      <c r="AB69" s="33"/>
    </row>
    <row r="70" spans="9:28">
      <c r="I70" s="33"/>
      <c r="J70" s="33"/>
      <c r="K70" s="33"/>
      <c r="L70" s="33"/>
      <c r="M70" s="33"/>
      <c r="N70" s="33"/>
      <c r="O70" s="33"/>
      <c r="P70" s="33"/>
      <c r="Q70" s="33"/>
      <c r="R70" s="5"/>
      <c r="S70" s="33"/>
      <c r="T70" s="33"/>
      <c r="U70" s="33"/>
      <c r="V70" s="33"/>
      <c r="W70" s="33"/>
      <c r="X70" s="33"/>
      <c r="Y70" s="33"/>
      <c r="Z70" s="33"/>
      <c r="AA70" s="33"/>
      <c r="AB70" s="33"/>
    </row>
    <row r="71" spans="9:28">
      <c r="I71" s="33"/>
      <c r="J71" s="33"/>
      <c r="K71" s="33"/>
      <c r="L71" s="33"/>
      <c r="M71" s="33"/>
      <c r="N71" s="33"/>
      <c r="O71" s="33"/>
      <c r="P71" s="33"/>
      <c r="Q71" s="33"/>
      <c r="R71" s="5"/>
      <c r="S71" s="33"/>
      <c r="T71" s="33"/>
      <c r="U71" s="33"/>
      <c r="V71" s="33"/>
      <c r="W71" s="33"/>
      <c r="X71" s="33"/>
      <c r="Y71" s="33"/>
      <c r="Z71" s="33"/>
      <c r="AA71" s="33"/>
      <c r="AB71" s="33"/>
    </row>
    <row r="72" spans="9:28">
      <c r="I72" s="33"/>
      <c r="J72" s="33"/>
      <c r="K72" s="33"/>
      <c r="L72" s="33"/>
      <c r="M72" s="33"/>
      <c r="N72" s="33"/>
      <c r="O72" s="33"/>
      <c r="P72" s="33"/>
      <c r="Q72" s="33"/>
      <c r="R72" s="5"/>
      <c r="S72" s="33"/>
      <c r="T72" s="33"/>
      <c r="U72" s="33"/>
      <c r="V72" s="33"/>
      <c r="W72" s="33"/>
      <c r="X72" s="33"/>
      <c r="Y72" s="33"/>
      <c r="Z72" s="33"/>
      <c r="AA72" s="33"/>
      <c r="AB72" s="33"/>
    </row>
    <row r="73" spans="9:28">
      <c r="I73" s="33"/>
      <c r="J73" s="33"/>
      <c r="K73" s="33"/>
      <c r="L73" s="33"/>
      <c r="M73" s="33"/>
      <c r="N73" s="33"/>
      <c r="O73" s="33"/>
      <c r="P73" s="33"/>
      <c r="Q73" s="33"/>
      <c r="R73" s="5"/>
      <c r="S73" s="33"/>
      <c r="T73" s="33"/>
      <c r="U73" s="33"/>
      <c r="V73" s="33"/>
      <c r="W73" s="33"/>
      <c r="X73" s="33"/>
      <c r="Y73" s="33"/>
      <c r="Z73" s="33"/>
      <c r="AA73" s="33"/>
      <c r="AB73" s="33"/>
    </row>
    <row r="74" spans="9:28">
      <c r="I74" s="33"/>
      <c r="J74" s="33"/>
      <c r="K74" s="33"/>
      <c r="L74" s="33"/>
      <c r="M74" s="33"/>
      <c r="N74" s="33"/>
      <c r="O74" s="33"/>
      <c r="P74" s="33"/>
      <c r="Q74" s="33"/>
      <c r="R74" s="5"/>
      <c r="S74" s="33"/>
      <c r="T74" s="33"/>
      <c r="U74" s="33"/>
      <c r="V74" s="33"/>
      <c r="W74" s="33"/>
      <c r="X74" s="33"/>
      <c r="Y74" s="33"/>
      <c r="Z74" s="33"/>
      <c r="AA74" s="33"/>
      <c r="AB74" s="33"/>
    </row>
    <row r="75" spans="9:28">
      <c r="I75" s="33"/>
      <c r="J75" s="33"/>
      <c r="K75" s="33"/>
      <c r="L75" s="33"/>
      <c r="M75" s="33"/>
      <c r="N75" s="33"/>
      <c r="O75" s="33"/>
      <c r="P75" s="33"/>
      <c r="Q75" s="33"/>
      <c r="R75" s="5"/>
      <c r="S75" s="33"/>
      <c r="T75" s="33"/>
      <c r="U75" s="33"/>
      <c r="V75" s="33"/>
      <c r="W75" s="33"/>
      <c r="X75" s="33"/>
      <c r="Y75" s="33"/>
      <c r="Z75" s="33"/>
      <c r="AA75" s="33"/>
      <c r="AB75" s="33"/>
    </row>
    <row r="76" spans="9:28">
      <c r="I76" s="33"/>
      <c r="J76" s="33"/>
      <c r="K76" s="33"/>
      <c r="L76" s="33"/>
      <c r="M76" s="33"/>
      <c r="N76" s="33"/>
      <c r="O76" s="33"/>
      <c r="P76" s="33"/>
      <c r="Q76" s="33"/>
      <c r="R76" s="5"/>
      <c r="S76" s="33"/>
      <c r="T76" s="33"/>
      <c r="U76" s="33"/>
      <c r="V76" s="33"/>
      <c r="W76" s="33"/>
      <c r="X76" s="33"/>
      <c r="Y76" s="33"/>
      <c r="Z76" s="33"/>
      <c r="AA76" s="33"/>
      <c r="AB76" s="33"/>
    </row>
    <row r="77" spans="9:28">
      <c r="I77" s="33"/>
      <c r="J77" s="33"/>
      <c r="K77" s="33"/>
      <c r="L77" s="33"/>
      <c r="M77" s="33"/>
      <c r="N77" s="33"/>
      <c r="O77" s="33"/>
      <c r="P77" s="33"/>
      <c r="Q77" s="33"/>
      <c r="R77" s="5"/>
      <c r="S77" s="33"/>
      <c r="T77" s="33"/>
      <c r="U77" s="33"/>
      <c r="V77" s="33"/>
      <c r="W77" s="33"/>
      <c r="X77" s="33"/>
      <c r="Y77" s="33"/>
      <c r="Z77" s="33"/>
      <c r="AA77" s="33"/>
      <c r="AB77" s="33"/>
    </row>
    <row r="78" spans="9:28">
      <c r="I78" s="33"/>
      <c r="J78" s="33"/>
      <c r="K78" s="33"/>
      <c r="L78" s="33"/>
      <c r="M78" s="33"/>
      <c r="N78" s="33"/>
      <c r="O78" s="33"/>
      <c r="P78" s="33"/>
      <c r="Q78" s="33"/>
      <c r="R78" s="5"/>
      <c r="S78" s="33"/>
      <c r="T78" s="33"/>
      <c r="U78" s="33"/>
      <c r="V78" s="33"/>
      <c r="W78" s="33"/>
      <c r="X78" s="33"/>
      <c r="Y78" s="33"/>
      <c r="Z78" s="33"/>
      <c r="AA78" s="33"/>
      <c r="AB78" s="33"/>
    </row>
    <row r="79" spans="9:28">
      <c r="I79" s="33"/>
      <c r="J79" s="33"/>
      <c r="K79" s="33"/>
      <c r="L79" s="33"/>
      <c r="M79" s="33"/>
      <c r="N79" s="33"/>
      <c r="O79" s="33"/>
      <c r="P79" s="33"/>
      <c r="Q79" s="33"/>
      <c r="R79" s="5"/>
      <c r="S79" s="33"/>
      <c r="T79" s="33"/>
      <c r="U79" s="33"/>
      <c r="V79" s="33"/>
      <c r="W79" s="33"/>
      <c r="X79" s="33"/>
      <c r="Y79" s="33"/>
      <c r="Z79" s="33"/>
      <c r="AA79" s="33"/>
      <c r="AB79" s="33"/>
    </row>
    <row r="80" spans="9:28">
      <c r="I80" s="33"/>
      <c r="J80" s="33"/>
      <c r="K80" s="33"/>
      <c r="L80" s="33"/>
      <c r="M80" s="33"/>
      <c r="N80" s="33"/>
      <c r="O80" s="33"/>
      <c r="P80" s="33"/>
      <c r="Q80" s="33"/>
      <c r="R80" s="5"/>
      <c r="S80" s="33"/>
      <c r="T80" s="33"/>
      <c r="U80" s="33"/>
      <c r="V80" s="33"/>
      <c r="W80" s="33"/>
      <c r="X80" s="33"/>
      <c r="Y80" s="33"/>
      <c r="Z80" s="33"/>
      <c r="AA80" s="33"/>
      <c r="AB80" s="33"/>
    </row>
    <row r="81" spans="9:44">
      <c r="I81" s="33"/>
      <c r="J81" s="33"/>
      <c r="K81" s="33"/>
      <c r="L81" s="33"/>
      <c r="M81" s="33"/>
      <c r="N81" s="33"/>
      <c r="O81" s="33"/>
      <c r="P81" s="33"/>
      <c r="Q81" s="33"/>
      <c r="R81" s="5"/>
      <c r="S81" s="33"/>
      <c r="T81" s="33"/>
      <c r="U81" s="33"/>
      <c r="V81" s="33"/>
      <c r="W81" s="33"/>
      <c r="X81" s="33"/>
      <c r="Y81" s="33"/>
      <c r="Z81" s="33"/>
      <c r="AA81" s="33"/>
      <c r="AB81" s="33"/>
    </row>
    <row r="82" spans="9:44">
      <c r="I82" s="33"/>
      <c r="J82" s="33"/>
      <c r="K82" s="33"/>
      <c r="L82" s="33"/>
      <c r="M82" s="33"/>
      <c r="N82" s="33"/>
      <c r="O82" s="33"/>
      <c r="P82" s="33"/>
      <c r="Q82" s="33"/>
      <c r="R82" s="5"/>
      <c r="S82" s="33"/>
      <c r="T82" s="33"/>
      <c r="U82" s="33"/>
      <c r="V82" s="33"/>
      <c r="W82" s="33"/>
      <c r="X82" s="33"/>
      <c r="Y82" s="33"/>
      <c r="Z82" s="33"/>
      <c r="AA82" s="33"/>
      <c r="AB82" s="33"/>
    </row>
    <row r="83" spans="9:44">
      <c r="I83" s="33"/>
      <c r="J83" s="33"/>
      <c r="K83" s="33"/>
      <c r="L83" s="33"/>
      <c r="M83" s="33"/>
      <c r="N83" s="33"/>
      <c r="O83" s="33"/>
      <c r="P83" s="33"/>
      <c r="Q83" s="33"/>
      <c r="R83" s="5"/>
      <c r="S83" s="33"/>
      <c r="T83" s="33"/>
      <c r="U83" s="33"/>
      <c r="V83" s="33"/>
      <c r="W83" s="33"/>
      <c r="X83" s="33"/>
      <c r="Y83" s="33"/>
      <c r="Z83" s="33"/>
      <c r="AA83" s="33"/>
      <c r="AB83" s="33"/>
    </row>
    <row r="84" spans="9:44">
      <c r="I84" s="33"/>
      <c r="J84" s="33"/>
      <c r="K84" s="33"/>
      <c r="L84" s="33"/>
      <c r="M84" s="33"/>
      <c r="N84" s="33"/>
      <c r="O84" s="33"/>
      <c r="P84" s="33"/>
      <c r="Q84" s="33"/>
      <c r="R84" s="5"/>
      <c r="S84" s="33"/>
      <c r="T84" s="33"/>
      <c r="U84" s="33"/>
      <c r="V84" s="33"/>
      <c r="W84" s="33"/>
      <c r="X84" s="33"/>
      <c r="Y84" s="33"/>
      <c r="Z84" s="33"/>
      <c r="AA84" s="33"/>
      <c r="AB84" s="33"/>
    </row>
    <row r="87" spans="9:44">
      <c r="S87" s="20" t="str">
        <f ca="1">CONCATENATE(LEFT($S$32, LEN($S$32)-4), " Step#", OFFSET($J$35, S33, 0))</f>
        <v>Stg.1 Shroud Step#1</v>
      </c>
      <c r="T87" s="20" t="str">
        <f t="shared" ref="T87:AJ87" ca="1" si="13">CONCATENATE(LEFT($S$32, LEN($S$32)-4), " Step#", OFFSET($J$35, T33, 0))</f>
        <v>Stg.1 Shroud Step#18</v>
      </c>
      <c r="U87" s="20" t="str">
        <f t="shared" ca="1" si="13"/>
        <v>Stg.1 Shroud Step#17</v>
      </c>
      <c r="V87" s="20" t="str">
        <f t="shared" ca="1" si="13"/>
        <v>Stg.1 Shroud Step#16</v>
      </c>
      <c r="W87" s="20" t="str">
        <f t="shared" ca="1" si="13"/>
        <v>Stg.1 Shroud Step#15</v>
      </c>
      <c r="X87" s="20" t="str">
        <f t="shared" ca="1" si="13"/>
        <v>Stg.1 Shroud Step#14</v>
      </c>
      <c r="Y87" s="20" t="str">
        <f t="shared" ca="1" si="13"/>
        <v>Stg.1 Shroud Step#13</v>
      </c>
      <c r="Z87" s="20" t="str">
        <f t="shared" ca="1" si="13"/>
        <v>Stg.1 Shroud Step#12</v>
      </c>
      <c r="AA87" s="20" t="str">
        <f t="shared" ca="1" si="13"/>
        <v>Stg.1 Shroud Step#11</v>
      </c>
      <c r="AB87" s="20" t="str">
        <f t="shared" ca="1" si="13"/>
        <v>Stg.1 Shroud Step#10</v>
      </c>
      <c r="AC87" s="20" t="str">
        <f t="shared" ca="1" si="13"/>
        <v>Stg.1 Shroud Step#9</v>
      </c>
      <c r="AD87" s="20" t="str">
        <f t="shared" ca="1" si="13"/>
        <v>Stg.1 Shroud Step#8</v>
      </c>
      <c r="AE87" s="20" t="str">
        <f t="shared" ca="1" si="13"/>
        <v>Stg.1 Shroud Step#7</v>
      </c>
      <c r="AF87" s="20" t="str">
        <f t="shared" ca="1" si="13"/>
        <v>Stg.1 Shroud Step#6</v>
      </c>
      <c r="AG87" s="20" t="str">
        <f t="shared" ca="1" si="13"/>
        <v>Stg.1 Shroud Step#5</v>
      </c>
      <c r="AH87" s="20" t="str">
        <f t="shared" ca="1" si="13"/>
        <v>Stg.1 Shroud Step#4</v>
      </c>
      <c r="AI87" s="20" t="str">
        <f t="shared" ca="1" si="13"/>
        <v>Stg.1 Shroud Step#3</v>
      </c>
      <c r="AJ87" s="20" t="str">
        <f t="shared" ca="1" si="13"/>
        <v>Stg.1 Shroud Step#2</v>
      </c>
      <c r="AK87" s="20" t="s">
        <v>56</v>
      </c>
      <c r="AL87" s="20" t="s">
        <v>58</v>
      </c>
    </row>
    <row r="88" spans="9:44">
      <c r="S88" s="15"/>
      <c r="T88" s="15"/>
      <c r="U88" s="15"/>
      <c r="V88" s="15"/>
      <c r="W88" s="15"/>
      <c r="X88" s="15"/>
      <c r="Y88" s="15"/>
      <c r="Z88" s="15"/>
      <c r="AA88" s="15"/>
      <c r="AB88" s="15"/>
      <c r="AC88" s="15"/>
      <c r="AD88" s="15"/>
      <c r="AE88" s="15"/>
      <c r="AF88" s="15"/>
      <c r="AG88" s="15"/>
      <c r="AH88" s="15"/>
      <c r="AI88" s="15"/>
      <c r="AJ88" s="15"/>
      <c r="AK88" s="17" t="s">
        <v>13</v>
      </c>
      <c r="AL88" s="17" t="s">
        <v>59</v>
      </c>
    </row>
    <row r="89" spans="9:44">
      <c r="S89" s="35">
        <f>IF(S36&lt;&gt;"", S36-'105'!S36-$AK$111, "")</f>
        <v>6.5444444438526261E-2</v>
      </c>
      <c r="T89" s="35"/>
      <c r="U89" s="35"/>
      <c r="V89" s="35"/>
      <c r="W89" s="35"/>
      <c r="X89" s="35"/>
      <c r="Y89" s="35"/>
      <c r="Z89" s="35"/>
      <c r="AA89" s="35"/>
      <c r="AB89" s="35"/>
      <c r="AC89" s="35"/>
      <c r="AD89" s="35"/>
      <c r="AE89" s="35"/>
      <c r="AF89" s="35"/>
      <c r="AG89" s="35"/>
      <c r="AH89" s="35"/>
      <c r="AI89" s="35"/>
      <c r="AJ89" s="35">
        <f>IF(AJ36&lt;&gt;"", AJ36-'105'!AJ36-$AK$111, "")</f>
        <v>-1.4777772125853517E-3</v>
      </c>
      <c r="AK89" s="21">
        <f>AK36-'105'!AL36-$AK$111</f>
        <v>-8.199999999993679E-2</v>
      </c>
      <c r="AL89" s="21">
        <f>AL36-'105'!AK36-$AK$111</f>
        <v>8.199999999993679E-2</v>
      </c>
      <c r="AM89" s="13" t="s">
        <v>61</v>
      </c>
      <c r="AN89" s="36">
        <f>MAX(S89:AJ106)</f>
        <v>0.10257779359079677</v>
      </c>
      <c r="AO89" s="13" t="str">
        <f>IF(AN89&gt;AL89, CONCATENATE("O/Max ", TEXT(AN89-AL89,"0.000")), "-")</f>
        <v>O/Max 0.021</v>
      </c>
      <c r="AP89" s="36">
        <f>$Q36-'105'!$Q36-$AK$111</f>
        <v>6.5444444438526261E-2</v>
      </c>
      <c r="AQ89" s="13">
        <f>INDEX($J36:$J53,MATCH(AN89,AP89:AP106,0))</f>
        <v>18</v>
      </c>
      <c r="AR89" s="13">
        <f>MATCH(AN89,AP89:AP106,0)</f>
        <v>2</v>
      </c>
    </row>
    <row r="90" spans="9:44">
      <c r="S90" s="35">
        <f>IF(S37&lt;&gt;"", S37-'105'!S37-$AK$111, "")</f>
        <v>6.5444444438526261E-2</v>
      </c>
      <c r="T90" s="35">
        <f>IF(T37&lt;&gt;"", T37-'105'!T37-$AK$111, "")</f>
        <v>0.10257779359079677</v>
      </c>
      <c r="U90" s="35"/>
      <c r="V90" s="35"/>
      <c r="W90" s="35"/>
      <c r="X90" s="35"/>
      <c r="Y90" s="35"/>
      <c r="Z90" s="35"/>
      <c r="AA90" s="35"/>
      <c r="AB90" s="35"/>
      <c r="AC90" s="35"/>
      <c r="AD90" s="35"/>
      <c r="AE90" s="35"/>
      <c r="AF90" s="35"/>
      <c r="AG90" s="35"/>
      <c r="AH90" s="35"/>
      <c r="AI90" s="35"/>
      <c r="AJ90" s="35"/>
      <c r="AK90" s="21">
        <f>AK89</f>
        <v>-8.199999999993679E-2</v>
      </c>
      <c r="AL90" s="21">
        <f>AL89</f>
        <v>8.199999999993679E-2</v>
      </c>
      <c r="AM90" s="13" t="s">
        <v>63</v>
      </c>
      <c r="AN90" s="36">
        <f>MIN(S89:AJ106)</f>
        <v>-4.8311110001066027E-2</v>
      </c>
      <c r="AO90" s="13" t="str">
        <f>IF(AN90&lt;AK89, CONCATENATE("U/Min ", TEXT(AK89-AN90,"0.000")), "-")</f>
        <v>-</v>
      </c>
      <c r="AP90" s="36">
        <f>$Q37-'105'!$Q37-$AK$111</f>
        <v>0.10257779359079677</v>
      </c>
      <c r="AQ90" s="13">
        <f>INDEX($J36:$J53,MATCH(AN90,AP89:AP106,0))</f>
        <v>14</v>
      </c>
      <c r="AR90" s="13">
        <f>MATCH(AN90,AP89:AP106,0)</f>
        <v>6</v>
      </c>
    </row>
    <row r="91" spans="9:44">
      <c r="S91" s="35"/>
      <c r="T91" s="35">
        <f>IF(T38&lt;&gt;"", T38-'105'!T38-$AK$111, "")</f>
        <v>0.10257779359079677</v>
      </c>
      <c r="U91" s="35">
        <f>IF(U38&lt;&gt;"", U38-'105'!U38-$AK$111, "")</f>
        <v>6.9566687469205135E-2</v>
      </c>
      <c r="V91" s="35"/>
      <c r="W91" s="35"/>
      <c r="X91" s="35"/>
      <c r="Y91" s="35"/>
      <c r="Z91" s="35"/>
      <c r="AA91" s="35"/>
      <c r="AB91" s="35"/>
      <c r="AC91" s="35"/>
      <c r="AD91" s="35"/>
      <c r="AE91" s="35"/>
      <c r="AF91" s="35"/>
      <c r="AG91" s="35"/>
      <c r="AH91" s="35"/>
      <c r="AI91" s="35"/>
      <c r="AJ91" s="35"/>
      <c r="AK91" s="21">
        <f t="shared" ref="AK91:AK106" si="14">AK90</f>
        <v>-8.199999999993679E-2</v>
      </c>
      <c r="AL91" s="21">
        <f t="shared" ref="AL91:AL106" si="15">AL90</f>
        <v>8.199999999993679E-2</v>
      </c>
      <c r="AM91" s="13"/>
      <c r="AN91" s="13"/>
      <c r="AO91" s="13"/>
      <c r="AP91" s="36">
        <f>$Q38-'105'!$Q38-$AK$111</f>
        <v>6.9566687469205135E-2</v>
      </c>
    </row>
    <row r="92" spans="9:44">
      <c r="S92" s="35"/>
      <c r="T92" s="35"/>
      <c r="U92" s="35">
        <f>IF(U39&lt;&gt;"", U39-'105'!U39-$AK$111, "")</f>
        <v>6.9566687469205135E-2</v>
      </c>
      <c r="V92" s="35">
        <f>IF(V39&lt;&gt;"", V39-'105'!V39-$AK$111, "")</f>
        <v>8.8000049832430705E-3</v>
      </c>
      <c r="W92" s="35"/>
      <c r="X92" s="35"/>
      <c r="Y92" s="35"/>
      <c r="Z92" s="35"/>
      <c r="AA92" s="35"/>
      <c r="AB92" s="35"/>
      <c r="AC92" s="35"/>
      <c r="AD92" s="35"/>
      <c r="AE92" s="35"/>
      <c r="AF92" s="35"/>
      <c r="AG92" s="35"/>
      <c r="AH92" s="35"/>
      <c r="AI92" s="35"/>
      <c r="AJ92" s="35"/>
      <c r="AK92" s="21">
        <f t="shared" si="14"/>
        <v>-8.199999999993679E-2</v>
      </c>
      <c r="AL92" s="21">
        <f t="shared" si="15"/>
        <v>8.199999999993679E-2</v>
      </c>
      <c r="AP92" s="36">
        <f>$Q39-'105'!$Q39-$AK$111</f>
        <v>8.8000049832430705E-3</v>
      </c>
    </row>
    <row r="93" spans="9:44">
      <c r="S93" s="35"/>
      <c r="T93" s="35"/>
      <c r="U93" s="35"/>
      <c r="V93" s="35">
        <f>IF(V40&lt;&gt;"", V40-'105'!V40-$AK$111, "")</f>
        <v>8.8000049832430705E-3</v>
      </c>
      <c r="W93" s="35">
        <f>IF(W40&lt;&gt;"", W40-'105'!W40-$AK$111, "")</f>
        <v>-3.4911111119924954E-2</v>
      </c>
      <c r="X93" s="35"/>
      <c r="Y93" s="35"/>
      <c r="Z93" s="35"/>
      <c r="AA93" s="35"/>
      <c r="AB93" s="35"/>
      <c r="AC93" s="35"/>
      <c r="AD93" s="35"/>
      <c r="AE93" s="35"/>
      <c r="AF93" s="35"/>
      <c r="AG93" s="35"/>
      <c r="AH93" s="35"/>
      <c r="AI93" s="35"/>
      <c r="AJ93" s="35"/>
      <c r="AK93" s="21">
        <f t="shared" si="14"/>
        <v>-8.199999999993679E-2</v>
      </c>
      <c r="AL93" s="21">
        <f t="shared" si="15"/>
        <v>8.199999999993679E-2</v>
      </c>
      <c r="AP93" s="36">
        <f>$Q40-'105'!$Q40-$AK$111</f>
        <v>-3.4911111119924954E-2</v>
      </c>
    </row>
    <row r="94" spans="9:44">
      <c r="S94" s="35"/>
      <c r="T94" s="35"/>
      <c r="U94" s="35"/>
      <c r="V94" s="35"/>
      <c r="W94" s="35">
        <f>IF(W41&lt;&gt;"", W41-'105'!W41-$AK$111, "")</f>
        <v>-3.4911111119924954E-2</v>
      </c>
      <c r="X94" s="35">
        <f>IF(X41&lt;&gt;"", X41-'105'!X41-$AK$111, "")</f>
        <v>-4.8311110001066027E-2</v>
      </c>
      <c r="Y94" s="35"/>
      <c r="Z94" s="35"/>
      <c r="AA94" s="35"/>
      <c r="AB94" s="35"/>
      <c r="AC94" s="35"/>
      <c r="AD94" s="35"/>
      <c r="AE94" s="35"/>
      <c r="AF94" s="35"/>
      <c r="AG94" s="35"/>
      <c r="AH94" s="35"/>
      <c r="AI94" s="35"/>
      <c r="AJ94" s="35"/>
      <c r="AK94" s="21">
        <f t="shared" si="14"/>
        <v>-8.199999999993679E-2</v>
      </c>
      <c r="AL94" s="21">
        <f t="shared" si="15"/>
        <v>8.199999999993679E-2</v>
      </c>
      <c r="AP94" s="36">
        <f>$Q41-'105'!$Q41-$AK$111</f>
        <v>-4.8311110001066027E-2</v>
      </c>
    </row>
    <row r="95" spans="9:44">
      <c r="S95" s="35"/>
      <c r="T95" s="35"/>
      <c r="U95" s="35"/>
      <c r="V95" s="35"/>
      <c r="W95" s="35"/>
      <c r="X95" s="35">
        <f>IF(X42&lt;&gt;"", X42-'105'!X42-$AK$111, "")</f>
        <v>-4.8311110001066027E-2</v>
      </c>
      <c r="Y95" s="35">
        <f>IF(Y42&lt;&gt;"", Y42-'105'!Y42-$AK$111, "")</f>
        <v>-3.5333330851756273E-2</v>
      </c>
      <c r="Z95" s="35"/>
      <c r="AA95" s="35"/>
      <c r="AB95" s="35"/>
      <c r="AC95" s="35"/>
      <c r="AD95" s="35"/>
      <c r="AE95" s="35"/>
      <c r="AF95" s="35"/>
      <c r="AG95" s="35"/>
      <c r="AH95" s="35"/>
      <c r="AI95" s="35"/>
      <c r="AJ95" s="35"/>
      <c r="AK95" s="21">
        <f t="shared" si="14"/>
        <v>-8.199999999993679E-2</v>
      </c>
      <c r="AL95" s="21">
        <f t="shared" si="15"/>
        <v>8.199999999993679E-2</v>
      </c>
      <c r="AP95" s="36">
        <f>$Q42-'105'!$Q42-$AK$111</f>
        <v>-3.5333330851756273E-2</v>
      </c>
    </row>
    <row r="96" spans="9:44">
      <c r="S96" s="35"/>
      <c r="T96" s="35"/>
      <c r="U96" s="35"/>
      <c r="V96" s="35"/>
      <c r="W96" s="35"/>
      <c r="X96" s="35"/>
      <c r="Y96" s="35">
        <f>IF(Y43&lt;&gt;"", Y43-'105'!Y43-$AK$111, "")</f>
        <v>-3.5333330851756273E-2</v>
      </c>
      <c r="Z96" s="35">
        <f>IF(Z43&lt;&gt;"", Z43-'105'!Z43-$AK$111, "")</f>
        <v>-1.9466666539130983E-2</v>
      </c>
      <c r="AA96" s="35"/>
      <c r="AB96" s="35"/>
      <c r="AC96" s="35"/>
      <c r="AD96" s="35"/>
      <c r="AE96" s="35"/>
      <c r="AF96" s="35"/>
      <c r="AG96" s="35"/>
      <c r="AH96" s="35"/>
      <c r="AI96" s="35"/>
      <c r="AJ96" s="35"/>
      <c r="AK96" s="21">
        <f t="shared" si="14"/>
        <v>-8.199999999993679E-2</v>
      </c>
      <c r="AL96" s="21">
        <f t="shared" si="15"/>
        <v>8.199999999993679E-2</v>
      </c>
      <c r="AP96" s="36">
        <f>$Q43-'105'!$Q43-$AK$111</f>
        <v>-1.9466666539130983E-2</v>
      </c>
    </row>
    <row r="97" spans="19:51">
      <c r="S97" s="35"/>
      <c r="T97" s="35"/>
      <c r="U97" s="35"/>
      <c r="V97" s="35"/>
      <c r="W97" s="35"/>
      <c r="X97" s="35"/>
      <c r="Y97" s="35"/>
      <c r="Z97" s="35">
        <f>IF(Z44&lt;&gt;"", Z44-'105'!Z44-$AK$111, "")</f>
        <v>-1.9466666539130983E-2</v>
      </c>
      <c r="AA97" s="35">
        <f>IF(AA44&lt;&gt;"", AA44-'105'!AA44-$AK$111, "")</f>
        <v>-2.7333319771400966E-3</v>
      </c>
      <c r="AB97" s="35"/>
      <c r="AC97" s="35"/>
      <c r="AD97" s="35"/>
      <c r="AE97" s="35"/>
      <c r="AF97" s="35"/>
      <c r="AG97" s="35"/>
      <c r="AH97" s="35"/>
      <c r="AI97" s="35"/>
      <c r="AJ97" s="35"/>
      <c r="AK97" s="21">
        <f t="shared" si="14"/>
        <v>-8.199999999993679E-2</v>
      </c>
      <c r="AL97" s="21">
        <f t="shared" si="15"/>
        <v>8.199999999993679E-2</v>
      </c>
      <c r="AP97" s="36">
        <f>$Q44-'105'!$Q44-$AK$111</f>
        <v>-2.7333319771400966E-3</v>
      </c>
    </row>
    <row r="98" spans="19:51">
      <c r="S98" s="35"/>
      <c r="T98" s="35"/>
      <c r="U98" s="35"/>
      <c r="V98" s="35"/>
      <c r="W98" s="35"/>
      <c r="X98" s="35"/>
      <c r="Y98" s="35"/>
      <c r="Z98" s="35"/>
      <c r="AA98" s="35">
        <f>IF(AA45&lt;&gt;"", AA45-'105'!AA45-$AK$111, "")</f>
        <v>-2.7333319771400966E-3</v>
      </c>
      <c r="AB98" s="35">
        <f>IF(AB45&lt;&gt;"", AB45-'105'!AB45-$AK$111, "")</f>
        <v>3.8666693877189573E-3</v>
      </c>
      <c r="AC98" s="35"/>
      <c r="AD98" s="35"/>
      <c r="AE98" s="35"/>
      <c r="AF98" s="35"/>
      <c r="AG98" s="35"/>
      <c r="AH98" s="35"/>
      <c r="AI98" s="35"/>
      <c r="AJ98" s="35"/>
      <c r="AK98" s="21">
        <f t="shared" si="14"/>
        <v>-8.199999999993679E-2</v>
      </c>
      <c r="AL98" s="21">
        <f t="shared" si="15"/>
        <v>8.199999999993679E-2</v>
      </c>
      <c r="AP98" s="36">
        <f>$Q45-'105'!$Q45-$AK$111</f>
        <v>3.8666693877189573E-3</v>
      </c>
    </row>
    <row r="99" spans="19:51">
      <c r="S99" s="35"/>
      <c r="T99" s="35"/>
      <c r="U99" s="35"/>
      <c r="V99" s="35"/>
      <c r="W99" s="35"/>
      <c r="X99" s="35"/>
      <c r="Y99" s="35"/>
      <c r="Z99" s="35"/>
      <c r="AA99" s="35"/>
      <c r="AB99" s="35">
        <f>IF(AB46&lt;&gt;"", AB46-'105'!AB46-$AK$111, "")</f>
        <v>3.8666693877189573E-3</v>
      </c>
      <c r="AC99" s="35">
        <f>IF(AC46&lt;&gt;"", AC46-'105'!AC46-$AK$111, "")</f>
        <v>-9.7555501449164694E-3</v>
      </c>
      <c r="AD99" s="35"/>
      <c r="AE99" s="35"/>
      <c r="AF99" s="35"/>
      <c r="AG99" s="35"/>
      <c r="AH99" s="35"/>
      <c r="AI99" s="35"/>
      <c r="AJ99" s="35"/>
      <c r="AK99" s="21">
        <f t="shared" si="14"/>
        <v>-8.199999999993679E-2</v>
      </c>
      <c r="AL99" s="21">
        <f t="shared" si="15"/>
        <v>8.199999999993679E-2</v>
      </c>
      <c r="AP99" s="36">
        <f>$Q46-'105'!$Q46-$AK$111</f>
        <v>-9.7555501449164694E-3</v>
      </c>
      <c r="AY99" s="37"/>
    </row>
    <row r="100" spans="19:51">
      <c r="S100" s="35"/>
      <c r="T100" s="35"/>
      <c r="U100" s="35"/>
      <c r="V100" s="35"/>
      <c r="W100" s="35"/>
      <c r="X100" s="35"/>
      <c r="Y100" s="35"/>
      <c r="Z100" s="35"/>
      <c r="AA100" s="35"/>
      <c r="AB100" s="35"/>
      <c r="AC100" s="35">
        <f>IF(AC47&lt;&gt;"", AC47-'105'!AC47-$AK$111, "")</f>
        <v>-9.7555501449164694E-3</v>
      </c>
      <c r="AD100" s="35">
        <f>IF(AD47&lt;&gt;"", AD47-'105'!AD47-$AK$111, "")</f>
        <v>-2.2455548603488751E-2</v>
      </c>
      <c r="AE100" s="35"/>
      <c r="AF100" s="35"/>
      <c r="AG100" s="35"/>
      <c r="AH100" s="35"/>
      <c r="AI100" s="35"/>
      <c r="AJ100" s="35"/>
      <c r="AK100" s="21">
        <f t="shared" si="14"/>
        <v>-8.199999999993679E-2</v>
      </c>
      <c r="AL100" s="21">
        <f t="shared" si="15"/>
        <v>8.199999999993679E-2</v>
      </c>
      <c r="AP100" s="36">
        <f>$Q47-'105'!$Q47-$AK$111</f>
        <v>-2.2455548603488751E-2</v>
      </c>
    </row>
    <row r="101" spans="19:51">
      <c r="S101" s="35"/>
      <c r="T101" s="35"/>
      <c r="U101" s="35"/>
      <c r="V101" s="35"/>
      <c r="W101" s="35"/>
      <c r="X101" s="35"/>
      <c r="Y101" s="35"/>
      <c r="Z101" s="35"/>
      <c r="AA101" s="35"/>
      <c r="AB101" s="35"/>
      <c r="AC101" s="35"/>
      <c r="AD101" s="35">
        <f>IF(AD48&lt;&gt;"", AD48-'105'!AD48-$AK$111, "")</f>
        <v>-2.2455548603488751E-2</v>
      </c>
      <c r="AE101" s="35">
        <f>IF(AE48&lt;&gt;"", AE48-'105'!AE48-$AK$111, "")</f>
        <v>-1.3622220574404764E-2</v>
      </c>
      <c r="AF101" s="35"/>
      <c r="AG101" s="35"/>
      <c r="AH101" s="35"/>
      <c r="AI101" s="35"/>
      <c r="AJ101" s="35"/>
      <c r="AK101" s="21">
        <f t="shared" si="14"/>
        <v>-8.199999999993679E-2</v>
      </c>
      <c r="AL101" s="21">
        <f t="shared" si="15"/>
        <v>8.199999999993679E-2</v>
      </c>
      <c r="AP101" s="36">
        <f>$Q48-'105'!$Q48-$AK$111</f>
        <v>-1.3622220574404764E-2</v>
      </c>
    </row>
    <row r="102" spans="19:51">
      <c r="S102" s="35"/>
      <c r="T102" s="35"/>
      <c r="U102" s="35"/>
      <c r="V102" s="35"/>
      <c r="W102" s="35"/>
      <c r="X102" s="35"/>
      <c r="Y102" s="35"/>
      <c r="Z102" s="35"/>
      <c r="AA102" s="35"/>
      <c r="AB102" s="35"/>
      <c r="AC102" s="35"/>
      <c r="AD102" s="35"/>
      <c r="AE102" s="35">
        <f>IF(AE49&lt;&gt;"", AE49-'105'!AE49-$AK$111, "")</f>
        <v>-1.3622220574404764E-2</v>
      </c>
      <c r="AF102" s="35">
        <f>IF(AF49&lt;&gt;"", AF49-'105'!AF49-$AK$111, "")</f>
        <v>4.7333333040455727E-3</v>
      </c>
      <c r="AG102" s="35"/>
      <c r="AH102" s="35"/>
      <c r="AI102" s="35"/>
      <c r="AJ102" s="35"/>
      <c r="AK102" s="21">
        <f t="shared" si="14"/>
        <v>-8.199999999993679E-2</v>
      </c>
      <c r="AL102" s="21">
        <f t="shared" si="15"/>
        <v>8.199999999993679E-2</v>
      </c>
      <c r="AP102" s="36">
        <f>$Q49-'105'!$Q49-$AK$111</f>
        <v>4.7333333040455727E-3</v>
      </c>
    </row>
    <row r="103" spans="19:51">
      <c r="S103" s="35"/>
      <c r="T103" s="35"/>
      <c r="U103" s="35"/>
      <c r="V103" s="35"/>
      <c r="W103" s="35"/>
      <c r="X103" s="35"/>
      <c r="Y103" s="35"/>
      <c r="Z103" s="35"/>
      <c r="AA103" s="35"/>
      <c r="AB103" s="35"/>
      <c r="AC103" s="35"/>
      <c r="AD103" s="35"/>
      <c r="AE103" s="35"/>
      <c r="AF103" s="35">
        <f>IF(AF50&lt;&gt;"", AF50-'105'!AF50-$AK$111, "")</f>
        <v>4.7333333040455727E-3</v>
      </c>
      <c r="AG103" s="35">
        <f>IF(AG50&lt;&gt;"", AG50-'105'!AG50-$AK$111, "")</f>
        <v>2.022226662063531E-3</v>
      </c>
      <c r="AH103" s="35"/>
      <c r="AI103" s="35"/>
      <c r="AJ103" s="35"/>
      <c r="AK103" s="21">
        <f t="shared" si="14"/>
        <v>-8.199999999993679E-2</v>
      </c>
      <c r="AL103" s="21">
        <f t="shared" si="15"/>
        <v>8.199999999993679E-2</v>
      </c>
      <c r="AP103" s="36">
        <f>$Q50-'105'!$Q50-$AK$111</f>
        <v>2.022226662063531E-3</v>
      </c>
    </row>
    <row r="104" spans="19:51">
      <c r="S104" s="35"/>
      <c r="T104" s="35"/>
      <c r="U104" s="35"/>
      <c r="V104" s="35"/>
      <c r="W104" s="35"/>
      <c r="X104" s="35"/>
      <c r="Y104" s="35"/>
      <c r="Z104" s="35"/>
      <c r="AA104" s="35"/>
      <c r="AB104" s="35"/>
      <c r="AC104" s="35"/>
      <c r="AD104" s="35"/>
      <c r="AE104" s="35"/>
      <c r="AF104" s="35"/>
      <c r="AG104" s="35">
        <f>IF(AG51&lt;&gt;"", AG51-'105'!AG51-$AK$111, "")</f>
        <v>2.022226662063531E-3</v>
      </c>
      <c r="AH104" s="35">
        <f>IF(AH51&lt;&gt;"", AH51-'105'!AH51-$AK$111, "")</f>
        <v>-1.5722209655166353E-2</v>
      </c>
      <c r="AI104" s="35"/>
      <c r="AJ104" s="35"/>
      <c r="AK104" s="21">
        <f t="shared" si="14"/>
        <v>-8.199999999993679E-2</v>
      </c>
      <c r="AL104" s="21">
        <f t="shared" si="15"/>
        <v>8.199999999993679E-2</v>
      </c>
      <c r="AM104" s="38"/>
      <c r="AP104" s="36">
        <f>$Q51-'105'!$Q51-$AK$111</f>
        <v>-1.5722209655166353E-2</v>
      </c>
    </row>
    <row r="105" spans="19:51">
      <c r="S105" s="35"/>
      <c r="T105" s="35"/>
      <c r="U105" s="35"/>
      <c r="V105" s="35"/>
      <c r="W105" s="35"/>
      <c r="X105" s="35"/>
      <c r="Y105" s="35"/>
      <c r="Z105" s="35"/>
      <c r="AA105" s="35"/>
      <c r="AB105" s="35"/>
      <c r="AC105" s="35"/>
      <c r="AD105" s="35"/>
      <c r="AE105" s="35"/>
      <c r="AF105" s="35"/>
      <c r="AG105" s="35"/>
      <c r="AH105" s="35">
        <f>IF(AH52&lt;&gt;"", AH52-'105'!AH52-$AK$111, "")</f>
        <v>-1.5722209655166353E-2</v>
      </c>
      <c r="AI105" s="35">
        <f>IF(AI52&lt;&gt;"", AI52-'105'!AI52-$AK$111, "")</f>
        <v>-2.8133324647171776E-2</v>
      </c>
      <c r="AJ105" s="35"/>
      <c r="AK105" s="21">
        <f t="shared" si="14"/>
        <v>-8.199999999993679E-2</v>
      </c>
      <c r="AL105" s="21">
        <f t="shared" si="15"/>
        <v>8.199999999993679E-2</v>
      </c>
      <c r="AM105" s="38"/>
      <c r="AN105" s="38"/>
      <c r="AP105" s="36">
        <f>$Q52-'105'!$Q52-$AK$111</f>
        <v>-2.8133324647171776E-2</v>
      </c>
    </row>
    <row r="106" spans="19:51">
      <c r="S106" s="39"/>
      <c r="T106" s="39"/>
      <c r="U106" s="39"/>
      <c r="V106" s="39"/>
      <c r="W106" s="39"/>
      <c r="X106" s="39"/>
      <c r="Y106" s="39"/>
      <c r="Z106" s="39"/>
      <c r="AA106" s="39"/>
      <c r="AB106" s="39"/>
      <c r="AC106" s="39"/>
      <c r="AD106" s="39"/>
      <c r="AE106" s="39"/>
      <c r="AF106" s="39"/>
      <c r="AG106" s="39"/>
      <c r="AH106" s="39"/>
      <c r="AI106" s="39">
        <f>IF(AI53&lt;&gt;"", AI53-'105'!AI53-$AK$111, "")</f>
        <v>-2.8133324647171776E-2</v>
      </c>
      <c r="AJ106" s="39">
        <f>IF(AJ53&lt;&gt;"", AJ53-'105'!AJ53-$AK$111, "")</f>
        <v>-1.4777772125853517E-3</v>
      </c>
      <c r="AK106" s="21">
        <f t="shared" si="14"/>
        <v>-8.199999999993679E-2</v>
      </c>
      <c r="AL106" s="21">
        <f t="shared" si="15"/>
        <v>8.199999999993679E-2</v>
      </c>
      <c r="AN106" s="38"/>
      <c r="AO106" s="38"/>
      <c r="AP106" s="36">
        <f>$Q53-'105'!$Q53-$AK$111</f>
        <v>-1.4777772125853517E-3</v>
      </c>
    </row>
    <row r="107" spans="19:51">
      <c r="Z107" s="40"/>
      <c r="AA107" s="41"/>
      <c r="AB107" s="41"/>
      <c r="AC107" s="42"/>
      <c r="AD107" s="37"/>
      <c r="AE107" s="37"/>
      <c r="AF107" s="37"/>
      <c r="AO107" s="38"/>
      <c r="AP107" s="38"/>
    </row>
    <row r="108" spans="19:51">
      <c r="Z108" s="40"/>
      <c r="AA108" s="41"/>
      <c r="AB108" s="41"/>
      <c r="AC108" s="42"/>
      <c r="AD108" s="37"/>
      <c r="AE108" s="37"/>
      <c r="AF108" s="37"/>
      <c r="AK108" s="2" t="s">
        <v>355</v>
      </c>
      <c r="AL108" s="2" t="s">
        <v>356</v>
      </c>
      <c r="AP108" s="38"/>
      <c r="AQ108" s="37"/>
    </row>
    <row r="109" spans="19:51">
      <c r="Z109" s="40"/>
      <c r="AA109" s="41"/>
      <c r="AB109" s="41"/>
      <c r="AC109" s="42"/>
      <c r="AD109" s="37"/>
      <c r="AE109" s="37"/>
      <c r="AF109" s="37"/>
      <c r="AK109" s="52">
        <f>AK$36-'105'!AL$36</f>
        <v>3.0180000000000291</v>
      </c>
      <c r="AL109" s="52">
        <f>AL$36-'105'!AK$36</f>
        <v>3.1819999999999027</v>
      </c>
      <c r="AQ109" s="37"/>
      <c r="AR109" s="37"/>
    </row>
    <row r="110" spans="19:51">
      <c r="Z110" s="40"/>
      <c r="AA110" s="41"/>
      <c r="AB110" s="41"/>
      <c r="AC110" s="42"/>
      <c r="AD110" s="37"/>
      <c r="AE110" s="37"/>
      <c r="AF110" s="37"/>
      <c r="AK110" s="2" t="s">
        <v>357</v>
      </c>
      <c r="AL110" s="43"/>
      <c r="AR110" s="37"/>
      <c r="AS110" s="37"/>
    </row>
    <row r="111" spans="19:51">
      <c r="Z111" s="40"/>
      <c r="AA111" s="41"/>
      <c r="AB111" s="41"/>
      <c r="AC111" s="42"/>
      <c r="AD111" s="37"/>
      <c r="AE111" s="37"/>
      <c r="AF111" s="37"/>
      <c r="AK111" s="43">
        <f>AVERAGE(AK109:AL109)</f>
        <v>3.0999999999999659</v>
      </c>
      <c r="AL111" s="43"/>
      <c r="AS111" s="37"/>
      <c r="AT111" s="37"/>
    </row>
    <row r="112" spans="19:51">
      <c r="Z112" s="40"/>
      <c r="AA112" s="41"/>
      <c r="AB112" s="41"/>
      <c r="AC112" s="42"/>
      <c r="AD112" s="37"/>
      <c r="AE112" s="37"/>
      <c r="AF112" s="37"/>
      <c r="AT112" s="37"/>
      <c r="AU112" s="37"/>
    </row>
    <row r="113" spans="26:51">
      <c r="Z113" s="40"/>
      <c r="AA113" s="41"/>
      <c r="AB113" s="41"/>
      <c r="AC113" s="42"/>
      <c r="AD113" s="37"/>
      <c r="AE113" s="37"/>
      <c r="AF113" s="37"/>
      <c r="AU113" s="37"/>
      <c r="AV113" s="37"/>
    </row>
    <row r="114" spans="26:51">
      <c r="Z114" s="40"/>
      <c r="AA114" s="41"/>
      <c r="AB114" s="41"/>
      <c r="AC114" s="42"/>
      <c r="AD114" s="37"/>
      <c r="AE114" s="37"/>
      <c r="AF114" s="37"/>
      <c r="AV114" s="37"/>
      <c r="AW114" s="37"/>
    </row>
    <row r="115" spans="26:51">
      <c r="Z115" s="40"/>
      <c r="AA115" s="41"/>
      <c r="AB115" s="41"/>
      <c r="AC115" s="42"/>
      <c r="AD115" s="37"/>
      <c r="AE115" s="37"/>
      <c r="AF115" s="37"/>
      <c r="AW115" s="37"/>
      <c r="AX115" s="37"/>
    </row>
    <row r="116" spans="26:51">
      <c r="Z116" s="40"/>
      <c r="AA116" s="41"/>
      <c r="AB116" s="41"/>
      <c r="AC116" s="42"/>
      <c r="AD116" s="37"/>
      <c r="AE116" s="37"/>
      <c r="AF116" s="37"/>
      <c r="AX116" s="37"/>
      <c r="AY116" s="37"/>
    </row>
    <row r="117" spans="26:51">
      <c r="Z117" s="40"/>
      <c r="AA117" s="40"/>
      <c r="AB117" s="40"/>
      <c r="AC117" s="40"/>
      <c r="AD117" s="37"/>
      <c r="AE117" s="37"/>
      <c r="AF117" s="37"/>
    </row>
    <row r="134" spans="8:25">
      <c r="H134" s="43"/>
      <c r="I134" s="43"/>
      <c r="J134" s="6"/>
      <c r="K134" s="6"/>
      <c r="L134" s="6"/>
      <c r="M134" s="6"/>
      <c r="N134" s="6"/>
      <c r="O134" s="43"/>
      <c r="P134" s="43"/>
      <c r="Q134" s="43"/>
      <c r="R134" s="43"/>
      <c r="S134" s="43"/>
      <c r="T134" s="43"/>
      <c r="U134" s="43"/>
      <c r="V134" s="43"/>
      <c r="W134" s="43"/>
      <c r="X134" s="43"/>
    </row>
    <row r="135" spans="8:25">
      <c r="H135" s="43"/>
      <c r="I135" s="43"/>
      <c r="J135" s="44"/>
      <c r="K135" s="6"/>
      <c r="L135" s="6"/>
      <c r="M135" s="6"/>
      <c r="N135" s="6"/>
      <c r="O135" s="43"/>
      <c r="P135" s="43"/>
      <c r="Q135" s="43"/>
      <c r="R135" s="43"/>
      <c r="S135" s="43"/>
      <c r="T135" s="43"/>
      <c r="U135" s="43"/>
      <c r="V135" s="43"/>
      <c r="W135" s="43"/>
      <c r="X135" s="43"/>
    </row>
    <row r="136" spans="8:25">
      <c r="H136" s="43"/>
      <c r="I136" s="43"/>
      <c r="J136" s="45"/>
      <c r="K136" s="45"/>
      <c r="L136" s="45"/>
      <c r="M136" s="45"/>
      <c r="N136" s="46"/>
      <c r="O136" s="46"/>
      <c r="P136" s="6"/>
      <c r="Q136" s="43"/>
      <c r="R136" s="43"/>
      <c r="S136" s="43"/>
      <c r="T136" s="43"/>
      <c r="U136" s="43"/>
      <c r="V136" s="43"/>
      <c r="W136" s="43"/>
      <c r="X136" s="43"/>
    </row>
    <row r="137" spans="8:25">
      <c r="H137" s="43"/>
      <c r="I137" s="6"/>
      <c r="J137" s="45"/>
      <c r="K137" s="6"/>
      <c r="L137" s="6"/>
      <c r="M137" s="6"/>
      <c r="N137" s="6"/>
      <c r="O137" s="6"/>
      <c r="P137" s="45"/>
      <c r="Q137" s="43"/>
      <c r="R137" s="43"/>
      <c r="S137" s="43"/>
      <c r="T137" s="43"/>
      <c r="U137" s="43"/>
      <c r="V137" s="43"/>
      <c r="W137" s="43"/>
      <c r="X137" s="43"/>
    </row>
    <row r="138" spans="8:25">
      <c r="H138" s="43"/>
      <c r="I138" s="6"/>
      <c r="J138" s="45"/>
      <c r="K138" s="6"/>
      <c r="L138" s="6"/>
      <c r="M138" s="6"/>
      <c r="N138" s="6"/>
      <c r="O138" s="6"/>
      <c r="P138" s="45"/>
      <c r="Q138" s="43"/>
      <c r="R138" s="43"/>
      <c r="S138" s="43"/>
      <c r="T138" s="43"/>
      <c r="U138" s="43"/>
      <c r="V138" s="43"/>
      <c r="W138" s="43"/>
      <c r="X138" s="43"/>
      <c r="Y138" s="42"/>
    </row>
    <row r="139" spans="8:25">
      <c r="H139" s="43"/>
      <c r="I139" s="6"/>
      <c r="J139" s="45"/>
      <c r="K139" s="6"/>
      <c r="L139" s="6"/>
      <c r="M139" s="6"/>
      <c r="N139" s="6"/>
      <c r="O139" s="6"/>
      <c r="P139" s="45"/>
      <c r="Q139" s="43"/>
      <c r="R139" s="43"/>
      <c r="S139" s="43"/>
      <c r="T139" s="43"/>
      <c r="U139" s="43"/>
      <c r="V139" s="43"/>
      <c r="W139" s="43"/>
      <c r="X139" s="43"/>
      <c r="Y139" s="42"/>
    </row>
    <row r="140" spans="8:25">
      <c r="H140" s="43"/>
      <c r="I140" s="6"/>
      <c r="J140" s="45"/>
      <c r="K140" s="6"/>
      <c r="L140" s="6"/>
      <c r="M140" s="6"/>
      <c r="N140" s="6"/>
      <c r="O140" s="6"/>
      <c r="P140" s="45"/>
      <c r="Q140" s="43"/>
      <c r="R140" s="43"/>
      <c r="S140" s="43"/>
      <c r="T140" s="43"/>
      <c r="U140" s="43"/>
      <c r="V140" s="43"/>
      <c r="W140" s="43"/>
      <c r="X140" s="43"/>
      <c r="Y140" s="42"/>
    </row>
    <row r="141" spans="8:25">
      <c r="H141" s="43"/>
      <c r="I141" s="6"/>
      <c r="J141" s="45"/>
      <c r="K141" s="6"/>
      <c r="L141" s="6"/>
      <c r="M141" s="6"/>
      <c r="N141" s="6"/>
      <c r="O141" s="6"/>
      <c r="P141" s="45"/>
      <c r="Q141" s="43"/>
      <c r="R141" s="43"/>
      <c r="S141" s="43"/>
      <c r="T141" s="43"/>
      <c r="U141" s="43"/>
      <c r="V141" s="43"/>
      <c r="W141" s="43"/>
      <c r="X141" s="43"/>
      <c r="Y141" s="42"/>
    </row>
    <row r="142" spans="8:25">
      <c r="H142" s="43"/>
      <c r="I142" s="6"/>
      <c r="J142" s="45"/>
      <c r="K142" s="6"/>
      <c r="L142" s="6"/>
      <c r="M142" s="6"/>
      <c r="N142" s="6"/>
      <c r="O142" s="6"/>
      <c r="P142" s="45"/>
      <c r="Q142" s="43"/>
      <c r="R142" s="43"/>
      <c r="S142" s="43"/>
      <c r="T142" s="43"/>
      <c r="U142" s="43"/>
      <c r="V142" s="43"/>
      <c r="W142" s="43"/>
      <c r="X142" s="43"/>
      <c r="Y142" s="42"/>
    </row>
    <row r="143" spans="8:25">
      <c r="H143" s="43"/>
      <c r="I143" s="6"/>
      <c r="J143" s="45"/>
      <c r="K143" s="6"/>
      <c r="L143" s="6"/>
      <c r="M143" s="6"/>
      <c r="N143" s="6"/>
      <c r="O143" s="6"/>
      <c r="P143" s="45"/>
      <c r="Q143" s="43"/>
      <c r="R143" s="43"/>
      <c r="S143" s="43"/>
      <c r="T143" s="43"/>
      <c r="U143" s="43"/>
      <c r="V143" s="43"/>
      <c r="W143" s="43"/>
      <c r="X143" s="43"/>
      <c r="Y143" s="42"/>
    </row>
    <row r="144" spans="8:25">
      <c r="H144" s="43"/>
      <c r="I144" s="6"/>
      <c r="J144" s="45"/>
      <c r="K144" s="6"/>
      <c r="L144" s="6"/>
      <c r="M144" s="6"/>
      <c r="N144" s="6"/>
      <c r="O144" s="6"/>
      <c r="P144" s="45"/>
      <c r="Q144" s="43"/>
      <c r="R144" s="43"/>
      <c r="S144" s="43"/>
      <c r="T144" s="43"/>
      <c r="U144" s="43"/>
      <c r="V144" s="43"/>
      <c r="W144" s="43"/>
      <c r="X144" s="43"/>
      <c r="Y144" s="42"/>
    </row>
    <row r="145" spans="8:25">
      <c r="H145" s="43"/>
      <c r="I145" s="6"/>
      <c r="J145" s="45"/>
      <c r="K145" s="6"/>
      <c r="L145" s="6"/>
      <c r="M145" s="6"/>
      <c r="N145" s="6"/>
      <c r="O145" s="6"/>
      <c r="P145" s="45"/>
      <c r="Q145" s="43"/>
      <c r="R145" s="43"/>
      <c r="S145" s="43"/>
      <c r="T145" s="43"/>
      <c r="U145" s="43"/>
      <c r="V145" s="43"/>
      <c r="W145" s="43"/>
      <c r="X145" s="43"/>
      <c r="Y145" s="42"/>
    </row>
    <row r="146" spans="8:25">
      <c r="H146" s="43"/>
      <c r="I146" s="6"/>
      <c r="J146" s="45"/>
      <c r="K146" s="6"/>
      <c r="L146" s="6"/>
      <c r="M146" s="6"/>
      <c r="N146" s="6"/>
      <c r="O146" s="6"/>
      <c r="P146" s="45"/>
      <c r="Q146" s="43"/>
      <c r="R146" s="43"/>
      <c r="S146" s="43"/>
      <c r="T146" s="43"/>
      <c r="U146" s="43"/>
      <c r="V146" s="43"/>
      <c r="W146" s="43"/>
      <c r="X146" s="43"/>
      <c r="Y146" s="42"/>
    </row>
    <row r="147" spans="8:25">
      <c r="H147" s="43"/>
      <c r="I147" s="6"/>
      <c r="J147" s="45"/>
      <c r="K147" s="6"/>
      <c r="L147" s="6"/>
      <c r="M147" s="6"/>
      <c r="N147" s="6"/>
      <c r="O147" s="6"/>
      <c r="P147" s="45"/>
      <c r="Q147" s="43"/>
      <c r="R147" s="43"/>
      <c r="S147" s="43"/>
      <c r="T147" s="43"/>
      <c r="U147" s="43"/>
      <c r="V147" s="43"/>
      <c r="W147" s="43"/>
      <c r="X147" s="43"/>
      <c r="Y147" s="42"/>
    </row>
    <row r="148" spans="8:25">
      <c r="H148" s="43"/>
      <c r="I148" s="6"/>
      <c r="J148" s="45"/>
      <c r="K148" s="6"/>
      <c r="L148" s="6"/>
      <c r="M148" s="6"/>
      <c r="N148" s="6"/>
      <c r="O148" s="6"/>
      <c r="P148" s="45"/>
      <c r="Q148" s="43"/>
      <c r="R148" s="43"/>
      <c r="S148" s="43"/>
      <c r="T148" s="43"/>
      <c r="U148" s="43"/>
      <c r="V148" s="43"/>
      <c r="W148" s="43"/>
      <c r="X148" s="43"/>
      <c r="Y148" s="42"/>
    </row>
    <row r="149" spans="8:25">
      <c r="H149" s="43"/>
      <c r="I149" s="6"/>
      <c r="J149" s="45"/>
      <c r="K149" s="6"/>
      <c r="L149" s="6"/>
      <c r="M149" s="6"/>
      <c r="N149" s="6"/>
      <c r="O149" s="6"/>
      <c r="P149" s="45"/>
      <c r="Q149" s="43"/>
      <c r="R149" s="43"/>
      <c r="S149" s="43"/>
      <c r="T149" s="43"/>
      <c r="U149" s="43"/>
      <c r="V149" s="43"/>
      <c r="W149" s="43"/>
      <c r="X149" s="43"/>
      <c r="Y149" s="42"/>
    </row>
    <row r="150" spans="8:25">
      <c r="H150" s="43"/>
      <c r="I150" s="6"/>
      <c r="J150" s="45"/>
      <c r="K150" s="6"/>
      <c r="L150" s="6"/>
      <c r="M150" s="6"/>
      <c r="N150" s="6"/>
      <c r="O150" s="6"/>
      <c r="P150" s="45"/>
      <c r="Q150" s="43"/>
      <c r="R150" s="43"/>
      <c r="S150" s="43"/>
      <c r="T150" s="43"/>
      <c r="U150" s="43"/>
      <c r="V150" s="43"/>
      <c r="W150" s="43"/>
      <c r="X150" s="43"/>
      <c r="Y150" s="42"/>
    </row>
    <row r="151" spans="8:25">
      <c r="H151" s="43"/>
      <c r="I151" s="6"/>
      <c r="J151" s="45"/>
      <c r="K151" s="6"/>
      <c r="L151" s="6"/>
      <c r="M151" s="6"/>
      <c r="N151" s="6"/>
      <c r="O151" s="6"/>
      <c r="P151" s="45"/>
      <c r="Q151" s="43"/>
      <c r="R151" s="43"/>
      <c r="S151" s="43"/>
      <c r="T151" s="43"/>
      <c r="U151" s="43"/>
      <c r="V151" s="43"/>
      <c r="W151" s="43"/>
      <c r="X151" s="43"/>
      <c r="Y151" s="42"/>
    </row>
    <row r="152" spans="8:25">
      <c r="H152" s="43"/>
      <c r="I152" s="6"/>
      <c r="J152" s="45"/>
      <c r="K152" s="6"/>
      <c r="L152" s="6"/>
      <c r="M152" s="6"/>
      <c r="N152" s="6"/>
      <c r="O152" s="6"/>
      <c r="P152" s="45"/>
      <c r="Q152" s="43"/>
      <c r="R152" s="43"/>
      <c r="S152" s="43"/>
      <c r="T152" s="43"/>
      <c r="U152" s="43"/>
      <c r="V152" s="43"/>
      <c r="W152" s="43"/>
      <c r="X152" s="43"/>
      <c r="Y152" s="42"/>
    </row>
    <row r="153" spans="8:25">
      <c r="H153" s="43"/>
      <c r="I153" s="6"/>
      <c r="J153" s="6"/>
      <c r="K153" s="6"/>
      <c r="L153" s="6"/>
      <c r="M153" s="6"/>
      <c r="N153" s="6"/>
      <c r="O153" s="43"/>
      <c r="P153" s="43"/>
      <c r="Q153" s="43"/>
      <c r="R153" s="43"/>
      <c r="S153" s="43"/>
      <c r="T153" s="43"/>
      <c r="U153" s="43"/>
      <c r="V153" s="43"/>
      <c r="W153" s="43"/>
      <c r="X153" s="43"/>
      <c r="Y153" s="42"/>
    </row>
    <row r="154" spans="8:25">
      <c r="H154" s="43"/>
      <c r="I154" s="43"/>
      <c r="J154" s="6"/>
      <c r="K154" s="6"/>
      <c r="L154" s="6"/>
      <c r="M154" s="6"/>
      <c r="N154" s="6"/>
      <c r="O154" s="43"/>
      <c r="P154" s="43"/>
      <c r="Q154" s="43"/>
      <c r="R154" s="43"/>
      <c r="S154" s="43"/>
      <c r="T154" s="43"/>
      <c r="U154" s="43"/>
      <c r="V154" s="43"/>
      <c r="W154" s="43"/>
      <c r="X154" s="43"/>
      <c r="Y154" s="42"/>
    </row>
    <row r="155" spans="8:25">
      <c r="H155" s="43"/>
      <c r="I155" s="43"/>
      <c r="J155" s="6"/>
      <c r="K155" s="6"/>
      <c r="L155" s="6"/>
      <c r="M155" s="6"/>
      <c r="N155" s="6"/>
      <c r="O155" s="43"/>
      <c r="P155" s="43"/>
      <c r="Q155" s="43"/>
      <c r="R155" s="43"/>
      <c r="S155" s="43"/>
      <c r="T155" s="43"/>
      <c r="U155" s="43"/>
      <c r="V155" s="43"/>
      <c r="W155" s="43"/>
      <c r="X155" s="43"/>
      <c r="Y155" s="42"/>
    </row>
    <row r="156" spans="8:25">
      <c r="H156" s="43"/>
      <c r="I156" s="43"/>
      <c r="J156" s="6"/>
      <c r="K156" s="6"/>
      <c r="L156" s="6"/>
      <c r="M156" s="6"/>
      <c r="N156" s="6"/>
      <c r="O156" s="43"/>
      <c r="P156" s="43"/>
      <c r="Q156" s="43"/>
      <c r="R156" s="43"/>
      <c r="S156" s="43"/>
      <c r="T156" s="43"/>
      <c r="U156" s="43"/>
      <c r="V156" s="43"/>
      <c r="W156" s="43"/>
      <c r="X156" s="43"/>
      <c r="Y156" s="42"/>
    </row>
    <row r="157" spans="8:25">
      <c r="H157" s="43"/>
      <c r="I157" s="43"/>
      <c r="J157" s="6"/>
      <c r="K157" s="6"/>
      <c r="L157" s="6"/>
      <c r="M157" s="6"/>
      <c r="N157" s="6"/>
      <c r="O157" s="43"/>
      <c r="P157" s="43"/>
      <c r="Q157" s="43"/>
      <c r="R157" s="43"/>
      <c r="S157" s="43"/>
      <c r="T157" s="43"/>
      <c r="U157" s="43"/>
      <c r="V157" s="43"/>
      <c r="W157" s="43"/>
      <c r="X157" s="43"/>
    </row>
  </sheetData>
  <mergeCells count="1">
    <mergeCell ref="J9:J10"/>
  </mergeCells>
  <phoneticPr fontId="2"/>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92D050"/>
  </sheetPr>
  <dimension ref="A1:BD118"/>
  <sheetViews>
    <sheetView zoomScale="70" zoomScaleNormal="70" workbookViewId="0">
      <selection activeCell="T6" sqref="T6"/>
    </sheetView>
  </sheetViews>
  <sheetFormatPr defaultColWidth="9" defaultRowHeight="15"/>
  <cols>
    <col min="1" max="1" width="24.42578125" customWidth="1"/>
    <col min="2" max="7" width="9" customWidth="1"/>
    <col min="8" max="8" width="7" style="5" customWidth="1"/>
    <col min="9" max="9" width="9" style="5" customWidth="1"/>
    <col min="10" max="16384" width="9" style="5"/>
  </cols>
  <sheetData>
    <row r="1" spans="1:17">
      <c r="A1" s="90" t="s">
        <v>488</v>
      </c>
      <c r="B1" s="90"/>
      <c r="C1" s="90"/>
      <c r="D1" s="90"/>
      <c r="E1" s="90"/>
      <c r="F1" s="90"/>
      <c r="G1" s="90"/>
      <c r="H1" s="13"/>
      <c r="I1" s="13"/>
    </row>
    <row r="2" spans="1:17">
      <c r="A2" s="90" t="s">
        <v>449</v>
      </c>
      <c r="B2" s="90" t="s">
        <v>450</v>
      </c>
      <c r="C2" s="90">
        <v>722.798</v>
      </c>
      <c r="D2" s="90" t="s">
        <v>451</v>
      </c>
      <c r="E2" s="90">
        <v>722.8</v>
      </c>
      <c r="F2" s="90"/>
      <c r="G2" s="90"/>
      <c r="H2" s="13"/>
      <c r="I2" s="13"/>
    </row>
    <row r="3" spans="1:17">
      <c r="A3" s="90" t="s">
        <v>489</v>
      </c>
      <c r="B3" s="90" t="s">
        <v>408</v>
      </c>
      <c r="C3" s="90">
        <v>-2E-3</v>
      </c>
      <c r="D3" s="90" t="s">
        <v>453</v>
      </c>
      <c r="E3" s="90">
        <v>6.4000000000000001E-2</v>
      </c>
      <c r="F3" s="90" t="s">
        <v>406</v>
      </c>
      <c r="G3" s="90"/>
      <c r="H3" s="13"/>
      <c r="I3" s="13"/>
    </row>
    <row r="4" spans="1:17">
      <c r="A4" s="121" t="s">
        <v>490</v>
      </c>
      <c r="B4" s="90" t="s">
        <v>455</v>
      </c>
      <c r="C4" s="90">
        <v>-6.4000000000000001E-2</v>
      </c>
      <c r="D4" s="90"/>
      <c r="E4" s="90"/>
      <c r="F4" s="90"/>
      <c r="G4" s="90"/>
      <c r="H4" s="13"/>
      <c r="I4" s="13"/>
      <c r="J4" s="5" t="s">
        <v>64</v>
      </c>
    </row>
    <row r="5" spans="1:17">
      <c r="A5" s="90" t="s">
        <v>1034</v>
      </c>
      <c r="B5" s="90"/>
      <c r="C5" s="90" t="s">
        <v>411</v>
      </c>
      <c r="D5" s="90"/>
      <c r="E5" s="90"/>
      <c r="F5" s="90"/>
      <c r="G5" s="90"/>
      <c r="H5" s="13"/>
      <c r="I5" s="13"/>
      <c r="L5" s="6" t="s">
        <v>1</v>
      </c>
      <c r="M5" s="6">
        <v>722.8</v>
      </c>
      <c r="N5" s="5" t="s">
        <v>65</v>
      </c>
      <c r="O5"/>
      <c r="P5"/>
    </row>
    <row r="6" spans="1:17">
      <c r="A6" s="90" t="s">
        <v>412</v>
      </c>
      <c r="B6" s="90" t="s">
        <v>413</v>
      </c>
      <c r="C6" s="90">
        <v>361.38299999999998</v>
      </c>
      <c r="D6" s="90"/>
      <c r="E6" s="90"/>
      <c r="F6" s="90"/>
      <c r="G6" s="90"/>
      <c r="H6" s="13"/>
      <c r="I6" s="13"/>
      <c r="L6" s="6" t="s">
        <v>2</v>
      </c>
      <c r="M6" s="13">
        <f>M5+0.064</f>
        <v>722.86399999999992</v>
      </c>
      <c r="N6" s="5" t="s">
        <v>2</v>
      </c>
      <c r="O6" s="5">
        <v>722.96500000000003</v>
      </c>
      <c r="P6" s="47" t="str">
        <f>CONCATENATE("O/Max ", TEXT(O6-M6, "0.###"))</f>
        <v>O/Max 0.101</v>
      </c>
    </row>
    <row r="7" spans="1:17">
      <c r="A7" s="90" t="s">
        <v>491</v>
      </c>
      <c r="B7" s="90" t="s">
        <v>415</v>
      </c>
      <c r="C7" s="90">
        <v>1E-3</v>
      </c>
      <c r="D7" s="90"/>
      <c r="E7" s="90"/>
      <c r="F7" s="90"/>
      <c r="G7" s="90"/>
      <c r="H7" s="13"/>
      <c r="I7" s="13"/>
      <c r="L7" s="6" t="s">
        <v>3</v>
      </c>
      <c r="M7" s="13">
        <f>M5-0.064</f>
        <v>722.73599999999999</v>
      </c>
      <c r="N7" s="5" t="s">
        <v>3</v>
      </c>
      <c r="O7" s="5">
        <v>722.41899999999998</v>
      </c>
      <c r="P7" s="47" t="str">
        <f>CONCATENATE("U/Min ", TEXT(ABS(O7-M7), "0.###"))</f>
        <v>U/Min 0.317</v>
      </c>
    </row>
    <row r="8" spans="1:17">
      <c r="A8" s="121" t="s">
        <v>492</v>
      </c>
      <c r="B8" s="90" t="s">
        <v>417</v>
      </c>
      <c r="C8" s="90">
        <v>-207.041</v>
      </c>
      <c r="D8" s="90"/>
      <c r="E8" s="90"/>
      <c r="F8" s="90"/>
      <c r="G8" s="90"/>
      <c r="H8" s="13"/>
      <c r="I8" s="13"/>
    </row>
    <row r="9" spans="1:17">
      <c r="A9" s="90" t="s">
        <v>412</v>
      </c>
      <c r="B9" s="90" t="s">
        <v>413</v>
      </c>
      <c r="C9" s="90">
        <v>361.37299999999999</v>
      </c>
      <c r="D9" s="90"/>
      <c r="E9" s="90"/>
      <c r="F9" s="90"/>
      <c r="G9" s="90"/>
      <c r="I9" s="9" t="s">
        <v>66</v>
      </c>
      <c r="J9" s="144" t="s">
        <v>67</v>
      </c>
      <c r="K9" s="10" t="s">
        <v>6</v>
      </c>
      <c r="L9" s="10" t="s">
        <v>7</v>
      </c>
      <c r="M9" s="10" t="s">
        <v>8</v>
      </c>
      <c r="N9" s="13"/>
      <c r="O9" s="13"/>
      <c r="P9" s="11" t="s">
        <v>68</v>
      </c>
      <c r="Q9" s="13"/>
    </row>
    <row r="10" spans="1:17">
      <c r="A10" s="90" t="s">
        <v>493</v>
      </c>
      <c r="B10" s="90" t="s">
        <v>415</v>
      </c>
      <c r="C10" s="90">
        <v>-1E-3</v>
      </c>
      <c r="D10" s="90"/>
      <c r="E10" s="90"/>
      <c r="F10" s="90"/>
      <c r="G10" s="90"/>
      <c r="H10" s="9" t="s">
        <v>69</v>
      </c>
      <c r="I10" s="9" t="s">
        <v>70</v>
      </c>
      <c r="J10" s="145"/>
      <c r="K10" s="10" t="s">
        <v>12</v>
      </c>
      <c r="L10" s="10" t="s">
        <v>12</v>
      </c>
      <c r="M10" s="10" t="s">
        <v>12</v>
      </c>
      <c r="N10" s="13"/>
      <c r="O10" s="13"/>
      <c r="P10" s="11" t="s">
        <v>71</v>
      </c>
      <c r="Q10" s="13"/>
    </row>
    <row r="11" spans="1:17">
      <c r="A11" s="121" t="s">
        <v>494</v>
      </c>
      <c r="B11" s="90" t="s">
        <v>417</v>
      </c>
      <c r="C11" s="90">
        <v>-207.041</v>
      </c>
      <c r="D11" s="90"/>
      <c r="E11" s="90"/>
      <c r="F11" s="90"/>
      <c r="G11" s="90"/>
      <c r="H11" s="13">
        <v>1</v>
      </c>
      <c r="I11" s="13">
        <v>0</v>
      </c>
      <c r="J11" s="10">
        <v>1</v>
      </c>
      <c r="K11" s="14">
        <f>SQRT(C6^2+C7^2)</f>
        <v>361.38300000138355</v>
      </c>
      <c r="L11" s="141">
        <f>M$7/2-0.116/2</f>
        <v>361.31</v>
      </c>
      <c r="M11" s="141">
        <f>M$6/2+0.116/2</f>
        <v>361.48999999999995</v>
      </c>
      <c r="N11" s="13"/>
      <c r="O11" s="13"/>
      <c r="P11" s="13">
        <f>K11+K19</f>
        <v>722.74200000276721</v>
      </c>
      <c r="Q11" s="13"/>
    </row>
    <row r="12" spans="1:17">
      <c r="A12" s="90" t="s">
        <v>412</v>
      </c>
      <c r="B12" s="90" t="s">
        <v>413</v>
      </c>
      <c r="C12" s="90">
        <v>361.38</v>
      </c>
      <c r="D12" s="90"/>
      <c r="E12" s="90"/>
      <c r="F12" s="90"/>
      <c r="G12" s="90"/>
      <c r="H12" s="13">
        <v>2</v>
      </c>
      <c r="I12" s="13">
        <f>I11+360/16</f>
        <v>22.5</v>
      </c>
      <c r="J12" s="10">
        <v>16</v>
      </c>
      <c r="K12" s="16">
        <f>SQRT(C51^2+C52^2)</f>
        <v>361.39000002213675</v>
      </c>
      <c r="L12" s="141">
        <f>L$11</f>
        <v>361.31</v>
      </c>
      <c r="M12" s="141">
        <f>M$11</f>
        <v>361.48999999999995</v>
      </c>
      <c r="N12" s="13"/>
      <c r="O12" s="13"/>
      <c r="P12" s="13">
        <f t="shared" ref="P12:P18" si="0">K12+K20</f>
        <v>722.77600003458883</v>
      </c>
      <c r="Q12" s="13"/>
    </row>
    <row r="13" spans="1:17">
      <c r="A13" s="90" t="s">
        <v>495</v>
      </c>
      <c r="B13" s="90" t="s">
        <v>415</v>
      </c>
      <c r="C13" s="90">
        <v>3.0000000000000001E-3</v>
      </c>
      <c r="D13" s="90"/>
      <c r="E13" s="90"/>
      <c r="F13" s="90"/>
      <c r="G13" s="90"/>
      <c r="H13" s="13">
        <v>3</v>
      </c>
      <c r="I13" s="13">
        <f t="shared" ref="I13:I26" si="1">I12+360/16</f>
        <v>45</v>
      </c>
      <c r="J13" s="10">
        <v>15</v>
      </c>
      <c r="K13" s="16">
        <f>SQRT(C48^2+C49^2)</f>
        <v>361.38900000000001</v>
      </c>
      <c r="L13" s="141">
        <f t="shared" ref="L13:M26" si="2">L$11</f>
        <v>361.31</v>
      </c>
      <c r="M13" s="141">
        <f t="shared" si="2"/>
        <v>361.48999999999995</v>
      </c>
      <c r="N13" s="13"/>
      <c r="O13" s="13"/>
      <c r="P13" s="13">
        <f t="shared" si="0"/>
        <v>722.79000000553401</v>
      </c>
      <c r="Q13" s="13"/>
    </row>
    <row r="14" spans="1:17">
      <c r="A14" s="121" t="s">
        <v>496</v>
      </c>
      <c r="B14" s="90" t="s">
        <v>417</v>
      </c>
      <c r="C14" s="90">
        <v>-207.01499999999999</v>
      </c>
      <c r="D14" s="90"/>
      <c r="E14" s="90"/>
      <c r="F14" s="90"/>
      <c r="G14" s="90"/>
      <c r="H14" s="13">
        <v>4</v>
      </c>
      <c r="I14" s="13">
        <f t="shared" si="1"/>
        <v>67.5</v>
      </c>
      <c r="J14" s="10">
        <v>14</v>
      </c>
      <c r="K14" s="16">
        <f>SQRT(C45^2+C46^2)</f>
        <v>361.43000004980217</v>
      </c>
      <c r="L14" s="141">
        <f t="shared" si="2"/>
        <v>361.31</v>
      </c>
      <c r="M14" s="141">
        <f t="shared" si="2"/>
        <v>361.48999999999995</v>
      </c>
      <c r="N14" s="13"/>
      <c r="O14" s="13"/>
      <c r="P14" s="13">
        <f t="shared" si="0"/>
        <v>722.86700021718957</v>
      </c>
      <c r="Q14" s="13"/>
    </row>
    <row r="15" spans="1:17">
      <c r="A15" s="90" t="s">
        <v>412</v>
      </c>
      <c r="B15" s="90" t="s">
        <v>413</v>
      </c>
      <c r="C15" s="90">
        <v>361.42599999999999</v>
      </c>
      <c r="D15" s="90"/>
      <c r="E15" s="90"/>
      <c r="F15" s="90"/>
      <c r="G15" s="90"/>
      <c r="H15" s="13">
        <v>5</v>
      </c>
      <c r="I15" s="13">
        <f t="shared" si="1"/>
        <v>90</v>
      </c>
      <c r="J15" s="10">
        <v>13</v>
      </c>
      <c r="K15" s="16">
        <f>SQRT(C42^2+C43^2)</f>
        <v>361.4230000013834</v>
      </c>
      <c r="L15" s="141">
        <f t="shared" si="2"/>
        <v>361.31</v>
      </c>
      <c r="M15" s="141">
        <f t="shared" si="2"/>
        <v>361.48999999999995</v>
      </c>
      <c r="N15" s="13"/>
      <c r="O15" s="13"/>
      <c r="P15" s="13">
        <f t="shared" si="0"/>
        <v>722.8460000027668</v>
      </c>
      <c r="Q15" s="13"/>
    </row>
    <row r="16" spans="1:17">
      <c r="A16" s="90" t="s">
        <v>497</v>
      </c>
      <c r="B16" s="90" t="s">
        <v>415</v>
      </c>
      <c r="C16" s="90">
        <v>0</v>
      </c>
      <c r="D16" s="90"/>
      <c r="E16" s="90"/>
      <c r="F16" s="90"/>
      <c r="G16" s="90"/>
      <c r="H16" s="13">
        <v>6</v>
      </c>
      <c r="I16" s="13">
        <f t="shared" si="1"/>
        <v>112.5</v>
      </c>
      <c r="J16" s="10">
        <v>12</v>
      </c>
      <c r="K16" s="16">
        <f>SQRT(C39^2+C40^2)</f>
        <v>361.43300002213414</v>
      </c>
      <c r="L16" s="141">
        <f t="shared" si="2"/>
        <v>361.31</v>
      </c>
      <c r="M16" s="141">
        <f t="shared" si="2"/>
        <v>361.48999999999995</v>
      </c>
      <c r="N16" s="13"/>
      <c r="O16" s="13"/>
      <c r="P16" s="13">
        <f t="shared" si="0"/>
        <v>722.85900002213407</v>
      </c>
      <c r="Q16" s="13"/>
    </row>
    <row r="17" spans="1:19">
      <c r="A17" s="121" t="s">
        <v>498</v>
      </c>
      <c r="B17" s="90" t="s">
        <v>417</v>
      </c>
      <c r="C17" s="90">
        <v>-207.01499999999999</v>
      </c>
      <c r="D17" s="90"/>
      <c r="E17" s="90"/>
      <c r="F17" s="90"/>
      <c r="G17" s="90"/>
      <c r="H17" s="13">
        <v>7</v>
      </c>
      <c r="I17" s="13">
        <f t="shared" si="1"/>
        <v>135</v>
      </c>
      <c r="J17" s="10">
        <v>11</v>
      </c>
      <c r="K17" s="16">
        <f>SQRT(C36^2+C37^2)</f>
        <v>361.37300000138362</v>
      </c>
      <c r="L17" s="141">
        <f t="shared" si="2"/>
        <v>361.31</v>
      </c>
      <c r="M17" s="141">
        <f t="shared" si="2"/>
        <v>361.48999999999995</v>
      </c>
      <c r="N17" s="13"/>
      <c r="O17" s="13"/>
      <c r="P17" s="13">
        <f t="shared" si="0"/>
        <v>722.75300001383584</v>
      </c>
      <c r="Q17" s="13"/>
    </row>
    <row r="18" spans="1:19">
      <c r="A18" s="90" t="s">
        <v>412</v>
      </c>
      <c r="B18" s="90" t="s">
        <v>413</v>
      </c>
      <c r="C18" s="90">
        <v>361.423</v>
      </c>
      <c r="D18" s="90"/>
      <c r="E18" s="90"/>
      <c r="F18" s="90"/>
      <c r="G18" s="90"/>
      <c r="H18" s="13">
        <v>8</v>
      </c>
      <c r="I18" s="13">
        <f t="shared" si="1"/>
        <v>157.5</v>
      </c>
      <c r="J18" s="10">
        <v>10</v>
      </c>
      <c r="K18" s="16">
        <f>SQRT(C33^2+C34^2)</f>
        <v>361.36100001245291</v>
      </c>
      <c r="L18" s="141">
        <f t="shared" si="2"/>
        <v>361.31</v>
      </c>
      <c r="M18" s="141">
        <f t="shared" si="2"/>
        <v>361.48999999999995</v>
      </c>
      <c r="N18" s="13"/>
      <c r="O18" s="13"/>
      <c r="P18" s="13">
        <f t="shared" si="0"/>
        <v>722.73400001383652</v>
      </c>
      <c r="Q18" s="13"/>
    </row>
    <row r="19" spans="1:19">
      <c r="A19" s="90" t="s">
        <v>499</v>
      </c>
      <c r="B19" s="90" t="s">
        <v>415</v>
      </c>
      <c r="C19" s="90">
        <v>1E-3</v>
      </c>
      <c r="D19" s="90"/>
      <c r="E19" s="90"/>
      <c r="F19" s="90"/>
      <c r="G19" s="90"/>
      <c r="H19" s="13">
        <v>9</v>
      </c>
      <c r="I19" s="13">
        <f t="shared" si="1"/>
        <v>180</v>
      </c>
      <c r="J19" s="10">
        <v>9</v>
      </c>
      <c r="K19" s="16">
        <f>SQRT(C30^2+C31^2)</f>
        <v>361.35900000138366</v>
      </c>
      <c r="L19" s="141">
        <f t="shared" si="2"/>
        <v>361.31</v>
      </c>
      <c r="M19" s="141">
        <f t="shared" si="2"/>
        <v>361.48999999999995</v>
      </c>
      <c r="N19" s="13"/>
      <c r="O19" s="13"/>
      <c r="P19" s="13"/>
      <c r="Q19" s="13"/>
    </row>
    <row r="20" spans="1:19">
      <c r="A20" s="121" t="s">
        <v>500</v>
      </c>
      <c r="B20" s="90" t="s">
        <v>417</v>
      </c>
      <c r="C20" s="90">
        <v>-207.042</v>
      </c>
      <c r="D20" s="90"/>
      <c r="E20" s="90"/>
      <c r="F20" s="90"/>
      <c r="G20" s="90"/>
      <c r="H20" s="13">
        <v>10</v>
      </c>
      <c r="I20" s="13">
        <f t="shared" si="1"/>
        <v>202.5</v>
      </c>
      <c r="J20" s="10">
        <v>8</v>
      </c>
      <c r="K20" s="16">
        <f>SQRT(C27^2+C28^2)</f>
        <v>361.38600001245209</v>
      </c>
      <c r="L20" s="141">
        <f t="shared" si="2"/>
        <v>361.31</v>
      </c>
      <c r="M20" s="141">
        <f t="shared" si="2"/>
        <v>361.48999999999995</v>
      </c>
      <c r="N20" s="13"/>
      <c r="O20" s="13"/>
      <c r="P20" s="13">
        <f>MAX(P11:P18)</f>
        <v>722.86700021718957</v>
      </c>
      <c r="Q20" s="13" t="str">
        <f>IF(P20&gt;M6, CONCATENATE("O/Max ", TEXT(P20-M6, "0.000")), "-")</f>
        <v>O/Max 0.003</v>
      </c>
    </row>
    <row r="21" spans="1:19">
      <c r="A21" s="90" t="s">
        <v>412</v>
      </c>
      <c r="B21" s="90" t="s">
        <v>413</v>
      </c>
      <c r="C21" s="90">
        <v>361.43700000000001</v>
      </c>
      <c r="D21" s="90"/>
      <c r="E21" s="90"/>
      <c r="F21" s="90"/>
      <c r="G21" s="90"/>
      <c r="H21" s="13">
        <v>11</v>
      </c>
      <c r="I21" s="13">
        <f t="shared" si="1"/>
        <v>225</v>
      </c>
      <c r="J21" s="10">
        <v>7</v>
      </c>
      <c r="K21" s="16">
        <f>SQRT(C24^2+C25^2)</f>
        <v>361.401000005534</v>
      </c>
      <c r="L21" s="141">
        <f t="shared" si="2"/>
        <v>361.31</v>
      </c>
      <c r="M21" s="141">
        <f t="shared" si="2"/>
        <v>361.48999999999995</v>
      </c>
      <c r="N21" s="13"/>
      <c r="O21" s="13"/>
      <c r="P21" s="13">
        <f>MIN(P11:P18)</f>
        <v>722.73400001383652</v>
      </c>
      <c r="Q21" s="13" t="str">
        <f>IF(P21&lt;M7, CONCATENATE("U/Min ", TEXT(M7-P21, "0.000")), "-")</f>
        <v>U/Min 0.002</v>
      </c>
    </row>
    <row r="22" spans="1:19">
      <c r="A22" s="90" t="s">
        <v>501</v>
      </c>
      <c r="B22" s="90" t="s">
        <v>415</v>
      </c>
      <c r="C22" s="90">
        <v>-1.0999999999999999E-2</v>
      </c>
      <c r="D22" s="90"/>
      <c r="E22" s="90"/>
      <c r="F22" s="90"/>
      <c r="G22" s="90"/>
      <c r="H22" s="13">
        <v>12</v>
      </c>
      <c r="I22" s="13">
        <f t="shared" si="1"/>
        <v>247.5</v>
      </c>
      <c r="J22" s="10">
        <v>6</v>
      </c>
      <c r="K22" s="16">
        <f>SQRT(C21^2+C22^2)</f>
        <v>361.43700016738745</v>
      </c>
      <c r="L22" s="141">
        <f t="shared" si="2"/>
        <v>361.31</v>
      </c>
      <c r="M22" s="141">
        <f t="shared" si="2"/>
        <v>361.48999999999995</v>
      </c>
      <c r="N22" s="13"/>
      <c r="O22" s="13"/>
      <c r="P22" s="13"/>
      <c r="Q22" s="13"/>
    </row>
    <row r="23" spans="1:19">
      <c r="A23" s="121" t="s">
        <v>502</v>
      </c>
      <c r="B23" s="90" t="s">
        <v>417</v>
      </c>
      <c r="C23" s="90">
        <v>-207.042</v>
      </c>
      <c r="D23" s="90"/>
      <c r="E23" s="90"/>
      <c r="F23" s="90"/>
      <c r="G23" s="90"/>
      <c r="H23" s="13">
        <v>13</v>
      </c>
      <c r="I23" s="13">
        <f t="shared" si="1"/>
        <v>270</v>
      </c>
      <c r="J23" s="10">
        <v>5</v>
      </c>
      <c r="K23" s="16">
        <f>SQRT(C18^2+C19^2)</f>
        <v>361.4230000013834</v>
      </c>
      <c r="L23" s="141">
        <f t="shared" si="2"/>
        <v>361.31</v>
      </c>
      <c r="M23" s="141">
        <f t="shared" si="2"/>
        <v>361.48999999999995</v>
      </c>
      <c r="N23" s="13"/>
      <c r="O23" s="13"/>
      <c r="P23" s="13"/>
      <c r="Q23" s="13"/>
    </row>
    <row r="24" spans="1:19">
      <c r="A24" s="90" t="s">
        <v>412</v>
      </c>
      <c r="B24" s="90" t="s">
        <v>413</v>
      </c>
      <c r="C24" s="90">
        <v>361.40100000000001</v>
      </c>
      <c r="D24" s="90"/>
      <c r="E24" s="90"/>
      <c r="F24" s="90"/>
      <c r="G24" s="90"/>
      <c r="H24" s="13">
        <v>14</v>
      </c>
      <c r="I24" s="13">
        <f t="shared" si="1"/>
        <v>292.5</v>
      </c>
      <c r="J24" s="10">
        <v>4</v>
      </c>
      <c r="K24" s="16">
        <f>SQRT(C15^2+C16^2)</f>
        <v>361.42599999999999</v>
      </c>
      <c r="L24" s="141">
        <f t="shared" si="2"/>
        <v>361.31</v>
      </c>
      <c r="M24" s="141">
        <f t="shared" si="2"/>
        <v>361.48999999999995</v>
      </c>
      <c r="N24" s="13"/>
      <c r="O24" s="13"/>
      <c r="P24" s="13"/>
      <c r="Q24" s="13"/>
    </row>
    <row r="25" spans="1:19">
      <c r="A25" s="90" t="s">
        <v>503</v>
      </c>
      <c r="B25" s="90" t="s">
        <v>415</v>
      </c>
      <c r="C25" s="90">
        <v>2E-3</v>
      </c>
      <c r="D25" s="90"/>
      <c r="E25" s="90"/>
      <c r="F25" s="90"/>
      <c r="G25" s="90"/>
      <c r="H25" s="13">
        <v>15</v>
      </c>
      <c r="I25" s="13">
        <f t="shared" si="1"/>
        <v>315</v>
      </c>
      <c r="J25" s="10">
        <v>3</v>
      </c>
      <c r="K25" s="16">
        <f>SQRT(C12^2+C13^2)</f>
        <v>361.38000001245223</v>
      </c>
      <c r="L25" s="141">
        <f t="shared" si="2"/>
        <v>361.31</v>
      </c>
      <c r="M25" s="141">
        <f t="shared" si="2"/>
        <v>361.48999999999995</v>
      </c>
      <c r="N25" s="13"/>
      <c r="O25" s="13"/>
      <c r="P25" s="13"/>
      <c r="Q25" s="13"/>
    </row>
    <row r="26" spans="1:19">
      <c r="A26" s="121" t="s">
        <v>504</v>
      </c>
      <c r="B26" s="90" t="s">
        <v>417</v>
      </c>
      <c r="C26" s="90">
        <v>-207.03</v>
      </c>
      <c r="D26" s="90"/>
      <c r="E26" s="90"/>
      <c r="F26" s="90"/>
      <c r="G26" s="90"/>
      <c r="H26" s="13">
        <v>16</v>
      </c>
      <c r="I26" s="13">
        <f t="shared" si="1"/>
        <v>337.5</v>
      </c>
      <c r="J26" s="10">
        <v>2</v>
      </c>
      <c r="K26" s="16">
        <f>SQRT(C9^2+C10^2)</f>
        <v>361.37300000138362</v>
      </c>
      <c r="L26" s="141">
        <f t="shared" si="2"/>
        <v>361.31</v>
      </c>
      <c r="M26" s="141">
        <f t="shared" si="2"/>
        <v>361.48999999999995</v>
      </c>
      <c r="N26" s="13"/>
      <c r="O26" s="13"/>
      <c r="P26" s="13"/>
      <c r="Q26" s="13"/>
    </row>
    <row r="27" spans="1:19">
      <c r="A27" s="90" t="s">
        <v>412</v>
      </c>
      <c r="B27" s="90" t="s">
        <v>413</v>
      </c>
      <c r="C27" s="90">
        <v>361.38600000000002</v>
      </c>
      <c r="D27" s="90"/>
      <c r="E27" s="90"/>
      <c r="F27" s="90"/>
      <c r="G27" s="90"/>
      <c r="H27" s="13">
        <v>17</v>
      </c>
      <c r="I27" s="13">
        <v>360</v>
      </c>
      <c r="J27" s="10">
        <v>1</v>
      </c>
      <c r="K27" s="15">
        <f>K11</f>
        <v>361.38300000138355</v>
      </c>
      <c r="P27" s="19" t="s">
        <v>271</v>
      </c>
      <c r="Q27" s="19" t="str">
        <f>M30</f>
        <v>-</v>
      </c>
      <c r="R27" s="19"/>
    </row>
    <row r="28" spans="1:19">
      <c r="A28" s="90" t="s">
        <v>505</v>
      </c>
      <c r="B28" s="90" t="s">
        <v>415</v>
      </c>
      <c r="C28" s="90">
        <v>3.0000000000000001E-3</v>
      </c>
      <c r="D28" s="90"/>
      <c r="E28" s="90"/>
      <c r="F28" s="90"/>
      <c r="G28" s="90"/>
      <c r="J28" s="10" t="s">
        <v>72</v>
      </c>
      <c r="K28" s="16">
        <f>MAX(K11:K26)</f>
        <v>361.43700016738745</v>
      </c>
      <c r="L28" s="15">
        <f>K28*2</f>
        <v>722.87400033477491</v>
      </c>
      <c r="M28" s="15" t="str">
        <f>IF(K28&gt;M26, "O/Max "&amp;TEXT(2*K28-2*M26, "0.000"), "-")</f>
        <v>-</v>
      </c>
      <c r="P28" s="19" t="s">
        <v>60</v>
      </c>
      <c r="Q28" s="19" t="str">
        <f>M28</f>
        <v>-</v>
      </c>
      <c r="R28" s="19"/>
    </row>
    <row r="29" spans="1:19">
      <c r="A29" s="121" t="s">
        <v>506</v>
      </c>
      <c r="B29" s="90" t="s">
        <v>417</v>
      </c>
      <c r="C29" s="90">
        <v>-207.03</v>
      </c>
      <c r="D29" s="90"/>
      <c r="E29" s="90"/>
      <c r="F29" s="90"/>
      <c r="G29" s="90"/>
      <c r="J29" s="10" t="s">
        <v>15</v>
      </c>
      <c r="K29" s="16">
        <f>MIN(K11:K26)</f>
        <v>361.35900000138366</v>
      </c>
      <c r="L29" s="15">
        <f>K29*2</f>
        <v>722.71800000276733</v>
      </c>
      <c r="M29" s="15" t="str">
        <f>IF(K29&lt;L26, "U/Min "&amp;TEXT(2*L26-2*K29, "0.000"), "-")</f>
        <v>-</v>
      </c>
      <c r="O29" s="5" t="s">
        <v>73</v>
      </c>
      <c r="P29" s="19" t="s">
        <v>62</v>
      </c>
      <c r="Q29" s="19" t="str">
        <f>M29</f>
        <v>-</v>
      </c>
      <c r="R29" s="19"/>
    </row>
    <row r="30" spans="1:19">
      <c r="A30" s="90" t="s">
        <v>412</v>
      </c>
      <c r="B30" s="90" t="s">
        <v>413</v>
      </c>
      <c r="C30" s="90">
        <v>361.35899999999998</v>
      </c>
      <c r="D30" s="90"/>
      <c r="E30" s="90"/>
      <c r="F30" s="90"/>
      <c r="G30" s="90"/>
      <c r="J30" s="10" t="s">
        <v>17</v>
      </c>
      <c r="K30" s="16">
        <f>AVERAGE(K11:K26)*2</f>
        <v>722.79587503908169</v>
      </c>
      <c r="L30" s="15"/>
      <c r="M30" s="15" t="str">
        <f>IF(K30&gt;M6, "O/Max "&amp;TEXT(K30-M6, "0.000"), IF(K30&lt;M7, "U/Min "&amp;TEXT(M7-K30, "0.000"), "-"))</f>
        <v>-</v>
      </c>
      <c r="O30" s="15" t="str">
        <f>IF(K30&gt;O6, CONCATENATE("O/Max ", TEXT(M30-O6, "0.000")), IF(M30&lt;O7, CONCATENATE("U/Min ", TEXT(O7-M30, "0.000")), "-"))</f>
        <v>-</v>
      </c>
      <c r="P30" s="19" t="s">
        <v>18</v>
      </c>
      <c r="Q30" s="19" t="str">
        <f>M31</f>
        <v>-</v>
      </c>
      <c r="R30" s="19"/>
    </row>
    <row r="31" spans="1:19">
      <c r="A31" s="90" t="s">
        <v>507</v>
      </c>
      <c r="B31" s="90" t="s">
        <v>415</v>
      </c>
      <c r="C31" s="90">
        <v>1E-3</v>
      </c>
      <c r="D31" s="90"/>
      <c r="E31" s="90"/>
      <c r="F31" s="90"/>
      <c r="G31" s="90"/>
      <c r="J31" s="10" t="s">
        <v>18</v>
      </c>
      <c r="K31" s="18">
        <f>K28-K29</f>
        <v>7.8000166003789673E-2</v>
      </c>
      <c r="L31" s="15"/>
      <c r="M31" s="15" t="str">
        <f>IF(K31&gt;0.13, "O/Max "&amp;TEXT(K31-0.13, "0.000"), "-")</f>
        <v>-</v>
      </c>
      <c r="N31" s="5" t="s">
        <v>20</v>
      </c>
    </row>
    <row r="32" spans="1:19">
      <c r="A32" s="121" t="s">
        <v>508</v>
      </c>
      <c r="B32" s="90" t="s">
        <v>417</v>
      </c>
      <c r="C32" s="90">
        <v>-207.012</v>
      </c>
      <c r="D32" s="90"/>
      <c r="E32" s="90"/>
      <c r="F32" s="90"/>
      <c r="G32" s="90"/>
      <c r="J32" s="13"/>
      <c r="K32" s="13"/>
      <c r="L32" s="13"/>
      <c r="M32" s="13"/>
      <c r="N32" s="13"/>
      <c r="O32" s="13"/>
      <c r="P32" s="13"/>
      <c r="Q32" s="13"/>
      <c r="R32" s="13"/>
      <c r="S32" s="19" t="s">
        <v>74</v>
      </c>
    </row>
    <row r="33" spans="1:56">
      <c r="A33" s="90" t="s">
        <v>412</v>
      </c>
      <c r="B33" s="90" t="s">
        <v>413</v>
      </c>
      <c r="C33" s="90">
        <v>361.36099999999999</v>
      </c>
      <c r="D33" s="90"/>
      <c r="E33" s="90"/>
      <c r="F33" s="90"/>
      <c r="G33" s="90"/>
      <c r="J33" s="5" t="s">
        <v>75</v>
      </c>
      <c r="M33" s="5" t="s">
        <v>52</v>
      </c>
      <c r="N33" s="5">
        <f>360/36</f>
        <v>10</v>
      </c>
      <c r="O33" s="9" t="s">
        <v>24</v>
      </c>
      <c r="P33" s="5" t="s">
        <v>26</v>
      </c>
      <c r="Q33" s="5">
        <v>-1</v>
      </c>
      <c r="R33" s="9" t="s">
        <v>24</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v>24</v>
      </c>
      <c r="AQ33" s="5">
        <v>25</v>
      </c>
      <c r="AR33" s="5">
        <v>26</v>
      </c>
      <c r="AS33" s="5">
        <v>27</v>
      </c>
      <c r="AT33" s="5">
        <v>28</v>
      </c>
      <c r="AU33" s="5">
        <v>29</v>
      </c>
      <c r="AV33" s="5">
        <v>30</v>
      </c>
      <c r="AW33" s="5">
        <v>31</v>
      </c>
      <c r="AX33" s="5">
        <v>32</v>
      </c>
      <c r="AY33" s="5">
        <v>33</v>
      </c>
      <c r="AZ33" s="5">
        <v>34</v>
      </c>
      <c r="BA33" s="5">
        <v>35</v>
      </c>
      <c r="BB33" s="5">
        <v>36</v>
      </c>
    </row>
    <row r="34" spans="1:56">
      <c r="A34" s="90" t="s">
        <v>509</v>
      </c>
      <c r="B34" s="90" t="s">
        <v>415</v>
      </c>
      <c r="C34" s="90">
        <v>-3.0000000000000001E-3</v>
      </c>
      <c r="D34" s="90"/>
      <c r="E34" s="90"/>
      <c r="F34" s="90"/>
      <c r="G34" s="90"/>
      <c r="K34" s="9" t="s">
        <v>53</v>
      </c>
      <c r="M34" s="9" t="s">
        <v>29</v>
      </c>
      <c r="N34" s="9" t="s">
        <v>31</v>
      </c>
      <c r="O34" s="9" t="s">
        <v>33</v>
      </c>
      <c r="P34" s="9" t="s">
        <v>35</v>
      </c>
      <c r="Q34" s="9" t="s">
        <v>36</v>
      </c>
      <c r="S34" s="20" t="str">
        <f ca="1">CONCATENATE($S$32, "#", OFFSET($J$35, S33, 0))</f>
        <v>Stg.2 Nozzle Fwd#1</v>
      </c>
      <c r="T34" s="20" t="str">
        <f t="shared" ref="T34:BB34" ca="1" si="3">CONCATENATE($S$32, "#", OFFSET($J$35, T33, 0))</f>
        <v>Stg.2 Nozzle Fwd#36</v>
      </c>
      <c r="U34" s="20" t="str">
        <f t="shared" ca="1" si="3"/>
        <v>Stg.2 Nozzle Fwd#35</v>
      </c>
      <c r="V34" s="20" t="str">
        <f t="shared" ca="1" si="3"/>
        <v>Stg.2 Nozzle Fwd#34</v>
      </c>
      <c r="W34" s="20" t="str">
        <f t="shared" ca="1" si="3"/>
        <v>Stg.2 Nozzle Fwd#33</v>
      </c>
      <c r="X34" s="20" t="str">
        <f t="shared" ca="1" si="3"/>
        <v>Stg.2 Nozzle Fwd#32</v>
      </c>
      <c r="Y34" s="20" t="str">
        <f t="shared" ca="1" si="3"/>
        <v>Stg.2 Nozzle Fwd#31</v>
      </c>
      <c r="Z34" s="20" t="str">
        <f t="shared" ca="1" si="3"/>
        <v>Stg.2 Nozzle Fwd#30</v>
      </c>
      <c r="AA34" s="20" t="str">
        <f t="shared" ca="1" si="3"/>
        <v>Stg.2 Nozzle Fwd#29</v>
      </c>
      <c r="AB34" s="20" t="str">
        <f t="shared" ca="1" si="3"/>
        <v>Stg.2 Nozzle Fwd#28</v>
      </c>
      <c r="AC34" s="20" t="str">
        <f t="shared" ca="1" si="3"/>
        <v>Stg.2 Nozzle Fwd#27</v>
      </c>
      <c r="AD34" s="20" t="str">
        <f t="shared" ca="1" si="3"/>
        <v>Stg.2 Nozzle Fwd#26</v>
      </c>
      <c r="AE34" s="20" t="str">
        <f t="shared" ca="1" si="3"/>
        <v>Stg.2 Nozzle Fwd#25</v>
      </c>
      <c r="AF34" s="20" t="str">
        <f t="shared" ca="1" si="3"/>
        <v>Stg.2 Nozzle Fwd#24</v>
      </c>
      <c r="AG34" s="20" t="str">
        <f t="shared" ca="1" si="3"/>
        <v>Stg.2 Nozzle Fwd#23</v>
      </c>
      <c r="AH34" s="20" t="str">
        <f t="shared" ca="1" si="3"/>
        <v>Stg.2 Nozzle Fwd#22</v>
      </c>
      <c r="AI34" s="20" t="str">
        <f t="shared" ca="1" si="3"/>
        <v>Stg.2 Nozzle Fwd#21</v>
      </c>
      <c r="AJ34" s="20" t="str">
        <f t="shared" ca="1" si="3"/>
        <v>Stg.2 Nozzle Fwd#20</v>
      </c>
      <c r="AK34" s="20" t="str">
        <f t="shared" ca="1" si="3"/>
        <v>Stg.2 Nozzle Fwd#19</v>
      </c>
      <c r="AL34" s="20" t="str">
        <f t="shared" ca="1" si="3"/>
        <v>Stg.2 Nozzle Fwd#18</v>
      </c>
      <c r="AM34" s="20" t="str">
        <f t="shared" ca="1" si="3"/>
        <v>Stg.2 Nozzle Fwd#17</v>
      </c>
      <c r="AN34" s="20" t="str">
        <f t="shared" ca="1" si="3"/>
        <v>Stg.2 Nozzle Fwd#16</v>
      </c>
      <c r="AO34" s="20" t="str">
        <f t="shared" ca="1" si="3"/>
        <v>Stg.2 Nozzle Fwd#15</v>
      </c>
      <c r="AP34" s="20" t="str">
        <f t="shared" ca="1" si="3"/>
        <v>Stg.2 Nozzle Fwd#14</v>
      </c>
      <c r="AQ34" s="20" t="str">
        <f t="shared" ca="1" si="3"/>
        <v>Stg.2 Nozzle Fwd#13</v>
      </c>
      <c r="AR34" s="20" t="str">
        <f t="shared" ca="1" si="3"/>
        <v>Stg.2 Nozzle Fwd#12</v>
      </c>
      <c r="AS34" s="20" t="str">
        <f t="shared" ca="1" si="3"/>
        <v>Stg.2 Nozzle Fwd#11</v>
      </c>
      <c r="AT34" s="20" t="str">
        <f t="shared" ca="1" si="3"/>
        <v>Stg.2 Nozzle Fwd#10</v>
      </c>
      <c r="AU34" s="20" t="str">
        <f t="shared" ca="1" si="3"/>
        <v>Stg.2 Nozzle Fwd#9</v>
      </c>
      <c r="AV34" s="20" t="str">
        <f t="shared" ca="1" si="3"/>
        <v>Stg.2 Nozzle Fwd#8</v>
      </c>
      <c r="AW34" s="20" t="str">
        <f t="shared" ca="1" si="3"/>
        <v>Stg.2 Nozzle Fwd#7</v>
      </c>
      <c r="AX34" s="20" t="str">
        <f t="shared" ca="1" si="3"/>
        <v>Stg.2 Nozzle Fwd#6</v>
      </c>
      <c r="AY34" s="20" t="str">
        <f t="shared" ca="1" si="3"/>
        <v>Stg.2 Nozzle Fwd#5</v>
      </c>
      <c r="AZ34" s="20" t="str">
        <f t="shared" ca="1" si="3"/>
        <v>Stg.2 Nozzle Fwd#4</v>
      </c>
      <c r="BA34" s="20" t="str">
        <f t="shared" ca="1" si="3"/>
        <v>Stg.2 Nozzle Fwd#3</v>
      </c>
      <c r="BB34" s="20" t="str">
        <f t="shared" ca="1" si="3"/>
        <v>Stg.2 Nozzle Fwd#2</v>
      </c>
      <c r="BC34" s="20" t="s">
        <v>38</v>
      </c>
      <c r="BD34" s="20" t="s">
        <v>40</v>
      </c>
    </row>
    <row r="35" spans="1:56">
      <c r="A35" s="121" t="s">
        <v>510</v>
      </c>
      <c r="B35" s="90" t="s">
        <v>417</v>
      </c>
      <c r="C35" s="90">
        <v>-207.01300000000001</v>
      </c>
      <c r="D35" s="90"/>
      <c r="E35" s="90"/>
      <c r="F35" s="90"/>
      <c r="G35" s="90"/>
      <c r="J35" s="9" t="s">
        <v>41</v>
      </c>
      <c r="K35" s="9" t="s">
        <v>11</v>
      </c>
      <c r="L35" s="9" t="s">
        <v>54</v>
      </c>
      <c r="M35" s="9" t="s">
        <v>13</v>
      </c>
      <c r="N35" s="9" t="s">
        <v>46</v>
      </c>
      <c r="O35" s="9" t="s">
        <v>11</v>
      </c>
      <c r="P35" s="9" t="s">
        <v>13</v>
      </c>
      <c r="Q35" s="9" t="s">
        <v>13</v>
      </c>
      <c r="S35" s="15"/>
      <c r="T35" s="15"/>
      <c r="U35" s="15"/>
      <c r="V35" s="15"/>
      <c r="W35" s="15"/>
      <c r="X35" s="15"/>
      <c r="Y35" s="15"/>
      <c r="Z35" s="15"/>
      <c r="AA35" s="15"/>
      <c r="AB35" s="15"/>
      <c r="AC35" s="15"/>
      <c r="AD35" s="15"/>
      <c r="AE35" s="15"/>
      <c r="AF35" s="15"/>
      <c r="AG35" s="15"/>
      <c r="AH35" s="15"/>
      <c r="AI35" s="15"/>
      <c r="AJ35" s="48"/>
      <c r="AK35" s="15"/>
      <c r="AL35" s="15"/>
      <c r="AM35" s="15"/>
      <c r="AN35" s="15"/>
      <c r="AO35" s="15"/>
      <c r="AP35" s="15"/>
      <c r="AQ35" s="15"/>
      <c r="AR35" s="15"/>
      <c r="AS35" s="15"/>
      <c r="AT35" s="15"/>
      <c r="AU35" s="15"/>
      <c r="AV35" s="15"/>
      <c r="AW35" s="15"/>
      <c r="AX35" s="15"/>
      <c r="AY35" s="15"/>
      <c r="AZ35" s="15"/>
      <c r="BA35" s="15"/>
      <c r="BB35" s="15"/>
      <c r="BC35" s="22" t="s">
        <v>13</v>
      </c>
      <c r="BD35" s="22" t="s">
        <v>13</v>
      </c>
    </row>
    <row r="36" spans="1:56">
      <c r="A36" s="90" t="s">
        <v>412</v>
      </c>
      <c r="B36" s="90" t="s">
        <v>413</v>
      </c>
      <c r="C36" s="90">
        <v>361.37299999999999</v>
      </c>
      <c r="D36" s="90"/>
      <c r="E36" s="90"/>
      <c r="F36" s="90"/>
      <c r="G36" s="90"/>
      <c r="J36" s="5">
        <v>1</v>
      </c>
      <c r="K36" s="23">
        <f>IF(Q33&lt;0, 360+$Q$33, $Q$33)</f>
        <v>359</v>
      </c>
      <c r="L36" s="24">
        <f>MATCH($K36, $I$11:$I$27, 1)</f>
        <v>16</v>
      </c>
      <c r="M36" s="5">
        <f>VLOOKUP(L36, $H$11:$K$27, 4, FALSE)</f>
        <v>361.37300000138362</v>
      </c>
      <c r="N36" s="25">
        <f>(VLOOKUP(L36+1, $H$11:$K$27, 4, FALSE) - VLOOKUP(L36, $H$11:$K$27, 4, FALSE))/(VLOOKUP(L36+1, $H$11:$K$27, 2, FALSE) - VLOOKUP(L36, $H$11:$K$27, 2, FALSE))</f>
        <v>4.4444444444151387E-4</v>
      </c>
      <c r="O36" s="26">
        <f>K36-VLOOKUP(L36, $H$11:$I$27, 2, FALSE)</f>
        <v>21.5</v>
      </c>
      <c r="P36" s="27">
        <f>M36+N36*O36</f>
        <v>361.38255555693911</v>
      </c>
      <c r="Q36" s="27">
        <f>(P36+P71)/2</f>
        <v>361.38033333471691</v>
      </c>
      <c r="S36" s="30">
        <f>Q36</f>
        <v>361.38033333471691</v>
      </c>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30">
        <f>BB71</f>
        <v>361.37588889027251</v>
      </c>
      <c r="BC36" s="29">
        <f>M$7/2</f>
        <v>361.36799999999999</v>
      </c>
      <c r="BD36" s="29">
        <f>M$6/2</f>
        <v>361.43199999999996</v>
      </c>
    </row>
    <row r="37" spans="1:56">
      <c r="A37" s="90" t="s">
        <v>511</v>
      </c>
      <c r="B37" s="90" t="s">
        <v>415</v>
      </c>
      <c r="C37" s="90">
        <v>-1E-3</v>
      </c>
      <c r="D37" s="90"/>
      <c r="E37" s="90"/>
      <c r="F37" s="90"/>
      <c r="G37" s="90"/>
      <c r="J37" s="5">
        <v>36</v>
      </c>
      <c r="K37" s="23">
        <f>IF(K36+$N$33&gt;360, K36+$N$33-360, K36+$N$33)</f>
        <v>9</v>
      </c>
      <c r="L37" s="24">
        <f t="shared" ref="L37:L71" si="4">MATCH($K37, $I$11:$I$27, 1)</f>
        <v>1</v>
      </c>
      <c r="M37" s="5">
        <f t="shared" ref="M37:M71" si="5">VLOOKUP(L37, $H$11:$K$27, 4, FALSE)</f>
        <v>361.38300000138355</v>
      </c>
      <c r="N37" s="25">
        <f t="shared" ref="N37:N71" si="6">(VLOOKUP(L37+1, $H$11:$K$27, 4, FALSE) - VLOOKUP(L37, $H$11:$K$27, 4, FALSE))/(VLOOKUP(L37+1, $H$11:$K$27, 2, FALSE) - VLOOKUP(L37, $H$11:$K$27, 2, FALSE))</f>
        <v>3.1111203347538522E-4</v>
      </c>
      <c r="O37" s="26">
        <f t="shared" ref="O37:O71" si="7">K37-VLOOKUP(L37, $H$11:$I$27, 2, FALSE)</f>
        <v>9</v>
      </c>
      <c r="P37" s="27">
        <f t="shared" ref="P37:P71" si="8">M37+N37*O37</f>
        <v>361.38580000968483</v>
      </c>
      <c r="Q37" s="27">
        <f>(P36+P37)/2</f>
        <v>361.384177783312</v>
      </c>
      <c r="S37" s="30">
        <f>S36</f>
        <v>361.38033333471691</v>
      </c>
      <c r="T37" s="30">
        <f>Q37</f>
        <v>361.384177783312</v>
      </c>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f t="shared" ref="BC37:BC71" si="9">M$7/2</f>
        <v>361.36799999999999</v>
      </c>
      <c r="BD37" s="21">
        <f t="shared" ref="BD37:BD71" si="10">M$6/2</f>
        <v>361.43199999999996</v>
      </c>
    </row>
    <row r="38" spans="1:56">
      <c r="A38" s="121" t="s">
        <v>512</v>
      </c>
      <c r="B38" s="90" t="s">
        <v>417</v>
      </c>
      <c r="C38" s="90">
        <v>-207.023</v>
      </c>
      <c r="D38" s="90"/>
      <c r="E38" s="90"/>
      <c r="F38" s="90"/>
      <c r="G38" s="90"/>
      <c r="J38" s="5">
        <v>35</v>
      </c>
      <c r="K38" s="23">
        <f>IF(K37+$N$33&gt;360, K37+$N$33-360, K37+$N$33)</f>
        <v>19</v>
      </c>
      <c r="L38" s="24">
        <f t="shared" si="4"/>
        <v>1</v>
      </c>
      <c r="M38" s="5">
        <f t="shared" si="5"/>
        <v>361.38300000138355</v>
      </c>
      <c r="N38" s="25">
        <f t="shared" si="6"/>
        <v>3.1111203347538522E-4</v>
      </c>
      <c r="O38" s="26">
        <f t="shared" si="7"/>
        <v>19</v>
      </c>
      <c r="P38" s="27">
        <f t="shared" si="8"/>
        <v>361.38891113001961</v>
      </c>
      <c r="Q38" s="27">
        <f t="shared" ref="Q38:Q71" si="11">(P37+P38)/2</f>
        <v>361.38735556985222</v>
      </c>
      <c r="S38" s="21"/>
      <c r="T38" s="30">
        <f>T37</f>
        <v>361.384177783312</v>
      </c>
      <c r="U38" s="30">
        <f>Q38</f>
        <v>361.38735556985222</v>
      </c>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f t="shared" si="9"/>
        <v>361.36799999999999</v>
      </c>
      <c r="BD38" s="21">
        <f t="shared" si="10"/>
        <v>361.43199999999996</v>
      </c>
    </row>
    <row r="39" spans="1:56">
      <c r="A39" s="90" t="s">
        <v>412</v>
      </c>
      <c r="B39" s="90" t="s">
        <v>413</v>
      </c>
      <c r="C39" s="90">
        <v>361.43299999999999</v>
      </c>
      <c r="D39" s="90"/>
      <c r="E39" s="90"/>
      <c r="F39" s="90"/>
      <c r="G39" s="90"/>
      <c r="J39" s="5">
        <v>34</v>
      </c>
      <c r="K39" s="23">
        <f t="shared" ref="K39:K71" si="12">IF(K38+$N$33&gt;360, K38+$N$33-360, K38+$N$33)</f>
        <v>29</v>
      </c>
      <c r="L39" s="24">
        <f t="shared" si="4"/>
        <v>2</v>
      </c>
      <c r="M39" s="5">
        <f t="shared" si="5"/>
        <v>361.39000002213675</v>
      </c>
      <c r="N39" s="25">
        <f t="shared" si="6"/>
        <v>-4.4445428299392614E-5</v>
      </c>
      <c r="O39" s="26">
        <f t="shared" si="7"/>
        <v>6.5</v>
      </c>
      <c r="P39" s="27">
        <f t="shared" si="8"/>
        <v>361.38971112685277</v>
      </c>
      <c r="Q39" s="27">
        <f t="shared" si="11"/>
        <v>361.38931112843619</v>
      </c>
      <c r="S39" s="21"/>
      <c r="T39" s="21"/>
      <c r="U39" s="30">
        <f>U38</f>
        <v>361.38735556985222</v>
      </c>
      <c r="V39" s="30">
        <f>Q39</f>
        <v>361.38931112843619</v>
      </c>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f t="shared" si="9"/>
        <v>361.36799999999999</v>
      </c>
      <c r="BD39" s="21">
        <f t="shared" si="10"/>
        <v>361.43199999999996</v>
      </c>
    </row>
    <row r="40" spans="1:56">
      <c r="A40" s="90" t="s">
        <v>513</v>
      </c>
      <c r="B40" s="90" t="s">
        <v>415</v>
      </c>
      <c r="C40" s="90">
        <v>4.0000000000000001E-3</v>
      </c>
      <c r="D40" s="90"/>
      <c r="E40" s="90"/>
      <c r="F40" s="90"/>
      <c r="G40" s="90"/>
      <c r="J40" s="5">
        <v>33</v>
      </c>
      <c r="K40" s="23">
        <f t="shared" si="12"/>
        <v>39</v>
      </c>
      <c r="L40" s="24">
        <f t="shared" si="4"/>
        <v>2</v>
      </c>
      <c r="M40" s="5">
        <f t="shared" si="5"/>
        <v>361.39000002213675</v>
      </c>
      <c r="N40" s="25">
        <f t="shared" si="6"/>
        <v>-4.4445428299392614E-5</v>
      </c>
      <c r="O40" s="26">
        <f t="shared" si="7"/>
        <v>16.5</v>
      </c>
      <c r="P40" s="27">
        <f t="shared" si="8"/>
        <v>361.38926667256982</v>
      </c>
      <c r="Q40" s="27">
        <f t="shared" si="11"/>
        <v>361.3894888997113</v>
      </c>
      <c r="S40" s="21"/>
      <c r="T40" s="21"/>
      <c r="U40" s="21"/>
      <c r="V40" s="30">
        <f>V39</f>
        <v>361.38931112843619</v>
      </c>
      <c r="W40" s="30">
        <f>Q40</f>
        <v>361.3894888997113</v>
      </c>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f t="shared" si="9"/>
        <v>361.36799999999999</v>
      </c>
      <c r="BD40" s="21">
        <f t="shared" si="10"/>
        <v>361.43199999999996</v>
      </c>
    </row>
    <row r="41" spans="1:56">
      <c r="A41" s="121" t="s">
        <v>514</v>
      </c>
      <c r="B41" s="90" t="s">
        <v>417</v>
      </c>
      <c r="C41" s="90">
        <v>-207.023</v>
      </c>
      <c r="D41" s="90"/>
      <c r="E41" s="90"/>
      <c r="F41" s="90"/>
      <c r="G41" s="90"/>
      <c r="J41" s="5">
        <v>32</v>
      </c>
      <c r="K41" s="23">
        <f t="shared" si="12"/>
        <v>49</v>
      </c>
      <c r="L41" s="24">
        <f t="shared" si="4"/>
        <v>3</v>
      </c>
      <c r="M41" s="5">
        <f t="shared" si="5"/>
        <v>361.38900000000001</v>
      </c>
      <c r="N41" s="25">
        <f t="shared" si="6"/>
        <v>1.8222244356517574E-3</v>
      </c>
      <c r="O41" s="26">
        <f t="shared" si="7"/>
        <v>4</v>
      </c>
      <c r="P41" s="27">
        <f t="shared" si="8"/>
        <v>361.39628889774264</v>
      </c>
      <c r="Q41" s="27">
        <f t="shared" si="11"/>
        <v>361.39277778515623</v>
      </c>
      <c r="S41" s="21"/>
      <c r="T41" s="21"/>
      <c r="U41" s="21"/>
      <c r="V41" s="21"/>
      <c r="W41" s="30">
        <f>W40</f>
        <v>361.3894888997113</v>
      </c>
      <c r="X41" s="30">
        <f>Q41</f>
        <v>361.39277778515623</v>
      </c>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f t="shared" si="9"/>
        <v>361.36799999999999</v>
      </c>
      <c r="BD41" s="21">
        <f t="shared" si="10"/>
        <v>361.43199999999996</v>
      </c>
    </row>
    <row r="42" spans="1:56">
      <c r="A42" s="90" t="s">
        <v>412</v>
      </c>
      <c r="B42" s="90" t="s">
        <v>413</v>
      </c>
      <c r="C42" s="90">
        <v>361.423</v>
      </c>
      <c r="D42" s="90"/>
      <c r="E42" s="90"/>
      <c r="F42" s="90"/>
      <c r="G42" s="90"/>
      <c r="J42" s="5">
        <v>31</v>
      </c>
      <c r="K42" s="23">
        <f t="shared" si="12"/>
        <v>59</v>
      </c>
      <c r="L42" s="24">
        <f t="shared" si="4"/>
        <v>3</v>
      </c>
      <c r="M42" s="5">
        <f t="shared" si="5"/>
        <v>361.38900000000001</v>
      </c>
      <c r="N42" s="25">
        <f t="shared" si="6"/>
        <v>1.8222244356517574E-3</v>
      </c>
      <c r="O42" s="26">
        <f t="shared" si="7"/>
        <v>14</v>
      </c>
      <c r="P42" s="27">
        <f t="shared" si="8"/>
        <v>361.41451114209912</v>
      </c>
      <c r="Q42" s="27">
        <f t="shared" si="11"/>
        <v>361.40540001992088</v>
      </c>
      <c r="S42" s="21"/>
      <c r="T42" s="21"/>
      <c r="U42" s="21"/>
      <c r="V42" s="21"/>
      <c r="W42" s="21"/>
      <c r="X42" s="30">
        <f>X41</f>
        <v>361.39277778515623</v>
      </c>
      <c r="Y42" s="30">
        <f>Q42</f>
        <v>361.40540001992088</v>
      </c>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f t="shared" si="9"/>
        <v>361.36799999999999</v>
      </c>
      <c r="BD42" s="21">
        <f t="shared" si="10"/>
        <v>361.43199999999996</v>
      </c>
    </row>
    <row r="43" spans="1:56">
      <c r="A43" s="90" t="s">
        <v>515</v>
      </c>
      <c r="B43" s="90" t="s">
        <v>415</v>
      </c>
      <c r="C43" s="90">
        <v>1E-3</v>
      </c>
      <c r="D43" s="90"/>
      <c r="E43" s="90"/>
      <c r="F43" s="90"/>
      <c r="G43" s="90"/>
      <c r="J43" s="5">
        <v>30</v>
      </c>
      <c r="K43" s="23">
        <f t="shared" si="12"/>
        <v>69</v>
      </c>
      <c r="L43" s="24">
        <f t="shared" si="4"/>
        <v>4</v>
      </c>
      <c r="M43" s="5">
        <f t="shared" si="5"/>
        <v>361.43000004980217</v>
      </c>
      <c r="N43" s="25">
        <f t="shared" si="6"/>
        <v>-3.1111326305664181E-4</v>
      </c>
      <c r="O43" s="26">
        <f t="shared" si="7"/>
        <v>1.5</v>
      </c>
      <c r="P43" s="27">
        <f t="shared" si="8"/>
        <v>361.42953337990758</v>
      </c>
      <c r="Q43" s="27">
        <f t="shared" si="11"/>
        <v>361.42202226100335</v>
      </c>
      <c r="S43" s="21"/>
      <c r="T43" s="21"/>
      <c r="U43" s="21"/>
      <c r="V43" s="21"/>
      <c r="W43" s="21"/>
      <c r="X43" s="21"/>
      <c r="Y43" s="30">
        <f>Y42</f>
        <v>361.40540001992088</v>
      </c>
      <c r="Z43" s="30">
        <f>Q43</f>
        <v>361.42202226100335</v>
      </c>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f t="shared" si="9"/>
        <v>361.36799999999999</v>
      </c>
      <c r="BD43" s="21">
        <f t="shared" si="10"/>
        <v>361.43199999999996</v>
      </c>
    </row>
    <row r="44" spans="1:56">
      <c r="A44" s="121" t="s">
        <v>516</v>
      </c>
      <c r="B44" s="90" t="s">
        <v>417</v>
      </c>
      <c r="C44" s="90">
        <v>-207.036</v>
      </c>
      <c r="D44" s="90"/>
      <c r="E44" s="90"/>
      <c r="F44" s="90"/>
      <c r="G44" s="90"/>
      <c r="J44" s="5">
        <v>29</v>
      </c>
      <c r="K44" s="23">
        <f t="shared" si="12"/>
        <v>79</v>
      </c>
      <c r="L44" s="24">
        <f t="shared" si="4"/>
        <v>4</v>
      </c>
      <c r="M44" s="5">
        <f t="shared" si="5"/>
        <v>361.43000004980217</v>
      </c>
      <c r="N44" s="25">
        <f t="shared" si="6"/>
        <v>-3.1111326305664181E-4</v>
      </c>
      <c r="O44" s="26">
        <f t="shared" si="7"/>
        <v>11.5</v>
      </c>
      <c r="P44" s="27">
        <f t="shared" si="8"/>
        <v>361.426422247277</v>
      </c>
      <c r="Q44" s="27">
        <f t="shared" si="11"/>
        <v>361.42797781359229</v>
      </c>
      <c r="S44" s="21"/>
      <c r="T44" s="21"/>
      <c r="U44" s="21"/>
      <c r="V44" s="21"/>
      <c r="W44" s="21"/>
      <c r="X44" s="21"/>
      <c r="Y44" s="21"/>
      <c r="Z44" s="30">
        <f>Z43</f>
        <v>361.42202226100335</v>
      </c>
      <c r="AA44" s="30">
        <f>Q44</f>
        <v>361.42797781359229</v>
      </c>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f t="shared" si="9"/>
        <v>361.36799999999999</v>
      </c>
      <c r="BD44" s="21">
        <f t="shared" si="10"/>
        <v>361.43199999999996</v>
      </c>
    </row>
    <row r="45" spans="1:56">
      <c r="A45" s="90" t="s">
        <v>412</v>
      </c>
      <c r="B45" s="90" t="s">
        <v>413</v>
      </c>
      <c r="C45" s="90">
        <v>361.43</v>
      </c>
      <c r="D45" s="90"/>
      <c r="E45" s="90"/>
      <c r="F45" s="90"/>
      <c r="G45" s="90"/>
      <c r="J45" s="5">
        <v>28</v>
      </c>
      <c r="K45" s="23">
        <f t="shared" si="12"/>
        <v>89</v>
      </c>
      <c r="L45" s="24">
        <f t="shared" si="4"/>
        <v>4</v>
      </c>
      <c r="M45" s="5">
        <f t="shared" si="5"/>
        <v>361.43000004980217</v>
      </c>
      <c r="N45" s="25">
        <f t="shared" si="6"/>
        <v>-3.1111326305664181E-4</v>
      </c>
      <c r="O45" s="26">
        <f t="shared" si="7"/>
        <v>21.5</v>
      </c>
      <c r="P45" s="27">
        <f t="shared" si="8"/>
        <v>361.42331111464648</v>
      </c>
      <c r="Q45" s="27">
        <f t="shared" si="11"/>
        <v>361.42486668096171</v>
      </c>
      <c r="S45" s="21"/>
      <c r="T45" s="21"/>
      <c r="U45" s="21"/>
      <c r="V45" s="21"/>
      <c r="W45" s="21"/>
      <c r="X45" s="21"/>
      <c r="Y45" s="21"/>
      <c r="Z45" s="21"/>
      <c r="AA45" s="30">
        <f>AA44</f>
        <v>361.42797781359229</v>
      </c>
      <c r="AB45" s="30">
        <f>Q45</f>
        <v>361.42486668096171</v>
      </c>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f t="shared" si="9"/>
        <v>361.36799999999999</v>
      </c>
      <c r="BD45" s="21">
        <f t="shared" si="10"/>
        <v>361.43199999999996</v>
      </c>
    </row>
    <row r="46" spans="1:56">
      <c r="A46" s="90" t="s">
        <v>517</v>
      </c>
      <c r="B46" s="90" t="s">
        <v>415</v>
      </c>
      <c r="C46" s="90">
        <v>-6.0000000000000001E-3</v>
      </c>
      <c r="D46" s="90"/>
      <c r="E46" s="90"/>
      <c r="F46" s="90"/>
      <c r="G46" s="90"/>
      <c r="J46" s="5">
        <v>27</v>
      </c>
      <c r="K46" s="23">
        <f t="shared" si="12"/>
        <v>99</v>
      </c>
      <c r="L46" s="24">
        <f t="shared" si="4"/>
        <v>5</v>
      </c>
      <c r="M46" s="5">
        <f t="shared" si="5"/>
        <v>361.4230000013834</v>
      </c>
      <c r="N46" s="25">
        <f t="shared" si="6"/>
        <v>4.4444536669945793E-4</v>
      </c>
      <c r="O46" s="26">
        <f t="shared" si="7"/>
        <v>9</v>
      </c>
      <c r="P46" s="27">
        <f t="shared" si="8"/>
        <v>361.4270000096837</v>
      </c>
      <c r="Q46" s="27">
        <f t="shared" si="11"/>
        <v>361.42515556216506</v>
      </c>
      <c r="S46" s="21"/>
      <c r="T46" s="21"/>
      <c r="U46" s="21"/>
      <c r="V46" s="21"/>
      <c r="W46" s="21"/>
      <c r="X46" s="21"/>
      <c r="Y46" s="21"/>
      <c r="Z46" s="21"/>
      <c r="AA46" s="21"/>
      <c r="AB46" s="30">
        <f>AB45</f>
        <v>361.42486668096171</v>
      </c>
      <c r="AC46" s="30">
        <f>Q46</f>
        <v>361.42515556216506</v>
      </c>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f t="shared" si="9"/>
        <v>361.36799999999999</v>
      </c>
      <c r="BD46" s="21">
        <f t="shared" si="10"/>
        <v>361.43199999999996</v>
      </c>
    </row>
    <row r="47" spans="1:56">
      <c r="A47" s="121" t="s">
        <v>518</v>
      </c>
      <c r="B47" s="90" t="s">
        <v>417</v>
      </c>
      <c r="C47" s="90">
        <v>-207.036</v>
      </c>
      <c r="D47" s="90"/>
      <c r="E47" s="90"/>
      <c r="F47" s="90"/>
      <c r="G47" s="90"/>
      <c r="J47" s="5">
        <v>26</v>
      </c>
      <c r="K47" s="23">
        <f t="shared" si="12"/>
        <v>109</v>
      </c>
      <c r="L47" s="24">
        <f t="shared" si="4"/>
        <v>5</v>
      </c>
      <c r="M47" s="5">
        <f t="shared" si="5"/>
        <v>361.4230000013834</v>
      </c>
      <c r="N47" s="25">
        <f t="shared" si="6"/>
        <v>4.4444536669945793E-4</v>
      </c>
      <c r="O47" s="26">
        <f t="shared" si="7"/>
        <v>19</v>
      </c>
      <c r="P47" s="27">
        <f t="shared" si="8"/>
        <v>361.43144446335072</v>
      </c>
      <c r="Q47" s="27">
        <f t="shared" si="11"/>
        <v>361.42922223651721</v>
      </c>
      <c r="S47" s="21"/>
      <c r="T47" s="21"/>
      <c r="U47" s="21"/>
      <c r="V47" s="21"/>
      <c r="W47" s="21"/>
      <c r="X47" s="21"/>
      <c r="Y47" s="21"/>
      <c r="Z47" s="21"/>
      <c r="AA47" s="21"/>
      <c r="AB47" s="21"/>
      <c r="AC47" s="30">
        <f>AC46</f>
        <v>361.42515556216506</v>
      </c>
      <c r="AD47" s="30">
        <f>Q47</f>
        <v>361.42922223651721</v>
      </c>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f t="shared" si="9"/>
        <v>361.36799999999999</v>
      </c>
      <c r="BD47" s="21">
        <f t="shared" si="10"/>
        <v>361.43199999999996</v>
      </c>
    </row>
    <row r="48" spans="1:56">
      <c r="A48" s="90" t="s">
        <v>412</v>
      </c>
      <c r="B48" s="90" t="s">
        <v>413</v>
      </c>
      <c r="C48" s="90">
        <v>361.38900000000001</v>
      </c>
      <c r="D48" s="90"/>
      <c r="E48" s="90"/>
      <c r="F48" s="90"/>
      <c r="G48" s="90"/>
      <c r="J48" s="5">
        <v>25</v>
      </c>
      <c r="K48" s="23">
        <f t="shared" si="12"/>
        <v>119</v>
      </c>
      <c r="L48" s="24">
        <f t="shared" si="4"/>
        <v>6</v>
      </c>
      <c r="M48" s="5">
        <f t="shared" si="5"/>
        <v>361.43300002213414</v>
      </c>
      <c r="N48" s="25">
        <f t="shared" si="6"/>
        <v>-2.6666675889120799E-3</v>
      </c>
      <c r="O48" s="26">
        <f t="shared" si="7"/>
        <v>6.5</v>
      </c>
      <c r="P48" s="27">
        <f t="shared" si="8"/>
        <v>361.4156666828062</v>
      </c>
      <c r="Q48" s="27">
        <f t="shared" si="11"/>
        <v>361.42355557307849</v>
      </c>
      <c r="S48" s="21"/>
      <c r="T48" s="21"/>
      <c r="U48" s="21"/>
      <c r="V48" s="21"/>
      <c r="W48" s="21"/>
      <c r="X48" s="21"/>
      <c r="Y48" s="21"/>
      <c r="Z48" s="21"/>
      <c r="AA48" s="21"/>
      <c r="AB48" s="21"/>
      <c r="AC48" s="21"/>
      <c r="AD48" s="30">
        <f>AD47</f>
        <v>361.42922223651721</v>
      </c>
      <c r="AE48" s="30">
        <f>Q48</f>
        <v>361.42355557307849</v>
      </c>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f t="shared" si="9"/>
        <v>361.36799999999999</v>
      </c>
      <c r="BD48" s="21">
        <f t="shared" si="10"/>
        <v>361.43199999999996</v>
      </c>
    </row>
    <row r="49" spans="1:56">
      <c r="A49" s="90" t="s">
        <v>519</v>
      </c>
      <c r="B49" s="90" t="s">
        <v>415</v>
      </c>
      <c r="C49" s="90">
        <v>0</v>
      </c>
      <c r="D49" s="90"/>
      <c r="E49" s="90"/>
      <c r="F49" s="90"/>
      <c r="G49" s="90"/>
      <c r="J49" s="5">
        <v>24</v>
      </c>
      <c r="K49" s="23">
        <f t="shared" si="12"/>
        <v>129</v>
      </c>
      <c r="L49" s="24">
        <f t="shared" si="4"/>
        <v>6</v>
      </c>
      <c r="M49" s="5">
        <f t="shared" si="5"/>
        <v>361.43300002213414</v>
      </c>
      <c r="N49" s="25">
        <f t="shared" si="6"/>
        <v>-2.6666675889120799E-3</v>
      </c>
      <c r="O49" s="26">
        <f t="shared" si="7"/>
        <v>16.5</v>
      </c>
      <c r="P49" s="27">
        <f t="shared" si="8"/>
        <v>361.38900000691712</v>
      </c>
      <c r="Q49" s="27">
        <f t="shared" si="11"/>
        <v>361.40233334486163</v>
      </c>
      <c r="S49" s="21"/>
      <c r="T49" s="21"/>
      <c r="U49" s="21"/>
      <c r="V49" s="21"/>
      <c r="W49" s="21"/>
      <c r="X49" s="21"/>
      <c r="Y49" s="21"/>
      <c r="Z49" s="21"/>
      <c r="AA49" s="21"/>
      <c r="AB49" s="21"/>
      <c r="AC49" s="21"/>
      <c r="AD49" s="21"/>
      <c r="AE49" s="30">
        <f>AE48</f>
        <v>361.42355557307849</v>
      </c>
      <c r="AF49" s="30">
        <f>Q49</f>
        <v>361.40233334486163</v>
      </c>
      <c r="AG49" s="21"/>
      <c r="AH49" s="21"/>
      <c r="AI49" s="21"/>
      <c r="AJ49" s="21"/>
      <c r="AK49" s="21"/>
      <c r="AL49" s="21"/>
      <c r="AM49" s="21"/>
      <c r="AN49" s="21"/>
      <c r="AO49" s="21"/>
      <c r="AP49" s="21"/>
      <c r="AQ49" s="21"/>
      <c r="AR49" s="21"/>
      <c r="AS49" s="21"/>
      <c r="AT49" s="21"/>
      <c r="AU49" s="21"/>
      <c r="AV49" s="21"/>
      <c r="AW49" s="21"/>
      <c r="AX49" s="21"/>
      <c r="AY49" s="21"/>
      <c r="AZ49" s="21"/>
      <c r="BA49" s="21"/>
      <c r="BB49" s="21"/>
      <c r="BC49" s="21">
        <f t="shared" si="9"/>
        <v>361.36799999999999</v>
      </c>
      <c r="BD49" s="21">
        <f t="shared" si="10"/>
        <v>361.43199999999996</v>
      </c>
    </row>
    <row r="50" spans="1:56">
      <c r="A50" s="121" t="s">
        <v>520</v>
      </c>
      <c r="B50" s="90" t="s">
        <v>417</v>
      </c>
      <c r="C50" s="90">
        <v>-207.047</v>
      </c>
      <c r="D50" s="90"/>
      <c r="E50" s="90"/>
      <c r="F50" s="90"/>
      <c r="G50" s="90"/>
      <c r="J50" s="5">
        <v>23</v>
      </c>
      <c r="K50" s="23">
        <f t="shared" si="12"/>
        <v>139</v>
      </c>
      <c r="L50" s="24">
        <f t="shared" si="4"/>
        <v>7</v>
      </c>
      <c r="M50" s="5">
        <f t="shared" si="5"/>
        <v>361.37300000138362</v>
      </c>
      <c r="N50" s="25">
        <f t="shared" si="6"/>
        <v>-5.3333284136493201E-4</v>
      </c>
      <c r="O50" s="26">
        <f t="shared" si="7"/>
        <v>4</v>
      </c>
      <c r="P50" s="27">
        <f t="shared" si="8"/>
        <v>361.37086667001813</v>
      </c>
      <c r="Q50" s="27">
        <f t="shared" si="11"/>
        <v>361.37993333846759</v>
      </c>
      <c r="S50" s="21"/>
      <c r="T50" s="21"/>
      <c r="U50" s="21"/>
      <c r="V50" s="21"/>
      <c r="W50" s="21"/>
      <c r="X50" s="21"/>
      <c r="Y50" s="21"/>
      <c r="Z50" s="21"/>
      <c r="AA50" s="21"/>
      <c r="AB50" s="21"/>
      <c r="AC50" s="21"/>
      <c r="AD50" s="21"/>
      <c r="AE50" s="21"/>
      <c r="AF50" s="30">
        <f>AF49</f>
        <v>361.40233334486163</v>
      </c>
      <c r="AG50" s="30">
        <f>Q50</f>
        <v>361.37993333846759</v>
      </c>
      <c r="AH50" s="21"/>
      <c r="AI50" s="21"/>
      <c r="AJ50" s="21"/>
      <c r="AK50" s="21"/>
      <c r="AL50" s="21"/>
      <c r="AM50" s="21"/>
      <c r="AN50" s="21"/>
      <c r="AO50" s="21"/>
      <c r="AP50" s="21"/>
      <c r="AQ50" s="21"/>
      <c r="AR50" s="21"/>
      <c r="AS50" s="21"/>
      <c r="AT50" s="21"/>
      <c r="AU50" s="21"/>
      <c r="AV50" s="21"/>
      <c r="AW50" s="21"/>
      <c r="AX50" s="21"/>
      <c r="AY50" s="21"/>
      <c r="AZ50" s="21"/>
      <c r="BA50" s="21"/>
      <c r="BB50" s="21"/>
      <c r="BC50" s="21">
        <f t="shared" si="9"/>
        <v>361.36799999999999</v>
      </c>
      <c r="BD50" s="21">
        <f t="shared" si="10"/>
        <v>361.43199999999996</v>
      </c>
    </row>
    <row r="51" spans="1:56">
      <c r="A51" s="90" t="s">
        <v>412</v>
      </c>
      <c r="B51" s="90" t="s">
        <v>413</v>
      </c>
      <c r="C51" s="90">
        <v>361.39</v>
      </c>
      <c r="D51" s="90"/>
      <c r="E51" s="90"/>
      <c r="F51" s="90"/>
      <c r="G51" s="90"/>
      <c r="J51" s="5">
        <v>22</v>
      </c>
      <c r="K51" s="23">
        <f t="shared" si="12"/>
        <v>149</v>
      </c>
      <c r="L51" s="24">
        <f t="shared" si="4"/>
        <v>7</v>
      </c>
      <c r="M51" s="5">
        <f t="shared" si="5"/>
        <v>361.37300000138362</v>
      </c>
      <c r="N51" s="25">
        <f t="shared" si="6"/>
        <v>-5.3333284136493201E-4</v>
      </c>
      <c r="O51" s="26">
        <f t="shared" si="7"/>
        <v>14</v>
      </c>
      <c r="P51" s="27">
        <f t="shared" si="8"/>
        <v>361.36553334160453</v>
      </c>
      <c r="Q51" s="27">
        <f t="shared" si="11"/>
        <v>361.36820000581133</v>
      </c>
      <c r="S51" s="21"/>
      <c r="T51" s="21"/>
      <c r="U51" s="21"/>
      <c r="V51" s="21"/>
      <c r="W51" s="21"/>
      <c r="X51" s="21"/>
      <c r="Y51" s="21"/>
      <c r="Z51" s="21"/>
      <c r="AA51" s="21"/>
      <c r="AB51" s="21"/>
      <c r="AC51" s="21"/>
      <c r="AD51" s="21"/>
      <c r="AE51" s="21"/>
      <c r="AF51" s="21"/>
      <c r="AG51" s="30">
        <f>AG50</f>
        <v>361.37993333846759</v>
      </c>
      <c r="AH51" s="30">
        <f>Q51</f>
        <v>361.36820000581133</v>
      </c>
      <c r="AI51" s="21"/>
      <c r="AJ51" s="21"/>
      <c r="AK51" s="21"/>
      <c r="AL51" s="21"/>
      <c r="AM51" s="21"/>
      <c r="AN51" s="21"/>
      <c r="AO51" s="21"/>
      <c r="AP51" s="21"/>
      <c r="AQ51" s="21"/>
      <c r="AR51" s="21"/>
      <c r="AS51" s="21"/>
      <c r="AT51" s="21"/>
      <c r="AU51" s="21"/>
      <c r="AV51" s="21"/>
      <c r="AW51" s="21"/>
      <c r="AX51" s="21"/>
      <c r="AY51" s="21"/>
      <c r="AZ51" s="21"/>
      <c r="BA51" s="21"/>
      <c r="BB51" s="21"/>
      <c r="BC51" s="21">
        <f t="shared" si="9"/>
        <v>361.36799999999999</v>
      </c>
      <c r="BD51" s="21">
        <f t="shared" si="10"/>
        <v>361.43199999999996</v>
      </c>
    </row>
    <row r="52" spans="1:56">
      <c r="A52" s="90" t="s">
        <v>521</v>
      </c>
      <c r="B52" s="90" t="s">
        <v>415</v>
      </c>
      <c r="C52" s="90">
        <v>4.0000000000000001E-3</v>
      </c>
      <c r="D52" s="90"/>
      <c r="E52" s="90"/>
      <c r="F52" s="90"/>
      <c r="G52" s="90"/>
      <c r="J52" s="5">
        <v>21</v>
      </c>
      <c r="K52" s="23">
        <f t="shared" si="12"/>
        <v>159</v>
      </c>
      <c r="L52" s="24">
        <f t="shared" si="4"/>
        <v>8</v>
      </c>
      <c r="M52" s="5">
        <f t="shared" si="5"/>
        <v>361.36100001245291</v>
      </c>
      <c r="N52" s="25">
        <f t="shared" si="6"/>
        <v>-8.8889380855208504E-5</v>
      </c>
      <c r="O52" s="26">
        <f t="shared" si="7"/>
        <v>1.5</v>
      </c>
      <c r="P52" s="27">
        <f t="shared" si="8"/>
        <v>361.36086667838163</v>
      </c>
      <c r="Q52" s="27">
        <f t="shared" si="11"/>
        <v>361.36320000999308</v>
      </c>
      <c r="S52" s="21"/>
      <c r="T52" s="21"/>
      <c r="U52" s="21"/>
      <c r="V52" s="21"/>
      <c r="W52" s="21"/>
      <c r="X52" s="21"/>
      <c r="Y52" s="21"/>
      <c r="Z52" s="21"/>
      <c r="AA52" s="21"/>
      <c r="AB52" s="21"/>
      <c r="AC52" s="21"/>
      <c r="AD52" s="21"/>
      <c r="AE52" s="21"/>
      <c r="AF52" s="21"/>
      <c r="AG52" s="21"/>
      <c r="AH52" s="30">
        <f>AH51</f>
        <v>361.36820000581133</v>
      </c>
      <c r="AI52" s="30">
        <f>Q52</f>
        <v>361.36320000999308</v>
      </c>
      <c r="AJ52" s="21"/>
      <c r="AK52" s="21"/>
      <c r="AL52" s="21"/>
      <c r="AM52" s="21"/>
      <c r="AN52" s="21"/>
      <c r="AO52" s="21"/>
      <c r="AP52" s="21"/>
      <c r="AQ52" s="21"/>
      <c r="AR52" s="21"/>
      <c r="AS52" s="21"/>
      <c r="AT52" s="21"/>
      <c r="AU52" s="21"/>
      <c r="AV52" s="21"/>
      <c r="AW52" s="21"/>
      <c r="AX52" s="21"/>
      <c r="AY52" s="21"/>
      <c r="AZ52" s="21"/>
      <c r="BA52" s="21"/>
      <c r="BB52" s="21"/>
      <c r="BC52" s="21">
        <f t="shared" si="9"/>
        <v>361.36799999999999</v>
      </c>
      <c r="BD52" s="21">
        <f t="shared" si="10"/>
        <v>361.43199999999996</v>
      </c>
    </row>
    <row r="53" spans="1:56">
      <c r="A53" s="121" t="s">
        <v>522</v>
      </c>
      <c r="B53" s="90" t="s">
        <v>417</v>
      </c>
      <c r="C53" s="90">
        <v>-207.047</v>
      </c>
      <c r="D53" s="90"/>
      <c r="E53" s="90"/>
      <c r="F53" s="90"/>
      <c r="G53" s="90"/>
      <c r="J53" s="5">
        <v>20</v>
      </c>
      <c r="K53" s="23">
        <f t="shared" si="12"/>
        <v>169</v>
      </c>
      <c r="L53" s="24">
        <f t="shared" si="4"/>
        <v>8</v>
      </c>
      <c r="M53" s="5">
        <f t="shared" si="5"/>
        <v>361.36100001245291</v>
      </c>
      <c r="N53" s="25">
        <f t="shared" si="6"/>
        <v>-8.8889380855208504E-5</v>
      </c>
      <c r="O53" s="26">
        <f t="shared" si="7"/>
        <v>11.5</v>
      </c>
      <c r="P53" s="27">
        <f t="shared" si="8"/>
        <v>361.35997778457306</v>
      </c>
      <c r="Q53" s="27">
        <f t="shared" si="11"/>
        <v>361.36042223147734</v>
      </c>
      <c r="S53" s="21"/>
      <c r="T53" s="21"/>
      <c r="U53" s="21"/>
      <c r="V53" s="21"/>
      <c r="W53" s="21"/>
      <c r="X53" s="21"/>
      <c r="Y53" s="21"/>
      <c r="Z53" s="21"/>
      <c r="AA53" s="21"/>
      <c r="AB53" s="21"/>
      <c r="AC53" s="21"/>
      <c r="AD53" s="21"/>
      <c r="AE53" s="21"/>
      <c r="AF53" s="21"/>
      <c r="AG53" s="21"/>
      <c r="AH53" s="21"/>
      <c r="AI53" s="30">
        <f>AI52</f>
        <v>361.36320000999308</v>
      </c>
      <c r="AJ53" s="30">
        <f>Q53</f>
        <v>361.36042223147734</v>
      </c>
      <c r="AK53" s="21"/>
      <c r="AL53" s="21"/>
      <c r="AM53" s="21"/>
      <c r="AN53" s="21"/>
      <c r="AO53" s="21"/>
      <c r="AP53" s="21"/>
      <c r="AQ53" s="21"/>
      <c r="AR53" s="21"/>
      <c r="AS53" s="21"/>
      <c r="AT53" s="21"/>
      <c r="AU53" s="21"/>
      <c r="AV53" s="21"/>
      <c r="AW53" s="21"/>
      <c r="AX53" s="21"/>
      <c r="AY53" s="21"/>
      <c r="AZ53" s="21"/>
      <c r="BA53" s="21"/>
      <c r="BB53" s="21"/>
      <c r="BC53" s="21">
        <f t="shared" si="9"/>
        <v>361.36799999999999</v>
      </c>
      <c r="BD53" s="21">
        <f t="shared" si="10"/>
        <v>361.43199999999996</v>
      </c>
    </row>
    <row r="54" spans="1:56">
      <c r="A54" s="90"/>
      <c r="B54" s="90"/>
      <c r="C54" s="90"/>
      <c r="D54" s="90"/>
      <c r="E54" s="90"/>
      <c r="F54" s="90"/>
      <c r="G54" s="90"/>
      <c r="J54" s="5">
        <v>19</v>
      </c>
      <c r="K54" s="23">
        <f t="shared" si="12"/>
        <v>179</v>
      </c>
      <c r="L54" s="24">
        <f t="shared" si="4"/>
        <v>8</v>
      </c>
      <c r="M54" s="5">
        <f t="shared" si="5"/>
        <v>361.36100001245291</v>
      </c>
      <c r="N54" s="25">
        <f t="shared" si="6"/>
        <v>-8.8889380855208504E-5</v>
      </c>
      <c r="O54" s="26">
        <f t="shared" si="7"/>
        <v>21.5</v>
      </c>
      <c r="P54" s="27">
        <f t="shared" si="8"/>
        <v>361.3590888907645</v>
      </c>
      <c r="Q54" s="27">
        <f t="shared" si="11"/>
        <v>361.35953333766878</v>
      </c>
      <c r="S54" s="21"/>
      <c r="T54" s="21"/>
      <c r="U54" s="21"/>
      <c r="V54" s="21"/>
      <c r="W54" s="21"/>
      <c r="X54" s="21"/>
      <c r="Y54" s="21"/>
      <c r="Z54" s="21"/>
      <c r="AA54" s="21"/>
      <c r="AB54" s="21"/>
      <c r="AC54" s="21"/>
      <c r="AD54" s="21"/>
      <c r="AE54" s="21"/>
      <c r="AF54" s="21"/>
      <c r="AG54" s="21"/>
      <c r="AH54" s="21"/>
      <c r="AI54" s="21"/>
      <c r="AJ54" s="30">
        <f>AJ53</f>
        <v>361.36042223147734</v>
      </c>
      <c r="AK54" s="30">
        <f>Q54</f>
        <v>361.35953333766878</v>
      </c>
      <c r="AL54" s="21"/>
      <c r="AM54" s="21"/>
      <c r="AN54" s="21"/>
      <c r="AO54" s="21"/>
      <c r="AP54" s="21"/>
      <c r="AQ54" s="21"/>
      <c r="AR54" s="21"/>
      <c r="AS54" s="21"/>
      <c r="AT54" s="21"/>
      <c r="AU54" s="21"/>
      <c r="AV54" s="21"/>
      <c r="AW54" s="21"/>
      <c r="AX54" s="21"/>
      <c r="AY54" s="21"/>
      <c r="AZ54" s="21"/>
      <c r="BA54" s="21"/>
      <c r="BB54" s="21"/>
      <c r="BC54" s="21">
        <f t="shared" si="9"/>
        <v>361.36799999999999</v>
      </c>
      <c r="BD54" s="21">
        <f t="shared" si="10"/>
        <v>361.43199999999996</v>
      </c>
    </row>
    <row r="55" spans="1:56">
      <c r="A55" s="90"/>
      <c r="B55" s="90"/>
      <c r="C55" s="90"/>
      <c r="D55" s="90"/>
      <c r="E55" s="90"/>
      <c r="F55" s="90"/>
      <c r="G55" s="90"/>
      <c r="J55" s="5">
        <v>18</v>
      </c>
      <c r="K55" s="23">
        <f t="shared" si="12"/>
        <v>189</v>
      </c>
      <c r="L55" s="24">
        <f t="shared" si="4"/>
        <v>9</v>
      </c>
      <c r="M55" s="5">
        <f t="shared" si="5"/>
        <v>361.35900000138366</v>
      </c>
      <c r="N55" s="25">
        <f t="shared" si="6"/>
        <v>1.2000004919299398E-3</v>
      </c>
      <c r="O55" s="26">
        <f t="shared" si="7"/>
        <v>9</v>
      </c>
      <c r="P55" s="27">
        <f t="shared" si="8"/>
        <v>361.36980000581104</v>
      </c>
      <c r="Q55" s="27">
        <f t="shared" si="11"/>
        <v>361.36444444828777</v>
      </c>
      <c r="S55" s="21"/>
      <c r="T55" s="21"/>
      <c r="U55" s="21"/>
      <c r="V55" s="21"/>
      <c r="W55" s="21"/>
      <c r="X55" s="21"/>
      <c r="Y55" s="21"/>
      <c r="Z55" s="21"/>
      <c r="AA55" s="21"/>
      <c r="AB55" s="21"/>
      <c r="AC55" s="21"/>
      <c r="AD55" s="21"/>
      <c r="AE55" s="21"/>
      <c r="AF55" s="21"/>
      <c r="AG55" s="21"/>
      <c r="AH55" s="21"/>
      <c r="AI55" s="21"/>
      <c r="AJ55" s="21"/>
      <c r="AK55" s="30">
        <f>AK54</f>
        <v>361.35953333766878</v>
      </c>
      <c r="AL55" s="30">
        <f>Q55</f>
        <v>361.36444444828777</v>
      </c>
      <c r="AM55" s="21"/>
      <c r="AN55" s="21"/>
      <c r="AO55" s="21"/>
      <c r="AP55" s="21"/>
      <c r="AQ55" s="21"/>
      <c r="AR55" s="21"/>
      <c r="AS55" s="21"/>
      <c r="AT55" s="21"/>
      <c r="AU55" s="21"/>
      <c r="AV55" s="21"/>
      <c r="AW55" s="21"/>
      <c r="AX55" s="21"/>
      <c r="AY55" s="21"/>
      <c r="AZ55" s="21"/>
      <c r="BA55" s="21"/>
      <c r="BB55" s="21"/>
      <c r="BC55" s="21">
        <f t="shared" si="9"/>
        <v>361.36799999999999</v>
      </c>
      <c r="BD55" s="21">
        <f t="shared" si="10"/>
        <v>361.43199999999996</v>
      </c>
    </row>
    <row r="56" spans="1:56">
      <c r="A56" s="90"/>
      <c r="B56" s="90"/>
      <c r="C56" s="90"/>
      <c r="D56" s="90"/>
      <c r="E56" s="90"/>
      <c r="F56" s="90"/>
      <c r="G56" s="90"/>
      <c r="J56" s="5">
        <v>17</v>
      </c>
      <c r="K56" s="23">
        <f t="shared" si="12"/>
        <v>199</v>
      </c>
      <c r="L56" s="24">
        <f t="shared" si="4"/>
        <v>9</v>
      </c>
      <c r="M56" s="5">
        <f t="shared" si="5"/>
        <v>361.35900000138366</v>
      </c>
      <c r="N56" s="25">
        <f t="shared" si="6"/>
        <v>1.2000004919299398E-3</v>
      </c>
      <c r="O56" s="26">
        <f t="shared" si="7"/>
        <v>19</v>
      </c>
      <c r="P56" s="27">
        <f t="shared" si="8"/>
        <v>361.38180001073033</v>
      </c>
      <c r="Q56" s="27">
        <f t="shared" si="11"/>
        <v>361.37580000827069</v>
      </c>
      <c r="S56" s="21"/>
      <c r="T56" s="21"/>
      <c r="U56" s="21"/>
      <c r="V56" s="21"/>
      <c r="W56" s="21"/>
      <c r="X56" s="21"/>
      <c r="Y56" s="21"/>
      <c r="Z56" s="21"/>
      <c r="AA56" s="21"/>
      <c r="AB56" s="21"/>
      <c r="AC56" s="21"/>
      <c r="AD56" s="21"/>
      <c r="AE56" s="21"/>
      <c r="AF56" s="21"/>
      <c r="AG56" s="21"/>
      <c r="AH56" s="21"/>
      <c r="AI56" s="21"/>
      <c r="AJ56" s="21"/>
      <c r="AK56" s="21"/>
      <c r="AL56" s="30">
        <f>AL55</f>
        <v>361.36444444828777</v>
      </c>
      <c r="AM56" s="30">
        <f>Q56</f>
        <v>361.37580000827069</v>
      </c>
      <c r="AN56" s="21"/>
      <c r="AO56" s="21"/>
      <c r="AP56" s="21"/>
      <c r="AQ56" s="21"/>
      <c r="AR56" s="21"/>
      <c r="AS56" s="21"/>
      <c r="AT56" s="21"/>
      <c r="AU56" s="21"/>
      <c r="AV56" s="21"/>
      <c r="AW56" s="21"/>
      <c r="AX56" s="21"/>
      <c r="AY56" s="21"/>
      <c r="AZ56" s="21"/>
      <c r="BA56" s="21"/>
      <c r="BB56" s="21"/>
      <c r="BC56" s="21">
        <f t="shared" si="9"/>
        <v>361.36799999999999</v>
      </c>
      <c r="BD56" s="21">
        <f t="shared" si="10"/>
        <v>361.43199999999996</v>
      </c>
    </row>
    <row r="57" spans="1:56">
      <c r="A57" s="90"/>
      <c r="B57" s="90"/>
      <c r="C57" s="90"/>
      <c r="D57" s="90"/>
      <c r="E57" s="90"/>
      <c r="F57" s="90"/>
      <c r="G57" s="90"/>
      <c r="J57" s="5">
        <v>16</v>
      </c>
      <c r="K57" s="23">
        <f t="shared" si="12"/>
        <v>209</v>
      </c>
      <c r="L57" s="24">
        <f t="shared" si="4"/>
        <v>10</v>
      </c>
      <c r="M57" s="5">
        <f t="shared" si="5"/>
        <v>361.38600001245209</v>
      </c>
      <c r="N57" s="25">
        <f t="shared" si="6"/>
        <v>6.6666635919621813E-4</v>
      </c>
      <c r="O57" s="26">
        <f t="shared" si="7"/>
        <v>6.5</v>
      </c>
      <c r="P57" s="27">
        <f t="shared" si="8"/>
        <v>361.39033334378684</v>
      </c>
      <c r="Q57" s="27">
        <f t="shared" si="11"/>
        <v>361.38606667725855</v>
      </c>
      <c r="S57" s="21"/>
      <c r="T57" s="21"/>
      <c r="U57" s="21"/>
      <c r="V57" s="21"/>
      <c r="W57" s="21"/>
      <c r="X57" s="21"/>
      <c r="Y57" s="21"/>
      <c r="Z57" s="21"/>
      <c r="AA57" s="21"/>
      <c r="AB57" s="21"/>
      <c r="AC57" s="21"/>
      <c r="AD57" s="21"/>
      <c r="AE57" s="21"/>
      <c r="AF57" s="21"/>
      <c r="AG57" s="21"/>
      <c r="AH57" s="21"/>
      <c r="AI57" s="21"/>
      <c r="AJ57" s="21"/>
      <c r="AK57" s="21"/>
      <c r="AL57" s="21"/>
      <c r="AM57" s="30">
        <f>AM56</f>
        <v>361.37580000827069</v>
      </c>
      <c r="AN57" s="30">
        <f>Q57</f>
        <v>361.38606667725855</v>
      </c>
      <c r="AO57" s="21"/>
      <c r="AP57" s="21"/>
      <c r="AQ57" s="21"/>
      <c r="AR57" s="21"/>
      <c r="AS57" s="21"/>
      <c r="AT57" s="21"/>
      <c r="AU57" s="21"/>
      <c r="AV57" s="21"/>
      <c r="AW57" s="21"/>
      <c r="AX57" s="21"/>
      <c r="AY57" s="21"/>
      <c r="AZ57" s="21"/>
      <c r="BA57" s="21"/>
      <c r="BB57" s="21"/>
      <c r="BC57" s="21">
        <f t="shared" si="9"/>
        <v>361.36799999999999</v>
      </c>
      <c r="BD57" s="21">
        <f t="shared" si="10"/>
        <v>361.43199999999996</v>
      </c>
    </row>
    <row r="58" spans="1:56">
      <c r="A58" s="90"/>
      <c r="B58" s="90"/>
      <c r="C58" s="90"/>
      <c r="D58" s="90"/>
      <c r="E58" s="90"/>
      <c r="F58" s="90"/>
      <c r="G58" s="90"/>
      <c r="J58" s="5">
        <v>15</v>
      </c>
      <c r="K58" s="23">
        <f t="shared" si="12"/>
        <v>219</v>
      </c>
      <c r="L58" s="24">
        <f t="shared" si="4"/>
        <v>10</v>
      </c>
      <c r="M58" s="5">
        <f t="shared" si="5"/>
        <v>361.38600001245209</v>
      </c>
      <c r="N58" s="25">
        <f t="shared" si="6"/>
        <v>6.6666635919621813E-4</v>
      </c>
      <c r="O58" s="26">
        <f t="shared" si="7"/>
        <v>16.5</v>
      </c>
      <c r="P58" s="27">
        <f t="shared" si="8"/>
        <v>361.39700000737884</v>
      </c>
      <c r="Q58" s="27">
        <f t="shared" si="11"/>
        <v>361.39366667558284</v>
      </c>
      <c r="S58" s="21"/>
      <c r="T58" s="21"/>
      <c r="U58" s="21"/>
      <c r="V58" s="21"/>
      <c r="W58" s="21"/>
      <c r="X58" s="21"/>
      <c r="Y58" s="21"/>
      <c r="Z58" s="21"/>
      <c r="AA58" s="21"/>
      <c r="AB58" s="21"/>
      <c r="AC58" s="21"/>
      <c r="AD58" s="21"/>
      <c r="AE58" s="21"/>
      <c r="AF58" s="21"/>
      <c r="AG58" s="21"/>
      <c r="AH58" s="21"/>
      <c r="AI58" s="21"/>
      <c r="AJ58" s="21"/>
      <c r="AK58" s="21"/>
      <c r="AL58" s="21"/>
      <c r="AM58" s="21"/>
      <c r="AN58" s="30">
        <f>AN57</f>
        <v>361.38606667725855</v>
      </c>
      <c r="AO58" s="30">
        <f>Q58</f>
        <v>361.39366667558284</v>
      </c>
      <c r="AP58" s="21"/>
      <c r="AQ58" s="21"/>
      <c r="AR58" s="21"/>
      <c r="AS58" s="21"/>
      <c r="AT58" s="21"/>
      <c r="AU58" s="21"/>
      <c r="AV58" s="21"/>
      <c r="AW58" s="21"/>
      <c r="AX58" s="21"/>
      <c r="AY58" s="21"/>
      <c r="AZ58" s="21"/>
      <c r="BA58" s="21"/>
      <c r="BB58" s="21"/>
      <c r="BC58" s="21">
        <f t="shared" si="9"/>
        <v>361.36799999999999</v>
      </c>
      <c r="BD58" s="21">
        <f t="shared" si="10"/>
        <v>361.43199999999996</v>
      </c>
    </row>
    <row r="59" spans="1:56">
      <c r="A59" s="1"/>
      <c r="J59" s="5">
        <v>14</v>
      </c>
      <c r="K59" s="23">
        <f t="shared" si="12"/>
        <v>229</v>
      </c>
      <c r="L59" s="24">
        <f t="shared" si="4"/>
        <v>11</v>
      </c>
      <c r="M59" s="5">
        <f t="shared" si="5"/>
        <v>361.401000005534</v>
      </c>
      <c r="N59" s="25">
        <f t="shared" si="6"/>
        <v>1.6000071934867163E-3</v>
      </c>
      <c r="O59" s="26">
        <f t="shared" si="7"/>
        <v>4</v>
      </c>
      <c r="P59" s="27">
        <f t="shared" si="8"/>
        <v>361.40740003430795</v>
      </c>
      <c r="Q59" s="27">
        <f t="shared" si="11"/>
        <v>361.4022000208434</v>
      </c>
      <c r="S59" s="21"/>
      <c r="T59" s="21"/>
      <c r="U59" s="21"/>
      <c r="V59" s="21"/>
      <c r="W59" s="21"/>
      <c r="X59" s="21"/>
      <c r="Y59" s="21"/>
      <c r="Z59" s="21"/>
      <c r="AA59" s="21"/>
      <c r="AB59" s="21"/>
      <c r="AC59" s="21"/>
      <c r="AD59" s="21"/>
      <c r="AE59" s="21"/>
      <c r="AF59" s="21"/>
      <c r="AG59" s="21"/>
      <c r="AH59" s="21"/>
      <c r="AI59" s="21"/>
      <c r="AJ59" s="21"/>
      <c r="AK59" s="21"/>
      <c r="AL59" s="21"/>
      <c r="AM59" s="21"/>
      <c r="AN59" s="21"/>
      <c r="AO59" s="30">
        <f>AO58</f>
        <v>361.39366667558284</v>
      </c>
      <c r="AP59" s="30">
        <f>Q59</f>
        <v>361.4022000208434</v>
      </c>
      <c r="AQ59" s="21"/>
      <c r="AR59" s="21"/>
      <c r="AS59" s="21"/>
      <c r="AT59" s="21"/>
      <c r="AU59" s="21"/>
      <c r="AV59" s="21"/>
      <c r="AW59" s="21"/>
      <c r="AX59" s="21"/>
      <c r="AY59" s="21"/>
      <c r="AZ59" s="21"/>
      <c r="BA59" s="21"/>
      <c r="BB59" s="21"/>
      <c r="BC59" s="21">
        <f t="shared" si="9"/>
        <v>361.36799999999999</v>
      </c>
      <c r="BD59" s="21">
        <f t="shared" si="10"/>
        <v>361.43199999999996</v>
      </c>
    </row>
    <row r="60" spans="1:56">
      <c r="A60" s="1"/>
      <c r="J60" s="5">
        <v>13</v>
      </c>
      <c r="K60" s="23">
        <f t="shared" si="12"/>
        <v>239</v>
      </c>
      <c r="L60" s="24">
        <f t="shared" si="4"/>
        <v>11</v>
      </c>
      <c r="M60" s="5">
        <f t="shared" si="5"/>
        <v>361.401000005534</v>
      </c>
      <c r="N60" s="25">
        <f t="shared" si="6"/>
        <v>1.6000071934867163E-3</v>
      </c>
      <c r="O60" s="26">
        <f t="shared" si="7"/>
        <v>14</v>
      </c>
      <c r="P60" s="27">
        <f t="shared" si="8"/>
        <v>361.42340010624281</v>
      </c>
      <c r="Q60" s="27">
        <f t="shared" si="11"/>
        <v>361.41540007027538</v>
      </c>
      <c r="S60" s="21"/>
      <c r="T60" s="21"/>
      <c r="U60" s="21"/>
      <c r="V60" s="21"/>
      <c r="W60" s="21"/>
      <c r="X60" s="21"/>
      <c r="Y60" s="21"/>
      <c r="Z60" s="21"/>
      <c r="AA60" s="21"/>
      <c r="AB60" s="21"/>
      <c r="AC60" s="21"/>
      <c r="AD60" s="21"/>
      <c r="AE60" s="21"/>
      <c r="AF60" s="21"/>
      <c r="AG60" s="21"/>
      <c r="AH60" s="21"/>
      <c r="AI60" s="21"/>
      <c r="AJ60" s="21"/>
      <c r="AK60" s="21"/>
      <c r="AL60" s="21"/>
      <c r="AM60" s="21"/>
      <c r="AN60" s="21"/>
      <c r="AO60" s="21"/>
      <c r="AP60" s="30">
        <f>AP59</f>
        <v>361.4022000208434</v>
      </c>
      <c r="AQ60" s="30">
        <f>Q60</f>
        <v>361.41540007027538</v>
      </c>
      <c r="AR60" s="21"/>
      <c r="AS60" s="21"/>
      <c r="AT60" s="21"/>
      <c r="AU60" s="21"/>
      <c r="AV60" s="21"/>
      <c r="AW60" s="21"/>
      <c r="AX60" s="21"/>
      <c r="AY60" s="21"/>
      <c r="AZ60" s="21"/>
      <c r="BA60" s="21"/>
      <c r="BB60" s="21"/>
      <c r="BC60" s="21">
        <f t="shared" si="9"/>
        <v>361.36799999999999</v>
      </c>
      <c r="BD60" s="21">
        <f t="shared" si="10"/>
        <v>361.43199999999996</v>
      </c>
    </row>
    <row r="61" spans="1:56">
      <c r="A61" s="1"/>
      <c r="J61" s="5">
        <v>12</v>
      </c>
      <c r="K61" s="23">
        <f t="shared" si="12"/>
        <v>249</v>
      </c>
      <c r="L61" s="24">
        <f t="shared" si="4"/>
        <v>12</v>
      </c>
      <c r="M61" s="5">
        <f t="shared" si="5"/>
        <v>361.43700016738745</v>
      </c>
      <c r="N61" s="25">
        <f t="shared" si="6"/>
        <v>-6.2222960018011185E-4</v>
      </c>
      <c r="O61" s="26">
        <f t="shared" si="7"/>
        <v>1.5</v>
      </c>
      <c r="P61" s="27">
        <f t="shared" si="8"/>
        <v>361.43606682298719</v>
      </c>
      <c r="Q61" s="27">
        <f t="shared" si="11"/>
        <v>361.42973346461497</v>
      </c>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30">
        <f>AQ60</f>
        <v>361.41540007027538</v>
      </c>
      <c r="AR61" s="30">
        <f>Q61</f>
        <v>361.42973346461497</v>
      </c>
      <c r="AS61" s="21"/>
      <c r="AT61" s="21"/>
      <c r="AU61" s="21"/>
      <c r="AV61" s="21"/>
      <c r="AW61" s="21"/>
      <c r="AX61" s="21"/>
      <c r="AY61" s="21"/>
      <c r="AZ61" s="21"/>
      <c r="BA61" s="21"/>
      <c r="BB61" s="21"/>
      <c r="BC61" s="21">
        <f t="shared" si="9"/>
        <v>361.36799999999999</v>
      </c>
      <c r="BD61" s="21">
        <f t="shared" si="10"/>
        <v>361.43199999999996</v>
      </c>
    </row>
    <row r="62" spans="1:56">
      <c r="A62" s="1"/>
      <c r="J62" s="5">
        <v>11</v>
      </c>
      <c r="K62" s="23">
        <f t="shared" si="12"/>
        <v>259</v>
      </c>
      <c r="L62" s="24">
        <f t="shared" si="4"/>
        <v>12</v>
      </c>
      <c r="M62" s="5">
        <f t="shared" si="5"/>
        <v>361.43700016738745</v>
      </c>
      <c r="N62" s="25">
        <f t="shared" si="6"/>
        <v>-6.2222960018011185E-4</v>
      </c>
      <c r="O62" s="26">
        <f t="shared" si="7"/>
        <v>11.5</v>
      </c>
      <c r="P62" s="27">
        <f t="shared" si="8"/>
        <v>361.42984452698539</v>
      </c>
      <c r="Q62" s="27">
        <f t="shared" si="11"/>
        <v>361.43295567498626</v>
      </c>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30">
        <f>AR61</f>
        <v>361.42973346461497</v>
      </c>
      <c r="AS62" s="30">
        <f>Q62</f>
        <v>361.43295567498626</v>
      </c>
      <c r="AT62" s="21"/>
      <c r="AU62" s="21"/>
      <c r="AV62" s="21"/>
      <c r="AW62" s="21"/>
      <c r="AX62" s="21"/>
      <c r="AY62" s="21"/>
      <c r="AZ62" s="21"/>
      <c r="BA62" s="21"/>
      <c r="BB62" s="21"/>
      <c r="BC62" s="21">
        <f t="shared" si="9"/>
        <v>361.36799999999999</v>
      </c>
      <c r="BD62" s="21">
        <f t="shared" si="10"/>
        <v>361.43199999999996</v>
      </c>
    </row>
    <row r="63" spans="1:56">
      <c r="A63" s="1"/>
      <c r="J63" s="5">
        <v>10</v>
      </c>
      <c r="K63" s="23">
        <f t="shared" si="12"/>
        <v>269</v>
      </c>
      <c r="L63" s="24">
        <f t="shared" si="4"/>
        <v>12</v>
      </c>
      <c r="M63" s="5">
        <f t="shared" si="5"/>
        <v>361.43700016738745</v>
      </c>
      <c r="N63" s="25">
        <f t="shared" si="6"/>
        <v>-6.2222960018011185E-4</v>
      </c>
      <c r="O63" s="26">
        <f t="shared" si="7"/>
        <v>21.5</v>
      </c>
      <c r="P63" s="27">
        <f t="shared" si="8"/>
        <v>361.4236222309836</v>
      </c>
      <c r="Q63" s="27">
        <f t="shared" si="11"/>
        <v>361.42673337898452</v>
      </c>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30">
        <f>AS62</f>
        <v>361.43295567498626</v>
      </c>
      <c r="AT63" s="30">
        <f>Q63</f>
        <v>361.42673337898452</v>
      </c>
      <c r="AU63" s="21"/>
      <c r="AV63" s="21"/>
      <c r="AW63" s="21"/>
      <c r="AX63" s="21"/>
      <c r="AY63" s="21"/>
      <c r="AZ63" s="21"/>
      <c r="BA63" s="21"/>
      <c r="BB63" s="21"/>
      <c r="BC63" s="21">
        <f t="shared" si="9"/>
        <v>361.36799999999999</v>
      </c>
      <c r="BD63" s="21">
        <f t="shared" si="10"/>
        <v>361.43199999999996</v>
      </c>
    </row>
    <row r="64" spans="1:56">
      <c r="A64" s="1"/>
      <c r="J64" s="5">
        <v>9</v>
      </c>
      <c r="K64" s="23">
        <f t="shared" si="12"/>
        <v>279</v>
      </c>
      <c r="L64" s="24">
        <f t="shared" si="4"/>
        <v>13</v>
      </c>
      <c r="M64" s="5">
        <f t="shared" si="5"/>
        <v>361.4230000013834</v>
      </c>
      <c r="N64" s="25">
        <f t="shared" si="6"/>
        <v>1.3333327184833859E-4</v>
      </c>
      <c r="O64" s="26">
        <f t="shared" si="7"/>
        <v>9</v>
      </c>
      <c r="P64" s="27">
        <f t="shared" si="8"/>
        <v>361.42420000083001</v>
      </c>
      <c r="Q64" s="27">
        <f t="shared" si="11"/>
        <v>361.42391111590678</v>
      </c>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30">
        <f>AT63</f>
        <v>361.42673337898452</v>
      </c>
      <c r="AU64" s="30">
        <f>Q64</f>
        <v>361.42391111590678</v>
      </c>
      <c r="AV64" s="21"/>
      <c r="AW64" s="21"/>
      <c r="AX64" s="21"/>
      <c r="AY64" s="21"/>
      <c r="AZ64" s="21"/>
      <c r="BA64" s="21"/>
      <c r="BB64" s="21"/>
      <c r="BC64" s="21">
        <f t="shared" si="9"/>
        <v>361.36799999999999</v>
      </c>
      <c r="BD64" s="21">
        <f t="shared" si="10"/>
        <v>361.43199999999996</v>
      </c>
    </row>
    <row r="65" spans="1:56">
      <c r="A65" s="1"/>
      <c r="J65" s="5">
        <v>8</v>
      </c>
      <c r="K65" s="23">
        <f t="shared" si="12"/>
        <v>289</v>
      </c>
      <c r="L65" s="24">
        <f t="shared" si="4"/>
        <v>13</v>
      </c>
      <c r="M65" s="5">
        <f t="shared" si="5"/>
        <v>361.4230000013834</v>
      </c>
      <c r="N65" s="25">
        <f t="shared" si="6"/>
        <v>1.3333327184833859E-4</v>
      </c>
      <c r="O65" s="26">
        <f t="shared" si="7"/>
        <v>19</v>
      </c>
      <c r="P65" s="27">
        <f t="shared" si="8"/>
        <v>361.42553333354851</v>
      </c>
      <c r="Q65" s="27">
        <f t="shared" si="11"/>
        <v>361.42486666718924</v>
      </c>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30">
        <f>AU64</f>
        <v>361.42391111590678</v>
      </c>
      <c r="AV65" s="30">
        <f>Q65</f>
        <v>361.42486666718924</v>
      </c>
      <c r="AW65" s="21"/>
      <c r="AX65" s="21"/>
      <c r="AY65" s="21"/>
      <c r="AZ65" s="21"/>
      <c r="BA65" s="21"/>
      <c r="BB65" s="21"/>
      <c r="BC65" s="21">
        <f t="shared" si="9"/>
        <v>361.36799999999999</v>
      </c>
      <c r="BD65" s="21">
        <f t="shared" si="10"/>
        <v>361.43199999999996</v>
      </c>
    </row>
    <row r="66" spans="1:56">
      <c r="A66" s="1"/>
      <c r="J66" s="5">
        <v>7</v>
      </c>
      <c r="K66" s="23">
        <f t="shared" si="12"/>
        <v>299</v>
      </c>
      <c r="L66" s="24">
        <f t="shared" si="4"/>
        <v>14</v>
      </c>
      <c r="M66" s="5">
        <f t="shared" si="5"/>
        <v>361.42599999999999</v>
      </c>
      <c r="N66" s="25">
        <f t="shared" si="6"/>
        <v>-2.0444438910115219E-3</v>
      </c>
      <c r="O66" s="26">
        <f t="shared" si="7"/>
        <v>6.5</v>
      </c>
      <c r="P66" s="27">
        <f t="shared" si="8"/>
        <v>361.41271111470843</v>
      </c>
      <c r="Q66" s="27">
        <f t="shared" si="11"/>
        <v>361.4191222241285</v>
      </c>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30">
        <f>AV65</f>
        <v>361.42486666718924</v>
      </c>
      <c r="AW66" s="30">
        <f>Q66</f>
        <v>361.4191222241285</v>
      </c>
      <c r="AX66" s="21"/>
      <c r="AY66" s="21"/>
      <c r="AZ66" s="21"/>
      <c r="BA66" s="21"/>
      <c r="BB66" s="21"/>
      <c r="BC66" s="21">
        <f t="shared" si="9"/>
        <v>361.36799999999999</v>
      </c>
      <c r="BD66" s="21">
        <f t="shared" si="10"/>
        <v>361.43199999999996</v>
      </c>
    </row>
    <row r="67" spans="1:56">
      <c r="A67" s="1"/>
      <c r="J67" s="5">
        <v>6</v>
      </c>
      <c r="K67" s="23">
        <f t="shared" si="12"/>
        <v>309</v>
      </c>
      <c r="L67" s="24">
        <f t="shared" si="4"/>
        <v>14</v>
      </c>
      <c r="M67" s="5">
        <f t="shared" si="5"/>
        <v>361.42599999999999</v>
      </c>
      <c r="N67" s="25">
        <f t="shared" si="6"/>
        <v>-2.0444438910115219E-3</v>
      </c>
      <c r="O67" s="26">
        <f t="shared" si="7"/>
        <v>16.5</v>
      </c>
      <c r="P67" s="27">
        <f t="shared" si="8"/>
        <v>361.39226667579828</v>
      </c>
      <c r="Q67" s="27">
        <f t="shared" si="11"/>
        <v>361.40248889525333</v>
      </c>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30">
        <f>AW66</f>
        <v>361.4191222241285</v>
      </c>
      <c r="AX67" s="30">
        <f>Q67</f>
        <v>361.40248889525333</v>
      </c>
      <c r="AY67" s="21"/>
      <c r="AZ67" s="21"/>
      <c r="BA67" s="21"/>
      <c r="BB67" s="21"/>
      <c r="BC67" s="21">
        <f t="shared" si="9"/>
        <v>361.36799999999999</v>
      </c>
      <c r="BD67" s="21">
        <f t="shared" si="10"/>
        <v>361.43199999999996</v>
      </c>
    </row>
    <row r="68" spans="1:56">
      <c r="A68" s="1"/>
      <c r="J68" s="5">
        <v>5</v>
      </c>
      <c r="K68" s="23">
        <f t="shared" si="12"/>
        <v>319</v>
      </c>
      <c r="L68" s="24">
        <f t="shared" si="4"/>
        <v>15</v>
      </c>
      <c r="M68" s="5">
        <f t="shared" si="5"/>
        <v>361.38000001245223</v>
      </c>
      <c r="N68" s="25">
        <f t="shared" si="6"/>
        <v>-3.1111160304943849E-4</v>
      </c>
      <c r="O68" s="26">
        <f t="shared" si="7"/>
        <v>4</v>
      </c>
      <c r="P68" s="27">
        <f t="shared" si="8"/>
        <v>361.37875556604001</v>
      </c>
      <c r="Q68" s="27">
        <f t="shared" si="11"/>
        <v>361.38551112091915</v>
      </c>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30">
        <f>AX67</f>
        <v>361.40248889525333</v>
      </c>
      <c r="AY68" s="30">
        <f>Q68</f>
        <v>361.38551112091915</v>
      </c>
      <c r="AZ68" s="21"/>
      <c r="BA68" s="21"/>
      <c r="BB68" s="21"/>
      <c r="BC68" s="21">
        <f t="shared" si="9"/>
        <v>361.36799999999999</v>
      </c>
      <c r="BD68" s="21">
        <f t="shared" si="10"/>
        <v>361.43199999999996</v>
      </c>
    </row>
    <row r="69" spans="1:56">
      <c r="A69" s="1"/>
      <c r="J69" s="5">
        <v>4</v>
      </c>
      <c r="K69" s="23">
        <f t="shared" si="12"/>
        <v>329</v>
      </c>
      <c r="L69" s="24">
        <f t="shared" si="4"/>
        <v>15</v>
      </c>
      <c r="M69" s="5">
        <f t="shared" si="5"/>
        <v>361.38000001245223</v>
      </c>
      <c r="N69" s="25">
        <f t="shared" si="6"/>
        <v>-3.1111160304943849E-4</v>
      </c>
      <c r="O69" s="26">
        <f t="shared" si="7"/>
        <v>14</v>
      </c>
      <c r="P69" s="27">
        <f t="shared" si="8"/>
        <v>361.37564445000953</v>
      </c>
      <c r="Q69" s="27">
        <f t="shared" si="11"/>
        <v>361.37720000802477</v>
      </c>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30">
        <f>AY68</f>
        <v>361.38551112091915</v>
      </c>
      <c r="AZ69" s="30">
        <f>Q69</f>
        <v>361.37720000802477</v>
      </c>
      <c r="BA69" s="21"/>
      <c r="BB69" s="21"/>
      <c r="BC69" s="21">
        <f t="shared" si="9"/>
        <v>361.36799999999999</v>
      </c>
      <c r="BD69" s="21">
        <f t="shared" si="10"/>
        <v>361.43199999999996</v>
      </c>
    </row>
    <row r="70" spans="1:56">
      <c r="A70" s="1"/>
      <c r="J70" s="5">
        <v>3</v>
      </c>
      <c r="K70" s="23">
        <f t="shared" si="12"/>
        <v>339</v>
      </c>
      <c r="L70" s="24">
        <f t="shared" si="4"/>
        <v>16</v>
      </c>
      <c r="M70" s="5">
        <f t="shared" si="5"/>
        <v>361.37300000138362</v>
      </c>
      <c r="N70" s="25">
        <f t="shared" si="6"/>
        <v>4.4444444444151387E-4</v>
      </c>
      <c r="O70" s="26">
        <f t="shared" si="7"/>
        <v>1.5</v>
      </c>
      <c r="P70" s="27">
        <f t="shared" si="8"/>
        <v>361.3736666680503</v>
      </c>
      <c r="Q70" s="27">
        <f t="shared" si="11"/>
        <v>361.37465555902992</v>
      </c>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30">
        <f>AZ69</f>
        <v>361.37720000802477</v>
      </c>
      <c r="BA70" s="30">
        <f>Q70</f>
        <v>361.37465555902992</v>
      </c>
      <c r="BB70" s="21"/>
      <c r="BC70" s="21">
        <f t="shared" si="9"/>
        <v>361.36799999999999</v>
      </c>
      <c r="BD70" s="21">
        <f t="shared" si="10"/>
        <v>361.43199999999996</v>
      </c>
    </row>
    <row r="71" spans="1:56">
      <c r="A71" s="1"/>
      <c r="J71" s="5">
        <v>2</v>
      </c>
      <c r="K71" s="23">
        <f t="shared" si="12"/>
        <v>349</v>
      </c>
      <c r="L71" s="24">
        <f t="shared" si="4"/>
        <v>16</v>
      </c>
      <c r="M71" s="5">
        <f t="shared" si="5"/>
        <v>361.37300000138362</v>
      </c>
      <c r="N71" s="25">
        <f t="shared" si="6"/>
        <v>4.4444444444151387E-4</v>
      </c>
      <c r="O71" s="26">
        <f t="shared" si="7"/>
        <v>11.5</v>
      </c>
      <c r="P71" s="27">
        <f t="shared" si="8"/>
        <v>361.37811111249471</v>
      </c>
      <c r="Q71" s="27">
        <f t="shared" si="11"/>
        <v>361.37588889027251</v>
      </c>
      <c r="S71" s="31"/>
      <c r="T71" s="31"/>
      <c r="U71" s="31"/>
      <c r="V71" s="31"/>
      <c r="W71" s="31"/>
      <c r="X71" s="31"/>
      <c r="Y71" s="31"/>
      <c r="Z71" s="31"/>
      <c r="AA71" s="31"/>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2">
        <f>BA70</f>
        <v>361.37465555902992</v>
      </c>
      <c r="BB71" s="32">
        <f>Q71</f>
        <v>361.37588889027251</v>
      </c>
      <c r="BC71" s="31">
        <f t="shared" si="9"/>
        <v>361.36799999999999</v>
      </c>
      <c r="BD71" s="31">
        <f t="shared" si="10"/>
        <v>361.43199999999996</v>
      </c>
    </row>
    <row r="72" spans="1:56">
      <c r="A72" s="1"/>
    </row>
    <row r="73" spans="1:56">
      <c r="A73" s="1"/>
    </row>
    <row r="74" spans="1:56">
      <c r="A74" s="1"/>
      <c r="I74" s="33"/>
      <c r="J74" s="33"/>
      <c r="K74" s="33"/>
      <c r="L74" s="33"/>
      <c r="M74" s="33"/>
      <c r="N74" s="33"/>
      <c r="O74" s="33"/>
      <c r="P74" s="33"/>
      <c r="Q74" s="33"/>
      <c r="R74" s="33"/>
      <c r="S74" s="33"/>
      <c r="T74" s="33"/>
      <c r="U74" s="33"/>
      <c r="V74" s="33"/>
      <c r="W74" s="49"/>
      <c r="X74" s="33"/>
      <c r="Y74" s="33"/>
      <c r="Z74" s="33"/>
      <c r="AA74" s="33"/>
      <c r="AB74" s="33"/>
      <c r="AC74" s="33"/>
      <c r="AD74" s="33"/>
      <c r="AE74" s="33"/>
      <c r="AF74" s="33"/>
      <c r="AG74" s="33"/>
      <c r="AH74" s="33"/>
      <c r="AI74" s="33"/>
      <c r="AJ74" s="33"/>
      <c r="AK74" s="33"/>
      <c r="AL74" s="33"/>
    </row>
    <row r="75" spans="1:56">
      <c r="A75" s="1"/>
      <c r="I75" s="33"/>
      <c r="J75" s="33"/>
      <c r="K75" s="33"/>
      <c r="L75" s="33"/>
      <c r="M75" s="33"/>
      <c r="N75" s="33"/>
      <c r="O75" s="33"/>
      <c r="P75" s="33"/>
      <c r="Q75" s="33"/>
      <c r="R75" s="33"/>
      <c r="S75" s="33"/>
      <c r="T75" s="33"/>
      <c r="U75" s="33"/>
      <c r="V75" s="33"/>
      <c r="W75" s="49"/>
      <c r="X75" s="33"/>
      <c r="Y75" s="33"/>
      <c r="Z75" s="33"/>
      <c r="AA75" s="33"/>
      <c r="AB75" s="33"/>
      <c r="AC75" s="33"/>
      <c r="AD75" s="33"/>
      <c r="AE75" s="33"/>
      <c r="AF75" s="33"/>
      <c r="AG75" s="33"/>
      <c r="AH75" s="33"/>
      <c r="AI75" s="33"/>
      <c r="AJ75" s="33"/>
      <c r="AK75" s="33"/>
      <c r="AL75" s="33"/>
    </row>
    <row r="76" spans="1:56">
      <c r="A76" s="1"/>
      <c r="I76" s="33"/>
      <c r="J76" s="33"/>
      <c r="K76" s="33"/>
      <c r="L76" s="33"/>
      <c r="M76" s="33"/>
      <c r="N76" s="33"/>
      <c r="O76" s="33"/>
      <c r="P76" s="33"/>
      <c r="Q76" s="33"/>
      <c r="R76" s="33"/>
      <c r="S76" s="33"/>
      <c r="T76" s="33"/>
      <c r="U76" s="33"/>
      <c r="V76" s="33"/>
      <c r="W76" s="49"/>
      <c r="X76" s="33"/>
      <c r="Y76" s="33"/>
      <c r="Z76" s="33"/>
      <c r="AA76" s="33"/>
      <c r="AB76" s="33"/>
      <c r="AC76" s="33"/>
      <c r="AD76" s="33"/>
      <c r="AE76" s="33"/>
      <c r="AF76" s="33"/>
      <c r="AG76" s="33"/>
      <c r="AH76" s="33"/>
      <c r="AI76" s="33"/>
      <c r="AJ76" s="33"/>
      <c r="AK76" s="33"/>
      <c r="AL76" s="33"/>
    </row>
    <row r="77" spans="1:56">
      <c r="A77" s="1"/>
      <c r="I77" s="33"/>
      <c r="J77" s="33"/>
      <c r="K77" s="33"/>
      <c r="L77" s="33"/>
      <c r="M77" s="33"/>
      <c r="N77" s="33"/>
      <c r="O77" s="33"/>
      <c r="P77" s="33"/>
      <c r="Q77" s="33"/>
      <c r="R77" s="33"/>
      <c r="S77" s="33"/>
      <c r="T77" s="33"/>
      <c r="U77" s="33"/>
      <c r="V77" s="33"/>
      <c r="W77" s="49"/>
      <c r="X77" s="33"/>
      <c r="Y77" s="33"/>
      <c r="Z77" s="33"/>
      <c r="AA77" s="33"/>
      <c r="AB77" s="33"/>
      <c r="AC77" s="33"/>
      <c r="AD77" s="33"/>
      <c r="AE77" s="33"/>
      <c r="AF77" s="33"/>
      <c r="AG77" s="33"/>
      <c r="AH77" s="33"/>
      <c r="AI77" s="33"/>
      <c r="AJ77" s="33"/>
      <c r="AK77" s="33"/>
      <c r="AL77" s="33"/>
    </row>
    <row r="78" spans="1:56">
      <c r="A78" s="1"/>
      <c r="I78" s="33"/>
      <c r="J78" s="33"/>
      <c r="K78" s="33"/>
      <c r="L78" s="33"/>
      <c r="M78" s="33"/>
      <c r="N78" s="33"/>
      <c r="O78" s="33"/>
      <c r="P78" s="33"/>
      <c r="Q78" s="33"/>
      <c r="R78" s="33"/>
      <c r="S78" s="33"/>
      <c r="T78" s="33"/>
      <c r="U78" s="33"/>
      <c r="V78" s="33"/>
      <c r="W78" s="49"/>
      <c r="X78" s="33"/>
      <c r="Y78" s="33"/>
      <c r="Z78" s="33"/>
      <c r="AA78" s="33"/>
      <c r="AB78" s="33"/>
      <c r="AC78" s="33"/>
      <c r="AD78" s="33"/>
      <c r="AE78" s="33"/>
      <c r="AF78" s="33"/>
      <c r="AG78" s="33"/>
      <c r="AH78" s="33"/>
      <c r="AI78" s="33"/>
      <c r="AJ78" s="33"/>
      <c r="AK78" s="33"/>
      <c r="AL78" s="33"/>
    </row>
    <row r="79" spans="1:56">
      <c r="A79" s="1"/>
      <c r="I79" s="33"/>
      <c r="J79" s="33"/>
      <c r="K79" s="33"/>
      <c r="L79" s="33"/>
      <c r="M79" s="33"/>
      <c r="N79" s="33"/>
      <c r="O79" s="33"/>
      <c r="P79" s="33"/>
      <c r="Q79" s="33"/>
      <c r="R79" s="33"/>
      <c r="S79" s="33"/>
      <c r="T79" s="33"/>
      <c r="U79" s="33"/>
      <c r="V79" s="33"/>
      <c r="W79" s="49"/>
      <c r="X79" s="33"/>
      <c r="Y79" s="33"/>
      <c r="Z79" s="33"/>
      <c r="AA79" s="33"/>
      <c r="AB79" s="33"/>
      <c r="AC79" s="33"/>
      <c r="AD79" s="33"/>
      <c r="AE79" s="33"/>
      <c r="AF79" s="33"/>
      <c r="AG79" s="33"/>
      <c r="AH79" s="33"/>
      <c r="AI79" s="33"/>
      <c r="AJ79" s="33"/>
      <c r="AK79" s="33"/>
      <c r="AL79" s="33"/>
    </row>
    <row r="80" spans="1:56">
      <c r="A80" s="1"/>
      <c r="I80" s="33"/>
      <c r="J80" s="33"/>
      <c r="K80" s="33"/>
      <c r="L80" s="33"/>
      <c r="M80" s="33"/>
      <c r="N80" s="33"/>
      <c r="O80" s="33"/>
      <c r="P80" s="33"/>
      <c r="Q80" s="33"/>
      <c r="R80" s="33"/>
      <c r="S80" s="33"/>
      <c r="T80" s="33"/>
      <c r="U80" s="33"/>
      <c r="V80" s="33"/>
      <c r="W80" s="49"/>
      <c r="X80" s="33"/>
      <c r="Y80" s="33"/>
      <c r="Z80" s="33"/>
      <c r="AA80" s="33"/>
      <c r="AB80" s="33"/>
      <c r="AC80" s="33"/>
      <c r="AD80" s="33"/>
      <c r="AE80" s="33"/>
      <c r="AF80" s="33"/>
      <c r="AG80" s="33"/>
      <c r="AH80" s="33"/>
      <c r="AI80" s="33"/>
      <c r="AJ80" s="33"/>
      <c r="AK80" s="33"/>
      <c r="AL80" s="33"/>
    </row>
    <row r="81" spans="1:38">
      <c r="A81" s="1"/>
      <c r="I81" s="33"/>
      <c r="J81" s="33"/>
      <c r="K81" s="33"/>
      <c r="L81" s="33"/>
      <c r="M81" s="33"/>
      <c r="N81" s="33"/>
      <c r="O81" s="33"/>
      <c r="P81" s="33"/>
      <c r="Q81" s="33"/>
      <c r="R81" s="33"/>
      <c r="S81" s="33"/>
      <c r="T81" s="33"/>
      <c r="U81" s="33"/>
      <c r="V81" s="33"/>
      <c r="W81" s="49"/>
      <c r="X81" s="33"/>
      <c r="Y81" s="33"/>
      <c r="Z81" s="33"/>
      <c r="AA81" s="33"/>
      <c r="AB81" s="33"/>
      <c r="AC81" s="33"/>
      <c r="AD81" s="33"/>
      <c r="AE81" s="33"/>
      <c r="AF81" s="33"/>
      <c r="AG81" s="33"/>
      <c r="AH81" s="33"/>
      <c r="AI81" s="33"/>
      <c r="AJ81" s="33"/>
      <c r="AK81" s="33"/>
      <c r="AL81" s="33"/>
    </row>
    <row r="82" spans="1:38">
      <c r="A82" s="1"/>
      <c r="I82" s="33"/>
      <c r="J82" s="33"/>
      <c r="K82" s="33"/>
      <c r="L82" s="33"/>
      <c r="M82" s="33"/>
      <c r="N82" s="33"/>
      <c r="O82" s="33"/>
      <c r="P82" s="33"/>
      <c r="Q82" s="33"/>
      <c r="R82" s="33"/>
      <c r="S82" s="33"/>
      <c r="T82" s="33"/>
      <c r="U82" s="33"/>
      <c r="V82" s="33"/>
      <c r="W82" s="49"/>
      <c r="X82" s="33"/>
      <c r="Y82" s="33"/>
      <c r="Z82" s="33"/>
      <c r="AA82" s="33"/>
      <c r="AB82" s="33"/>
      <c r="AC82" s="33"/>
      <c r="AD82" s="33"/>
      <c r="AE82" s="33"/>
      <c r="AF82" s="33"/>
      <c r="AG82" s="33"/>
      <c r="AH82" s="33"/>
      <c r="AI82" s="33"/>
      <c r="AJ82" s="33"/>
      <c r="AK82" s="33"/>
      <c r="AL82" s="33"/>
    </row>
    <row r="83" spans="1:38">
      <c r="A83" s="1"/>
      <c r="I83" s="33"/>
      <c r="J83" s="33"/>
      <c r="K83" s="33"/>
      <c r="L83" s="33"/>
      <c r="M83" s="33"/>
      <c r="N83" s="33"/>
      <c r="O83" s="33"/>
      <c r="P83" s="33"/>
      <c r="Q83" s="33"/>
      <c r="R83" s="33"/>
      <c r="S83" s="33"/>
      <c r="T83" s="33"/>
      <c r="U83" s="33"/>
      <c r="V83" s="33"/>
      <c r="W83" s="49"/>
      <c r="X83" s="33"/>
      <c r="Y83" s="33"/>
      <c r="Z83" s="33"/>
      <c r="AA83" s="33"/>
      <c r="AB83" s="33"/>
      <c r="AC83" s="33"/>
      <c r="AD83" s="33"/>
      <c r="AE83" s="33"/>
      <c r="AF83" s="33"/>
      <c r="AG83" s="33"/>
      <c r="AH83" s="33"/>
      <c r="AI83" s="33"/>
      <c r="AJ83" s="33"/>
      <c r="AK83" s="33"/>
      <c r="AL83" s="33"/>
    </row>
    <row r="84" spans="1:38">
      <c r="A84" s="1"/>
      <c r="I84" s="33"/>
      <c r="J84" s="33"/>
      <c r="K84" s="33"/>
      <c r="L84" s="33"/>
      <c r="M84" s="33"/>
      <c r="N84" s="33"/>
      <c r="O84" s="33"/>
      <c r="P84" s="33"/>
      <c r="Q84" s="33"/>
      <c r="R84" s="33"/>
      <c r="S84" s="33"/>
      <c r="T84" s="33"/>
      <c r="U84" s="33"/>
      <c r="V84" s="33"/>
      <c r="W84" s="49"/>
      <c r="X84" s="33"/>
      <c r="Y84" s="33"/>
      <c r="Z84" s="33"/>
      <c r="AA84" s="33"/>
      <c r="AB84" s="33"/>
      <c r="AC84" s="33"/>
      <c r="AD84" s="33"/>
      <c r="AE84" s="33"/>
      <c r="AF84" s="33"/>
      <c r="AG84" s="33"/>
      <c r="AH84" s="33"/>
      <c r="AI84" s="33"/>
      <c r="AJ84" s="33"/>
      <c r="AK84" s="33"/>
      <c r="AL84" s="33"/>
    </row>
    <row r="85" spans="1:38">
      <c r="A85" s="1"/>
      <c r="I85" s="33"/>
      <c r="J85" s="33"/>
      <c r="K85" s="33"/>
      <c r="L85" s="33"/>
      <c r="M85" s="33"/>
      <c r="N85" s="33"/>
      <c r="O85" s="33"/>
      <c r="P85" s="33"/>
      <c r="Q85" s="33"/>
      <c r="R85" s="33"/>
      <c r="S85" s="33"/>
      <c r="T85" s="33"/>
      <c r="U85" s="33"/>
      <c r="V85" s="33"/>
      <c r="W85" s="49"/>
      <c r="X85" s="33"/>
      <c r="Y85" s="33"/>
      <c r="Z85" s="33"/>
      <c r="AA85" s="33"/>
      <c r="AB85" s="33"/>
      <c r="AC85" s="33"/>
      <c r="AD85" s="33"/>
      <c r="AE85" s="33"/>
      <c r="AF85" s="33"/>
      <c r="AG85" s="33"/>
      <c r="AH85" s="33"/>
      <c r="AI85" s="33"/>
      <c r="AJ85" s="33"/>
      <c r="AK85" s="33"/>
      <c r="AL85" s="33"/>
    </row>
    <row r="86" spans="1:38">
      <c r="A86" s="1"/>
      <c r="I86" s="33"/>
      <c r="J86" s="33"/>
      <c r="K86" s="33"/>
      <c r="L86" s="33"/>
      <c r="M86" s="33"/>
      <c r="N86" s="33"/>
      <c r="O86" s="33"/>
      <c r="P86" s="33"/>
      <c r="Q86" s="33"/>
      <c r="R86" s="33"/>
      <c r="S86" s="33"/>
      <c r="T86" s="33"/>
      <c r="U86" s="33"/>
      <c r="V86" s="33"/>
      <c r="W86" s="49"/>
      <c r="X86" s="33"/>
      <c r="Y86" s="33"/>
      <c r="Z86" s="33"/>
      <c r="AA86" s="33"/>
      <c r="AB86" s="33"/>
      <c r="AC86" s="33"/>
      <c r="AD86" s="33"/>
      <c r="AE86" s="33"/>
      <c r="AF86" s="33"/>
      <c r="AG86" s="33"/>
      <c r="AH86" s="33"/>
      <c r="AI86" s="33"/>
      <c r="AJ86" s="33"/>
      <c r="AK86" s="33"/>
      <c r="AL86" s="33"/>
    </row>
    <row r="87" spans="1:38">
      <c r="A87" s="1"/>
      <c r="I87" s="33"/>
      <c r="J87" s="33"/>
      <c r="K87" s="33"/>
      <c r="L87" s="33"/>
      <c r="M87" s="33"/>
      <c r="N87" s="33"/>
      <c r="O87" s="33"/>
      <c r="P87" s="33"/>
      <c r="Q87" s="33"/>
      <c r="R87" s="33"/>
      <c r="S87" s="33"/>
      <c r="T87" s="33"/>
      <c r="U87" s="33"/>
      <c r="V87" s="33"/>
      <c r="W87" s="49"/>
      <c r="X87" s="33"/>
      <c r="Y87" s="33"/>
      <c r="Z87" s="33"/>
      <c r="AA87" s="33"/>
      <c r="AB87" s="33"/>
      <c r="AC87" s="33"/>
      <c r="AD87" s="33"/>
      <c r="AE87" s="33"/>
      <c r="AF87" s="33"/>
      <c r="AG87" s="33"/>
      <c r="AH87" s="33"/>
      <c r="AI87" s="33"/>
      <c r="AJ87" s="33"/>
      <c r="AK87" s="33"/>
      <c r="AL87" s="33"/>
    </row>
    <row r="88" spans="1:38">
      <c r="A88" s="1"/>
      <c r="I88" s="33"/>
      <c r="J88" s="33"/>
      <c r="K88" s="33"/>
      <c r="L88" s="33"/>
      <c r="M88" s="33"/>
      <c r="N88" s="33"/>
      <c r="O88" s="33"/>
      <c r="P88" s="33"/>
      <c r="Q88" s="33"/>
      <c r="R88" s="33"/>
      <c r="S88" s="33"/>
      <c r="T88" s="33"/>
      <c r="U88" s="33"/>
      <c r="V88" s="33"/>
      <c r="W88" s="49"/>
      <c r="X88" s="33"/>
      <c r="Y88" s="33"/>
      <c r="Z88" s="33"/>
      <c r="AA88" s="33"/>
      <c r="AB88" s="33"/>
      <c r="AC88" s="33"/>
      <c r="AD88" s="33"/>
      <c r="AE88" s="33"/>
      <c r="AF88" s="33"/>
      <c r="AG88" s="33"/>
      <c r="AH88" s="33"/>
      <c r="AI88" s="33"/>
      <c r="AJ88" s="33"/>
      <c r="AK88" s="33"/>
      <c r="AL88" s="33"/>
    </row>
    <row r="89" spans="1:38">
      <c r="A89" s="1"/>
      <c r="I89" s="33"/>
      <c r="J89" s="33"/>
      <c r="K89" s="33"/>
      <c r="L89" s="33"/>
      <c r="M89" s="33"/>
      <c r="N89" s="33"/>
      <c r="O89" s="33"/>
      <c r="P89" s="33"/>
      <c r="Q89" s="33"/>
      <c r="R89" s="33"/>
      <c r="S89" s="33"/>
      <c r="T89" s="33"/>
      <c r="U89" s="33"/>
      <c r="V89" s="33"/>
      <c r="W89" s="49"/>
      <c r="X89" s="33"/>
      <c r="Y89" s="33"/>
      <c r="Z89" s="33"/>
      <c r="AA89" s="33"/>
      <c r="AB89" s="33"/>
      <c r="AC89" s="33"/>
      <c r="AD89" s="33"/>
      <c r="AE89" s="33"/>
      <c r="AF89" s="33"/>
      <c r="AG89" s="33"/>
      <c r="AH89" s="33"/>
      <c r="AI89" s="33"/>
      <c r="AJ89" s="33"/>
      <c r="AK89" s="33"/>
      <c r="AL89" s="33"/>
    </row>
    <row r="90" spans="1:38">
      <c r="A90" s="1"/>
      <c r="I90" s="33"/>
      <c r="J90" s="33"/>
      <c r="K90" s="33"/>
      <c r="L90" s="33"/>
      <c r="M90" s="33"/>
      <c r="N90" s="33"/>
      <c r="O90" s="33"/>
      <c r="P90" s="33"/>
      <c r="Q90" s="33"/>
      <c r="R90" s="33"/>
      <c r="S90" s="33"/>
      <c r="T90" s="33"/>
      <c r="U90" s="33"/>
      <c r="V90" s="33"/>
      <c r="W90" s="49"/>
      <c r="X90" s="33"/>
      <c r="Y90" s="33"/>
      <c r="Z90" s="33"/>
      <c r="AA90" s="33"/>
      <c r="AB90" s="33"/>
      <c r="AC90" s="33"/>
      <c r="AD90" s="33"/>
      <c r="AE90" s="33"/>
      <c r="AF90" s="33"/>
      <c r="AG90" s="33"/>
      <c r="AH90" s="33"/>
      <c r="AI90" s="33"/>
      <c r="AJ90" s="33"/>
      <c r="AK90" s="33"/>
      <c r="AL90" s="33"/>
    </row>
    <row r="91" spans="1:38">
      <c r="A91" s="1"/>
      <c r="I91" s="33"/>
      <c r="J91" s="33"/>
      <c r="K91" s="33"/>
      <c r="L91" s="33"/>
      <c r="M91" s="33"/>
      <c r="N91" s="33"/>
      <c r="O91" s="33"/>
      <c r="P91" s="33"/>
      <c r="Q91" s="33"/>
      <c r="R91" s="33"/>
      <c r="S91" s="33"/>
      <c r="T91" s="33"/>
      <c r="U91" s="33"/>
      <c r="V91" s="33"/>
      <c r="W91" s="49"/>
      <c r="X91" s="33"/>
      <c r="Y91" s="33"/>
      <c r="Z91" s="33"/>
      <c r="AA91" s="33"/>
      <c r="AB91" s="33"/>
      <c r="AC91" s="33"/>
      <c r="AD91" s="33"/>
      <c r="AE91" s="33"/>
      <c r="AF91" s="33"/>
      <c r="AG91" s="33"/>
      <c r="AH91" s="33"/>
      <c r="AI91" s="33"/>
      <c r="AJ91" s="33"/>
      <c r="AK91" s="33"/>
      <c r="AL91" s="33"/>
    </row>
    <row r="92" spans="1:38">
      <c r="A92" s="1"/>
      <c r="I92" s="33"/>
      <c r="J92" s="33"/>
      <c r="K92" s="33"/>
      <c r="L92" s="33"/>
      <c r="M92" s="33"/>
      <c r="N92" s="33"/>
      <c r="O92" s="33"/>
      <c r="P92" s="33"/>
      <c r="Q92" s="33"/>
      <c r="R92" s="33"/>
      <c r="S92" s="33"/>
      <c r="T92" s="33"/>
      <c r="U92" s="33"/>
      <c r="V92" s="33"/>
      <c r="W92" s="49"/>
      <c r="X92" s="33"/>
      <c r="Y92" s="33"/>
      <c r="Z92" s="33"/>
      <c r="AA92" s="33"/>
      <c r="AB92" s="33"/>
      <c r="AC92" s="33"/>
      <c r="AD92" s="33"/>
      <c r="AE92" s="33"/>
      <c r="AF92" s="33"/>
      <c r="AG92" s="33"/>
      <c r="AH92" s="33"/>
      <c r="AI92" s="33"/>
      <c r="AJ92" s="33"/>
      <c r="AK92" s="33"/>
      <c r="AL92" s="33"/>
    </row>
    <row r="93" spans="1:38">
      <c r="A93" s="1"/>
      <c r="I93" s="33"/>
      <c r="J93" s="33"/>
      <c r="K93" s="33"/>
      <c r="L93" s="33"/>
      <c r="M93" s="33"/>
      <c r="N93" s="33"/>
      <c r="O93" s="33"/>
      <c r="P93" s="33"/>
      <c r="Q93" s="33"/>
      <c r="R93" s="33"/>
      <c r="S93" s="33"/>
      <c r="T93" s="33"/>
      <c r="U93" s="33"/>
      <c r="V93" s="33"/>
      <c r="W93" s="49"/>
      <c r="X93" s="33"/>
      <c r="Y93" s="33"/>
      <c r="Z93" s="33"/>
      <c r="AA93" s="33"/>
      <c r="AB93" s="33"/>
      <c r="AC93" s="33"/>
      <c r="AD93" s="33"/>
      <c r="AE93" s="33"/>
      <c r="AF93" s="33"/>
      <c r="AG93" s="33"/>
      <c r="AH93" s="33"/>
      <c r="AI93" s="33"/>
      <c r="AJ93" s="33"/>
      <c r="AK93" s="33"/>
      <c r="AL93" s="33"/>
    </row>
    <row r="94" spans="1:38">
      <c r="A94" s="1"/>
      <c r="I94" s="33"/>
      <c r="J94" s="33"/>
      <c r="K94" s="33"/>
      <c r="L94" s="33"/>
      <c r="M94" s="33"/>
      <c r="N94" s="33"/>
      <c r="O94" s="33"/>
      <c r="P94" s="33"/>
      <c r="Q94" s="33"/>
      <c r="R94" s="33"/>
      <c r="S94" s="33"/>
      <c r="T94" s="33"/>
      <c r="U94" s="33"/>
      <c r="V94" s="33"/>
      <c r="W94" s="49"/>
      <c r="X94" s="33"/>
      <c r="Y94" s="33"/>
      <c r="Z94" s="33"/>
      <c r="AA94" s="33"/>
      <c r="AB94" s="33"/>
      <c r="AC94" s="33"/>
      <c r="AD94" s="33"/>
      <c r="AE94" s="33"/>
      <c r="AF94" s="33"/>
      <c r="AG94" s="33"/>
      <c r="AH94" s="33"/>
      <c r="AI94" s="33"/>
      <c r="AJ94" s="33"/>
      <c r="AK94" s="33"/>
      <c r="AL94" s="33"/>
    </row>
    <row r="95" spans="1:38">
      <c r="A95" s="1"/>
      <c r="I95" s="33"/>
      <c r="J95" s="33"/>
      <c r="K95" s="33"/>
      <c r="L95" s="33"/>
      <c r="M95" s="33"/>
      <c r="N95" s="33"/>
      <c r="O95" s="33"/>
      <c r="P95" s="33"/>
      <c r="Q95" s="33"/>
      <c r="R95" s="33"/>
      <c r="S95" s="33"/>
      <c r="T95" s="33"/>
      <c r="U95" s="33"/>
      <c r="V95" s="33"/>
      <c r="W95" s="49"/>
      <c r="X95" s="33"/>
      <c r="Y95" s="33"/>
      <c r="Z95" s="33"/>
      <c r="AA95" s="33"/>
      <c r="AB95" s="33"/>
      <c r="AC95" s="33"/>
      <c r="AD95" s="33"/>
      <c r="AE95" s="33"/>
      <c r="AF95" s="33"/>
      <c r="AG95" s="33"/>
      <c r="AH95" s="33"/>
      <c r="AI95" s="33"/>
      <c r="AJ95" s="33"/>
      <c r="AK95" s="33"/>
      <c r="AL95" s="33"/>
    </row>
    <row r="96" spans="1:38">
      <c r="A96" s="1"/>
      <c r="I96" s="33"/>
      <c r="J96" s="33"/>
      <c r="K96" s="33"/>
      <c r="L96" s="33"/>
      <c r="M96" s="33"/>
      <c r="N96" s="33"/>
      <c r="O96" s="33"/>
      <c r="P96" s="33"/>
      <c r="Q96" s="33"/>
      <c r="R96" s="33"/>
      <c r="S96" s="33"/>
      <c r="T96" s="33"/>
      <c r="U96" s="33"/>
      <c r="V96" s="33"/>
      <c r="W96" s="49"/>
      <c r="X96" s="33"/>
      <c r="Y96" s="33"/>
      <c r="Z96" s="33"/>
      <c r="AA96" s="33"/>
      <c r="AB96" s="33"/>
      <c r="AC96" s="33"/>
      <c r="AD96" s="33"/>
      <c r="AE96" s="33"/>
      <c r="AF96" s="33"/>
      <c r="AG96" s="33"/>
      <c r="AH96" s="33"/>
      <c r="AI96" s="33"/>
      <c r="AJ96" s="33"/>
      <c r="AK96" s="33"/>
      <c r="AL96" s="33"/>
    </row>
    <row r="97" spans="1:38">
      <c r="A97" s="1"/>
      <c r="I97" s="33"/>
      <c r="J97" s="33"/>
      <c r="K97" s="33"/>
      <c r="L97" s="33"/>
      <c r="M97" s="33"/>
      <c r="N97" s="33"/>
      <c r="O97" s="33"/>
      <c r="P97" s="33"/>
      <c r="Q97" s="33"/>
      <c r="R97" s="33"/>
      <c r="S97" s="33"/>
      <c r="T97" s="33"/>
      <c r="U97" s="33"/>
      <c r="V97" s="33"/>
      <c r="W97" s="49"/>
      <c r="X97" s="33"/>
      <c r="Y97" s="33"/>
      <c r="Z97" s="33"/>
      <c r="AA97" s="33"/>
      <c r="AB97" s="33"/>
      <c r="AC97" s="33"/>
      <c r="AD97" s="33"/>
      <c r="AE97" s="33"/>
      <c r="AF97" s="33"/>
      <c r="AG97" s="33"/>
      <c r="AH97" s="33"/>
      <c r="AI97" s="33"/>
      <c r="AJ97" s="33"/>
      <c r="AK97" s="33"/>
      <c r="AL97" s="33"/>
    </row>
    <row r="98" spans="1:38">
      <c r="A98" s="1"/>
      <c r="I98" s="33"/>
      <c r="J98" s="33"/>
      <c r="K98" s="33"/>
      <c r="L98" s="33"/>
      <c r="M98" s="33"/>
      <c r="N98" s="33"/>
      <c r="O98" s="33"/>
      <c r="P98" s="33"/>
      <c r="Q98" s="33"/>
      <c r="R98" s="33"/>
      <c r="S98" s="33"/>
      <c r="T98" s="33"/>
      <c r="U98" s="33"/>
      <c r="V98" s="33"/>
      <c r="W98" s="49"/>
      <c r="X98" s="33"/>
      <c r="Y98" s="33"/>
      <c r="Z98" s="33"/>
      <c r="AA98" s="33"/>
      <c r="AB98" s="33"/>
      <c r="AC98" s="33"/>
      <c r="AD98" s="33"/>
      <c r="AE98" s="33"/>
      <c r="AF98" s="33"/>
      <c r="AG98" s="33"/>
      <c r="AH98" s="33"/>
      <c r="AI98" s="33"/>
      <c r="AJ98" s="33"/>
      <c r="AK98" s="33"/>
      <c r="AL98" s="33"/>
    </row>
    <row r="99" spans="1:38">
      <c r="A99" s="1"/>
      <c r="I99" s="33"/>
      <c r="J99" s="33"/>
      <c r="K99" s="33"/>
      <c r="L99" s="33"/>
      <c r="M99" s="33"/>
      <c r="N99" s="33"/>
      <c r="O99" s="33"/>
      <c r="P99" s="33"/>
      <c r="Q99" s="33"/>
      <c r="R99" s="33"/>
      <c r="S99" s="33"/>
      <c r="T99" s="33"/>
      <c r="U99" s="33"/>
      <c r="V99" s="33"/>
      <c r="W99" s="49"/>
      <c r="X99" s="33"/>
      <c r="Y99" s="33"/>
      <c r="Z99" s="33"/>
      <c r="AA99" s="33"/>
      <c r="AB99" s="33"/>
      <c r="AC99" s="33"/>
      <c r="AD99" s="33"/>
      <c r="AE99" s="33"/>
      <c r="AF99" s="33"/>
      <c r="AG99" s="33"/>
      <c r="AH99" s="33"/>
      <c r="AI99" s="33"/>
      <c r="AJ99" s="33"/>
      <c r="AK99" s="33"/>
      <c r="AL99" s="33"/>
    </row>
    <row r="100" spans="1:38">
      <c r="A100" s="1"/>
      <c r="I100" s="33"/>
      <c r="J100" s="33"/>
      <c r="K100" s="33"/>
      <c r="L100" s="33"/>
      <c r="M100" s="33"/>
      <c r="N100" s="33"/>
      <c r="O100" s="33"/>
      <c r="P100" s="33"/>
      <c r="Q100" s="33"/>
      <c r="R100" s="33"/>
      <c r="S100" s="33"/>
      <c r="T100" s="33"/>
      <c r="U100" s="33"/>
      <c r="V100" s="33"/>
      <c r="W100" s="49"/>
      <c r="X100" s="33"/>
      <c r="Y100" s="33"/>
      <c r="Z100" s="33"/>
      <c r="AA100" s="33"/>
      <c r="AB100" s="33"/>
      <c r="AC100" s="33"/>
      <c r="AD100" s="33"/>
      <c r="AE100" s="33"/>
      <c r="AF100" s="33"/>
      <c r="AG100" s="33"/>
      <c r="AH100" s="33"/>
      <c r="AI100" s="33"/>
      <c r="AJ100" s="33"/>
      <c r="AK100" s="33"/>
      <c r="AL100" s="33"/>
    </row>
    <row r="101" spans="1:38">
      <c r="A101" s="1"/>
      <c r="I101" s="33"/>
      <c r="J101" s="33"/>
      <c r="K101" s="33"/>
      <c r="L101" s="33"/>
      <c r="M101" s="33"/>
      <c r="N101" s="33"/>
      <c r="O101" s="33"/>
      <c r="P101" s="33"/>
      <c r="Q101" s="33"/>
      <c r="R101" s="33"/>
      <c r="S101" s="33"/>
      <c r="T101" s="33"/>
      <c r="U101" s="33"/>
      <c r="V101" s="33"/>
      <c r="W101" s="49"/>
      <c r="X101" s="33"/>
      <c r="Y101" s="33"/>
      <c r="Z101" s="33"/>
      <c r="AA101" s="33"/>
      <c r="AB101" s="33"/>
      <c r="AC101" s="33"/>
      <c r="AD101" s="33"/>
      <c r="AE101" s="33"/>
      <c r="AF101" s="33"/>
      <c r="AG101" s="33"/>
      <c r="AH101" s="33"/>
      <c r="AI101" s="33"/>
      <c r="AJ101" s="33"/>
      <c r="AK101" s="33"/>
      <c r="AL101" s="33"/>
    </row>
    <row r="102" spans="1:38">
      <c r="A102" s="1"/>
      <c r="I102" s="33"/>
      <c r="J102" s="33"/>
      <c r="K102" s="33"/>
      <c r="L102" s="33"/>
      <c r="M102" s="33"/>
      <c r="N102" s="33"/>
      <c r="O102" s="33"/>
      <c r="P102" s="33"/>
      <c r="Q102" s="33"/>
      <c r="R102" s="33"/>
      <c r="S102" s="33"/>
      <c r="T102" s="33"/>
      <c r="U102" s="33"/>
      <c r="V102" s="33"/>
      <c r="W102" s="49"/>
      <c r="X102" s="33"/>
      <c r="Y102" s="33"/>
      <c r="Z102" s="33"/>
      <c r="AA102" s="33"/>
      <c r="AB102" s="33"/>
      <c r="AC102" s="33"/>
      <c r="AD102" s="33"/>
      <c r="AE102" s="33"/>
      <c r="AF102" s="33"/>
      <c r="AG102" s="33"/>
      <c r="AH102" s="33"/>
      <c r="AI102" s="33"/>
      <c r="AJ102" s="33"/>
      <c r="AK102" s="33"/>
      <c r="AL102" s="33"/>
    </row>
    <row r="103" spans="1:38">
      <c r="A103" s="1"/>
      <c r="I103" s="33"/>
      <c r="J103" s="33"/>
      <c r="K103" s="33"/>
      <c r="L103" s="33"/>
      <c r="M103" s="33"/>
      <c r="N103" s="33"/>
      <c r="O103" s="33"/>
      <c r="P103" s="33"/>
      <c r="Q103" s="33"/>
      <c r="R103" s="33"/>
      <c r="S103" s="33"/>
      <c r="T103" s="33"/>
      <c r="U103" s="33"/>
      <c r="V103" s="33"/>
      <c r="X103" s="33"/>
      <c r="Y103" s="33"/>
      <c r="Z103" s="33"/>
      <c r="AA103" s="33"/>
      <c r="AB103" s="33"/>
      <c r="AC103" s="33"/>
      <c r="AD103" s="33"/>
      <c r="AE103" s="33"/>
      <c r="AF103" s="33"/>
      <c r="AG103" s="33"/>
      <c r="AH103" s="33"/>
      <c r="AI103" s="33"/>
      <c r="AJ103" s="33"/>
      <c r="AK103" s="33"/>
      <c r="AL103" s="33"/>
    </row>
    <row r="104" spans="1:38">
      <c r="A104" s="1"/>
      <c r="I104" s="33"/>
      <c r="J104" s="33"/>
      <c r="K104" s="33"/>
      <c r="L104" s="33"/>
      <c r="M104" s="33"/>
      <c r="N104" s="33"/>
      <c r="O104" s="33"/>
      <c r="P104" s="33"/>
      <c r="Q104" s="33"/>
      <c r="R104" s="33"/>
      <c r="S104" s="33"/>
      <c r="T104" s="33"/>
      <c r="U104" s="33"/>
      <c r="V104" s="33"/>
      <c r="X104" s="33"/>
      <c r="Y104" s="33"/>
      <c r="Z104" s="33"/>
      <c r="AA104" s="33"/>
      <c r="AB104" s="33"/>
      <c r="AC104" s="33"/>
      <c r="AD104" s="33"/>
      <c r="AE104" s="33"/>
      <c r="AF104" s="33"/>
      <c r="AG104" s="33"/>
      <c r="AH104" s="33"/>
      <c r="AI104" s="33"/>
      <c r="AJ104" s="33"/>
      <c r="AK104" s="33"/>
      <c r="AL104" s="33"/>
    </row>
    <row r="105" spans="1:38">
      <c r="A105" s="1"/>
      <c r="I105" s="33"/>
      <c r="J105" s="33"/>
      <c r="K105" s="33"/>
      <c r="L105" s="33"/>
      <c r="M105" s="33"/>
      <c r="N105" s="33"/>
      <c r="O105" s="33"/>
      <c r="P105" s="33"/>
      <c r="Q105" s="33"/>
      <c r="R105" s="33"/>
      <c r="S105" s="33"/>
      <c r="T105" s="33"/>
      <c r="U105" s="33"/>
      <c r="V105" s="33"/>
      <c r="X105" s="33"/>
      <c r="Y105" s="33"/>
      <c r="Z105" s="33"/>
      <c r="AA105" s="33"/>
      <c r="AB105" s="33"/>
      <c r="AC105" s="33"/>
      <c r="AD105" s="33"/>
      <c r="AE105" s="33"/>
      <c r="AF105" s="33"/>
      <c r="AG105" s="33"/>
      <c r="AH105" s="33"/>
      <c r="AI105" s="33"/>
      <c r="AJ105" s="33"/>
      <c r="AK105" s="33"/>
      <c r="AL105" s="33"/>
    </row>
    <row r="106" spans="1:38">
      <c r="A106" s="1"/>
      <c r="I106" s="33"/>
      <c r="J106" s="33"/>
      <c r="K106" s="33"/>
      <c r="L106" s="33"/>
      <c r="M106" s="33"/>
      <c r="N106" s="33"/>
      <c r="O106" s="33"/>
      <c r="P106" s="33"/>
      <c r="Q106" s="33"/>
      <c r="R106" s="33"/>
      <c r="S106" s="33"/>
      <c r="T106" s="33"/>
      <c r="U106" s="33"/>
      <c r="V106" s="33"/>
      <c r="X106" s="33"/>
      <c r="Y106" s="33"/>
      <c r="Z106" s="33"/>
      <c r="AA106" s="33"/>
      <c r="AB106" s="33"/>
      <c r="AC106" s="33"/>
      <c r="AD106" s="33"/>
      <c r="AE106" s="33"/>
      <c r="AF106" s="33"/>
      <c r="AG106" s="33"/>
      <c r="AH106" s="33"/>
      <c r="AI106" s="33"/>
      <c r="AJ106" s="33"/>
      <c r="AK106" s="33"/>
      <c r="AL106" s="33"/>
    </row>
    <row r="107" spans="1:38">
      <c r="A107" s="1"/>
      <c r="I107" s="33"/>
      <c r="J107" s="33"/>
      <c r="K107" s="33"/>
      <c r="L107" s="33"/>
      <c r="M107" s="33"/>
      <c r="N107" s="33"/>
      <c r="O107" s="33"/>
      <c r="P107" s="33"/>
      <c r="Q107" s="33"/>
      <c r="R107" s="33"/>
      <c r="S107" s="33"/>
      <c r="T107" s="33"/>
      <c r="U107" s="33"/>
      <c r="V107" s="33"/>
      <c r="X107" s="33"/>
      <c r="Y107" s="33"/>
      <c r="Z107" s="33"/>
      <c r="AA107" s="33"/>
      <c r="AB107" s="33"/>
      <c r="AC107" s="33"/>
      <c r="AD107" s="33"/>
      <c r="AE107" s="33"/>
      <c r="AF107" s="33"/>
      <c r="AG107" s="33"/>
      <c r="AH107" s="33"/>
      <c r="AI107" s="33"/>
      <c r="AJ107" s="33"/>
      <c r="AK107" s="33"/>
      <c r="AL107" s="33"/>
    </row>
    <row r="108" spans="1:38">
      <c r="A108" s="1"/>
      <c r="I108" s="33"/>
      <c r="J108" s="33"/>
      <c r="K108" s="33"/>
      <c r="L108" s="33"/>
      <c r="M108" s="33"/>
      <c r="N108" s="33"/>
      <c r="O108" s="33"/>
      <c r="P108" s="33"/>
      <c r="Q108" s="33"/>
      <c r="R108" s="33"/>
      <c r="S108" s="33"/>
      <c r="T108" s="33"/>
      <c r="U108" s="33"/>
      <c r="V108" s="33"/>
      <c r="X108" s="33"/>
      <c r="Y108" s="33"/>
      <c r="Z108" s="33"/>
      <c r="AA108" s="33"/>
      <c r="AB108" s="33"/>
      <c r="AC108" s="33"/>
      <c r="AD108" s="33"/>
      <c r="AE108" s="33"/>
      <c r="AF108" s="33"/>
      <c r="AG108" s="33"/>
      <c r="AH108" s="33"/>
      <c r="AI108" s="33"/>
      <c r="AJ108" s="33"/>
      <c r="AK108" s="33"/>
      <c r="AL108" s="33"/>
    </row>
    <row r="109" spans="1:38">
      <c r="A109" s="1"/>
      <c r="I109" s="33"/>
      <c r="J109" s="33"/>
      <c r="K109" s="33"/>
      <c r="L109" s="33"/>
      <c r="M109" s="33"/>
      <c r="N109" s="33"/>
      <c r="O109" s="33"/>
      <c r="P109" s="33"/>
      <c r="Q109" s="33"/>
      <c r="R109" s="33"/>
      <c r="S109" s="33"/>
      <c r="T109" s="33"/>
      <c r="U109" s="33"/>
      <c r="V109" s="33"/>
      <c r="X109" s="33"/>
      <c r="Y109" s="33"/>
      <c r="Z109" s="33"/>
      <c r="AA109" s="33"/>
      <c r="AB109" s="33"/>
      <c r="AC109" s="33"/>
      <c r="AD109" s="33"/>
      <c r="AE109" s="33"/>
      <c r="AF109" s="33"/>
      <c r="AG109" s="33"/>
      <c r="AH109" s="33"/>
      <c r="AI109" s="33"/>
      <c r="AJ109" s="33"/>
      <c r="AK109" s="33"/>
      <c r="AL109" s="33"/>
    </row>
    <row r="110" spans="1:38">
      <c r="I110" s="33"/>
      <c r="J110" s="33"/>
      <c r="K110" s="33"/>
      <c r="L110" s="33"/>
      <c r="M110" s="33"/>
      <c r="N110" s="33"/>
      <c r="O110" s="33"/>
      <c r="P110" s="33"/>
      <c r="Q110" s="33"/>
      <c r="R110" s="33"/>
      <c r="S110" s="33"/>
      <c r="T110" s="33"/>
      <c r="U110" s="33"/>
      <c r="V110" s="33"/>
      <c r="X110" s="33"/>
      <c r="Y110" s="33"/>
      <c r="Z110" s="33"/>
      <c r="AA110" s="33"/>
      <c r="AB110" s="33"/>
      <c r="AC110" s="33"/>
      <c r="AD110" s="33"/>
      <c r="AE110" s="33"/>
      <c r="AF110" s="33"/>
      <c r="AG110" s="33"/>
      <c r="AH110" s="33"/>
      <c r="AI110" s="33"/>
      <c r="AJ110" s="33"/>
      <c r="AK110" s="33"/>
      <c r="AL110" s="33"/>
    </row>
    <row r="111" spans="1:38">
      <c r="I111" s="33"/>
      <c r="J111" s="33"/>
      <c r="K111" s="33"/>
      <c r="L111" s="33"/>
      <c r="M111" s="33"/>
      <c r="N111" s="33"/>
      <c r="O111" s="33"/>
      <c r="P111" s="33"/>
      <c r="Q111" s="33"/>
      <c r="R111" s="33"/>
      <c r="S111" s="33"/>
      <c r="T111" s="33"/>
      <c r="U111" s="33"/>
      <c r="V111" s="33"/>
      <c r="X111" s="33"/>
      <c r="Y111" s="33"/>
      <c r="Z111" s="33"/>
      <c r="AA111" s="33"/>
      <c r="AB111" s="33"/>
      <c r="AC111" s="33"/>
      <c r="AD111" s="33"/>
      <c r="AE111" s="33"/>
      <c r="AF111" s="33"/>
      <c r="AG111" s="33"/>
      <c r="AH111" s="33"/>
      <c r="AI111" s="33"/>
      <c r="AJ111" s="33"/>
      <c r="AK111" s="33"/>
      <c r="AL111" s="33"/>
    </row>
    <row r="112" spans="1:38">
      <c r="I112" s="33"/>
      <c r="J112" s="33"/>
      <c r="K112" s="33"/>
      <c r="L112" s="33"/>
      <c r="M112" s="33"/>
      <c r="N112" s="33"/>
      <c r="O112" s="33"/>
      <c r="P112" s="33"/>
      <c r="Q112" s="33"/>
      <c r="R112" s="33"/>
      <c r="S112" s="33"/>
      <c r="T112" s="33"/>
      <c r="U112" s="33"/>
      <c r="V112" s="33"/>
      <c r="X112" s="33"/>
      <c r="Y112" s="33"/>
      <c r="Z112" s="33"/>
      <c r="AA112" s="33"/>
      <c r="AB112" s="33"/>
      <c r="AC112" s="33"/>
      <c r="AD112" s="33"/>
      <c r="AE112" s="33"/>
      <c r="AF112" s="33"/>
      <c r="AG112" s="33"/>
      <c r="AH112" s="33"/>
      <c r="AI112" s="33"/>
      <c r="AJ112" s="33"/>
      <c r="AK112" s="33"/>
      <c r="AL112" s="33"/>
    </row>
    <row r="113" spans="9:38">
      <c r="I113" s="33"/>
      <c r="J113" s="33"/>
      <c r="K113" s="33"/>
      <c r="L113" s="33"/>
      <c r="M113" s="33"/>
      <c r="N113" s="33"/>
      <c r="O113" s="33"/>
      <c r="P113" s="33"/>
      <c r="Q113" s="33"/>
      <c r="R113" s="33"/>
      <c r="S113" s="33"/>
      <c r="T113" s="33"/>
      <c r="U113" s="33"/>
      <c r="V113" s="33"/>
      <c r="X113" s="33"/>
      <c r="Y113" s="33"/>
      <c r="Z113" s="33"/>
      <c r="AA113" s="33"/>
      <c r="AB113" s="33"/>
      <c r="AC113" s="33"/>
      <c r="AD113" s="33"/>
      <c r="AE113" s="33"/>
      <c r="AF113" s="33"/>
      <c r="AG113" s="33"/>
      <c r="AH113" s="33"/>
      <c r="AI113" s="33"/>
      <c r="AJ113" s="33"/>
      <c r="AK113" s="33"/>
      <c r="AL113" s="33"/>
    </row>
    <row r="114" spans="9:38">
      <c r="I114" s="33"/>
      <c r="J114" s="33"/>
      <c r="K114" s="33"/>
      <c r="L114" s="33"/>
      <c r="M114" s="33"/>
      <c r="N114" s="33"/>
      <c r="O114" s="33"/>
      <c r="P114" s="33"/>
      <c r="Q114" s="33"/>
      <c r="R114" s="33"/>
      <c r="S114" s="33"/>
      <c r="T114" s="33"/>
      <c r="U114" s="33"/>
      <c r="V114" s="33"/>
      <c r="X114" s="33"/>
      <c r="Y114" s="33"/>
      <c r="Z114" s="33"/>
      <c r="AA114" s="33"/>
      <c r="AB114" s="33"/>
      <c r="AC114" s="33"/>
      <c r="AD114" s="33"/>
      <c r="AE114" s="33"/>
      <c r="AF114" s="33"/>
      <c r="AG114" s="33"/>
      <c r="AH114" s="33"/>
      <c r="AI114" s="33"/>
      <c r="AJ114" s="33"/>
      <c r="AK114" s="33"/>
      <c r="AL114" s="33"/>
    </row>
    <row r="115" spans="9:38">
      <c r="I115" s="33"/>
      <c r="J115" s="33"/>
      <c r="K115" s="33"/>
      <c r="L115" s="33"/>
      <c r="M115" s="33"/>
      <c r="N115" s="33"/>
      <c r="O115" s="33"/>
      <c r="P115" s="33"/>
      <c r="Q115" s="33"/>
      <c r="R115" s="33"/>
      <c r="S115" s="33"/>
      <c r="T115" s="33"/>
      <c r="U115" s="33"/>
      <c r="V115" s="33"/>
      <c r="X115" s="33"/>
      <c r="Y115" s="33"/>
      <c r="Z115" s="33"/>
      <c r="AA115" s="33"/>
      <c r="AB115" s="33"/>
      <c r="AC115" s="33"/>
      <c r="AD115" s="33"/>
      <c r="AE115" s="33"/>
      <c r="AF115" s="33"/>
      <c r="AG115" s="33"/>
      <c r="AH115" s="33"/>
      <c r="AI115" s="33"/>
      <c r="AJ115" s="33"/>
      <c r="AK115" s="33"/>
      <c r="AL115" s="33"/>
    </row>
    <row r="116" spans="9:38">
      <c r="I116" s="33"/>
      <c r="J116" s="33"/>
      <c r="K116" s="33"/>
      <c r="L116" s="33"/>
      <c r="M116" s="33"/>
      <c r="N116" s="33"/>
      <c r="O116" s="33"/>
      <c r="P116" s="33"/>
      <c r="Q116" s="33"/>
      <c r="R116" s="33"/>
      <c r="S116" s="33"/>
      <c r="T116" s="33"/>
      <c r="U116" s="33"/>
      <c r="V116" s="33"/>
      <c r="X116" s="33"/>
      <c r="Y116" s="33"/>
      <c r="Z116" s="33"/>
      <c r="AA116" s="33"/>
      <c r="AB116" s="33"/>
      <c r="AC116" s="33"/>
      <c r="AD116" s="33"/>
      <c r="AE116" s="33"/>
      <c r="AF116" s="33"/>
      <c r="AG116" s="33"/>
      <c r="AH116" s="33"/>
      <c r="AI116" s="33"/>
      <c r="AJ116" s="33"/>
      <c r="AK116" s="33"/>
      <c r="AL116" s="33"/>
    </row>
    <row r="117" spans="9:38">
      <c r="I117" s="49"/>
      <c r="J117" s="49"/>
      <c r="K117" s="49"/>
      <c r="L117" s="49"/>
      <c r="M117" s="49"/>
      <c r="N117" s="49"/>
      <c r="O117" s="49"/>
      <c r="P117" s="49"/>
      <c r="Q117" s="49"/>
      <c r="R117" s="49"/>
      <c r="S117" s="49"/>
      <c r="T117" s="49"/>
      <c r="U117" s="49"/>
      <c r="V117" s="49"/>
      <c r="W117" s="49"/>
    </row>
    <row r="118" spans="9:38">
      <c r="I118" s="49"/>
      <c r="J118" s="49"/>
      <c r="K118" s="49"/>
      <c r="L118" s="49"/>
      <c r="M118" s="49"/>
      <c r="N118" s="49"/>
      <c r="O118" s="49"/>
      <c r="P118" s="49"/>
      <c r="Q118" s="49"/>
      <c r="R118" s="49"/>
      <c r="S118" s="49"/>
      <c r="T118" s="49"/>
      <c r="U118" s="49"/>
      <c r="V118" s="49"/>
      <c r="W118" s="49"/>
    </row>
  </sheetData>
  <mergeCells count="1">
    <mergeCell ref="J9:J10"/>
  </mergeCells>
  <phoneticPr fontId="2"/>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C000"/>
  </sheetPr>
  <dimension ref="A1:AL118"/>
  <sheetViews>
    <sheetView zoomScale="70" zoomScaleNormal="70" workbookViewId="0">
      <selection activeCell="M11" sqref="M11"/>
    </sheetView>
  </sheetViews>
  <sheetFormatPr defaultRowHeight="15"/>
  <cols>
    <col min="1" max="1" width="24.42578125" customWidth="1"/>
  </cols>
  <sheetData>
    <row r="1" spans="1:24">
      <c r="A1" s="90" t="s">
        <v>523</v>
      </c>
      <c r="B1" s="90"/>
      <c r="C1" s="90"/>
      <c r="D1" s="90"/>
      <c r="E1" s="90"/>
      <c r="F1" s="90"/>
      <c r="G1" s="90"/>
      <c r="H1" s="3"/>
      <c r="I1" s="3"/>
    </row>
    <row r="2" spans="1:24">
      <c r="A2" s="90" t="s">
        <v>449</v>
      </c>
      <c r="B2" s="90" t="s">
        <v>450</v>
      </c>
      <c r="C2" s="90">
        <v>749.06799999999998</v>
      </c>
      <c r="D2" s="90" t="s">
        <v>451</v>
      </c>
      <c r="E2" s="90">
        <v>749.1</v>
      </c>
      <c r="F2" s="90"/>
      <c r="G2" s="90"/>
    </row>
    <row r="3" spans="1:24">
      <c r="A3" s="90" t="s">
        <v>524</v>
      </c>
      <c r="B3" s="90" t="s">
        <v>408</v>
      </c>
      <c r="C3" s="90">
        <v>-3.2000000000000001E-2</v>
      </c>
      <c r="D3" s="90" t="s">
        <v>453</v>
      </c>
      <c r="E3" s="90">
        <v>6.4000000000000001E-2</v>
      </c>
      <c r="F3" s="90" t="s">
        <v>406</v>
      </c>
      <c r="G3" s="91"/>
    </row>
    <row r="4" spans="1:24">
      <c r="A4" s="121" t="s">
        <v>525</v>
      </c>
      <c r="B4" s="90" t="s">
        <v>455</v>
      </c>
      <c r="C4" s="90">
        <v>-6.4000000000000001E-2</v>
      </c>
      <c r="D4" s="90"/>
      <c r="E4" s="90"/>
      <c r="F4" s="90"/>
      <c r="G4" s="90"/>
      <c r="J4" s="5" t="s">
        <v>76</v>
      </c>
      <c r="K4" s="5"/>
      <c r="L4" s="5"/>
      <c r="M4" s="5"/>
      <c r="S4" s="4"/>
    </row>
    <row r="5" spans="1:24">
      <c r="A5" s="90"/>
      <c r="B5" s="90"/>
      <c r="C5" s="90"/>
      <c r="D5" s="90"/>
      <c r="E5" s="90"/>
      <c r="F5" s="90"/>
      <c r="G5" s="90"/>
      <c r="J5" s="5"/>
      <c r="K5" s="5"/>
      <c r="L5" s="6" t="s">
        <v>1</v>
      </c>
      <c r="M5" s="6">
        <v>749.1</v>
      </c>
      <c r="S5" s="4"/>
    </row>
    <row r="6" spans="1:24">
      <c r="A6" s="90" t="s">
        <v>558</v>
      </c>
      <c r="B6" s="90"/>
      <c r="C6" s="90"/>
      <c r="D6" s="90"/>
      <c r="E6" s="90"/>
      <c r="F6" s="90"/>
      <c r="G6" s="90"/>
      <c r="J6" s="132" t="s">
        <v>376</v>
      </c>
      <c r="K6" s="5"/>
      <c r="L6" s="6" t="s">
        <v>2</v>
      </c>
      <c r="M6" s="13">
        <f>M5+0.064</f>
        <v>749.16399999999999</v>
      </c>
      <c r="S6" s="4"/>
    </row>
    <row r="7" spans="1:24">
      <c r="A7" s="90" t="s">
        <v>449</v>
      </c>
      <c r="B7" s="90" t="s">
        <v>450</v>
      </c>
      <c r="C7" s="90">
        <v>749.09100000000001</v>
      </c>
      <c r="D7" s="90" t="s">
        <v>451</v>
      </c>
      <c r="E7" s="90">
        <v>749.1</v>
      </c>
      <c r="F7" s="90"/>
      <c r="G7" s="90"/>
      <c r="J7" s="33" t="s">
        <v>307</v>
      </c>
      <c r="K7" s="5"/>
      <c r="L7" s="6" t="s">
        <v>3</v>
      </c>
      <c r="M7" s="13">
        <f>M5-0.064</f>
        <v>749.03600000000006</v>
      </c>
      <c r="S7" s="4"/>
    </row>
    <row r="8" spans="1:24">
      <c r="A8" s="90" t="s">
        <v>559</v>
      </c>
      <c r="B8" s="90" t="s">
        <v>408</v>
      </c>
      <c r="C8" s="90">
        <v>-8.9999999999999993E-3</v>
      </c>
      <c r="D8" s="90" t="s">
        <v>453</v>
      </c>
      <c r="E8" s="90">
        <v>6.4000000000000001E-2</v>
      </c>
      <c r="F8" s="90" t="s">
        <v>406</v>
      </c>
      <c r="G8" s="90"/>
      <c r="J8" s="5">
        <f>IF(J7="Front", 0, 49)</f>
        <v>49</v>
      </c>
      <c r="K8" s="5"/>
      <c r="L8" s="5"/>
      <c r="M8" s="5"/>
    </row>
    <row r="9" spans="1:24">
      <c r="A9" s="121" t="s">
        <v>560</v>
      </c>
      <c r="B9" s="90" t="s">
        <v>455</v>
      </c>
      <c r="C9" s="90">
        <v>-6.4000000000000001E-2</v>
      </c>
      <c r="D9" s="90"/>
      <c r="E9" s="90"/>
      <c r="F9" s="90"/>
      <c r="G9" s="90"/>
      <c r="H9" s="5"/>
      <c r="I9" s="9" t="s">
        <v>4</v>
      </c>
      <c r="J9" s="144" t="s">
        <v>77</v>
      </c>
      <c r="K9" s="10" t="str">
        <f>"CMM - "&amp;J7</f>
        <v>CMM - Rear</v>
      </c>
      <c r="L9" s="10" t="s">
        <v>7</v>
      </c>
      <c r="M9" s="10" t="s">
        <v>8</v>
      </c>
      <c r="P9" s="11" t="s">
        <v>9</v>
      </c>
      <c r="Q9" s="2"/>
      <c r="S9" s="5"/>
      <c r="T9" s="9" t="str">
        <f t="shared" ref="T9:V27" si="0">I9</f>
        <v>Angle</v>
      </c>
      <c r="U9" s="144" t="str">
        <f t="shared" si="0"/>
        <v>238
Position</v>
      </c>
      <c r="V9" s="12" t="s">
        <v>303</v>
      </c>
      <c r="W9" s="12" t="s">
        <v>307</v>
      </c>
      <c r="X9" s="12" t="s">
        <v>308</v>
      </c>
    </row>
    <row r="10" spans="1:24">
      <c r="A10" s="90" t="s">
        <v>1034</v>
      </c>
      <c r="B10" s="90"/>
      <c r="C10" s="90" t="s">
        <v>411</v>
      </c>
      <c r="D10" s="90"/>
      <c r="E10" s="90"/>
      <c r="F10" s="90"/>
      <c r="G10" s="90"/>
      <c r="H10" s="9" t="s">
        <v>10</v>
      </c>
      <c r="I10" s="9" t="s">
        <v>11</v>
      </c>
      <c r="J10" s="145"/>
      <c r="K10" s="10" t="s">
        <v>12</v>
      </c>
      <c r="L10" s="10" t="s">
        <v>12</v>
      </c>
      <c r="M10" s="10" t="s">
        <v>12</v>
      </c>
      <c r="P10" s="11" t="s">
        <v>13</v>
      </c>
      <c r="Q10" s="2"/>
      <c r="S10" s="9" t="str">
        <f t="shared" ref="S10:S27" si="1">H10</f>
        <v>Area#</v>
      </c>
      <c r="T10" s="9" t="str">
        <f t="shared" si="0"/>
        <v>[deg]</v>
      </c>
      <c r="U10" s="145">
        <f t="shared" si="0"/>
        <v>0</v>
      </c>
      <c r="V10" s="12" t="str">
        <f t="shared" si="0"/>
        <v>[mm]</v>
      </c>
      <c r="W10" s="12" t="str">
        <f t="shared" ref="W10:X10" si="2">K10</f>
        <v>[mm]</v>
      </c>
      <c r="X10" s="12" t="str">
        <f t="shared" si="2"/>
        <v>[mm]</v>
      </c>
    </row>
    <row r="11" spans="1:24" ht="14.25" customHeight="1">
      <c r="A11" s="90" t="s">
        <v>412</v>
      </c>
      <c r="B11" s="90" t="s">
        <v>413</v>
      </c>
      <c r="C11" s="90">
        <v>374.50400000000002</v>
      </c>
      <c r="D11" s="90"/>
      <c r="E11" s="90"/>
      <c r="F11" s="90"/>
      <c r="G11" s="90"/>
      <c r="H11" s="13">
        <v>1</v>
      </c>
      <c r="I11" s="13">
        <v>0</v>
      </c>
      <c r="J11" s="10">
        <v>1</v>
      </c>
      <c r="K11" s="14">
        <f ca="1">SQRT(OFFSET($C11, $J$8, 0)^2+OFFSET($C12, $J$8, 0)^2)</f>
        <v>374.51500000133507</v>
      </c>
      <c r="L11" s="141">
        <f>M$7/2-0.116/2</f>
        <v>374.46000000000004</v>
      </c>
      <c r="M11" s="141">
        <f>M$6/2+0.116/2</f>
        <v>374.64</v>
      </c>
      <c r="P11" s="13">
        <f ca="1">K11+K19</f>
        <v>749.02900000267016</v>
      </c>
      <c r="Q11" s="2"/>
      <c r="S11" s="13">
        <f t="shared" si="1"/>
        <v>1</v>
      </c>
      <c r="T11" s="13">
        <f t="shared" si="0"/>
        <v>0</v>
      </c>
      <c r="U11" s="12">
        <f t="shared" si="0"/>
        <v>1</v>
      </c>
      <c r="V11" s="14">
        <f>SQRT($C11^2+$C12^2)</f>
        <v>374.50400000133516</v>
      </c>
      <c r="W11" s="14">
        <f>SQRT(C60^2+C61^2)</f>
        <v>374.51500000133507</v>
      </c>
      <c r="X11" s="14">
        <f>W11-V11</f>
        <v>1.0999999999910415E-2</v>
      </c>
    </row>
    <row r="12" spans="1:24">
      <c r="A12" s="90" t="s">
        <v>526</v>
      </c>
      <c r="B12" s="90" t="s">
        <v>415</v>
      </c>
      <c r="C12" s="90">
        <v>-1E-3</v>
      </c>
      <c r="D12" s="90"/>
      <c r="E12" s="90"/>
      <c r="F12" s="90"/>
      <c r="G12" s="90"/>
      <c r="H12" s="13">
        <v>2</v>
      </c>
      <c r="I12" s="13">
        <f>I11+360/16</f>
        <v>22.5</v>
      </c>
      <c r="J12" s="10">
        <v>16</v>
      </c>
      <c r="K12" s="16">
        <f ca="1">SQRT(OFFSET($C56, $J$8, 0)^2+OFFSET($C57, $J$8, 0)^2)</f>
        <v>374.53800001201483</v>
      </c>
      <c r="L12" s="141">
        <f>L$11</f>
        <v>374.46000000000004</v>
      </c>
      <c r="M12" s="141">
        <f>M$11</f>
        <v>374.64</v>
      </c>
      <c r="P12" s="13">
        <f t="shared" ref="P12:P18" ca="1" si="3">K12+K20</f>
        <v>749.06400001735494</v>
      </c>
      <c r="Q12" s="2"/>
      <c r="S12" s="13">
        <f t="shared" si="1"/>
        <v>2</v>
      </c>
      <c r="T12" s="13">
        <f t="shared" si="0"/>
        <v>22.5</v>
      </c>
      <c r="U12" s="12">
        <f t="shared" si="0"/>
        <v>16</v>
      </c>
      <c r="V12" s="16">
        <f>SQRT($C56^2+$C57^2)</f>
        <v>374.52800001201513</v>
      </c>
      <c r="W12" s="16">
        <f>SQRT(C105^2+C106^2)</f>
        <v>374.53800001201483</v>
      </c>
      <c r="X12" s="14">
        <f t="shared" ref="X12:X26" si="4">W12-V12</f>
        <v>9.999999999706688E-3</v>
      </c>
    </row>
    <row r="13" spans="1:24">
      <c r="A13" s="121" t="s">
        <v>527</v>
      </c>
      <c r="B13" s="90" t="s">
        <v>417</v>
      </c>
      <c r="C13" s="90">
        <v>-185.155</v>
      </c>
      <c r="D13" s="90"/>
      <c r="E13" s="90"/>
      <c r="F13" s="90"/>
      <c r="G13" s="90"/>
      <c r="H13" s="13">
        <v>3</v>
      </c>
      <c r="I13" s="13">
        <f t="shared" ref="I13:I26" si="5">I12+360/16</f>
        <v>45</v>
      </c>
      <c r="J13" s="10">
        <v>15</v>
      </c>
      <c r="K13" s="16">
        <f ca="1">SQRT(OFFSET($C53, $J$8, 0)^2+OFFSET($C54, $J$8, 0)^2)</f>
        <v>374.54</v>
      </c>
      <c r="L13" s="141">
        <f t="shared" ref="L13:M26" si="6">L$11</f>
        <v>374.46000000000004</v>
      </c>
      <c r="M13" s="141">
        <f t="shared" si="6"/>
        <v>374.64</v>
      </c>
      <c r="P13" s="13">
        <f t="shared" ca="1" si="3"/>
        <v>749.08900001201448</v>
      </c>
      <c r="Q13" s="2"/>
      <c r="S13" s="13">
        <f t="shared" si="1"/>
        <v>3</v>
      </c>
      <c r="T13" s="13">
        <f t="shared" si="0"/>
        <v>45</v>
      </c>
      <c r="U13" s="12">
        <f t="shared" si="0"/>
        <v>15</v>
      </c>
      <c r="V13" s="16">
        <f>SQRT($C53^2+$C54^2)</f>
        <v>374.53</v>
      </c>
      <c r="W13" s="16">
        <f>SQRT(C102^2+C103^2)</f>
        <v>374.54</v>
      </c>
      <c r="X13" s="14">
        <f t="shared" si="4"/>
        <v>1.0000000000047748E-2</v>
      </c>
    </row>
    <row r="14" spans="1:24">
      <c r="A14" s="90" t="s">
        <v>412</v>
      </c>
      <c r="B14" s="90" t="s">
        <v>413</v>
      </c>
      <c r="C14" s="90">
        <v>374.51100000000002</v>
      </c>
      <c r="D14" s="90"/>
      <c r="E14" s="90"/>
      <c r="F14" s="90"/>
      <c r="G14" s="90"/>
      <c r="H14" s="13">
        <v>4</v>
      </c>
      <c r="I14" s="13">
        <f t="shared" si="5"/>
        <v>67.5</v>
      </c>
      <c r="J14" s="10">
        <v>14</v>
      </c>
      <c r="K14" s="16">
        <f ca="1">SQRT(OFFSET($C50, $J$8, 0)^2+OFFSET($C51, $J$8, 0)^2)</f>
        <v>374.57500002135754</v>
      </c>
      <c r="L14" s="141">
        <f t="shared" si="6"/>
        <v>374.46000000000004</v>
      </c>
      <c r="M14" s="141">
        <f t="shared" si="6"/>
        <v>374.64</v>
      </c>
      <c r="P14" s="13">
        <f t="shared" ca="1" si="3"/>
        <v>749.15600002269241</v>
      </c>
      <c r="Q14" s="2"/>
      <c r="S14" s="13">
        <f t="shared" si="1"/>
        <v>4</v>
      </c>
      <c r="T14" s="13">
        <f t="shared" si="0"/>
        <v>67.5</v>
      </c>
      <c r="U14" s="12">
        <f t="shared" si="0"/>
        <v>14</v>
      </c>
      <c r="V14" s="16">
        <f>SQRT($C50^2+$C51^2)</f>
        <v>374.5630000013349</v>
      </c>
      <c r="W14" s="16">
        <f>SQRT(C99^2+C100^2)</f>
        <v>374.57500002135754</v>
      </c>
      <c r="X14" s="14">
        <f t="shared" si="4"/>
        <v>1.2000020022640001E-2</v>
      </c>
    </row>
    <row r="15" spans="1:24">
      <c r="A15" s="90" t="s">
        <v>528</v>
      </c>
      <c r="B15" s="90" t="s">
        <v>415</v>
      </c>
      <c r="C15" s="90">
        <v>3.0000000000000001E-3</v>
      </c>
      <c r="D15" s="90"/>
      <c r="E15" s="90"/>
      <c r="F15" s="90"/>
      <c r="G15" s="90"/>
      <c r="H15" s="13">
        <v>5</v>
      </c>
      <c r="I15" s="13">
        <f t="shared" si="5"/>
        <v>90</v>
      </c>
      <c r="J15" s="10">
        <v>13</v>
      </c>
      <c r="K15" s="16">
        <f ca="1">SQRT(OFFSET($C47, $J$8, 0)^2+OFFSET($C48, $J$8, 0)^2)</f>
        <v>374.57000000133485</v>
      </c>
      <c r="L15" s="141">
        <f t="shared" si="6"/>
        <v>374.46000000000004</v>
      </c>
      <c r="M15" s="141">
        <f t="shared" si="6"/>
        <v>374.64</v>
      </c>
      <c r="P15" s="13">
        <f t="shared" ca="1" si="3"/>
        <v>749.15000000266969</v>
      </c>
      <c r="Q15" s="2"/>
      <c r="S15" s="13">
        <f t="shared" si="1"/>
        <v>5</v>
      </c>
      <c r="T15" s="13">
        <f t="shared" si="0"/>
        <v>90</v>
      </c>
      <c r="U15" s="12">
        <f t="shared" si="0"/>
        <v>13</v>
      </c>
      <c r="V15" s="16">
        <f>SQRT($C47^2+$C48^2)</f>
        <v>374.56000000133491</v>
      </c>
      <c r="W15" s="16">
        <f>SQRT(C96^2+C97^2)</f>
        <v>374.57000000133485</v>
      </c>
      <c r="X15" s="14">
        <f t="shared" si="4"/>
        <v>9.9999999999340616E-3</v>
      </c>
    </row>
    <row r="16" spans="1:24">
      <c r="A16" s="121" t="s">
        <v>529</v>
      </c>
      <c r="B16" s="90" t="s">
        <v>417</v>
      </c>
      <c r="C16" s="90">
        <v>-185.14099999999999</v>
      </c>
      <c r="D16" s="90"/>
      <c r="E16" s="90"/>
      <c r="F16" s="90"/>
      <c r="G16" s="90"/>
      <c r="H16" s="13">
        <v>6</v>
      </c>
      <c r="I16" s="13">
        <f t="shared" si="5"/>
        <v>112.5</v>
      </c>
      <c r="J16" s="10">
        <v>12</v>
      </c>
      <c r="K16" s="16">
        <f ca="1">SQRT(OFFSET($C44, $J$8, 0)^2+OFFSET($C45, $J$8, 0)^2)</f>
        <v>374.57900000533931</v>
      </c>
      <c r="L16" s="141">
        <f t="shared" si="6"/>
        <v>374.46000000000004</v>
      </c>
      <c r="M16" s="141">
        <f t="shared" si="6"/>
        <v>374.64</v>
      </c>
      <c r="P16" s="13">
        <f t="shared" ca="1" si="3"/>
        <v>749.14700000667426</v>
      </c>
      <c r="Q16" s="2"/>
      <c r="S16" s="13">
        <f t="shared" si="1"/>
        <v>6</v>
      </c>
      <c r="T16" s="13">
        <f t="shared" si="0"/>
        <v>112.5</v>
      </c>
      <c r="U16" s="12">
        <f t="shared" si="0"/>
        <v>12</v>
      </c>
      <c r="V16" s="16">
        <f>SQRT($C44^2+$C45^2)</f>
        <v>374.56600000133483</v>
      </c>
      <c r="W16" s="16">
        <f>SQRT(C93^2+C94^2)</f>
        <v>374.57900000533931</v>
      </c>
      <c r="X16" s="14">
        <f t="shared" si="4"/>
        <v>1.300000400448198E-2</v>
      </c>
    </row>
    <row r="17" spans="1:25">
      <c r="A17" s="90" t="s">
        <v>412</v>
      </c>
      <c r="B17" s="90" t="s">
        <v>413</v>
      </c>
      <c r="C17" s="90">
        <v>374.51400000000001</v>
      </c>
      <c r="D17" s="90"/>
      <c r="E17" s="90"/>
      <c r="F17" s="90"/>
      <c r="G17" s="90"/>
      <c r="H17" s="13">
        <v>7</v>
      </c>
      <c r="I17" s="13">
        <f t="shared" si="5"/>
        <v>135</v>
      </c>
      <c r="J17" s="10">
        <v>11</v>
      </c>
      <c r="K17" s="16">
        <f ca="1">SQRT(OFFSET($C41, $J$8, 0)^2+OFFSET($C42, $J$8, 0)^2)</f>
        <v>374.529</v>
      </c>
      <c r="L17" s="141">
        <f t="shared" si="6"/>
        <v>374.46000000000004</v>
      </c>
      <c r="M17" s="141">
        <f t="shared" si="6"/>
        <v>374.64</v>
      </c>
      <c r="P17" s="13">
        <f t="shared" ca="1" si="3"/>
        <v>749.04900000133512</v>
      </c>
      <c r="Q17" s="2"/>
      <c r="S17" s="13">
        <f t="shared" si="1"/>
        <v>7</v>
      </c>
      <c r="T17" s="13">
        <f t="shared" si="0"/>
        <v>135</v>
      </c>
      <c r="U17" s="12">
        <f t="shared" si="0"/>
        <v>11</v>
      </c>
      <c r="V17" s="16">
        <f>SQRT($C41^2+$C42^2)</f>
        <v>374.51</v>
      </c>
      <c r="W17" s="16">
        <f>SQRT(C90^2+C91^2)</f>
        <v>374.529</v>
      </c>
      <c r="X17" s="14">
        <f t="shared" si="4"/>
        <v>1.9000000000005457E-2</v>
      </c>
    </row>
    <row r="18" spans="1:25">
      <c r="A18" s="90" t="s">
        <v>530</v>
      </c>
      <c r="B18" s="90" t="s">
        <v>415</v>
      </c>
      <c r="C18" s="90">
        <v>1E-3</v>
      </c>
      <c r="D18" s="90"/>
      <c r="E18" s="90"/>
      <c r="F18" s="90"/>
      <c r="G18" s="90"/>
      <c r="H18" s="13">
        <v>8</v>
      </c>
      <c r="I18" s="13">
        <f t="shared" si="5"/>
        <v>157.5</v>
      </c>
      <c r="J18" s="10">
        <v>10</v>
      </c>
      <c r="K18" s="16">
        <f ca="1">SQRT(OFFSET($C38, $J$8, 0)^2+OFFSET($C39, $J$8, 0)^2)</f>
        <v>374.52700000534008</v>
      </c>
      <c r="L18" s="141">
        <f t="shared" si="6"/>
        <v>374.46000000000004</v>
      </c>
      <c r="M18" s="141">
        <f t="shared" si="6"/>
        <v>374.64</v>
      </c>
      <c r="P18" s="13">
        <f t="shared" ca="1" si="3"/>
        <v>749.04200001735558</v>
      </c>
      <c r="Q18" s="2"/>
      <c r="S18" s="13">
        <f t="shared" si="1"/>
        <v>8</v>
      </c>
      <c r="T18" s="13">
        <f t="shared" si="0"/>
        <v>157.5</v>
      </c>
      <c r="U18" s="12">
        <f t="shared" si="0"/>
        <v>10</v>
      </c>
      <c r="V18" s="16">
        <f>SQRT($C38^2+$C39^2)</f>
        <v>374.51100010814105</v>
      </c>
      <c r="W18" s="16">
        <f>SQRT(C87^2+C88^2)</f>
        <v>374.52700000534008</v>
      </c>
      <c r="X18" s="14">
        <f t="shared" si="4"/>
        <v>1.5999897199037605E-2</v>
      </c>
    </row>
    <row r="19" spans="1:25">
      <c r="A19" s="121" t="s">
        <v>531</v>
      </c>
      <c r="B19" s="90" t="s">
        <v>417</v>
      </c>
      <c r="C19" s="90">
        <v>-185.13200000000001</v>
      </c>
      <c r="D19" s="90"/>
      <c r="E19" s="90"/>
      <c r="F19" s="90"/>
      <c r="G19" s="90"/>
      <c r="H19" s="13">
        <v>9</v>
      </c>
      <c r="I19" s="13">
        <f t="shared" si="5"/>
        <v>180</v>
      </c>
      <c r="J19" s="10">
        <v>9</v>
      </c>
      <c r="K19" s="16">
        <f ca="1">SQRT(OFFSET($C35, $J$8, 0)^2+OFFSET($C36, $J$8, 0)^2)</f>
        <v>374.51400000133509</v>
      </c>
      <c r="L19" s="141">
        <f t="shared" si="6"/>
        <v>374.46000000000004</v>
      </c>
      <c r="M19" s="141">
        <f t="shared" si="6"/>
        <v>374.64</v>
      </c>
      <c r="P19" s="13"/>
      <c r="Q19" s="2"/>
      <c r="S19" s="13">
        <f t="shared" si="1"/>
        <v>9</v>
      </c>
      <c r="T19" s="13">
        <f t="shared" si="0"/>
        <v>180</v>
      </c>
      <c r="U19" s="12">
        <f t="shared" si="0"/>
        <v>9</v>
      </c>
      <c r="V19" s="16">
        <f>SQRT($C35^2+$C36^2)</f>
        <v>374.49500000133514</v>
      </c>
      <c r="W19" s="16">
        <f>SQRT(C84^2+C85^2)</f>
        <v>374.51400000133509</v>
      </c>
      <c r="X19" s="14">
        <f t="shared" si="4"/>
        <v>1.8999999999948614E-2</v>
      </c>
    </row>
    <row r="20" spans="1:25">
      <c r="A20" s="90" t="s">
        <v>412</v>
      </c>
      <c r="B20" s="90" t="s">
        <v>413</v>
      </c>
      <c r="C20" s="90">
        <v>374.56200000000001</v>
      </c>
      <c r="D20" s="90"/>
      <c r="E20" s="90"/>
      <c r="F20" s="90"/>
      <c r="G20" s="90"/>
      <c r="H20" s="13">
        <v>10</v>
      </c>
      <c r="I20" s="13">
        <f t="shared" si="5"/>
        <v>202.5</v>
      </c>
      <c r="J20" s="10">
        <v>8</v>
      </c>
      <c r="K20" s="16">
        <f ca="1">SQRT(OFFSET($C32, $J$8, 0)^2+OFFSET($C33, $J$8, 0)^2)</f>
        <v>374.52600000534011</v>
      </c>
      <c r="L20" s="141">
        <f t="shared" si="6"/>
        <v>374.46000000000004</v>
      </c>
      <c r="M20" s="141">
        <f t="shared" si="6"/>
        <v>374.64</v>
      </c>
      <c r="P20" s="13">
        <f ca="1">MAX(P11:P18)</f>
        <v>749.15600002269241</v>
      </c>
      <c r="Q20" s="13" t="str">
        <f ca="1">IF(P20&gt;M6, CONCATENATE("O/Max ", TEXT(P20-M6, "0.000")), "-")</f>
        <v>-</v>
      </c>
      <c r="S20" s="13">
        <f t="shared" si="1"/>
        <v>10</v>
      </c>
      <c r="T20" s="13">
        <f t="shared" si="0"/>
        <v>202.5</v>
      </c>
      <c r="U20" s="12">
        <f t="shared" si="0"/>
        <v>8</v>
      </c>
      <c r="V20" s="16">
        <f>SQRT($C32^2+$C33^2)</f>
        <v>374.51799999999997</v>
      </c>
      <c r="W20" s="16">
        <f>SQRT(C81^2+C82^2)</f>
        <v>374.52600000534011</v>
      </c>
      <c r="X20" s="14">
        <f t="shared" si="4"/>
        <v>8.0000053401363402E-3</v>
      </c>
    </row>
    <row r="21" spans="1:25">
      <c r="A21" s="90" t="s">
        <v>532</v>
      </c>
      <c r="B21" s="90" t="s">
        <v>415</v>
      </c>
      <c r="C21" s="90">
        <v>0</v>
      </c>
      <c r="D21" s="90"/>
      <c r="E21" s="90"/>
      <c r="F21" s="90"/>
      <c r="G21" s="90"/>
      <c r="H21" s="13">
        <v>11</v>
      </c>
      <c r="I21" s="13">
        <f t="shared" si="5"/>
        <v>225</v>
      </c>
      <c r="J21" s="10">
        <v>7</v>
      </c>
      <c r="K21" s="16">
        <f ca="1">SQRT(OFFSET($C29, $J$8, 0)^2+OFFSET($C30, $J$8, 0)^2)</f>
        <v>374.54900001201446</v>
      </c>
      <c r="L21" s="141">
        <f t="shared" si="6"/>
        <v>374.46000000000004</v>
      </c>
      <c r="M21" s="141">
        <f t="shared" si="6"/>
        <v>374.64</v>
      </c>
      <c r="P21" s="13">
        <f ca="1">MIN(P11:P18)</f>
        <v>749.02900000267016</v>
      </c>
      <c r="Q21" s="13" t="str">
        <f ca="1">IF(P21&lt;M7, CONCATENATE("U/Min ", TEXT(M7-P21, "0.000")), "-")</f>
        <v>U/Min 0.007</v>
      </c>
      <c r="S21" s="13">
        <f t="shared" si="1"/>
        <v>11</v>
      </c>
      <c r="T21" s="13">
        <f t="shared" si="0"/>
        <v>225</v>
      </c>
      <c r="U21" s="12">
        <f t="shared" si="0"/>
        <v>7</v>
      </c>
      <c r="V21" s="16">
        <f>SQRT($C29^2+$C30^2)</f>
        <v>374.53800000533994</v>
      </c>
      <c r="W21" s="16">
        <f>SQRT(C78^2+C79^2)</f>
        <v>374.54900001201446</v>
      </c>
      <c r="X21" s="14">
        <f t="shared" si="4"/>
        <v>1.1000006674521501E-2</v>
      </c>
    </row>
    <row r="22" spans="1:25">
      <c r="A22" s="121" t="s">
        <v>533</v>
      </c>
      <c r="B22" s="90" t="s">
        <v>417</v>
      </c>
      <c r="C22" s="90">
        <v>-185.15700000000001</v>
      </c>
      <c r="D22" s="90"/>
      <c r="E22" s="90"/>
      <c r="F22" s="90"/>
      <c r="G22" s="90"/>
      <c r="H22" s="13">
        <v>12</v>
      </c>
      <c r="I22" s="13">
        <f t="shared" si="5"/>
        <v>247.5</v>
      </c>
      <c r="J22" s="10">
        <v>6</v>
      </c>
      <c r="K22" s="16">
        <f ca="1">SQRT(OFFSET($C26, $J$8, 0)^2+OFFSET($C27, $J$8, 0)^2)</f>
        <v>374.58100000133487</v>
      </c>
      <c r="L22" s="141">
        <f t="shared" si="6"/>
        <v>374.46000000000004</v>
      </c>
      <c r="M22" s="141">
        <f t="shared" si="6"/>
        <v>374.64</v>
      </c>
      <c r="S22" s="13">
        <f t="shared" si="1"/>
        <v>12</v>
      </c>
      <c r="T22" s="13">
        <f t="shared" si="0"/>
        <v>247.5</v>
      </c>
      <c r="U22" s="12">
        <f t="shared" si="0"/>
        <v>6</v>
      </c>
      <c r="V22" s="16">
        <f>SQRT($C26^2+$C27^2)</f>
        <v>374.56900000133487</v>
      </c>
      <c r="W22" s="16">
        <f>SQRT(C75^2+C76^2)</f>
        <v>374.58100000133487</v>
      </c>
      <c r="X22" s="14">
        <f t="shared" si="4"/>
        <v>1.2000000000000455E-2</v>
      </c>
    </row>
    <row r="23" spans="1:25">
      <c r="A23" s="90" t="s">
        <v>412</v>
      </c>
      <c r="B23" s="90" t="s">
        <v>413</v>
      </c>
      <c r="C23" s="90">
        <v>374.56599999999997</v>
      </c>
      <c r="D23" s="90"/>
      <c r="E23" s="90"/>
      <c r="F23" s="90"/>
      <c r="G23" s="90"/>
      <c r="H23" s="13">
        <v>13</v>
      </c>
      <c r="I23" s="13">
        <f t="shared" si="5"/>
        <v>270</v>
      </c>
      <c r="J23" s="10">
        <v>5</v>
      </c>
      <c r="K23" s="16">
        <f ca="1">SQRT(OFFSET($C23, $J$8, 0)^2+OFFSET($C24, $J$8, 0)^2)</f>
        <v>374.58000000133484</v>
      </c>
      <c r="L23" s="141">
        <f t="shared" si="6"/>
        <v>374.46000000000004</v>
      </c>
      <c r="M23" s="141">
        <f t="shared" si="6"/>
        <v>374.64</v>
      </c>
      <c r="S23" s="13">
        <f t="shared" si="1"/>
        <v>13</v>
      </c>
      <c r="T23" s="13">
        <f t="shared" si="0"/>
        <v>270</v>
      </c>
      <c r="U23" s="12">
        <f t="shared" si="0"/>
        <v>5</v>
      </c>
      <c r="V23" s="16">
        <f>SQRT($C23^2+$C24^2)</f>
        <v>374.56600000133483</v>
      </c>
      <c r="W23" s="16">
        <f>SQRT(C72^2+C73^2)</f>
        <v>374.58000000133484</v>
      </c>
      <c r="X23" s="14">
        <f t="shared" si="4"/>
        <v>1.4000000000010004E-2</v>
      </c>
    </row>
    <row r="24" spans="1:25">
      <c r="A24" s="90" t="s">
        <v>534</v>
      </c>
      <c r="B24" s="90" t="s">
        <v>415</v>
      </c>
      <c r="C24" s="90">
        <v>-1E-3</v>
      </c>
      <c r="D24" s="90"/>
      <c r="E24" s="90"/>
      <c r="F24" s="90"/>
      <c r="G24" s="90"/>
      <c r="H24" s="13">
        <v>14</v>
      </c>
      <c r="I24" s="13">
        <f t="shared" si="5"/>
        <v>292.5</v>
      </c>
      <c r="J24" s="10">
        <v>4</v>
      </c>
      <c r="K24" s="16">
        <f ca="1">SQRT(OFFSET($C20, $J$8, 0)^2+OFFSET($C21, $J$8, 0)^2)</f>
        <v>374.56800000133489</v>
      </c>
      <c r="L24" s="141">
        <f t="shared" si="6"/>
        <v>374.46000000000004</v>
      </c>
      <c r="M24" s="141">
        <f t="shared" si="6"/>
        <v>374.64</v>
      </c>
      <c r="S24" s="13">
        <f t="shared" si="1"/>
        <v>14</v>
      </c>
      <c r="T24" s="13">
        <f t="shared" si="0"/>
        <v>292.5</v>
      </c>
      <c r="U24" s="12">
        <f t="shared" si="0"/>
        <v>4</v>
      </c>
      <c r="V24" s="16">
        <f>SQRT($C20^2+$C21^2)</f>
        <v>374.56200000000001</v>
      </c>
      <c r="W24" s="16">
        <f>SQRT(C69^2+C70^2)</f>
        <v>374.56800000133489</v>
      </c>
      <c r="X24" s="14">
        <f t="shared" si="4"/>
        <v>6.0000013348826542E-3</v>
      </c>
    </row>
    <row r="25" spans="1:25">
      <c r="A25" s="121" t="s">
        <v>535</v>
      </c>
      <c r="B25" s="90" t="s">
        <v>417</v>
      </c>
      <c r="C25" s="90">
        <v>-185.167</v>
      </c>
      <c r="D25" s="90"/>
      <c r="E25" s="90"/>
      <c r="F25" s="90"/>
      <c r="G25" s="90"/>
      <c r="H25" s="13">
        <v>15</v>
      </c>
      <c r="I25" s="13">
        <f t="shared" si="5"/>
        <v>315</v>
      </c>
      <c r="J25" s="10">
        <v>3</v>
      </c>
      <c r="K25" s="16">
        <f ca="1">SQRT(OFFSET($C17, $J$8, 0)^2+OFFSET($C18, $J$8, 0)^2)</f>
        <v>374.52000000133506</v>
      </c>
      <c r="L25" s="141">
        <f t="shared" si="6"/>
        <v>374.46000000000004</v>
      </c>
      <c r="M25" s="141">
        <f t="shared" si="6"/>
        <v>374.64</v>
      </c>
      <c r="S25" s="13">
        <f t="shared" si="1"/>
        <v>15</v>
      </c>
      <c r="T25" s="13">
        <f t="shared" si="0"/>
        <v>315</v>
      </c>
      <c r="U25" s="12">
        <f t="shared" si="0"/>
        <v>3</v>
      </c>
      <c r="V25" s="16">
        <f>SQRT($C17^2+$C18^2)</f>
        <v>374.51400000133509</v>
      </c>
      <c r="W25" s="16">
        <f>SQRT(C66^2+C67^2)</f>
        <v>374.52000000133506</v>
      </c>
      <c r="X25" s="14">
        <f t="shared" si="4"/>
        <v>5.9999999999718057E-3</v>
      </c>
    </row>
    <row r="26" spans="1:25">
      <c r="A26" s="90" t="s">
        <v>412</v>
      </c>
      <c r="B26" s="90" t="s">
        <v>413</v>
      </c>
      <c r="C26" s="90">
        <v>374.56900000000002</v>
      </c>
      <c r="D26" s="90"/>
      <c r="E26" s="90"/>
      <c r="F26" s="90"/>
      <c r="G26" s="90"/>
      <c r="H26" s="13">
        <v>16</v>
      </c>
      <c r="I26" s="13">
        <f t="shared" si="5"/>
        <v>337.5</v>
      </c>
      <c r="J26" s="10">
        <v>2</v>
      </c>
      <c r="K26" s="16">
        <f ca="1">SQRT(OFFSET($C14, $J$8, 0)^2+OFFSET($C15, $J$8, 0)^2)</f>
        <v>374.51500001201555</v>
      </c>
      <c r="L26" s="141">
        <f t="shared" si="6"/>
        <v>374.46000000000004</v>
      </c>
      <c r="M26" s="141">
        <f t="shared" si="6"/>
        <v>374.64</v>
      </c>
      <c r="S26" s="13">
        <f t="shared" si="1"/>
        <v>16</v>
      </c>
      <c r="T26" s="13">
        <f t="shared" si="0"/>
        <v>337.5</v>
      </c>
      <c r="U26" s="12">
        <f t="shared" si="0"/>
        <v>2</v>
      </c>
      <c r="V26" s="16">
        <f>SQRT($C14^2+$C15^2)</f>
        <v>374.5110000120157</v>
      </c>
      <c r="W26" s="16">
        <f>SQRT(C63^2+C64^2)</f>
        <v>374.51500001201555</v>
      </c>
      <c r="X26" s="14">
        <f t="shared" si="4"/>
        <v>3.9999999998485691E-3</v>
      </c>
    </row>
    <row r="27" spans="1:25">
      <c r="A27" s="90" t="s">
        <v>536</v>
      </c>
      <c r="B27" s="90" t="s">
        <v>415</v>
      </c>
      <c r="C27" s="90">
        <v>-1E-3</v>
      </c>
      <c r="D27" s="90"/>
      <c r="E27" s="90"/>
      <c r="F27" s="90"/>
      <c r="G27" s="90"/>
      <c r="H27" s="13">
        <v>17</v>
      </c>
      <c r="I27" s="13">
        <v>360</v>
      </c>
      <c r="J27" s="10">
        <v>1</v>
      </c>
      <c r="K27" s="15">
        <f ca="1">K11</f>
        <v>374.51500000133507</v>
      </c>
      <c r="L27" s="5"/>
      <c r="M27" s="5"/>
      <c r="N27" s="5"/>
      <c r="P27" s="19" t="s">
        <v>271</v>
      </c>
      <c r="Q27" s="19" t="str">
        <f ca="1">M30</f>
        <v>-</v>
      </c>
      <c r="R27" s="19"/>
      <c r="S27" s="13">
        <f t="shared" si="1"/>
        <v>17</v>
      </c>
      <c r="T27" s="13">
        <f t="shared" si="0"/>
        <v>360</v>
      </c>
      <c r="U27" s="12">
        <f t="shared" si="0"/>
        <v>1</v>
      </c>
      <c r="V27" s="15"/>
      <c r="W27" s="15"/>
      <c r="X27" s="15"/>
    </row>
    <row r="28" spans="1:25">
      <c r="A28" s="121" t="s">
        <v>537</v>
      </c>
      <c r="B28" s="90" t="s">
        <v>417</v>
      </c>
      <c r="C28" s="90">
        <v>-185.166</v>
      </c>
      <c r="D28" s="90"/>
      <c r="E28" s="90"/>
      <c r="F28" s="90"/>
      <c r="G28" s="90"/>
      <c r="J28" s="10" t="s">
        <v>14</v>
      </c>
      <c r="K28" s="5">
        <f ca="1">MAX(K11:K26)</f>
        <v>374.58100000133487</v>
      </c>
      <c r="L28" s="15">
        <f ca="1">K28*2</f>
        <v>749.16200000266974</v>
      </c>
      <c r="M28" s="15" t="str">
        <f ca="1">IF(K28&gt;M26, "O/Max "&amp;TEXT(2*K28-2*M26, "0.000"), "-")</f>
        <v>-</v>
      </c>
      <c r="N28" s="5"/>
      <c r="P28" s="19" t="s">
        <v>60</v>
      </c>
      <c r="Q28" s="19" t="str">
        <f ca="1">M28</f>
        <v>-</v>
      </c>
      <c r="R28" s="19"/>
      <c r="U28" s="12" t="s">
        <v>14</v>
      </c>
      <c r="V28" s="15">
        <f>MAX(V11:V26)</f>
        <v>374.56900000133487</v>
      </c>
      <c r="W28" s="15">
        <f>MAX(W11:W26)</f>
        <v>374.58100000133487</v>
      </c>
      <c r="X28" s="15">
        <f>MAX(X11:X26)</f>
        <v>1.9000000000005457E-2</v>
      </c>
      <c r="Y28">
        <f>INDEX(U$11:U$26,MATCH(X28,X$11:X$26,0))</f>
        <v>11</v>
      </c>
    </row>
    <row r="29" spans="1:25">
      <c r="A29" s="90" t="s">
        <v>412</v>
      </c>
      <c r="B29" s="90" t="s">
        <v>413</v>
      </c>
      <c r="C29" s="90">
        <v>374.53800000000001</v>
      </c>
      <c r="D29" s="90"/>
      <c r="E29" s="90"/>
      <c r="F29" s="90"/>
      <c r="G29" s="90"/>
      <c r="J29" s="10" t="s">
        <v>15</v>
      </c>
      <c r="K29" s="15">
        <f ca="1">MIN(K11:K26)</f>
        <v>374.51400000133509</v>
      </c>
      <c r="L29" s="15">
        <f ca="1">K29*2</f>
        <v>749.02800000267018</v>
      </c>
      <c r="M29" s="15" t="str">
        <f ca="1">IF(K29&lt;L26, "U/Min "&amp;TEXT(2*L26-2*K29, "0.000"), "-")</f>
        <v>-</v>
      </c>
      <c r="N29" s="5"/>
      <c r="P29" s="19" t="s">
        <v>62</v>
      </c>
      <c r="Q29" s="19" t="str">
        <f ca="1">M29</f>
        <v>-</v>
      </c>
      <c r="R29" s="19"/>
      <c r="U29" s="12" t="s">
        <v>15</v>
      </c>
      <c r="V29" s="15">
        <f>MIN(V11:V26)</f>
        <v>374.49500000133514</v>
      </c>
      <c r="W29" s="15">
        <f>MIN(W11:W26)</f>
        <v>374.51400000133509</v>
      </c>
      <c r="X29" s="15">
        <f>MIN(X11:X26)</f>
        <v>3.9999999998485691E-3</v>
      </c>
      <c r="Y29">
        <f>INDEX(U$11:U$26,MATCH(X29,X$11:X$26,0))</f>
        <v>2</v>
      </c>
    </row>
    <row r="30" spans="1:25">
      <c r="A30" s="90" t="s">
        <v>538</v>
      </c>
      <c r="B30" s="90" t="s">
        <v>415</v>
      </c>
      <c r="C30" s="90">
        <v>-2E-3</v>
      </c>
      <c r="D30" s="90"/>
      <c r="E30" s="90"/>
      <c r="F30" s="90"/>
      <c r="G30" s="90"/>
      <c r="J30" s="17" t="s">
        <v>78</v>
      </c>
      <c r="K30" s="16">
        <f ca="1">AVERAGE(K11:K26)*2</f>
        <v>749.09075001034591</v>
      </c>
      <c r="L30" s="15"/>
      <c r="M30" s="15" t="str">
        <f ca="1">IF(K30&gt;M6, "O/Max "&amp;TEXT(K30-M6, "0.000"), IF(K30&lt;M7, "U/Min "&amp;TEXT(M7-K30, "0.000"), "-"))</f>
        <v>-</v>
      </c>
      <c r="N30" s="5"/>
      <c r="P30" s="19" t="s">
        <v>18</v>
      </c>
      <c r="Q30" s="19" t="str">
        <f ca="1">M31</f>
        <v>-</v>
      </c>
      <c r="R30" s="19"/>
    </row>
    <row r="31" spans="1:25">
      <c r="A31" s="121" t="s">
        <v>539</v>
      </c>
      <c r="B31" s="90" t="s">
        <v>417</v>
      </c>
      <c r="C31" s="90">
        <v>-185.14699999999999</v>
      </c>
      <c r="D31" s="90"/>
      <c r="E31" s="90"/>
      <c r="F31" s="90"/>
      <c r="G31" s="90"/>
      <c r="J31" s="10" t="s">
        <v>79</v>
      </c>
      <c r="K31" s="18">
        <f ca="1">K28-K29</f>
        <v>6.6999999999779902E-2</v>
      </c>
      <c r="L31" s="15"/>
      <c r="M31" s="15" t="str">
        <f ca="1">IF(K31&gt;0.13, "O/Max "&amp;TEXT(K31-0.13, "0.000"), "-")</f>
        <v>-</v>
      </c>
      <c r="N31" s="5" t="s">
        <v>80</v>
      </c>
    </row>
    <row r="32" spans="1:25">
      <c r="A32" s="90" t="s">
        <v>412</v>
      </c>
      <c r="B32" s="90" t="s">
        <v>413</v>
      </c>
      <c r="C32" s="90">
        <v>374.51799999999997</v>
      </c>
      <c r="D32" s="90"/>
      <c r="E32" s="90"/>
      <c r="F32" s="90"/>
      <c r="G32" s="90"/>
      <c r="S32" s="19" t="s">
        <v>81</v>
      </c>
    </row>
    <row r="33" spans="1:38">
      <c r="A33" s="90" t="s">
        <v>540</v>
      </c>
      <c r="B33" s="90" t="s">
        <v>415</v>
      </c>
      <c r="C33" s="90">
        <v>0</v>
      </c>
      <c r="D33" s="90"/>
      <c r="E33" s="90"/>
      <c r="F33" s="90"/>
      <c r="G33" s="90"/>
      <c r="J33" s="5" t="s">
        <v>82</v>
      </c>
      <c r="K33" s="5"/>
      <c r="L33" s="5"/>
      <c r="M33" s="5" t="s">
        <v>23</v>
      </c>
      <c r="N33" s="5">
        <f>360/18</f>
        <v>20</v>
      </c>
      <c r="O33" s="9" t="s">
        <v>25</v>
      </c>
      <c r="P33" s="5" t="s">
        <v>27</v>
      </c>
      <c r="Q33" s="5">
        <v>-7.55</v>
      </c>
      <c r="R33" s="9" t="s">
        <v>25</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c r="AL33" s="5"/>
    </row>
    <row r="34" spans="1:38">
      <c r="A34" s="121" t="s">
        <v>541</v>
      </c>
      <c r="B34" s="90" t="s">
        <v>417</v>
      </c>
      <c r="C34" s="90">
        <v>-185.136</v>
      </c>
      <c r="D34" s="90"/>
      <c r="E34" s="90"/>
      <c r="F34" s="90"/>
      <c r="G34" s="90"/>
      <c r="J34" s="5"/>
      <c r="K34" s="9" t="s">
        <v>83</v>
      </c>
      <c r="L34" s="5"/>
      <c r="M34" s="9" t="s">
        <v>84</v>
      </c>
      <c r="N34" s="9" t="s">
        <v>85</v>
      </c>
      <c r="O34" s="9" t="s">
        <v>86</v>
      </c>
      <c r="P34" s="9" t="s">
        <v>87</v>
      </c>
      <c r="Q34" s="9" t="s">
        <v>88</v>
      </c>
      <c r="R34" s="5"/>
      <c r="S34" s="20" t="str">
        <f ca="1">CONCATENATE($S$32, "#", OFFSET($J$35, S33, 0))</f>
        <v>Stg.2 Shroud Fwd#1</v>
      </c>
      <c r="T34" s="20" t="str">
        <f t="shared" ref="T34:AJ34" ca="1" si="7">CONCATENATE($S$32, "#", OFFSET($J$35, T33, 0))</f>
        <v>Stg.2 Shroud Fwd#18</v>
      </c>
      <c r="U34" s="20" t="str">
        <f t="shared" ca="1" si="7"/>
        <v>Stg.2 Shroud Fwd#17</v>
      </c>
      <c r="V34" s="20" t="str">
        <f t="shared" ca="1" si="7"/>
        <v>Stg.2 Shroud Fwd#16</v>
      </c>
      <c r="W34" s="20" t="str">
        <f t="shared" ca="1" si="7"/>
        <v>Stg.2 Shroud Fwd#15</v>
      </c>
      <c r="X34" s="20" t="str">
        <f t="shared" ca="1" si="7"/>
        <v>Stg.2 Shroud Fwd#14</v>
      </c>
      <c r="Y34" s="20" t="str">
        <f t="shared" ca="1" si="7"/>
        <v>Stg.2 Shroud Fwd#13</v>
      </c>
      <c r="Z34" s="20" t="str">
        <f t="shared" ca="1" si="7"/>
        <v>Stg.2 Shroud Fwd#12</v>
      </c>
      <c r="AA34" s="20" t="str">
        <f t="shared" ca="1" si="7"/>
        <v>Stg.2 Shroud Fwd#11</v>
      </c>
      <c r="AB34" s="20" t="str">
        <f t="shared" ca="1" si="7"/>
        <v>Stg.2 Shroud Fwd#10</v>
      </c>
      <c r="AC34" s="20" t="str">
        <f t="shared" ca="1" si="7"/>
        <v>Stg.2 Shroud Fwd#9</v>
      </c>
      <c r="AD34" s="20" t="str">
        <f t="shared" ca="1" si="7"/>
        <v>Stg.2 Shroud Fwd#8</v>
      </c>
      <c r="AE34" s="20" t="str">
        <f t="shared" ca="1" si="7"/>
        <v>Stg.2 Shroud Fwd#7</v>
      </c>
      <c r="AF34" s="20" t="str">
        <f t="shared" ca="1" si="7"/>
        <v>Stg.2 Shroud Fwd#6</v>
      </c>
      <c r="AG34" s="20" t="str">
        <f t="shared" ca="1" si="7"/>
        <v>Stg.2 Shroud Fwd#5</v>
      </c>
      <c r="AH34" s="20" t="str">
        <f t="shared" ca="1" si="7"/>
        <v>Stg.2 Shroud Fwd#4</v>
      </c>
      <c r="AI34" s="20" t="str">
        <f t="shared" ca="1" si="7"/>
        <v>Stg.2 Shroud Fwd#3</v>
      </c>
      <c r="AJ34" s="20" t="str">
        <f t="shared" ca="1" si="7"/>
        <v>Stg.2 Shroud Fwd#2</v>
      </c>
      <c r="AK34" s="20" t="s">
        <v>89</v>
      </c>
      <c r="AL34" s="20" t="s">
        <v>90</v>
      </c>
    </row>
    <row r="35" spans="1:38">
      <c r="A35" s="90" t="s">
        <v>412</v>
      </c>
      <c r="B35" s="90" t="s">
        <v>413</v>
      </c>
      <c r="C35" s="90">
        <v>374.495</v>
      </c>
      <c r="D35" s="90"/>
      <c r="E35" s="90"/>
      <c r="F35" s="90"/>
      <c r="G35" s="90"/>
      <c r="J35" s="9" t="s">
        <v>91</v>
      </c>
      <c r="K35" s="9" t="s">
        <v>92</v>
      </c>
      <c r="L35" s="9" t="s">
        <v>93</v>
      </c>
      <c r="M35" s="9" t="s">
        <v>94</v>
      </c>
      <c r="N35" s="9" t="s">
        <v>95</v>
      </c>
      <c r="O35" s="9" t="s">
        <v>92</v>
      </c>
      <c r="P35" s="9" t="s">
        <v>94</v>
      </c>
      <c r="Q35" s="9" t="s">
        <v>94</v>
      </c>
      <c r="R35" s="5"/>
      <c r="S35" s="21"/>
      <c r="T35" s="21"/>
      <c r="U35" s="21"/>
      <c r="V35" s="21"/>
      <c r="W35" s="21"/>
      <c r="X35" s="21"/>
      <c r="Y35" s="21"/>
      <c r="Z35" s="21"/>
      <c r="AA35" s="21"/>
      <c r="AB35" s="21"/>
      <c r="AC35" s="21"/>
      <c r="AD35" s="21"/>
      <c r="AE35" s="21"/>
      <c r="AF35" s="21"/>
      <c r="AG35" s="21"/>
      <c r="AH35" s="21"/>
      <c r="AI35" s="21"/>
      <c r="AJ35" s="21"/>
      <c r="AK35" s="22" t="s">
        <v>94</v>
      </c>
      <c r="AL35" s="22" t="s">
        <v>94</v>
      </c>
    </row>
    <row r="36" spans="1:38">
      <c r="A36" s="90" t="s">
        <v>542</v>
      </c>
      <c r="B36" s="90" t="s">
        <v>415</v>
      </c>
      <c r="C36" s="90">
        <v>-1E-3</v>
      </c>
      <c r="D36" s="90"/>
      <c r="E36" s="90"/>
      <c r="F36" s="90"/>
      <c r="G36" s="90"/>
      <c r="J36" s="5">
        <v>1</v>
      </c>
      <c r="K36" s="23">
        <f>IF(Q33&lt;0, 360+$Q$33, $Q$33)</f>
        <v>352.45</v>
      </c>
      <c r="L36" s="24">
        <f>MATCH($K36, $I$11:$I$27, 1)</f>
        <v>16</v>
      </c>
      <c r="M36" s="5">
        <f ca="1">VLOOKUP(L36, $H$11:$K$27, 4, FALSE)</f>
        <v>374.51500001201555</v>
      </c>
      <c r="N36" s="25">
        <f ca="1">(VLOOKUP(L36+1, $H$11:$K$27, 4, FALSE) - VLOOKUP(L36, $H$11:$K$27, 4, FALSE))/(VLOOKUP(L36+1, $H$11:$K$27, 2, FALSE) - VLOOKUP(L36, $H$11:$K$27, 2, FALSE))</f>
        <v>-4.7468802222283553E-10</v>
      </c>
      <c r="O36" s="26">
        <f>K36-VLOOKUP(L36, $H$11:$I$27, 2, FALSE)</f>
        <v>14.949999999999989</v>
      </c>
      <c r="P36" s="27">
        <f ca="1">M36+N36*O36</f>
        <v>374.51500000491899</v>
      </c>
      <c r="Q36" s="27">
        <f ca="1">(P36+P53)/2</f>
        <v>374.51556111837976</v>
      </c>
      <c r="R36" s="5"/>
      <c r="S36" s="28">
        <f ca="1">Q36</f>
        <v>374.51556111837976</v>
      </c>
      <c r="T36" s="29"/>
      <c r="U36" s="29"/>
      <c r="V36" s="29"/>
      <c r="W36" s="29"/>
      <c r="X36" s="29"/>
      <c r="Y36" s="29"/>
      <c r="Z36" s="29"/>
      <c r="AA36" s="29"/>
      <c r="AB36" s="29"/>
      <c r="AC36" s="29"/>
      <c r="AD36" s="29"/>
      <c r="AE36" s="29"/>
      <c r="AF36" s="29"/>
      <c r="AG36" s="29"/>
      <c r="AH36" s="29"/>
      <c r="AI36" s="29"/>
      <c r="AJ36" s="28">
        <f ca="1">AJ53</f>
        <v>374.52078111658784</v>
      </c>
      <c r="AK36" s="29">
        <f>M$7/2</f>
        <v>374.51800000000003</v>
      </c>
      <c r="AL36" s="29">
        <f>M$6/2</f>
        <v>374.58199999999999</v>
      </c>
    </row>
    <row r="37" spans="1:38">
      <c r="A37" s="121" t="s">
        <v>543</v>
      </c>
      <c r="B37" s="90" t="s">
        <v>417</v>
      </c>
      <c r="C37" s="90">
        <v>-185.136</v>
      </c>
      <c r="D37" s="90"/>
      <c r="E37" s="90"/>
      <c r="F37" s="90"/>
      <c r="G37" s="90"/>
      <c r="J37" s="5">
        <v>18</v>
      </c>
      <c r="K37" s="23">
        <f>IF(K36+$N$33&gt;360, K36+$N$33-360, K36+$N$33)</f>
        <v>12.449999999999989</v>
      </c>
      <c r="L37" s="24">
        <f t="shared" ref="L37:L53" si="8">MATCH($K37, $I$11:$I$27, 1)</f>
        <v>1</v>
      </c>
      <c r="M37" s="5">
        <f t="shared" ref="M37:M52" ca="1" si="9">VLOOKUP(L37, $H$11:$K$27, 4, FALSE)</f>
        <v>374.51500000133507</v>
      </c>
      <c r="N37" s="25">
        <f t="shared" ref="N37:N53" ca="1" si="10">(VLOOKUP(L37+1, $H$11:$K$27, 4, FALSE) - VLOOKUP(L37, $H$11:$K$27, 4, FALSE))/(VLOOKUP(L37+1, $H$11:$K$27, 2, FALSE) - VLOOKUP(L37, $H$11:$K$27, 2, FALSE))</f>
        <v>1.022222696878493E-3</v>
      </c>
      <c r="O37" s="26">
        <f t="shared" ref="O37:O53" si="11">K37-VLOOKUP(L37, $H$11:$I$27, 2, FALSE)</f>
        <v>12.449999999999989</v>
      </c>
      <c r="P37" s="27">
        <f t="shared" ref="P37:P53" ca="1" si="12">M37+N37*O37</f>
        <v>374.52772667391122</v>
      </c>
      <c r="Q37" s="27">
        <f ca="1">(P36+P37)/2</f>
        <v>374.52136333941507</v>
      </c>
      <c r="R37" s="5"/>
      <c r="S37" s="30">
        <f ca="1">S36</f>
        <v>374.51556111837976</v>
      </c>
      <c r="T37" s="30">
        <f ca="1">Q37</f>
        <v>374.52136333941507</v>
      </c>
      <c r="U37" s="21"/>
      <c r="V37" s="21"/>
      <c r="W37" s="21"/>
      <c r="X37" s="21"/>
      <c r="Y37" s="21"/>
      <c r="Z37" s="21"/>
      <c r="AA37" s="21"/>
      <c r="AB37" s="21"/>
      <c r="AC37" s="21"/>
      <c r="AD37" s="21"/>
      <c r="AE37" s="21"/>
      <c r="AF37" s="21"/>
      <c r="AG37" s="21"/>
      <c r="AH37" s="21"/>
      <c r="AI37" s="21"/>
      <c r="AJ37" s="21"/>
      <c r="AK37" s="21">
        <f t="shared" ref="AK37:AK53" si="13">M$7/2</f>
        <v>374.51800000000003</v>
      </c>
      <c r="AL37" s="21">
        <f t="shared" ref="AL37:AL53" si="14">M$6/2</f>
        <v>374.58199999999999</v>
      </c>
    </row>
    <row r="38" spans="1:38">
      <c r="A38" s="90" t="s">
        <v>412</v>
      </c>
      <c r="B38" s="90" t="s">
        <v>413</v>
      </c>
      <c r="C38" s="90">
        <v>374.51100000000002</v>
      </c>
      <c r="D38" s="90"/>
      <c r="E38" s="90"/>
      <c r="F38" s="90"/>
      <c r="G38" s="90"/>
      <c r="J38" s="5">
        <v>17</v>
      </c>
      <c r="K38" s="23">
        <f t="shared" ref="K38:K53" si="15">IF(K37+$N$33&gt;360, K37+$N$33-360, K37+$N$33)</f>
        <v>32.449999999999989</v>
      </c>
      <c r="L38" s="24">
        <f t="shared" si="8"/>
        <v>2</v>
      </c>
      <c r="M38" s="5">
        <f t="shared" ca="1" si="9"/>
        <v>374.53800001201483</v>
      </c>
      <c r="N38" s="25">
        <f t="shared" ca="1" si="10"/>
        <v>8.8888354897183791E-5</v>
      </c>
      <c r="O38" s="26">
        <f t="shared" si="11"/>
        <v>9.9499999999999886</v>
      </c>
      <c r="P38" s="27">
        <f t="shared" ca="1" si="12"/>
        <v>374.53888445114609</v>
      </c>
      <c r="Q38" s="27">
        <f t="shared" ref="Q38:Q53" ca="1" si="16">(P37+P38)/2</f>
        <v>374.53330556252865</v>
      </c>
      <c r="R38" s="5"/>
      <c r="S38" s="21"/>
      <c r="T38" s="30">
        <f ca="1">T37</f>
        <v>374.52136333941507</v>
      </c>
      <c r="U38" s="30">
        <f ca="1">Q38</f>
        <v>374.53330556252865</v>
      </c>
      <c r="V38" s="21"/>
      <c r="W38" s="21"/>
      <c r="X38" s="21"/>
      <c r="Y38" s="21"/>
      <c r="Z38" s="21"/>
      <c r="AA38" s="21"/>
      <c r="AB38" s="21"/>
      <c r="AC38" s="21"/>
      <c r="AD38" s="21"/>
      <c r="AE38" s="21"/>
      <c r="AF38" s="21"/>
      <c r="AG38" s="21"/>
      <c r="AH38" s="21"/>
      <c r="AI38" s="21"/>
      <c r="AJ38" s="21"/>
      <c r="AK38" s="21">
        <f t="shared" si="13"/>
        <v>374.51800000000003</v>
      </c>
      <c r="AL38" s="21">
        <f t="shared" si="14"/>
        <v>374.58199999999999</v>
      </c>
    </row>
    <row r="39" spans="1:38">
      <c r="A39" s="90" t="s">
        <v>544</v>
      </c>
      <c r="B39" s="90" t="s">
        <v>415</v>
      </c>
      <c r="C39" s="90">
        <v>8.9999999999999993E-3</v>
      </c>
      <c r="D39" s="90"/>
      <c r="E39" s="90"/>
      <c r="F39" s="90"/>
      <c r="G39" s="90"/>
      <c r="J39" s="5">
        <v>16</v>
      </c>
      <c r="K39" s="23">
        <f t="shared" si="15"/>
        <v>52.449999999999989</v>
      </c>
      <c r="L39" s="24">
        <f t="shared" si="8"/>
        <v>3</v>
      </c>
      <c r="M39" s="5">
        <f t="shared" ca="1" si="9"/>
        <v>374.54</v>
      </c>
      <c r="N39" s="25">
        <f t="shared" ca="1" si="10"/>
        <v>1.5555565047786029E-3</v>
      </c>
      <c r="O39" s="26">
        <f t="shared" si="11"/>
        <v>7.4499999999999886</v>
      </c>
      <c r="P39" s="27">
        <f t="shared" ca="1" si="12"/>
        <v>374.55158889596061</v>
      </c>
      <c r="Q39" s="27">
        <f t="shared" ca="1" si="16"/>
        <v>374.54523667355335</v>
      </c>
      <c r="R39" s="5"/>
      <c r="S39" s="21"/>
      <c r="T39" s="21"/>
      <c r="U39" s="30">
        <f ca="1">U38</f>
        <v>374.53330556252865</v>
      </c>
      <c r="V39" s="30">
        <f ca="1">Q39</f>
        <v>374.54523667355335</v>
      </c>
      <c r="W39" s="21"/>
      <c r="X39" s="21"/>
      <c r="Y39" s="21"/>
      <c r="Z39" s="21"/>
      <c r="AA39" s="21"/>
      <c r="AB39" s="21"/>
      <c r="AC39" s="21"/>
      <c r="AD39" s="21"/>
      <c r="AE39" s="21"/>
      <c r="AF39" s="21"/>
      <c r="AG39" s="21"/>
      <c r="AH39" s="21"/>
      <c r="AI39" s="21"/>
      <c r="AJ39" s="21"/>
      <c r="AK39" s="21">
        <f t="shared" si="13"/>
        <v>374.51800000000003</v>
      </c>
      <c r="AL39" s="21">
        <f t="shared" si="14"/>
        <v>374.58199999999999</v>
      </c>
    </row>
    <row r="40" spans="1:38">
      <c r="A40" s="121" t="s">
        <v>545</v>
      </c>
      <c r="B40" s="90" t="s">
        <v>417</v>
      </c>
      <c r="C40" s="90">
        <v>-185.14699999999999</v>
      </c>
      <c r="D40" s="90"/>
      <c r="E40" s="90"/>
      <c r="F40" s="90"/>
      <c r="G40" s="90"/>
      <c r="J40" s="5">
        <v>15</v>
      </c>
      <c r="K40" s="23">
        <f t="shared" si="15"/>
        <v>72.449999999999989</v>
      </c>
      <c r="L40" s="24">
        <f t="shared" si="8"/>
        <v>4</v>
      </c>
      <c r="M40" s="5">
        <f t="shared" ca="1" si="9"/>
        <v>374.57500002135754</v>
      </c>
      <c r="N40" s="25">
        <f t="shared" ca="1" si="10"/>
        <v>-2.2222311211963743E-4</v>
      </c>
      <c r="O40" s="26">
        <f t="shared" si="11"/>
        <v>4.9499999999999886</v>
      </c>
      <c r="P40" s="27">
        <f t="shared" ca="1" si="12"/>
        <v>374.57390001695256</v>
      </c>
      <c r="Q40" s="27">
        <f t="shared" ca="1" si="16"/>
        <v>374.56274445645658</v>
      </c>
      <c r="R40" s="5"/>
      <c r="S40" s="21"/>
      <c r="T40" s="21"/>
      <c r="U40" s="21"/>
      <c r="V40" s="30">
        <f ca="1">V39</f>
        <v>374.54523667355335</v>
      </c>
      <c r="W40" s="30">
        <f ca="1">Q40</f>
        <v>374.56274445645658</v>
      </c>
      <c r="X40" s="21"/>
      <c r="Y40" s="21"/>
      <c r="Z40" s="21"/>
      <c r="AA40" s="21"/>
      <c r="AB40" s="21"/>
      <c r="AC40" s="21"/>
      <c r="AD40" s="21"/>
      <c r="AE40" s="21"/>
      <c r="AF40" s="21"/>
      <c r="AG40" s="21"/>
      <c r="AH40" s="21"/>
      <c r="AI40" s="21"/>
      <c r="AJ40" s="21"/>
      <c r="AK40" s="21">
        <f t="shared" si="13"/>
        <v>374.51800000000003</v>
      </c>
      <c r="AL40" s="21">
        <f t="shared" si="14"/>
        <v>374.58199999999999</v>
      </c>
    </row>
    <row r="41" spans="1:38">
      <c r="A41" s="90" t="s">
        <v>412</v>
      </c>
      <c r="B41" s="90" t="s">
        <v>413</v>
      </c>
      <c r="C41" s="90">
        <v>374.51</v>
      </c>
      <c r="D41" s="90"/>
      <c r="E41" s="90"/>
      <c r="F41" s="90"/>
      <c r="G41" s="90"/>
      <c r="J41" s="5">
        <v>14</v>
      </c>
      <c r="K41" s="23">
        <f t="shared" si="15"/>
        <v>92.449999999999989</v>
      </c>
      <c r="L41" s="24">
        <f t="shared" si="8"/>
        <v>5</v>
      </c>
      <c r="M41" s="5">
        <f t="shared" ca="1" si="9"/>
        <v>374.57000000133485</v>
      </c>
      <c r="N41" s="25">
        <f t="shared" ca="1" si="10"/>
        <v>4.00000177976128E-4</v>
      </c>
      <c r="O41" s="26">
        <f t="shared" si="11"/>
        <v>2.4499999999999886</v>
      </c>
      <c r="P41" s="27">
        <f t="shared" ca="1" si="12"/>
        <v>374.57098000177086</v>
      </c>
      <c r="Q41" s="27">
        <f t="shared" ca="1" si="16"/>
        <v>374.57244000936169</v>
      </c>
      <c r="R41" s="5"/>
      <c r="S41" s="21"/>
      <c r="T41" s="21"/>
      <c r="U41" s="21"/>
      <c r="V41" s="21"/>
      <c r="W41" s="30">
        <f ca="1">W40</f>
        <v>374.56274445645658</v>
      </c>
      <c r="X41" s="30">
        <f ca="1">Q41</f>
        <v>374.57244000936169</v>
      </c>
      <c r="Y41" s="21"/>
      <c r="Z41" s="21"/>
      <c r="AA41" s="21"/>
      <c r="AB41" s="21"/>
      <c r="AC41" s="21"/>
      <c r="AD41" s="21"/>
      <c r="AE41" s="21"/>
      <c r="AF41" s="21"/>
      <c r="AG41" s="21"/>
      <c r="AH41" s="21"/>
      <c r="AI41" s="21"/>
      <c r="AJ41" s="21"/>
      <c r="AK41" s="21">
        <f t="shared" si="13"/>
        <v>374.51800000000003</v>
      </c>
      <c r="AL41" s="21">
        <f t="shared" si="14"/>
        <v>374.58199999999999</v>
      </c>
    </row>
    <row r="42" spans="1:38">
      <c r="A42" s="90" t="s">
        <v>546</v>
      </c>
      <c r="B42" s="90" t="s">
        <v>415</v>
      </c>
      <c r="C42" s="90">
        <v>0</v>
      </c>
      <c r="D42" s="90"/>
      <c r="E42" s="90"/>
      <c r="F42" s="90"/>
      <c r="G42" s="90"/>
      <c r="J42" s="5">
        <v>13</v>
      </c>
      <c r="K42" s="23">
        <f t="shared" si="15"/>
        <v>112.44999999999999</v>
      </c>
      <c r="L42" s="24">
        <f t="shared" si="8"/>
        <v>5</v>
      </c>
      <c r="M42" s="5">
        <f t="shared" ca="1" si="9"/>
        <v>374.57000000133485</v>
      </c>
      <c r="N42" s="25">
        <f t="shared" ca="1" si="10"/>
        <v>4.00000177976128E-4</v>
      </c>
      <c r="O42" s="26">
        <f t="shared" si="11"/>
        <v>22.449999999999989</v>
      </c>
      <c r="P42" s="27">
        <f t="shared" ca="1" si="12"/>
        <v>374.57898000533044</v>
      </c>
      <c r="Q42" s="27">
        <f t="shared" ca="1" si="16"/>
        <v>374.57498000355065</v>
      </c>
      <c r="R42" s="5"/>
      <c r="S42" s="21"/>
      <c r="T42" s="21"/>
      <c r="U42" s="21"/>
      <c r="V42" s="21"/>
      <c r="W42" s="21"/>
      <c r="X42" s="30">
        <f ca="1">X41</f>
        <v>374.57244000936169</v>
      </c>
      <c r="Y42" s="30">
        <f ca="1">Q42</f>
        <v>374.57498000355065</v>
      </c>
      <c r="Z42" s="21"/>
      <c r="AA42" s="21"/>
      <c r="AB42" s="21"/>
      <c r="AC42" s="21"/>
      <c r="AD42" s="21"/>
      <c r="AE42" s="21"/>
      <c r="AF42" s="21"/>
      <c r="AG42" s="21"/>
      <c r="AH42" s="21"/>
      <c r="AI42" s="21"/>
      <c r="AJ42" s="21"/>
      <c r="AK42" s="21">
        <f t="shared" si="13"/>
        <v>374.51800000000003</v>
      </c>
      <c r="AL42" s="21">
        <f t="shared" si="14"/>
        <v>374.58199999999999</v>
      </c>
    </row>
    <row r="43" spans="1:38">
      <c r="A43" s="121" t="s">
        <v>547</v>
      </c>
      <c r="B43" s="90" t="s">
        <v>417</v>
      </c>
      <c r="C43" s="90">
        <v>-185.14699999999999</v>
      </c>
      <c r="D43" s="90"/>
      <c r="E43" s="90"/>
      <c r="F43" s="90"/>
      <c r="G43" s="90"/>
      <c r="J43" s="5">
        <v>12</v>
      </c>
      <c r="K43" s="23">
        <f t="shared" si="15"/>
        <v>132.44999999999999</v>
      </c>
      <c r="L43" s="24">
        <f t="shared" si="8"/>
        <v>6</v>
      </c>
      <c r="M43" s="5">
        <f t="shared" ca="1" si="9"/>
        <v>374.57900000533931</v>
      </c>
      <c r="N43" s="25">
        <f t="shared" ca="1" si="10"/>
        <v>-2.2222224595250533E-3</v>
      </c>
      <c r="O43" s="26">
        <f t="shared" si="11"/>
        <v>19.949999999999989</v>
      </c>
      <c r="P43" s="27">
        <f t="shared" ca="1" si="12"/>
        <v>374.53466666727178</v>
      </c>
      <c r="Q43" s="27">
        <f t="shared" ca="1" si="16"/>
        <v>374.55682333630114</v>
      </c>
      <c r="R43" s="5"/>
      <c r="S43" s="21"/>
      <c r="T43" s="21"/>
      <c r="U43" s="21"/>
      <c r="V43" s="21"/>
      <c r="W43" s="21"/>
      <c r="X43" s="21"/>
      <c r="Y43" s="30">
        <f ca="1">Y42</f>
        <v>374.57498000355065</v>
      </c>
      <c r="Z43" s="30">
        <f ca="1">Q43</f>
        <v>374.55682333630114</v>
      </c>
      <c r="AA43" s="21"/>
      <c r="AB43" s="21"/>
      <c r="AC43" s="21"/>
      <c r="AD43" s="21"/>
      <c r="AE43" s="21"/>
      <c r="AF43" s="21"/>
      <c r="AG43" s="21"/>
      <c r="AH43" s="21"/>
      <c r="AI43" s="21"/>
      <c r="AJ43" s="21"/>
      <c r="AK43" s="21">
        <f t="shared" si="13"/>
        <v>374.51800000000003</v>
      </c>
      <c r="AL43" s="21">
        <f t="shared" si="14"/>
        <v>374.58199999999999</v>
      </c>
    </row>
    <row r="44" spans="1:38">
      <c r="A44" s="90" t="s">
        <v>412</v>
      </c>
      <c r="B44" s="90" t="s">
        <v>413</v>
      </c>
      <c r="C44" s="90">
        <v>374.56599999999997</v>
      </c>
      <c r="D44" s="90"/>
      <c r="E44" s="90"/>
      <c r="F44" s="90"/>
      <c r="G44" s="90"/>
      <c r="J44" s="5">
        <v>11</v>
      </c>
      <c r="K44" s="23">
        <f t="shared" si="15"/>
        <v>152.44999999999999</v>
      </c>
      <c r="L44" s="24">
        <f t="shared" si="8"/>
        <v>7</v>
      </c>
      <c r="M44" s="5">
        <f t="shared" ca="1" si="9"/>
        <v>374.529</v>
      </c>
      <c r="N44" s="25">
        <f t="shared" ca="1" si="10"/>
        <v>-8.8888651551618139E-5</v>
      </c>
      <c r="O44" s="26">
        <f t="shared" si="11"/>
        <v>17.449999999999989</v>
      </c>
      <c r="P44" s="27">
        <f t="shared" ca="1" si="12"/>
        <v>374.5274488930304</v>
      </c>
      <c r="Q44" s="27">
        <f t="shared" ca="1" si="16"/>
        <v>374.53105778015106</v>
      </c>
      <c r="R44" s="5"/>
      <c r="S44" s="21"/>
      <c r="T44" s="21"/>
      <c r="U44" s="21"/>
      <c r="V44" s="21"/>
      <c r="W44" s="21"/>
      <c r="X44" s="21"/>
      <c r="Y44" s="21"/>
      <c r="Z44" s="30">
        <f ca="1">Z43</f>
        <v>374.55682333630114</v>
      </c>
      <c r="AA44" s="30">
        <f ca="1">Q44</f>
        <v>374.53105778015106</v>
      </c>
      <c r="AB44" s="21"/>
      <c r="AC44" s="21"/>
      <c r="AD44" s="21"/>
      <c r="AE44" s="21"/>
      <c r="AF44" s="21"/>
      <c r="AG44" s="21"/>
      <c r="AH44" s="21"/>
      <c r="AI44" s="21"/>
      <c r="AJ44" s="21"/>
      <c r="AK44" s="21">
        <f t="shared" si="13"/>
        <v>374.51800000000003</v>
      </c>
      <c r="AL44" s="21">
        <f t="shared" si="14"/>
        <v>374.58199999999999</v>
      </c>
    </row>
    <row r="45" spans="1:38">
      <c r="A45" s="90" t="s">
        <v>548</v>
      </c>
      <c r="B45" s="90" t="s">
        <v>415</v>
      </c>
      <c r="C45" s="90">
        <v>1E-3</v>
      </c>
      <c r="D45" s="90"/>
      <c r="E45" s="90"/>
      <c r="F45" s="90"/>
      <c r="G45" s="90"/>
      <c r="J45" s="5">
        <v>10</v>
      </c>
      <c r="K45" s="23">
        <f t="shared" si="15"/>
        <v>172.45</v>
      </c>
      <c r="L45" s="24">
        <f t="shared" si="8"/>
        <v>8</v>
      </c>
      <c r="M45" s="5">
        <f t="shared" ca="1" si="9"/>
        <v>374.52700000534008</v>
      </c>
      <c r="N45" s="25">
        <f t="shared" ca="1" si="10"/>
        <v>-5.77777955777492E-4</v>
      </c>
      <c r="O45" s="26">
        <f t="shared" si="11"/>
        <v>14.949999999999989</v>
      </c>
      <c r="P45" s="27">
        <f t="shared" ca="1" si="12"/>
        <v>374.51836222490124</v>
      </c>
      <c r="Q45" s="27">
        <f t="shared" ca="1" si="16"/>
        <v>374.52290555896582</v>
      </c>
      <c r="R45" s="5"/>
      <c r="S45" s="21"/>
      <c r="T45" s="21"/>
      <c r="U45" s="21"/>
      <c r="V45" s="21"/>
      <c r="W45" s="21"/>
      <c r="X45" s="21"/>
      <c r="Y45" s="21"/>
      <c r="Z45" s="21"/>
      <c r="AA45" s="30">
        <f ca="1">AA44</f>
        <v>374.53105778015106</v>
      </c>
      <c r="AB45" s="30">
        <f ca="1">Q45</f>
        <v>374.52290555896582</v>
      </c>
      <c r="AC45" s="21"/>
      <c r="AD45" s="21"/>
      <c r="AE45" s="21"/>
      <c r="AF45" s="21"/>
      <c r="AG45" s="21"/>
      <c r="AH45" s="21"/>
      <c r="AI45" s="21"/>
      <c r="AJ45" s="21"/>
      <c r="AK45" s="21">
        <f t="shared" si="13"/>
        <v>374.51800000000003</v>
      </c>
      <c r="AL45" s="21">
        <f t="shared" si="14"/>
        <v>374.58199999999999</v>
      </c>
    </row>
    <row r="46" spans="1:38">
      <c r="A46" s="121" t="s">
        <v>549</v>
      </c>
      <c r="B46" s="90" t="s">
        <v>417</v>
      </c>
      <c r="C46" s="90">
        <v>-185.167</v>
      </c>
      <c r="D46" s="90"/>
      <c r="E46" s="90"/>
      <c r="F46" s="90"/>
      <c r="G46" s="90"/>
      <c r="J46" s="5">
        <v>9</v>
      </c>
      <c r="K46" s="23">
        <f t="shared" si="15"/>
        <v>192.45</v>
      </c>
      <c r="L46" s="24">
        <f t="shared" si="8"/>
        <v>9</v>
      </c>
      <c r="M46" s="5">
        <f t="shared" ca="1" si="9"/>
        <v>374.51400000133509</v>
      </c>
      <c r="N46" s="25">
        <f t="shared" ca="1" si="10"/>
        <v>5.3333351133409853E-4</v>
      </c>
      <c r="O46" s="26">
        <f t="shared" si="11"/>
        <v>12.449999999999989</v>
      </c>
      <c r="P46" s="27">
        <f t="shared" ca="1" si="12"/>
        <v>374.52064000355119</v>
      </c>
      <c r="Q46" s="27">
        <f t="shared" ca="1" si="16"/>
        <v>374.51950111422622</v>
      </c>
      <c r="R46" s="5"/>
      <c r="S46" s="21"/>
      <c r="T46" s="21"/>
      <c r="U46" s="21"/>
      <c r="V46" s="21"/>
      <c r="W46" s="21"/>
      <c r="X46" s="21"/>
      <c r="Y46" s="21"/>
      <c r="Z46" s="21"/>
      <c r="AA46" s="21"/>
      <c r="AB46" s="30">
        <f ca="1">AB45</f>
        <v>374.52290555896582</v>
      </c>
      <c r="AC46" s="30">
        <f ca="1">Q46</f>
        <v>374.51950111422622</v>
      </c>
      <c r="AD46" s="21"/>
      <c r="AE46" s="21"/>
      <c r="AF46" s="21"/>
      <c r="AG46" s="21"/>
      <c r="AH46" s="21"/>
      <c r="AI46" s="21"/>
      <c r="AJ46" s="21"/>
      <c r="AK46" s="21">
        <f t="shared" si="13"/>
        <v>374.51800000000003</v>
      </c>
      <c r="AL46" s="21">
        <f t="shared" si="14"/>
        <v>374.58199999999999</v>
      </c>
    </row>
    <row r="47" spans="1:38">
      <c r="A47" s="90" t="s">
        <v>412</v>
      </c>
      <c r="B47" s="90" t="s">
        <v>413</v>
      </c>
      <c r="C47" s="90">
        <v>374.56</v>
      </c>
      <c r="D47" s="90"/>
      <c r="E47" s="90"/>
      <c r="F47" s="90"/>
      <c r="G47" s="90"/>
      <c r="J47" s="5">
        <v>8</v>
      </c>
      <c r="K47" s="23">
        <f t="shared" si="15"/>
        <v>212.45</v>
      </c>
      <c r="L47" s="24">
        <f t="shared" si="8"/>
        <v>10</v>
      </c>
      <c r="M47" s="5">
        <f t="shared" ca="1" si="9"/>
        <v>374.52600000534011</v>
      </c>
      <c r="N47" s="25">
        <f t="shared" ca="1" si="10"/>
        <v>1.0222225188600634E-3</v>
      </c>
      <c r="O47" s="26">
        <f t="shared" si="11"/>
        <v>9.9499999999999886</v>
      </c>
      <c r="P47" s="27">
        <f t="shared" ca="1" si="12"/>
        <v>374.53617111940275</v>
      </c>
      <c r="Q47" s="27">
        <f t="shared" ca="1" si="16"/>
        <v>374.52840556147697</v>
      </c>
      <c r="R47" s="5"/>
      <c r="S47" s="21"/>
      <c r="T47" s="21"/>
      <c r="U47" s="21"/>
      <c r="V47" s="21"/>
      <c r="W47" s="21"/>
      <c r="X47" s="21"/>
      <c r="Y47" s="21"/>
      <c r="Z47" s="21"/>
      <c r="AA47" s="21"/>
      <c r="AB47" s="21"/>
      <c r="AC47" s="30">
        <f ca="1">AC46</f>
        <v>374.51950111422622</v>
      </c>
      <c r="AD47" s="30">
        <f ca="1">Q47</f>
        <v>374.52840556147697</v>
      </c>
      <c r="AE47" s="21"/>
      <c r="AF47" s="21"/>
      <c r="AG47" s="21"/>
      <c r="AH47" s="21"/>
      <c r="AI47" s="21"/>
      <c r="AJ47" s="21"/>
      <c r="AK47" s="21">
        <f t="shared" si="13"/>
        <v>374.51800000000003</v>
      </c>
      <c r="AL47" s="21">
        <f t="shared" si="14"/>
        <v>374.58199999999999</v>
      </c>
    </row>
    <row r="48" spans="1:38">
      <c r="A48" s="90" t="s">
        <v>550</v>
      </c>
      <c r="B48" s="90" t="s">
        <v>415</v>
      </c>
      <c r="C48" s="90">
        <v>-1E-3</v>
      </c>
      <c r="D48" s="90"/>
      <c r="E48" s="90"/>
      <c r="F48" s="90"/>
      <c r="G48" s="90"/>
      <c r="J48" s="5">
        <v>7</v>
      </c>
      <c r="K48" s="23">
        <f t="shared" si="15"/>
        <v>232.45</v>
      </c>
      <c r="L48" s="24">
        <f t="shared" si="8"/>
        <v>11</v>
      </c>
      <c r="M48" s="5">
        <f t="shared" ca="1" si="9"/>
        <v>374.54900001201446</v>
      </c>
      <c r="N48" s="25">
        <f t="shared" ca="1" si="10"/>
        <v>1.4222217475738338E-3</v>
      </c>
      <c r="O48" s="26">
        <f t="shared" si="11"/>
        <v>7.4499999999999886</v>
      </c>
      <c r="P48" s="27">
        <f t="shared" ca="1" si="12"/>
        <v>374.55959556403388</v>
      </c>
      <c r="Q48" s="27">
        <f t="shared" ca="1" si="16"/>
        <v>374.54788334171832</v>
      </c>
      <c r="R48" s="5"/>
      <c r="S48" s="21"/>
      <c r="T48" s="21"/>
      <c r="U48" s="21"/>
      <c r="V48" s="21"/>
      <c r="W48" s="21"/>
      <c r="X48" s="21"/>
      <c r="Y48" s="21"/>
      <c r="Z48" s="21"/>
      <c r="AA48" s="21"/>
      <c r="AB48" s="21"/>
      <c r="AC48" s="21"/>
      <c r="AD48" s="30">
        <f ca="1">AD47</f>
        <v>374.52840556147697</v>
      </c>
      <c r="AE48" s="30">
        <f ca="1">Q48</f>
        <v>374.54788334171832</v>
      </c>
      <c r="AF48" s="21"/>
      <c r="AG48" s="21"/>
      <c r="AH48" s="21"/>
      <c r="AI48" s="21"/>
      <c r="AJ48" s="21"/>
      <c r="AK48" s="21">
        <f t="shared" si="13"/>
        <v>374.51800000000003</v>
      </c>
      <c r="AL48" s="21">
        <f t="shared" si="14"/>
        <v>374.58199999999999</v>
      </c>
    </row>
    <row r="49" spans="1:38">
      <c r="A49" s="121" t="s">
        <v>551</v>
      </c>
      <c r="B49" s="90" t="s">
        <v>417</v>
      </c>
      <c r="C49" s="90">
        <v>-185.15799999999999</v>
      </c>
      <c r="D49" s="90"/>
      <c r="E49" s="90"/>
      <c r="F49" s="90"/>
      <c r="G49" s="90"/>
      <c r="J49" s="5">
        <v>6</v>
      </c>
      <c r="K49" s="23">
        <f t="shared" si="15"/>
        <v>252.45</v>
      </c>
      <c r="L49" s="24">
        <f t="shared" si="8"/>
        <v>12</v>
      </c>
      <c r="M49" s="5">
        <f t="shared" ca="1" si="9"/>
        <v>374.58100000133487</v>
      </c>
      <c r="N49" s="25">
        <f t="shared" ca="1" si="10"/>
        <v>-4.4444444445919849E-5</v>
      </c>
      <c r="O49" s="26">
        <f t="shared" si="11"/>
        <v>4.9499999999999886</v>
      </c>
      <c r="P49" s="27">
        <f t="shared" ca="1" si="12"/>
        <v>374.58078000133486</v>
      </c>
      <c r="Q49" s="27">
        <f t="shared" ca="1" si="16"/>
        <v>374.57018778268434</v>
      </c>
      <c r="R49" s="5"/>
      <c r="S49" s="21"/>
      <c r="T49" s="21"/>
      <c r="U49" s="21"/>
      <c r="V49" s="21"/>
      <c r="W49" s="21"/>
      <c r="X49" s="21"/>
      <c r="Y49" s="21"/>
      <c r="Z49" s="21"/>
      <c r="AA49" s="21"/>
      <c r="AB49" s="21"/>
      <c r="AC49" s="21"/>
      <c r="AD49" s="21"/>
      <c r="AE49" s="30">
        <f ca="1">AE48</f>
        <v>374.54788334171832</v>
      </c>
      <c r="AF49" s="30">
        <f ca="1">Q49</f>
        <v>374.57018778268434</v>
      </c>
      <c r="AG49" s="21"/>
      <c r="AH49" s="21"/>
      <c r="AI49" s="21"/>
      <c r="AJ49" s="21"/>
      <c r="AK49" s="21">
        <f t="shared" si="13"/>
        <v>374.51800000000003</v>
      </c>
      <c r="AL49" s="21">
        <f t="shared" si="14"/>
        <v>374.58199999999999</v>
      </c>
    </row>
    <row r="50" spans="1:38">
      <c r="A50" s="90" t="s">
        <v>412</v>
      </c>
      <c r="B50" s="90" t="s">
        <v>413</v>
      </c>
      <c r="C50" s="90">
        <v>374.56299999999999</v>
      </c>
      <c r="D50" s="90"/>
      <c r="E50" s="90"/>
      <c r="F50" s="90"/>
      <c r="G50" s="90"/>
      <c r="J50" s="5">
        <v>5</v>
      </c>
      <c r="K50" s="23">
        <f t="shared" si="15"/>
        <v>272.45</v>
      </c>
      <c r="L50" s="24">
        <f t="shared" si="8"/>
        <v>13</v>
      </c>
      <c r="M50" s="5">
        <f t="shared" ca="1" si="9"/>
        <v>374.58000000133484</v>
      </c>
      <c r="N50" s="25">
        <f t="shared" ca="1" si="10"/>
        <v>-5.3333333333082712E-4</v>
      </c>
      <c r="O50" s="26">
        <f t="shared" si="11"/>
        <v>2.4499999999999886</v>
      </c>
      <c r="P50" s="27">
        <f t="shared" ca="1" si="12"/>
        <v>374.57869333466817</v>
      </c>
      <c r="Q50" s="27">
        <f t="shared" ca="1" si="16"/>
        <v>374.57973666800149</v>
      </c>
      <c r="R50" s="5"/>
      <c r="S50" s="21"/>
      <c r="T50" s="21"/>
      <c r="U50" s="21"/>
      <c r="V50" s="21"/>
      <c r="W50" s="21"/>
      <c r="X50" s="21"/>
      <c r="Y50" s="21"/>
      <c r="Z50" s="21"/>
      <c r="AA50" s="21"/>
      <c r="AB50" s="21"/>
      <c r="AC50" s="21"/>
      <c r="AD50" s="21"/>
      <c r="AE50" s="21"/>
      <c r="AF50" s="30">
        <f ca="1">AF49</f>
        <v>374.57018778268434</v>
      </c>
      <c r="AG50" s="30">
        <f ca="1">Q50</f>
        <v>374.57973666800149</v>
      </c>
      <c r="AH50" s="21"/>
      <c r="AI50" s="21"/>
      <c r="AJ50" s="21"/>
      <c r="AK50" s="21">
        <f t="shared" si="13"/>
        <v>374.51800000000003</v>
      </c>
      <c r="AL50" s="21">
        <f t="shared" si="14"/>
        <v>374.58199999999999</v>
      </c>
    </row>
    <row r="51" spans="1:38">
      <c r="A51" s="90" t="s">
        <v>552</v>
      </c>
      <c r="B51" s="90" t="s">
        <v>415</v>
      </c>
      <c r="C51" s="90">
        <v>1E-3</v>
      </c>
      <c r="D51" s="90"/>
      <c r="E51" s="90"/>
      <c r="F51" s="90"/>
      <c r="G51" s="90"/>
      <c r="J51" s="5">
        <v>4</v>
      </c>
      <c r="K51" s="23">
        <f t="shared" si="15"/>
        <v>292.45</v>
      </c>
      <c r="L51" s="24">
        <f t="shared" si="8"/>
        <v>13</v>
      </c>
      <c r="M51" s="5">
        <f t="shared" ca="1" si="9"/>
        <v>374.58000000133484</v>
      </c>
      <c r="N51" s="25">
        <f t="shared" ca="1" si="10"/>
        <v>-5.3333333333082712E-4</v>
      </c>
      <c r="O51" s="26">
        <f t="shared" si="11"/>
        <v>22.449999999999989</v>
      </c>
      <c r="P51" s="27">
        <f t="shared" ca="1" si="12"/>
        <v>374.56802666800155</v>
      </c>
      <c r="Q51" s="27">
        <f t="shared" ca="1" si="16"/>
        <v>374.57336000133489</v>
      </c>
      <c r="R51" s="5"/>
      <c r="S51" s="21"/>
      <c r="T51" s="21"/>
      <c r="U51" s="21"/>
      <c r="V51" s="21"/>
      <c r="W51" s="21"/>
      <c r="X51" s="21"/>
      <c r="Y51" s="21"/>
      <c r="Z51" s="21"/>
      <c r="AA51" s="21"/>
      <c r="AB51" s="21"/>
      <c r="AC51" s="21"/>
      <c r="AD51" s="21"/>
      <c r="AE51" s="21"/>
      <c r="AF51" s="21"/>
      <c r="AG51" s="30">
        <f ca="1">AG50</f>
        <v>374.57973666800149</v>
      </c>
      <c r="AH51" s="30">
        <f ca="1">Q51</f>
        <v>374.57336000133489</v>
      </c>
      <c r="AI51" s="21"/>
      <c r="AJ51" s="21"/>
      <c r="AK51" s="21">
        <f t="shared" si="13"/>
        <v>374.51800000000003</v>
      </c>
      <c r="AL51" s="21">
        <f t="shared" si="14"/>
        <v>374.58199999999999</v>
      </c>
    </row>
    <row r="52" spans="1:38">
      <c r="A52" s="121" t="s">
        <v>553</v>
      </c>
      <c r="B52" s="90" t="s">
        <v>417</v>
      </c>
      <c r="C52" s="90">
        <v>-185.172</v>
      </c>
      <c r="D52" s="90"/>
      <c r="E52" s="90"/>
      <c r="F52" s="90"/>
      <c r="G52" s="90"/>
      <c r="J52" s="5">
        <v>3</v>
      </c>
      <c r="K52" s="23">
        <f t="shared" si="15"/>
        <v>312.45</v>
      </c>
      <c r="L52" s="24">
        <f t="shared" si="8"/>
        <v>14</v>
      </c>
      <c r="M52" s="5">
        <f t="shared" ca="1" si="9"/>
        <v>374.56800000133489</v>
      </c>
      <c r="N52" s="25">
        <f t="shared" ca="1" si="10"/>
        <v>-2.1333333333258351E-3</v>
      </c>
      <c r="O52" s="26">
        <f t="shared" si="11"/>
        <v>19.949999999999989</v>
      </c>
      <c r="P52" s="27">
        <f t="shared" ca="1" si="12"/>
        <v>374.52544000133503</v>
      </c>
      <c r="Q52" s="27">
        <f t="shared" ca="1" si="16"/>
        <v>374.54673333466826</v>
      </c>
      <c r="R52" s="5"/>
      <c r="S52" s="21"/>
      <c r="T52" s="21"/>
      <c r="U52" s="21"/>
      <c r="V52" s="21"/>
      <c r="W52" s="21"/>
      <c r="X52" s="21"/>
      <c r="Y52" s="21"/>
      <c r="Z52" s="21"/>
      <c r="AA52" s="21"/>
      <c r="AB52" s="21"/>
      <c r="AC52" s="21"/>
      <c r="AD52" s="21"/>
      <c r="AE52" s="21"/>
      <c r="AF52" s="21"/>
      <c r="AG52" s="21"/>
      <c r="AH52" s="30">
        <f ca="1">AH51</f>
        <v>374.57336000133489</v>
      </c>
      <c r="AI52" s="30">
        <f ca="1">Q52</f>
        <v>374.54673333466826</v>
      </c>
      <c r="AJ52" s="21"/>
      <c r="AK52" s="21">
        <f t="shared" si="13"/>
        <v>374.51800000000003</v>
      </c>
      <c r="AL52" s="21">
        <f t="shared" si="14"/>
        <v>374.58199999999999</v>
      </c>
    </row>
    <row r="53" spans="1:38">
      <c r="A53" s="90" t="s">
        <v>412</v>
      </c>
      <c r="B53" s="90" t="s">
        <v>413</v>
      </c>
      <c r="C53" s="90">
        <v>374.53</v>
      </c>
      <c r="D53" s="90"/>
      <c r="E53" s="90"/>
      <c r="F53" s="90"/>
      <c r="G53" s="90"/>
      <c r="J53" s="5">
        <v>2</v>
      </c>
      <c r="K53" s="23">
        <f t="shared" si="15"/>
        <v>332.45</v>
      </c>
      <c r="L53" s="24">
        <f t="shared" si="8"/>
        <v>15</v>
      </c>
      <c r="M53" s="5">
        <f ca="1">VLOOKUP(L53, $H$11:$K$27, 4, FALSE)</f>
        <v>374.52000000133506</v>
      </c>
      <c r="N53" s="25">
        <f t="shared" ca="1" si="10"/>
        <v>-2.2222174753399788E-4</v>
      </c>
      <c r="O53" s="26">
        <f t="shared" si="11"/>
        <v>17.449999999999989</v>
      </c>
      <c r="P53" s="27">
        <f t="shared" ca="1" si="12"/>
        <v>374.5161222318406</v>
      </c>
      <c r="Q53" s="27">
        <f t="shared" ca="1" si="16"/>
        <v>374.52078111658784</v>
      </c>
      <c r="R53" s="5"/>
      <c r="S53" s="31"/>
      <c r="T53" s="31"/>
      <c r="U53" s="31"/>
      <c r="V53" s="31"/>
      <c r="W53" s="31"/>
      <c r="X53" s="31"/>
      <c r="Y53" s="31"/>
      <c r="Z53" s="31"/>
      <c r="AA53" s="31"/>
      <c r="AB53" s="31"/>
      <c r="AC53" s="31"/>
      <c r="AD53" s="31"/>
      <c r="AE53" s="31"/>
      <c r="AF53" s="31"/>
      <c r="AG53" s="31"/>
      <c r="AH53" s="31"/>
      <c r="AI53" s="32">
        <f ca="1">AI52</f>
        <v>374.54673333466826</v>
      </c>
      <c r="AJ53" s="32">
        <f ca="1">Q53</f>
        <v>374.52078111658784</v>
      </c>
      <c r="AK53" s="31">
        <f t="shared" si="13"/>
        <v>374.51800000000003</v>
      </c>
      <c r="AL53" s="31">
        <f t="shared" si="14"/>
        <v>374.58199999999999</v>
      </c>
    </row>
    <row r="54" spans="1:38">
      <c r="A54" s="90" t="s">
        <v>554</v>
      </c>
      <c r="B54" s="90" t="s">
        <v>415</v>
      </c>
      <c r="C54" s="90">
        <v>0</v>
      </c>
      <c r="D54" s="90"/>
      <c r="E54" s="90"/>
      <c r="F54" s="90"/>
      <c r="G54" s="90"/>
    </row>
    <row r="55" spans="1:38">
      <c r="A55" s="121" t="s">
        <v>555</v>
      </c>
      <c r="B55" s="90" t="s">
        <v>417</v>
      </c>
      <c r="C55" s="90">
        <v>-185.17099999999999</v>
      </c>
      <c r="D55" s="90"/>
      <c r="E55" s="90"/>
      <c r="F55" s="90"/>
      <c r="G55" s="90"/>
    </row>
    <row r="56" spans="1:38">
      <c r="A56" s="90" t="s">
        <v>412</v>
      </c>
      <c r="B56" s="90" t="s">
        <v>413</v>
      </c>
      <c r="C56" s="90">
        <v>374.52800000000002</v>
      </c>
      <c r="D56" s="90"/>
      <c r="E56" s="90"/>
      <c r="F56" s="90"/>
      <c r="G56" s="90"/>
      <c r="J56" s="33"/>
      <c r="K56" s="33"/>
      <c r="L56" s="33"/>
      <c r="M56" s="33"/>
      <c r="N56" s="33"/>
      <c r="O56" s="33"/>
      <c r="P56" s="33"/>
      <c r="Q56" s="33"/>
      <c r="R56" s="33"/>
      <c r="S56" s="5"/>
      <c r="T56" s="33"/>
      <c r="U56" s="33"/>
      <c r="V56" s="33"/>
      <c r="W56" s="33"/>
      <c r="X56" s="33"/>
      <c r="Y56" s="33"/>
      <c r="Z56" s="33"/>
      <c r="AA56" s="33"/>
      <c r="AB56" s="33"/>
      <c r="AC56" s="33"/>
    </row>
    <row r="57" spans="1:38">
      <c r="A57" s="90" t="s">
        <v>556</v>
      </c>
      <c r="B57" s="90" t="s">
        <v>415</v>
      </c>
      <c r="C57" s="90">
        <v>-3.0000000000000001E-3</v>
      </c>
      <c r="D57" s="90"/>
      <c r="E57" s="90"/>
      <c r="F57" s="90"/>
      <c r="G57" s="90"/>
      <c r="J57" s="33"/>
      <c r="K57" s="33"/>
      <c r="L57" s="33"/>
      <c r="M57" s="33"/>
      <c r="N57" s="33"/>
      <c r="O57" s="33"/>
      <c r="P57" s="33"/>
      <c r="Q57" s="33"/>
      <c r="R57" s="33"/>
      <c r="S57" s="5"/>
      <c r="T57" s="33"/>
      <c r="U57" s="33"/>
      <c r="V57" s="33"/>
      <c r="W57" s="33"/>
      <c r="X57" s="33"/>
      <c r="Y57" s="33"/>
      <c r="Z57" s="33"/>
      <c r="AA57" s="33"/>
      <c r="AB57" s="33"/>
      <c r="AC57" s="33"/>
    </row>
    <row r="58" spans="1:38">
      <c r="A58" s="121" t="s">
        <v>557</v>
      </c>
      <c r="B58" s="90" t="s">
        <v>417</v>
      </c>
      <c r="C58" s="90">
        <v>-185.17599999999999</v>
      </c>
      <c r="D58" s="90"/>
      <c r="E58" s="90"/>
      <c r="F58" s="90"/>
      <c r="G58" s="90"/>
      <c r="J58" s="33"/>
      <c r="K58" s="33"/>
      <c r="L58" s="33"/>
      <c r="M58" s="33"/>
      <c r="N58" s="33"/>
      <c r="O58" s="33"/>
      <c r="P58" s="33"/>
      <c r="Q58" s="33"/>
      <c r="R58" s="33"/>
      <c r="S58" s="5"/>
      <c r="T58" s="33"/>
      <c r="U58" s="33"/>
      <c r="V58" s="33"/>
      <c r="W58" s="33"/>
      <c r="X58" s="33"/>
      <c r="Y58" s="33"/>
      <c r="Z58" s="33"/>
      <c r="AA58" s="33"/>
      <c r="AB58" s="33"/>
      <c r="AC58" s="33"/>
    </row>
    <row r="59" spans="1:38">
      <c r="A59" s="90" t="s">
        <v>1034</v>
      </c>
      <c r="B59" s="90"/>
      <c r="C59" s="90" t="s">
        <v>411</v>
      </c>
      <c r="D59" s="90"/>
      <c r="E59" s="90"/>
      <c r="F59" s="90"/>
      <c r="G59" s="90"/>
      <c r="J59" s="33"/>
      <c r="K59" s="33"/>
      <c r="L59" s="33"/>
      <c r="M59" s="33"/>
      <c r="N59" s="33"/>
      <c r="O59" s="33"/>
      <c r="P59" s="33"/>
      <c r="Q59" s="33"/>
      <c r="R59" s="33"/>
      <c r="S59" s="5"/>
      <c r="T59" s="33"/>
      <c r="U59" s="33"/>
      <c r="V59" s="33"/>
      <c r="W59" s="33"/>
      <c r="X59" s="33"/>
      <c r="Y59" s="33"/>
      <c r="Z59" s="33"/>
      <c r="AA59" s="33"/>
      <c r="AB59" s="33"/>
      <c r="AC59" s="33"/>
    </row>
    <row r="60" spans="1:38">
      <c r="A60" s="90" t="s">
        <v>412</v>
      </c>
      <c r="B60" s="90" t="s">
        <v>413</v>
      </c>
      <c r="C60" s="90">
        <v>374.51499999999999</v>
      </c>
      <c r="D60" s="90"/>
      <c r="E60" s="90"/>
      <c r="F60" s="90"/>
      <c r="G60" s="90"/>
      <c r="J60" s="33"/>
      <c r="K60" s="33"/>
      <c r="L60" s="33"/>
      <c r="M60" s="33"/>
      <c r="N60" s="33"/>
      <c r="O60" s="33"/>
      <c r="P60" s="33"/>
      <c r="Q60" s="33"/>
      <c r="R60" s="33"/>
      <c r="S60" s="5"/>
      <c r="T60" s="33"/>
      <c r="U60" s="33"/>
      <c r="V60" s="33"/>
      <c r="W60" s="33"/>
      <c r="X60" s="33"/>
      <c r="Y60" s="33"/>
      <c r="Z60" s="33"/>
      <c r="AA60" s="33"/>
      <c r="AB60" s="33"/>
      <c r="AC60" s="33"/>
    </row>
    <row r="61" spans="1:38">
      <c r="A61" s="90" t="s">
        <v>561</v>
      </c>
      <c r="B61" s="90" t="s">
        <v>415</v>
      </c>
      <c r="C61" s="90">
        <v>-1E-3</v>
      </c>
      <c r="D61" s="90"/>
      <c r="E61" s="90"/>
      <c r="F61" s="90"/>
      <c r="G61" s="90"/>
      <c r="J61" s="33"/>
      <c r="K61" s="33"/>
      <c r="L61" s="33"/>
      <c r="M61" s="33"/>
      <c r="N61" s="33"/>
      <c r="O61" s="33"/>
      <c r="P61" s="33"/>
      <c r="Q61" s="33"/>
      <c r="R61" s="33"/>
      <c r="S61" s="5"/>
      <c r="T61" s="33"/>
      <c r="U61" s="33"/>
      <c r="V61" s="33"/>
      <c r="W61" s="33"/>
      <c r="X61" s="33"/>
      <c r="Y61" s="33"/>
      <c r="Z61" s="33"/>
      <c r="AA61" s="33"/>
      <c r="AB61" s="33"/>
      <c r="AC61" s="33"/>
    </row>
    <row r="62" spans="1:38">
      <c r="A62" s="121" t="s">
        <v>562</v>
      </c>
      <c r="B62" s="90" t="s">
        <v>417</v>
      </c>
      <c r="C62" s="90">
        <v>-176.30600000000001</v>
      </c>
      <c r="D62" s="90"/>
      <c r="E62" s="90"/>
      <c r="F62" s="90"/>
      <c r="G62" s="90"/>
      <c r="J62" s="33"/>
      <c r="K62" s="33"/>
      <c r="L62" s="33"/>
      <c r="M62" s="33"/>
      <c r="N62" s="33"/>
      <c r="O62" s="33"/>
      <c r="P62" s="33"/>
      <c r="Q62" s="33"/>
      <c r="R62" s="33"/>
      <c r="S62" s="5"/>
      <c r="T62" s="33"/>
      <c r="U62" s="33"/>
      <c r="V62" s="33"/>
      <c r="W62" s="33"/>
      <c r="X62" s="33"/>
      <c r="Y62" s="33"/>
      <c r="Z62" s="33"/>
      <c r="AA62" s="33"/>
      <c r="AB62" s="33"/>
      <c r="AC62" s="33"/>
    </row>
    <row r="63" spans="1:38">
      <c r="A63" s="90" t="s">
        <v>412</v>
      </c>
      <c r="B63" s="90" t="s">
        <v>413</v>
      </c>
      <c r="C63" s="90">
        <v>374.51499999999999</v>
      </c>
      <c r="D63" s="90"/>
      <c r="E63" s="90"/>
      <c r="F63" s="90"/>
      <c r="G63" s="90"/>
      <c r="J63" s="33"/>
      <c r="K63" s="33"/>
      <c r="L63" s="33"/>
      <c r="M63" s="33"/>
      <c r="N63" s="33"/>
      <c r="O63" s="33"/>
      <c r="P63" s="33"/>
      <c r="Q63" s="33"/>
      <c r="R63" s="33"/>
      <c r="S63" s="5"/>
      <c r="T63" s="33"/>
      <c r="U63" s="33"/>
      <c r="V63" s="33"/>
      <c r="W63" s="33"/>
      <c r="X63" s="33"/>
      <c r="Y63" s="33"/>
      <c r="Z63" s="33"/>
      <c r="AA63" s="33"/>
      <c r="AB63" s="33"/>
      <c r="AC63" s="33"/>
    </row>
    <row r="64" spans="1:38">
      <c r="A64" s="90" t="s">
        <v>563</v>
      </c>
      <c r="B64" s="90" t="s">
        <v>415</v>
      </c>
      <c r="C64" s="90">
        <v>3.0000000000000001E-3</v>
      </c>
      <c r="D64" s="90"/>
      <c r="E64" s="90"/>
      <c r="F64" s="90"/>
      <c r="G64" s="90"/>
      <c r="J64" s="33"/>
      <c r="K64" s="33"/>
      <c r="L64" s="33"/>
      <c r="M64" s="33"/>
      <c r="N64" s="33"/>
      <c r="O64" s="33"/>
      <c r="P64" s="33"/>
      <c r="Q64" s="33"/>
      <c r="R64" s="33"/>
      <c r="S64" s="5"/>
      <c r="T64" s="33"/>
      <c r="U64" s="33"/>
      <c r="V64" s="33"/>
      <c r="W64" s="33"/>
      <c r="X64" s="33"/>
      <c r="Y64" s="33"/>
      <c r="Z64" s="33"/>
      <c r="AA64" s="33"/>
      <c r="AB64" s="33"/>
      <c r="AC64" s="33"/>
    </row>
    <row r="65" spans="1:29">
      <c r="A65" s="121" t="s">
        <v>564</v>
      </c>
      <c r="B65" s="90" t="s">
        <v>417</v>
      </c>
      <c r="C65" s="90">
        <v>-176.292</v>
      </c>
      <c r="D65" s="90"/>
      <c r="E65" s="90"/>
      <c r="F65" s="90"/>
      <c r="G65" s="90"/>
      <c r="J65" s="33"/>
      <c r="K65" s="33"/>
      <c r="L65" s="33"/>
      <c r="M65" s="33"/>
      <c r="N65" s="33"/>
      <c r="O65" s="33"/>
      <c r="P65" s="33"/>
      <c r="Q65" s="33"/>
      <c r="R65" s="33"/>
      <c r="S65" s="5"/>
      <c r="T65" s="33"/>
      <c r="U65" s="33"/>
      <c r="V65" s="33"/>
      <c r="W65" s="33"/>
      <c r="X65" s="33"/>
      <c r="Y65" s="33"/>
      <c r="Z65" s="33"/>
      <c r="AA65" s="33"/>
      <c r="AB65" s="33"/>
      <c r="AC65" s="33"/>
    </row>
    <row r="66" spans="1:29">
      <c r="A66" s="90" t="s">
        <v>412</v>
      </c>
      <c r="B66" s="90" t="s">
        <v>413</v>
      </c>
      <c r="C66" s="90">
        <v>374.52</v>
      </c>
      <c r="D66" s="90"/>
      <c r="E66" s="90"/>
      <c r="F66" s="90"/>
      <c r="G66" s="90"/>
      <c r="J66" s="33"/>
      <c r="K66" s="33"/>
      <c r="L66" s="33"/>
      <c r="M66" s="33"/>
      <c r="N66" s="33"/>
      <c r="O66" s="33"/>
      <c r="P66" s="33"/>
      <c r="Q66" s="33"/>
      <c r="R66" s="33"/>
      <c r="S66" s="5"/>
      <c r="T66" s="33"/>
      <c r="U66" s="33"/>
      <c r="V66" s="33"/>
      <c r="W66" s="33"/>
      <c r="X66" s="33"/>
      <c r="Y66" s="33"/>
      <c r="Z66" s="33"/>
      <c r="AA66" s="33"/>
      <c r="AB66" s="33"/>
      <c r="AC66" s="33"/>
    </row>
    <row r="67" spans="1:29">
      <c r="A67" s="90" t="s">
        <v>565</v>
      </c>
      <c r="B67" s="90" t="s">
        <v>415</v>
      </c>
      <c r="C67" s="90">
        <v>1E-3</v>
      </c>
      <c r="D67" s="90"/>
      <c r="E67" s="90"/>
      <c r="F67" s="90"/>
      <c r="G67" s="90"/>
      <c r="J67" s="33"/>
      <c r="K67" s="33"/>
      <c r="L67" s="33"/>
      <c r="M67" s="33"/>
      <c r="N67" s="33"/>
      <c r="O67" s="33"/>
      <c r="P67" s="33"/>
      <c r="Q67" s="33"/>
      <c r="R67" s="33"/>
      <c r="S67" s="5"/>
      <c r="T67" s="33"/>
      <c r="U67" s="33"/>
      <c r="V67" s="33"/>
      <c r="W67" s="33"/>
      <c r="X67" s="33"/>
      <c r="Y67" s="33"/>
      <c r="Z67" s="33"/>
      <c r="AA67" s="33"/>
      <c r="AB67" s="33"/>
      <c r="AC67" s="33"/>
    </row>
    <row r="68" spans="1:29">
      <c r="A68" s="121" t="s">
        <v>566</v>
      </c>
      <c r="B68" s="90" t="s">
        <v>417</v>
      </c>
      <c r="C68" s="90">
        <v>-176.28200000000001</v>
      </c>
      <c r="D68" s="90"/>
      <c r="E68" s="90"/>
      <c r="F68" s="90"/>
      <c r="G68" s="90"/>
      <c r="J68" s="33"/>
      <c r="K68" s="33"/>
      <c r="L68" s="33"/>
      <c r="M68" s="33"/>
      <c r="N68" s="33"/>
      <c r="O68" s="33"/>
      <c r="P68" s="33"/>
      <c r="Q68" s="33"/>
      <c r="R68" s="33"/>
      <c r="S68" s="5"/>
      <c r="T68" s="33"/>
      <c r="U68" s="33"/>
      <c r="V68" s="33"/>
      <c r="W68" s="33"/>
      <c r="X68" s="33"/>
      <c r="Y68" s="33"/>
      <c r="Z68" s="33"/>
      <c r="AA68" s="33"/>
      <c r="AB68" s="33"/>
      <c r="AC68" s="33"/>
    </row>
    <row r="69" spans="1:29">
      <c r="A69" s="90" t="s">
        <v>412</v>
      </c>
      <c r="B69" s="90" t="s">
        <v>413</v>
      </c>
      <c r="C69" s="90">
        <v>374.56799999999998</v>
      </c>
      <c r="D69" s="90"/>
      <c r="E69" s="90"/>
      <c r="F69" s="90"/>
      <c r="G69" s="90"/>
      <c r="J69" s="33"/>
      <c r="K69" s="33"/>
      <c r="L69" s="33"/>
      <c r="M69" s="33"/>
      <c r="N69" s="33"/>
      <c r="O69" s="33"/>
      <c r="P69" s="33"/>
      <c r="Q69" s="33"/>
      <c r="R69" s="33"/>
      <c r="S69" s="5"/>
      <c r="T69" s="33"/>
      <c r="U69" s="33"/>
      <c r="V69" s="33"/>
      <c r="W69" s="33"/>
      <c r="X69" s="33"/>
      <c r="Y69" s="33"/>
      <c r="Z69" s="33"/>
      <c r="AA69" s="33"/>
      <c r="AB69" s="33"/>
      <c r="AC69" s="33"/>
    </row>
    <row r="70" spans="1:29">
      <c r="A70" s="90" t="s">
        <v>567</v>
      </c>
      <c r="B70" s="90" t="s">
        <v>415</v>
      </c>
      <c r="C70" s="90">
        <v>1E-3</v>
      </c>
      <c r="D70" s="90"/>
      <c r="E70" s="90"/>
      <c r="F70" s="90"/>
      <c r="G70" s="90"/>
      <c r="J70" s="33"/>
      <c r="K70" s="33"/>
      <c r="L70" s="33"/>
      <c r="M70" s="33"/>
      <c r="N70" s="33"/>
      <c r="O70" s="33"/>
      <c r="P70" s="33"/>
      <c r="Q70" s="33"/>
      <c r="R70" s="33"/>
      <c r="S70" s="5"/>
      <c r="T70" s="33"/>
      <c r="U70" s="33"/>
      <c r="V70" s="33"/>
      <c r="W70" s="33"/>
      <c r="X70" s="33"/>
      <c r="Y70" s="33"/>
      <c r="Z70" s="33"/>
      <c r="AA70" s="33"/>
      <c r="AB70" s="33"/>
      <c r="AC70" s="33"/>
    </row>
    <row r="71" spans="1:29">
      <c r="A71" s="121" t="s">
        <v>568</v>
      </c>
      <c r="B71" s="90" t="s">
        <v>417</v>
      </c>
      <c r="C71" s="90">
        <v>-176.30699999999999</v>
      </c>
      <c r="D71" s="90"/>
      <c r="E71" s="90"/>
      <c r="F71" s="90"/>
      <c r="G71" s="90"/>
      <c r="J71" s="33"/>
      <c r="K71" s="33"/>
      <c r="L71" s="33"/>
      <c r="M71" s="33"/>
      <c r="N71" s="33"/>
      <c r="O71" s="33"/>
      <c r="P71" s="33"/>
      <c r="Q71" s="33"/>
      <c r="R71" s="33"/>
      <c r="S71" s="5"/>
      <c r="T71" s="33"/>
      <c r="U71" s="33"/>
      <c r="V71" s="33"/>
      <c r="W71" s="33"/>
      <c r="X71" s="33"/>
      <c r="Y71" s="33"/>
      <c r="Z71" s="33"/>
      <c r="AA71" s="33"/>
      <c r="AB71" s="33"/>
      <c r="AC71" s="33"/>
    </row>
    <row r="72" spans="1:29">
      <c r="A72" s="90" t="s">
        <v>412</v>
      </c>
      <c r="B72" s="90" t="s">
        <v>413</v>
      </c>
      <c r="C72" s="90">
        <v>374.58</v>
      </c>
      <c r="D72" s="90"/>
      <c r="E72" s="90"/>
      <c r="F72" s="90"/>
      <c r="G72" s="90"/>
      <c r="J72" s="33"/>
      <c r="K72" s="33"/>
      <c r="L72" s="33"/>
      <c r="M72" s="33"/>
      <c r="N72" s="33"/>
      <c r="O72" s="33"/>
      <c r="P72" s="33"/>
      <c r="Q72" s="33"/>
      <c r="R72" s="33"/>
      <c r="S72" s="5"/>
      <c r="T72" s="33"/>
      <c r="U72" s="33"/>
      <c r="V72" s="33"/>
      <c r="W72" s="33"/>
      <c r="X72" s="33"/>
      <c r="Y72" s="33"/>
      <c r="Z72" s="33"/>
      <c r="AA72" s="33"/>
      <c r="AB72" s="33"/>
      <c r="AC72" s="33"/>
    </row>
    <row r="73" spans="1:29">
      <c r="A73" s="90" t="s">
        <v>569</v>
      </c>
      <c r="B73" s="90" t="s">
        <v>415</v>
      </c>
      <c r="C73" s="90">
        <v>-1E-3</v>
      </c>
      <c r="D73" s="90"/>
      <c r="E73" s="90"/>
      <c r="F73" s="90"/>
      <c r="G73" s="90"/>
      <c r="J73" s="33"/>
      <c r="K73" s="33"/>
      <c r="L73" s="33"/>
      <c r="M73" s="33"/>
      <c r="N73" s="33"/>
      <c r="O73" s="33"/>
      <c r="P73" s="33"/>
      <c r="Q73" s="33"/>
      <c r="R73" s="33"/>
      <c r="S73" s="5"/>
      <c r="T73" s="33"/>
      <c r="U73" s="33"/>
      <c r="V73" s="33"/>
      <c r="W73" s="33"/>
      <c r="X73" s="33"/>
      <c r="Y73" s="33"/>
      <c r="Z73" s="33"/>
      <c r="AA73" s="33"/>
      <c r="AB73" s="33"/>
      <c r="AC73" s="33"/>
    </row>
    <row r="74" spans="1:29">
      <c r="A74" s="121" t="s">
        <v>570</v>
      </c>
      <c r="B74" s="90" t="s">
        <v>417</v>
      </c>
      <c r="C74" s="90">
        <v>-176.316</v>
      </c>
      <c r="D74" s="90"/>
      <c r="E74" s="90"/>
      <c r="F74" s="90"/>
      <c r="G74" s="90"/>
      <c r="J74" s="33"/>
      <c r="K74" s="33"/>
      <c r="L74" s="33"/>
      <c r="M74" s="33"/>
      <c r="N74" s="33"/>
      <c r="O74" s="33"/>
      <c r="P74" s="33"/>
      <c r="Q74" s="33"/>
      <c r="R74" s="33"/>
      <c r="S74" s="5"/>
      <c r="T74" s="33"/>
      <c r="U74" s="33"/>
      <c r="V74" s="33"/>
      <c r="W74" s="33"/>
      <c r="X74" s="33"/>
      <c r="Y74" s="33"/>
      <c r="Z74" s="33"/>
      <c r="AA74" s="33"/>
      <c r="AB74" s="33"/>
      <c r="AC74" s="33"/>
    </row>
    <row r="75" spans="1:29">
      <c r="A75" s="90" t="s">
        <v>412</v>
      </c>
      <c r="B75" s="90" t="s">
        <v>413</v>
      </c>
      <c r="C75" s="90">
        <v>374.58100000000002</v>
      </c>
      <c r="D75" s="90"/>
      <c r="E75" s="90"/>
      <c r="F75" s="90"/>
      <c r="G75" s="90"/>
      <c r="J75" s="33"/>
      <c r="K75" s="33"/>
      <c r="L75" s="33"/>
      <c r="M75" s="33"/>
      <c r="N75" s="33"/>
      <c r="O75" s="33"/>
      <c r="P75" s="33"/>
      <c r="Q75" s="33"/>
      <c r="R75" s="33"/>
      <c r="S75" s="5"/>
      <c r="T75" s="33"/>
      <c r="U75" s="33"/>
      <c r="V75" s="33"/>
      <c r="W75" s="33"/>
      <c r="X75" s="33"/>
      <c r="Y75" s="33"/>
      <c r="Z75" s="33"/>
      <c r="AA75" s="33"/>
      <c r="AB75" s="33"/>
      <c r="AC75" s="33"/>
    </row>
    <row r="76" spans="1:29">
      <c r="A76" s="90" t="s">
        <v>571</v>
      </c>
      <c r="B76" s="90" t="s">
        <v>415</v>
      </c>
      <c r="C76" s="90">
        <v>-1E-3</v>
      </c>
      <c r="D76" s="90"/>
      <c r="E76" s="90"/>
      <c r="F76" s="90"/>
      <c r="G76" s="90"/>
      <c r="J76" s="33"/>
      <c r="K76" s="33"/>
      <c r="L76" s="33"/>
      <c r="M76" s="33"/>
      <c r="N76" s="33"/>
      <c r="O76" s="33"/>
      <c r="P76" s="33"/>
      <c r="Q76" s="33"/>
      <c r="R76" s="33"/>
      <c r="S76" s="5"/>
      <c r="T76" s="33"/>
      <c r="U76" s="33"/>
      <c r="V76" s="33"/>
      <c r="W76" s="33"/>
      <c r="X76" s="33"/>
      <c r="Y76" s="33"/>
      <c r="Z76" s="33"/>
      <c r="AA76" s="33"/>
      <c r="AB76" s="33"/>
      <c r="AC76" s="33"/>
    </row>
    <row r="77" spans="1:29">
      <c r="A77" s="121" t="s">
        <v>572</v>
      </c>
      <c r="B77" s="90" t="s">
        <v>417</v>
      </c>
      <c r="C77" s="90">
        <v>-176.31700000000001</v>
      </c>
      <c r="D77" s="90"/>
      <c r="E77" s="90"/>
      <c r="F77" s="90"/>
      <c r="G77" s="90"/>
      <c r="J77" s="33"/>
      <c r="K77" s="33"/>
      <c r="L77" s="33"/>
      <c r="M77" s="33"/>
      <c r="N77" s="33"/>
      <c r="O77" s="33"/>
      <c r="P77" s="33"/>
      <c r="Q77" s="33"/>
      <c r="R77" s="33"/>
      <c r="S77" s="5"/>
      <c r="T77" s="33"/>
      <c r="U77" s="33"/>
      <c r="V77" s="33"/>
      <c r="W77" s="33"/>
      <c r="X77" s="33"/>
      <c r="Y77" s="33"/>
      <c r="Z77" s="33"/>
      <c r="AA77" s="33"/>
      <c r="AB77" s="33"/>
      <c r="AC77" s="33"/>
    </row>
    <row r="78" spans="1:29">
      <c r="A78" s="90" t="s">
        <v>412</v>
      </c>
      <c r="B78" s="90" t="s">
        <v>413</v>
      </c>
      <c r="C78" s="90">
        <v>374.54899999999998</v>
      </c>
      <c r="D78" s="90"/>
      <c r="E78" s="90"/>
      <c r="F78" s="90"/>
      <c r="G78" s="90"/>
      <c r="J78" s="33"/>
      <c r="K78" s="33"/>
      <c r="L78" s="33"/>
      <c r="M78" s="33"/>
      <c r="N78" s="33"/>
      <c r="O78" s="33"/>
      <c r="P78" s="33"/>
      <c r="Q78" s="33"/>
      <c r="R78" s="33"/>
      <c r="S78" s="5"/>
      <c r="T78" s="33"/>
      <c r="U78" s="33"/>
      <c r="V78" s="33"/>
      <c r="W78" s="33"/>
      <c r="X78" s="33"/>
      <c r="Y78" s="33"/>
      <c r="Z78" s="33"/>
      <c r="AA78" s="33"/>
      <c r="AB78" s="33"/>
      <c r="AC78" s="33"/>
    </row>
    <row r="79" spans="1:29">
      <c r="A79" s="90" t="s">
        <v>573</v>
      </c>
      <c r="B79" s="90" t="s">
        <v>415</v>
      </c>
      <c r="C79" s="90">
        <v>-3.0000000000000001E-3</v>
      </c>
      <c r="D79" s="90"/>
      <c r="E79" s="90"/>
      <c r="F79" s="90"/>
      <c r="G79" s="90"/>
      <c r="J79" s="33"/>
      <c r="K79" s="33"/>
      <c r="L79" s="33"/>
      <c r="M79" s="33"/>
      <c r="N79" s="33"/>
      <c r="O79" s="33"/>
      <c r="P79" s="33"/>
      <c r="Q79" s="33"/>
      <c r="R79" s="33"/>
      <c r="S79" s="5"/>
      <c r="T79" s="33"/>
      <c r="U79" s="33"/>
      <c r="V79" s="33"/>
      <c r="W79" s="33"/>
      <c r="X79" s="33"/>
      <c r="Y79" s="33"/>
      <c r="Z79" s="33"/>
      <c r="AA79" s="33"/>
      <c r="AB79" s="33"/>
      <c r="AC79" s="33"/>
    </row>
    <row r="80" spans="1:29">
      <c r="A80" s="121" t="s">
        <v>574</v>
      </c>
      <c r="B80" s="90" t="s">
        <v>417</v>
      </c>
      <c r="C80" s="90">
        <v>-176.297</v>
      </c>
      <c r="D80" s="90"/>
      <c r="E80" s="90"/>
      <c r="F80" s="90"/>
      <c r="G80" s="90"/>
      <c r="J80" s="33"/>
      <c r="K80" s="33"/>
      <c r="L80" s="33"/>
      <c r="M80" s="33"/>
      <c r="N80" s="33"/>
      <c r="O80" s="33"/>
      <c r="P80" s="33"/>
      <c r="Q80" s="33"/>
      <c r="R80" s="33"/>
      <c r="S80" s="5"/>
      <c r="T80" s="33"/>
      <c r="U80" s="33"/>
      <c r="V80" s="33"/>
      <c r="W80" s="33"/>
      <c r="X80" s="33"/>
      <c r="Y80" s="33"/>
      <c r="Z80" s="33"/>
      <c r="AA80" s="33"/>
      <c r="AB80" s="33"/>
      <c r="AC80" s="33"/>
    </row>
    <row r="81" spans="1:29">
      <c r="A81" s="90" t="s">
        <v>412</v>
      </c>
      <c r="B81" s="90" t="s">
        <v>413</v>
      </c>
      <c r="C81" s="90">
        <v>374.52600000000001</v>
      </c>
      <c r="D81" s="90"/>
      <c r="E81" s="90"/>
      <c r="F81" s="90"/>
      <c r="G81" s="90"/>
      <c r="J81" s="33"/>
      <c r="K81" s="33"/>
      <c r="L81" s="33"/>
      <c r="M81" s="33"/>
      <c r="N81" s="33"/>
      <c r="O81" s="33"/>
      <c r="P81" s="33"/>
      <c r="Q81" s="33"/>
      <c r="R81" s="33"/>
      <c r="S81" s="5"/>
      <c r="T81" s="33"/>
      <c r="U81" s="33"/>
      <c r="V81" s="33"/>
      <c r="W81" s="33"/>
      <c r="X81" s="33"/>
      <c r="Y81" s="33"/>
      <c r="Z81" s="33"/>
      <c r="AA81" s="33"/>
      <c r="AB81" s="33"/>
      <c r="AC81" s="33"/>
    </row>
    <row r="82" spans="1:29">
      <c r="A82" s="90" t="s">
        <v>575</v>
      </c>
      <c r="B82" s="90" t="s">
        <v>415</v>
      </c>
      <c r="C82" s="90">
        <v>-2E-3</v>
      </c>
      <c r="D82" s="90"/>
      <c r="E82" s="90"/>
      <c r="F82" s="90"/>
      <c r="G82" s="90"/>
      <c r="J82" s="33"/>
      <c r="K82" s="33"/>
      <c r="L82" s="33"/>
      <c r="M82" s="33"/>
      <c r="N82" s="33"/>
      <c r="O82" s="33"/>
      <c r="P82" s="33"/>
      <c r="Q82" s="33"/>
      <c r="R82" s="33"/>
      <c r="S82" s="5"/>
      <c r="T82" s="33"/>
      <c r="U82" s="33"/>
      <c r="V82" s="33"/>
      <c r="W82" s="33"/>
      <c r="X82" s="33"/>
      <c r="Y82" s="33"/>
      <c r="Z82" s="33"/>
      <c r="AA82" s="33"/>
      <c r="AB82" s="33"/>
      <c r="AC82" s="33"/>
    </row>
    <row r="83" spans="1:29">
      <c r="A83" s="121" t="s">
        <v>576</v>
      </c>
      <c r="B83" s="90" t="s">
        <v>417</v>
      </c>
      <c r="C83" s="90">
        <v>-176.286</v>
      </c>
      <c r="D83" s="90"/>
      <c r="E83" s="90"/>
      <c r="F83" s="90"/>
      <c r="G83" s="90"/>
      <c r="J83" s="33"/>
      <c r="K83" s="33"/>
      <c r="L83" s="33"/>
      <c r="M83" s="33"/>
      <c r="N83" s="33"/>
      <c r="O83" s="33"/>
      <c r="P83" s="33"/>
      <c r="Q83" s="33"/>
      <c r="R83" s="33"/>
      <c r="S83" s="5"/>
      <c r="T83" s="33"/>
      <c r="U83" s="33"/>
      <c r="V83" s="33"/>
      <c r="W83" s="33"/>
      <c r="X83" s="33"/>
      <c r="Y83" s="33"/>
      <c r="Z83" s="33"/>
      <c r="AA83" s="33"/>
      <c r="AB83" s="33"/>
      <c r="AC83" s="33"/>
    </row>
    <row r="84" spans="1:29">
      <c r="A84" s="90" t="s">
        <v>412</v>
      </c>
      <c r="B84" s="90" t="s">
        <v>413</v>
      </c>
      <c r="C84" s="90">
        <v>374.51400000000001</v>
      </c>
      <c r="D84" s="90"/>
      <c r="E84" s="90"/>
      <c r="F84" s="90"/>
      <c r="G84" s="90"/>
      <c r="J84" s="33"/>
      <c r="K84" s="33"/>
      <c r="L84" s="33"/>
      <c r="M84" s="33"/>
      <c r="N84" s="33"/>
      <c r="O84" s="33"/>
      <c r="P84" s="33"/>
      <c r="Q84" s="33"/>
      <c r="R84" s="33"/>
      <c r="S84" s="5"/>
      <c r="T84" s="33"/>
      <c r="U84" s="33"/>
      <c r="V84" s="33"/>
      <c r="W84" s="33"/>
      <c r="X84" s="33"/>
      <c r="Y84" s="33"/>
      <c r="Z84" s="33"/>
      <c r="AA84" s="33"/>
      <c r="AB84" s="33"/>
      <c r="AC84" s="33"/>
    </row>
    <row r="85" spans="1:29">
      <c r="A85" s="90" t="s">
        <v>577</v>
      </c>
      <c r="B85" s="90" t="s">
        <v>415</v>
      </c>
      <c r="C85" s="90">
        <v>-1E-3</v>
      </c>
      <c r="D85" s="90"/>
      <c r="E85" s="90"/>
      <c r="F85" s="90"/>
      <c r="G85" s="90"/>
    </row>
    <row r="86" spans="1:29">
      <c r="A86" s="121" t="s">
        <v>578</v>
      </c>
      <c r="B86" s="90" t="s">
        <v>417</v>
      </c>
      <c r="C86" s="90">
        <v>-176.286</v>
      </c>
      <c r="D86" s="90"/>
      <c r="E86" s="90"/>
      <c r="F86" s="90"/>
      <c r="G86" s="90"/>
    </row>
    <row r="87" spans="1:29">
      <c r="A87" s="90" t="s">
        <v>412</v>
      </c>
      <c r="B87" s="90" t="s">
        <v>413</v>
      </c>
      <c r="C87" s="90">
        <v>374.52699999999999</v>
      </c>
      <c r="D87" s="90"/>
      <c r="E87" s="90"/>
      <c r="F87" s="90"/>
      <c r="G87" s="90"/>
    </row>
    <row r="88" spans="1:29">
      <c r="A88" s="90" t="s">
        <v>579</v>
      </c>
      <c r="B88" s="90" t="s">
        <v>415</v>
      </c>
      <c r="C88" s="90">
        <v>-2E-3</v>
      </c>
      <c r="D88" s="90"/>
      <c r="E88" s="90"/>
      <c r="F88" s="90"/>
      <c r="G88" s="90"/>
    </row>
    <row r="89" spans="1:29">
      <c r="A89" s="121" t="s">
        <v>580</v>
      </c>
      <c r="B89" s="90" t="s">
        <v>417</v>
      </c>
      <c r="C89" s="90">
        <v>-176.298</v>
      </c>
      <c r="D89" s="90"/>
      <c r="E89" s="90"/>
      <c r="F89" s="90"/>
      <c r="G89" s="90"/>
    </row>
    <row r="90" spans="1:29">
      <c r="A90" s="90" t="s">
        <v>412</v>
      </c>
      <c r="B90" s="90" t="s">
        <v>413</v>
      </c>
      <c r="C90" s="90">
        <v>374.529</v>
      </c>
      <c r="D90" s="90"/>
      <c r="E90" s="90"/>
      <c r="F90" s="90"/>
      <c r="G90" s="90"/>
    </row>
    <row r="91" spans="1:29">
      <c r="A91" s="90" t="s">
        <v>581</v>
      </c>
      <c r="B91" s="90" t="s">
        <v>415</v>
      </c>
      <c r="C91" s="90">
        <v>0</v>
      </c>
      <c r="D91" s="90"/>
      <c r="E91" s="90"/>
      <c r="F91" s="90"/>
      <c r="G91" s="90"/>
    </row>
    <row r="92" spans="1:29">
      <c r="A92" s="121" t="s">
        <v>582</v>
      </c>
      <c r="B92" s="90" t="s">
        <v>417</v>
      </c>
      <c r="C92" s="90">
        <v>-176.29599999999999</v>
      </c>
      <c r="D92" s="90"/>
      <c r="E92" s="90"/>
      <c r="F92" s="90"/>
      <c r="G92" s="90"/>
    </row>
    <row r="93" spans="1:29">
      <c r="A93" s="90" t="s">
        <v>412</v>
      </c>
      <c r="B93" s="90" t="s">
        <v>413</v>
      </c>
      <c r="C93" s="90">
        <v>374.57900000000001</v>
      </c>
      <c r="D93" s="90"/>
      <c r="E93" s="90"/>
      <c r="F93" s="90"/>
      <c r="G93" s="90"/>
    </row>
    <row r="94" spans="1:29">
      <c r="A94" s="90" t="s">
        <v>583</v>
      </c>
      <c r="B94" s="90" t="s">
        <v>415</v>
      </c>
      <c r="C94" s="90">
        <v>-2E-3</v>
      </c>
      <c r="D94" s="90"/>
      <c r="E94" s="90"/>
      <c r="F94" s="90"/>
      <c r="G94" s="90"/>
    </row>
    <row r="95" spans="1:29">
      <c r="A95" s="121" t="s">
        <v>584</v>
      </c>
      <c r="B95" s="90" t="s">
        <v>417</v>
      </c>
      <c r="C95" s="90">
        <v>-176.31800000000001</v>
      </c>
      <c r="D95" s="90"/>
      <c r="E95" s="90"/>
      <c r="F95" s="90"/>
      <c r="G95" s="90"/>
    </row>
    <row r="96" spans="1:29">
      <c r="A96" s="90" t="s">
        <v>412</v>
      </c>
      <c r="B96" s="90" t="s">
        <v>413</v>
      </c>
      <c r="C96" s="90">
        <v>374.57</v>
      </c>
      <c r="D96" s="90"/>
      <c r="E96" s="90"/>
      <c r="F96" s="90"/>
      <c r="G96" s="90"/>
    </row>
    <row r="97" spans="1:7">
      <c r="A97" s="90" t="s">
        <v>585</v>
      </c>
      <c r="B97" s="90" t="s">
        <v>415</v>
      </c>
      <c r="C97" s="90">
        <v>-1E-3</v>
      </c>
      <c r="D97" s="90"/>
      <c r="E97" s="90"/>
      <c r="F97" s="90"/>
      <c r="G97" s="90"/>
    </row>
    <row r="98" spans="1:7">
      <c r="A98" s="121" t="s">
        <v>586</v>
      </c>
      <c r="B98" s="90" t="s">
        <v>417</v>
      </c>
      <c r="C98" s="90">
        <v>-176.30799999999999</v>
      </c>
      <c r="D98" s="90"/>
      <c r="E98" s="90"/>
      <c r="F98" s="90"/>
      <c r="G98" s="90"/>
    </row>
    <row r="99" spans="1:7">
      <c r="A99" s="90" t="s">
        <v>412</v>
      </c>
      <c r="B99" s="90" t="s">
        <v>413</v>
      </c>
      <c r="C99" s="90">
        <v>374.57499999999999</v>
      </c>
      <c r="D99" s="90"/>
      <c r="E99" s="90"/>
      <c r="F99" s="90"/>
      <c r="G99" s="90"/>
    </row>
    <row r="100" spans="1:7">
      <c r="A100" s="90" t="s">
        <v>587</v>
      </c>
      <c r="B100" s="90" t="s">
        <v>415</v>
      </c>
      <c r="C100" s="90">
        <v>4.0000000000000001E-3</v>
      </c>
      <c r="D100" s="90"/>
      <c r="E100" s="90"/>
      <c r="F100" s="90"/>
      <c r="G100" s="90"/>
    </row>
    <row r="101" spans="1:7">
      <c r="A101" s="121" t="s">
        <v>588</v>
      </c>
      <c r="B101" s="90" t="s">
        <v>417</v>
      </c>
      <c r="C101" s="90">
        <v>-176.322</v>
      </c>
      <c r="D101" s="90"/>
      <c r="E101" s="90"/>
      <c r="F101" s="90"/>
      <c r="G101" s="90"/>
    </row>
    <row r="102" spans="1:7">
      <c r="A102" s="90" t="s">
        <v>412</v>
      </c>
      <c r="B102" s="90" t="s">
        <v>413</v>
      </c>
      <c r="C102" s="90">
        <v>374.54</v>
      </c>
      <c r="D102" s="90"/>
      <c r="E102" s="90"/>
      <c r="F102" s="90"/>
      <c r="G102" s="90"/>
    </row>
    <row r="103" spans="1:7">
      <c r="A103" s="90" t="s">
        <v>589</v>
      </c>
      <c r="B103" s="90" t="s">
        <v>415</v>
      </c>
      <c r="C103" s="90">
        <v>0</v>
      </c>
      <c r="D103" s="90"/>
      <c r="E103" s="90"/>
      <c r="F103" s="90"/>
      <c r="G103" s="90"/>
    </row>
    <row r="104" spans="1:7">
      <c r="A104" s="121" t="s">
        <v>590</v>
      </c>
      <c r="B104" s="90" t="s">
        <v>417</v>
      </c>
      <c r="C104" s="90">
        <v>-176.321</v>
      </c>
      <c r="D104" s="90"/>
      <c r="E104" s="90"/>
      <c r="F104" s="90"/>
      <c r="G104" s="90"/>
    </row>
    <row r="105" spans="1:7">
      <c r="A105" s="90" t="s">
        <v>412</v>
      </c>
      <c r="B105" s="90" t="s">
        <v>413</v>
      </c>
      <c r="C105" s="90">
        <v>374.53800000000001</v>
      </c>
      <c r="D105" s="90"/>
      <c r="E105" s="90"/>
      <c r="F105" s="90"/>
      <c r="G105" s="90"/>
    </row>
    <row r="106" spans="1:7">
      <c r="A106" s="90" t="s">
        <v>591</v>
      </c>
      <c r="B106" s="90" t="s">
        <v>415</v>
      </c>
      <c r="C106" s="90">
        <v>-3.0000000000000001E-3</v>
      </c>
      <c r="D106" s="90"/>
      <c r="E106" s="90"/>
      <c r="F106" s="90"/>
      <c r="G106" s="90"/>
    </row>
    <row r="107" spans="1:7">
      <c r="A107" s="121" t="s">
        <v>592</v>
      </c>
      <c r="B107" s="90" t="s">
        <v>417</v>
      </c>
      <c r="C107" s="90">
        <v>-176.32499999999999</v>
      </c>
      <c r="D107" s="90"/>
      <c r="E107" s="90"/>
      <c r="F107" s="90"/>
      <c r="G107" s="90"/>
    </row>
    <row r="108" spans="1:7">
      <c r="A108" s="90"/>
      <c r="B108" s="90"/>
      <c r="C108" s="90"/>
      <c r="D108" s="90"/>
      <c r="E108" s="90"/>
      <c r="F108" s="90"/>
      <c r="G108" s="90"/>
    </row>
    <row r="109" spans="1:7">
      <c r="A109" s="90"/>
      <c r="B109" s="90"/>
      <c r="C109" s="90"/>
      <c r="D109" s="90"/>
      <c r="E109" s="90"/>
      <c r="F109" s="90"/>
      <c r="G109" s="90"/>
    </row>
    <row r="110" spans="1:7">
      <c r="A110" s="90"/>
      <c r="B110" s="90"/>
      <c r="C110" s="90"/>
      <c r="D110" s="90"/>
      <c r="E110" s="90"/>
      <c r="F110" s="90"/>
      <c r="G110" s="90"/>
    </row>
    <row r="111" spans="1:7">
      <c r="A111" s="90"/>
      <c r="B111" s="90"/>
      <c r="C111" s="90"/>
      <c r="D111" s="90"/>
      <c r="E111" s="90"/>
      <c r="F111" s="90"/>
      <c r="G111" s="90"/>
    </row>
    <row r="112" spans="1:7">
      <c r="A112" s="90"/>
      <c r="B112" s="90"/>
      <c r="C112" s="90"/>
      <c r="D112" s="90"/>
      <c r="E112" s="90"/>
      <c r="F112" s="90"/>
      <c r="G112" s="90"/>
    </row>
    <row r="113" spans="1:7">
      <c r="A113" s="90"/>
      <c r="B113" s="90"/>
      <c r="C113" s="90"/>
      <c r="D113" s="90"/>
      <c r="E113" s="90"/>
      <c r="F113" s="90"/>
      <c r="G113" s="90"/>
    </row>
    <row r="114" spans="1:7">
      <c r="A114" s="90"/>
      <c r="B114" s="90"/>
      <c r="C114" s="90"/>
      <c r="D114" s="90"/>
      <c r="E114" s="90"/>
      <c r="F114" s="90"/>
      <c r="G114" s="90"/>
    </row>
    <row r="115" spans="1:7">
      <c r="A115" s="90"/>
      <c r="B115" s="90"/>
      <c r="C115" s="90"/>
      <c r="D115" s="90"/>
      <c r="E115" s="90"/>
      <c r="F115" s="90"/>
      <c r="G115" s="90"/>
    </row>
    <row r="116" spans="1:7">
      <c r="A116" s="90"/>
      <c r="B116" s="90"/>
      <c r="C116" s="90"/>
      <c r="D116" s="90"/>
      <c r="E116" s="90"/>
      <c r="F116" s="90"/>
      <c r="G116" s="90"/>
    </row>
    <row r="117" spans="1:7">
      <c r="A117" s="90"/>
      <c r="B117" s="90"/>
      <c r="C117" s="90"/>
      <c r="D117" s="90"/>
      <c r="E117" s="90"/>
      <c r="F117" s="90"/>
      <c r="G117" s="90"/>
    </row>
    <row r="118" spans="1:7">
      <c r="A118" s="1"/>
    </row>
  </sheetData>
  <mergeCells count="2">
    <mergeCell ref="J9:J10"/>
    <mergeCell ref="U9:U10"/>
  </mergeCells>
  <phoneticPr fontId="2"/>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Graph!$B$386:$B$387</xm:f>
          </x14:formula1>
          <xm:sqref>J7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A1:BJ161"/>
  <sheetViews>
    <sheetView zoomScale="70" zoomScaleNormal="70" workbookViewId="0">
      <selection activeCell="M11" sqref="M11"/>
    </sheetView>
  </sheetViews>
  <sheetFormatPr defaultRowHeight="15"/>
  <cols>
    <col min="1" max="1" width="24.42578125" customWidth="1"/>
    <col min="10" max="14" width="9" style="5"/>
  </cols>
  <sheetData>
    <row r="1" spans="1:27">
      <c r="A1" s="90" t="s">
        <v>593</v>
      </c>
      <c r="B1" s="90"/>
      <c r="C1" s="90"/>
      <c r="D1" s="90"/>
      <c r="E1" s="90"/>
      <c r="F1" s="90"/>
      <c r="G1" s="90"/>
      <c r="Y1" s="2"/>
      <c r="Z1" s="2"/>
      <c r="AA1" s="2"/>
    </row>
    <row r="2" spans="1:27">
      <c r="A2" s="90" t="s">
        <v>449</v>
      </c>
      <c r="B2" s="90" t="s">
        <v>450</v>
      </c>
      <c r="C2" s="90">
        <v>753.47799999999995</v>
      </c>
      <c r="D2" s="90" t="s">
        <v>451</v>
      </c>
      <c r="E2" s="90">
        <v>753.5</v>
      </c>
      <c r="F2" s="90"/>
      <c r="G2" s="90"/>
      <c r="Y2" s="2"/>
      <c r="Z2" s="2"/>
      <c r="AA2" s="2"/>
    </row>
    <row r="3" spans="1:27">
      <c r="A3" s="90" t="s">
        <v>594</v>
      </c>
      <c r="B3" s="90" t="s">
        <v>408</v>
      </c>
      <c r="C3" s="90">
        <v>-2.1999999999999999E-2</v>
      </c>
      <c r="D3" s="90" t="s">
        <v>453</v>
      </c>
      <c r="E3" s="90">
        <v>6.4000000000000001E-2</v>
      </c>
      <c r="F3" s="90" t="s">
        <v>406</v>
      </c>
      <c r="G3" s="90"/>
      <c r="Y3" s="2"/>
      <c r="Z3" s="2"/>
      <c r="AA3" s="2"/>
    </row>
    <row r="4" spans="1:27">
      <c r="A4" s="121" t="s">
        <v>595</v>
      </c>
      <c r="B4" s="90" t="s">
        <v>455</v>
      </c>
      <c r="C4" s="90">
        <v>-6.4000000000000001E-2</v>
      </c>
      <c r="D4" s="90"/>
      <c r="E4" s="90"/>
      <c r="F4" s="90"/>
      <c r="G4" s="90"/>
      <c r="J4" s="5" t="s">
        <v>96</v>
      </c>
      <c r="Y4" s="2"/>
      <c r="Z4" s="2"/>
      <c r="AA4" s="2"/>
    </row>
    <row r="5" spans="1:27">
      <c r="A5" t="s">
        <v>1034</v>
      </c>
      <c r="C5" t="s">
        <v>411</v>
      </c>
      <c r="L5" s="6" t="s">
        <v>1</v>
      </c>
      <c r="M5" s="6">
        <v>753.5</v>
      </c>
      <c r="N5" s="5" t="s">
        <v>65</v>
      </c>
      <c r="Y5" s="2"/>
      <c r="Z5" s="2"/>
      <c r="AA5" s="2"/>
    </row>
    <row r="6" spans="1:27">
      <c r="A6" s="90" t="s">
        <v>412</v>
      </c>
      <c r="B6" s="90" t="s">
        <v>413</v>
      </c>
      <c r="C6" s="90">
        <v>376.71199999999999</v>
      </c>
      <c r="L6" s="6" t="s">
        <v>2</v>
      </c>
      <c r="M6" s="13">
        <f>M5+0.064</f>
        <v>753.56399999999996</v>
      </c>
      <c r="N6" s="5" t="s">
        <v>2</v>
      </c>
      <c r="O6" s="5">
        <v>754.27300000000002</v>
      </c>
      <c r="P6" s="50" t="str">
        <f>CONCATENATE("O/Max ", TEXT(O6-M6, "0.###"))</f>
        <v>O/Max 0.709</v>
      </c>
      <c r="Y6" s="2"/>
      <c r="Z6" s="2"/>
      <c r="AA6" s="2"/>
    </row>
    <row r="7" spans="1:27">
      <c r="A7" s="90" t="s">
        <v>596</v>
      </c>
      <c r="B7" s="90" t="s">
        <v>415</v>
      </c>
      <c r="C7" s="90">
        <v>0</v>
      </c>
      <c r="L7" s="6" t="s">
        <v>3</v>
      </c>
      <c r="M7" s="13">
        <f>M5-0.064</f>
        <v>753.43600000000004</v>
      </c>
      <c r="N7" s="5" t="s">
        <v>3</v>
      </c>
      <c r="O7" s="5">
        <v>752.99099999999999</v>
      </c>
      <c r="P7" s="50" t="str">
        <f>CONCATENATE("U/Min ", TEXT(ABS(O7-M7), "0.###"))</f>
        <v>U/Min 0.445</v>
      </c>
      <c r="Y7" s="2"/>
      <c r="Z7" s="2"/>
      <c r="AA7" s="2"/>
    </row>
    <row r="8" spans="1:27">
      <c r="A8" s="121" t="s">
        <v>597</v>
      </c>
      <c r="B8" s="90" t="s">
        <v>417</v>
      </c>
      <c r="C8" s="90">
        <v>-180.9</v>
      </c>
      <c r="Y8" s="2"/>
      <c r="Z8" s="2"/>
      <c r="AA8" s="2"/>
    </row>
    <row r="9" spans="1:27">
      <c r="A9" s="90" t="s">
        <v>412</v>
      </c>
      <c r="B9" s="90" t="s">
        <v>413</v>
      </c>
      <c r="C9" s="90">
        <v>376.70800000000003</v>
      </c>
      <c r="H9" s="5"/>
      <c r="I9" s="9" t="s">
        <v>4</v>
      </c>
      <c r="J9" s="144" t="s">
        <v>97</v>
      </c>
      <c r="K9" s="10" t="s">
        <v>6</v>
      </c>
      <c r="L9" s="10" t="s">
        <v>7</v>
      </c>
      <c r="M9" s="10" t="s">
        <v>8</v>
      </c>
      <c r="O9" s="13"/>
      <c r="P9" s="11" t="s">
        <v>9</v>
      </c>
      <c r="Q9" s="13"/>
      <c r="Y9" s="13"/>
      <c r="Z9" s="13" t="s">
        <v>279</v>
      </c>
      <c r="AA9" s="13" t="s">
        <v>280</v>
      </c>
    </row>
    <row r="10" spans="1:27">
      <c r="A10" s="90" t="s">
        <v>598</v>
      </c>
      <c r="B10" s="90" t="s">
        <v>415</v>
      </c>
      <c r="C10" s="90">
        <v>0</v>
      </c>
      <c r="H10" s="9" t="s">
        <v>10</v>
      </c>
      <c r="I10" s="9" t="s">
        <v>11</v>
      </c>
      <c r="J10" s="145"/>
      <c r="K10" s="10" t="s">
        <v>12</v>
      </c>
      <c r="L10" s="10" t="s">
        <v>12</v>
      </c>
      <c r="M10" s="10" t="s">
        <v>12</v>
      </c>
      <c r="O10" s="13"/>
      <c r="P10" s="11" t="s">
        <v>13</v>
      </c>
      <c r="Q10" s="13"/>
      <c r="Y10" s="13" t="s">
        <v>281</v>
      </c>
      <c r="Z10" s="13">
        <f t="shared" ref="Z10:AA11" si="0">BI121</f>
        <v>21</v>
      </c>
      <c r="AA10" s="13">
        <f t="shared" si="0"/>
        <v>17</v>
      </c>
    </row>
    <row r="11" spans="1:27">
      <c r="A11" s="121" t="s">
        <v>599</v>
      </c>
      <c r="B11" s="90" t="s">
        <v>417</v>
      </c>
      <c r="C11" s="90">
        <v>-180.9</v>
      </c>
      <c r="H11" s="13">
        <v>1</v>
      </c>
      <c r="I11" s="13">
        <v>0</v>
      </c>
      <c r="J11" s="10">
        <v>1</v>
      </c>
      <c r="K11" s="14">
        <f>SQRT(C6^2+C7^2)</f>
        <v>376.71199999999999</v>
      </c>
      <c r="L11" s="142">
        <f>M$7/2-0.116/2</f>
        <v>376.66</v>
      </c>
      <c r="M11" s="142">
        <f>M$6/2+0.116/2</f>
        <v>376.84</v>
      </c>
      <c r="N11" s="13"/>
      <c r="O11" s="13"/>
      <c r="P11" s="13">
        <f>K11+K19</f>
        <v>753.41699999999992</v>
      </c>
      <c r="Q11" s="13"/>
      <c r="Y11" s="13" t="s">
        <v>282</v>
      </c>
      <c r="Z11" s="13">
        <f t="shared" si="0"/>
        <v>1</v>
      </c>
      <c r="AA11" s="13">
        <f t="shared" si="0"/>
        <v>1</v>
      </c>
    </row>
    <row r="12" spans="1:27">
      <c r="A12" s="90" t="s">
        <v>412</v>
      </c>
      <c r="B12" s="90" t="s">
        <v>413</v>
      </c>
      <c r="C12" s="90">
        <v>376.71800000000002</v>
      </c>
      <c r="H12" s="13">
        <v>2</v>
      </c>
      <c r="I12" s="13">
        <f>I11+360/16</f>
        <v>22.5</v>
      </c>
      <c r="J12" s="10">
        <v>16</v>
      </c>
      <c r="K12" s="16">
        <f>SQRT(C51^2+C52^2)</f>
        <v>376.72900003318028</v>
      </c>
      <c r="L12" s="142">
        <f>L$11</f>
        <v>376.66</v>
      </c>
      <c r="M12" s="142">
        <f>M$11</f>
        <v>376.84</v>
      </c>
      <c r="N12" s="13"/>
      <c r="O12" s="13"/>
      <c r="P12" s="13">
        <f>K12+K20</f>
        <v>753.44700006636162</v>
      </c>
      <c r="Q12" s="13"/>
    </row>
    <row r="13" spans="1:27">
      <c r="A13" s="90" t="s">
        <v>600</v>
      </c>
      <c r="B13" s="90" t="s">
        <v>415</v>
      </c>
      <c r="C13" s="90">
        <v>0</v>
      </c>
      <c r="H13" s="13">
        <v>3</v>
      </c>
      <c r="I13" s="13">
        <f t="shared" ref="I13:I26" si="1">I12+360/16</f>
        <v>45</v>
      </c>
      <c r="J13" s="10">
        <v>15</v>
      </c>
      <c r="K13" s="16">
        <f>SQRT(C48^2+C49^2)</f>
        <v>376.73399999999998</v>
      </c>
      <c r="L13" s="142">
        <f t="shared" ref="L13:M26" si="2">L$11</f>
        <v>376.66</v>
      </c>
      <c r="M13" s="142">
        <f t="shared" si="2"/>
        <v>376.84</v>
      </c>
      <c r="N13" s="13"/>
      <c r="O13" s="13"/>
      <c r="P13" s="13">
        <f t="shared" ref="P13:P18" si="3">K13+K21</f>
        <v>753.47600000132718</v>
      </c>
      <c r="Q13" s="13"/>
    </row>
    <row r="14" spans="1:27">
      <c r="A14" s="121" t="s">
        <v>601</v>
      </c>
      <c r="B14" s="90" t="s">
        <v>417</v>
      </c>
      <c r="C14" s="90">
        <v>-180.90100000000001</v>
      </c>
      <c r="H14" s="13">
        <v>4</v>
      </c>
      <c r="I14" s="13">
        <f t="shared" si="1"/>
        <v>67.5</v>
      </c>
      <c r="J14" s="10">
        <v>14</v>
      </c>
      <c r="K14" s="16">
        <f>SQRT(C45^2+C46^2)</f>
        <v>376.77200000132706</v>
      </c>
      <c r="L14" s="142">
        <f t="shared" si="2"/>
        <v>376.66</v>
      </c>
      <c r="M14" s="142">
        <f t="shared" si="2"/>
        <v>376.84</v>
      </c>
      <c r="N14" s="13"/>
      <c r="O14" s="13"/>
      <c r="P14" s="13">
        <f t="shared" si="3"/>
        <v>753.54800001327044</v>
      </c>
      <c r="Q14" s="13"/>
    </row>
    <row r="15" spans="1:27">
      <c r="A15" s="90" t="s">
        <v>412</v>
      </c>
      <c r="B15" s="90" t="s">
        <v>413</v>
      </c>
      <c r="C15" s="90">
        <v>376.76799999999997</v>
      </c>
      <c r="H15" s="13">
        <v>5</v>
      </c>
      <c r="I15" s="13">
        <f t="shared" si="1"/>
        <v>90</v>
      </c>
      <c r="J15" s="10">
        <v>13</v>
      </c>
      <c r="K15" s="16">
        <f>SQRT(C42^2+C43^2)</f>
        <v>376.762</v>
      </c>
      <c r="L15" s="142">
        <f t="shared" si="2"/>
        <v>376.66</v>
      </c>
      <c r="M15" s="142">
        <f t="shared" si="2"/>
        <v>376.84</v>
      </c>
      <c r="N15" s="13"/>
      <c r="O15" s="13"/>
      <c r="P15" s="13">
        <f t="shared" si="3"/>
        <v>753.53199999999993</v>
      </c>
      <c r="Q15" s="13"/>
    </row>
    <row r="16" spans="1:27">
      <c r="A16" s="90" t="s">
        <v>602</v>
      </c>
      <c r="B16" s="90" t="s">
        <v>415</v>
      </c>
      <c r="C16" s="90">
        <v>1E-3</v>
      </c>
      <c r="H16" s="13">
        <v>6</v>
      </c>
      <c r="I16" s="13">
        <f t="shared" si="1"/>
        <v>112.5</v>
      </c>
      <c r="J16" s="10">
        <v>12</v>
      </c>
      <c r="K16" s="16">
        <f>SQRT(C39^2+C40^2)</f>
        <v>376.77300029858827</v>
      </c>
      <c r="L16" s="142">
        <f t="shared" si="2"/>
        <v>376.66</v>
      </c>
      <c r="M16" s="142">
        <f t="shared" si="2"/>
        <v>376.84</v>
      </c>
      <c r="N16" s="13"/>
      <c r="O16" s="13"/>
      <c r="P16" s="13">
        <f t="shared" si="3"/>
        <v>753.54100029991537</v>
      </c>
      <c r="Q16" s="13"/>
    </row>
    <row r="17" spans="1:19">
      <c r="A17" s="121" t="s">
        <v>603</v>
      </c>
      <c r="B17" s="90" t="s">
        <v>417</v>
      </c>
      <c r="C17" s="90">
        <v>-180.9</v>
      </c>
      <c r="H17" s="13">
        <v>7</v>
      </c>
      <c r="I17" s="13">
        <f t="shared" si="1"/>
        <v>135</v>
      </c>
      <c r="J17" s="10">
        <v>11</v>
      </c>
      <c r="K17" s="16">
        <f>SQRT(C36^2+C37^2)</f>
        <v>376.71800000132725</v>
      </c>
      <c r="L17" s="142">
        <f t="shared" si="2"/>
        <v>376.66</v>
      </c>
      <c r="M17" s="142">
        <f t="shared" si="2"/>
        <v>376.84</v>
      </c>
      <c r="N17" s="13"/>
      <c r="O17" s="13"/>
      <c r="P17" s="13">
        <f t="shared" si="3"/>
        <v>753.43600000132733</v>
      </c>
      <c r="Q17" s="13"/>
    </row>
    <row r="18" spans="1:19">
      <c r="A18" s="90" t="s">
        <v>412</v>
      </c>
      <c r="B18" s="90" t="s">
        <v>413</v>
      </c>
      <c r="C18" s="90">
        <v>376.77</v>
      </c>
      <c r="H18" s="13">
        <v>8</v>
      </c>
      <c r="I18" s="13">
        <f t="shared" si="1"/>
        <v>157.5</v>
      </c>
      <c r="J18" s="10">
        <v>10</v>
      </c>
      <c r="K18" s="16">
        <f>SQRT(C33^2+C34^2)</f>
        <v>376.71600001194537</v>
      </c>
      <c r="L18" s="142">
        <f t="shared" si="2"/>
        <v>376.66</v>
      </c>
      <c r="M18" s="142">
        <f t="shared" si="2"/>
        <v>376.84</v>
      </c>
      <c r="N18" s="13"/>
      <c r="O18" s="13"/>
      <c r="P18" s="13">
        <f t="shared" si="3"/>
        <v>753.4240000119454</v>
      </c>
      <c r="Q18" s="13"/>
    </row>
    <row r="19" spans="1:19">
      <c r="A19" s="90" t="s">
        <v>604</v>
      </c>
      <c r="B19" s="90" t="s">
        <v>415</v>
      </c>
      <c r="C19" s="90">
        <v>0</v>
      </c>
      <c r="H19" s="13">
        <v>9</v>
      </c>
      <c r="I19" s="13">
        <f t="shared" si="1"/>
        <v>180</v>
      </c>
      <c r="J19" s="10">
        <v>9</v>
      </c>
      <c r="K19" s="16">
        <f>SQRT(C30^2+C31^2)</f>
        <v>376.70499999999998</v>
      </c>
      <c r="L19" s="142">
        <f t="shared" si="2"/>
        <v>376.66</v>
      </c>
      <c r="M19" s="142">
        <f t="shared" si="2"/>
        <v>376.84</v>
      </c>
      <c r="N19" s="13"/>
      <c r="O19" s="13"/>
      <c r="P19" s="13"/>
      <c r="Q19" s="13"/>
    </row>
    <row r="20" spans="1:19">
      <c r="A20" s="121" t="s">
        <v>605</v>
      </c>
      <c r="B20" s="90" t="s">
        <v>417</v>
      </c>
      <c r="C20" s="90">
        <v>-180.90100000000001</v>
      </c>
      <c r="H20" s="13">
        <v>10</v>
      </c>
      <c r="I20" s="13">
        <f t="shared" si="1"/>
        <v>202.5</v>
      </c>
      <c r="J20" s="10">
        <v>8</v>
      </c>
      <c r="K20" s="16">
        <f>SQRT(C27^2+C28^2)</f>
        <v>376.71800003318128</v>
      </c>
      <c r="L20" s="142">
        <f t="shared" si="2"/>
        <v>376.66</v>
      </c>
      <c r="M20" s="142">
        <f t="shared" si="2"/>
        <v>376.84</v>
      </c>
      <c r="N20" s="13"/>
      <c r="O20" s="13"/>
      <c r="P20" s="13">
        <f>MAX(P11:P18)</f>
        <v>753.54800001327044</v>
      </c>
      <c r="Q20" s="13" t="str">
        <f>IF(P20&gt;M6, CONCATENATE("O/Max ", TEXT(P20-M6, "0.000")), "-")</f>
        <v>-</v>
      </c>
    </row>
    <row r="21" spans="1:19">
      <c r="A21" s="90" t="s">
        <v>412</v>
      </c>
      <c r="B21" s="90" t="s">
        <v>413</v>
      </c>
      <c r="C21" s="90">
        <v>376.77600000000001</v>
      </c>
      <c r="H21" s="13">
        <v>11</v>
      </c>
      <c r="I21" s="13">
        <f t="shared" si="1"/>
        <v>225</v>
      </c>
      <c r="J21" s="10">
        <v>7</v>
      </c>
      <c r="K21" s="16">
        <f>SQRT(C24^2+C25^2)</f>
        <v>376.7420000013272</v>
      </c>
      <c r="L21" s="142">
        <f t="shared" si="2"/>
        <v>376.66</v>
      </c>
      <c r="M21" s="142">
        <f t="shared" si="2"/>
        <v>376.84</v>
      </c>
      <c r="N21" s="13"/>
      <c r="O21" s="13"/>
      <c r="P21" s="13">
        <f>MIN(P11:P18)</f>
        <v>753.41699999999992</v>
      </c>
      <c r="Q21" s="13" t="str">
        <f>IF(P21&lt;M7, CONCATENATE("U/Min ", TEXT(M7-P21, "0.000")), "-")</f>
        <v>U/Min 0.019</v>
      </c>
    </row>
    <row r="22" spans="1:19">
      <c r="A22" s="90" t="s">
        <v>606</v>
      </c>
      <c r="B22" s="90" t="s">
        <v>415</v>
      </c>
      <c r="C22" s="90">
        <v>3.0000000000000001E-3</v>
      </c>
      <c r="H22" s="13">
        <v>12</v>
      </c>
      <c r="I22" s="13">
        <f t="shared" si="1"/>
        <v>247.5</v>
      </c>
      <c r="J22" s="10">
        <v>6</v>
      </c>
      <c r="K22" s="16">
        <f>SQRT(C21^2+C22^2)</f>
        <v>376.77600001194344</v>
      </c>
      <c r="L22" s="142">
        <f t="shared" si="2"/>
        <v>376.66</v>
      </c>
      <c r="M22" s="142">
        <f t="shared" si="2"/>
        <v>376.84</v>
      </c>
      <c r="N22" s="13"/>
    </row>
    <row r="23" spans="1:19">
      <c r="A23" s="121" t="s">
        <v>607</v>
      </c>
      <c r="B23" s="90" t="s">
        <v>417</v>
      </c>
      <c r="C23" s="90">
        <v>-180.9</v>
      </c>
      <c r="H23" s="13">
        <v>13</v>
      </c>
      <c r="I23" s="13">
        <f t="shared" si="1"/>
        <v>270</v>
      </c>
      <c r="J23" s="10">
        <v>5</v>
      </c>
      <c r="K23" s="16">
        <f>SQRT(C18^2+C19^2)</f>
        <v>376.77</v>
      </c>
      <c r="L23" s="142">
        <f t="shared" si="2"/>
        <v>376.66</v>
      </c>
      <c r="M23" s="142">
        <f t="shared" si="2"/>
        <v>376.84</v>
      </c>
      <c r="N23" s="13"/>
    </row>
    <row r="24" spans="1:19">
      <c r="A24" s="90" t="s">
        <v>412</v>
      </c>
      <c r="B24" s="90" t="s">
        <v>413</v>
      </c>
      <c r="C24" s="90">
        <v>376.74200000000002</v>
      </c>
      <c r="H24" s="13">
        <v>14</v>
      </c>
      <c r="I24" s="13">
        <f t="shared" si="1"/>
        <v>292.5</v>
      </c>
      <c r="J24" s="10">
        <v>4</v>
      </c>
      <c r="K24" s="16">
        <f>SQRT(C15^2+C16^2)</f>
        <v>376.7680000013271</v>
      </c>
      <c r="L24" s="142">
        <f t="shared" si="2"/>
        <v>376.66</v>
      </c>
      <c r="M24" s="142">
        <f t="shared" si="2"/>
        <v>376.84</v>
      </c>
      <c r="N24" s="13"/>
    </row>
    <row r="25" spans="1:19">
      <c r="A25" s="90" t="s">
        <v>608</v>
      </c>
      <c r="B25" s="90" t="s">
        <v>415</v>
      </c>
      <c r="C25" s="90">
        <v>-1E-3</v>
      </c>
      <c r="H25" s="13">
        <v>15</v>
      </c>
      <c r="I25" s="13">
        <f t="shared" si="1"/>
        <v>315</v>
      </c>
      <c r="J25" s="10">
        <v>3</v>
      </c>
      <c r="K25" s="16">
        <f>SQRT(C12^2+C13^2)</f>
        <v>376.71800000000002</v>
      </c>
      <c r="L25" s="142">
        <f t="shared" si="2"/>
        <v>376.66</v>
      </c>
      <c r="M25" s="142">
        <f t="shared" si="2"/>
        <v>376.84</v>
      </c>
      <c r="N25" s="13"/>
    </row>
    <row r="26" spans="1:19">
      <c r="A26" s="121" t="s">
        <v>609</v>
      </c>
      <c r="B26" s="90" t="s">
        <v>417</v>
      </c>
      <c r="C26" s="90">
        <v>-180.9</v>
      </c>
      <c r="H26" s="13">
        <v>16</v>
      </c>
      <c r="I26" s="13">
        <f t="shared" si="1"/>
        <v>337.5</v>
      </c>
      <c r="J26" s="10">
        <v>2</v>
      </c>
      <c r="K26" s="16">
        <f>SQRT(C9^2+C10^2)</f>
        <v>376.70800000000003</v>
      </c>
      <c r="L26" s="142">
        <f t="shared" si="2"/>
        <v>376.66</v>
      </c>
      <c r="M26" s="142">
        <f t="shared" si="2"/>
        <v>376.84</v>
      </c>
      <c r="N26" s="13"/>
    </row>
    <row r="27" spans="1:19">
      <c r="A27" s="90" t="s">
        <v>412</v>
      </c>
      <c r="B27" s="90" t="s">
        <v>413</v>
      </c>
      <c r="C27" s="90">
        <v>376.71800000000002</v>
      </c>
      <c r="H27" s="13">
        <v>17</v>
      </c>
      <c r="I27" s="13">
        <v>360</v>
      </c>
      <c r="J27" s="10">
        <v>1</v>
      </c>
      <c r="K27" s="15">
        <f>K11</f>
        <v>376.71199999999999</v>
      </c>
      <c r="P27" s="19" t="s">
        <v>271</v>
      </c>
      <c r="Q27" s="19" t="str">
        <f>M30</f>
        <v>-</v>
      </c>
      <c r="R27" s="19"/>
    </row>
    <row r="28" spans="1:19">
      <c r="A28" s="90" t="s">
        <v>610</v>
      </c>
      <c r="B28" s="90" t="s">
        <v>415</v>
      </c>
      <c r="C28" s="90">
        <v>-5.0000000000000001E-3</v>
      </c>
      <c r="J28" s="10" t="s">
        <v>14</v>
      </c>
      <c r="K28" s="16">
        <f>MAX(K11:K26)</f>
        <v>376.77600001194344</v>
      </c>
      <c r="L28" s="15">
        <f>K28*2</f>
        <v>753.55200002388688</v>
      </c>
      <c r="M28" s="15" t="str">
        <f>IF(K28&gt;M26, "O/Max "&amp;TEXT(2*K28-2*M26, "0.000"), "-")</f>
        <v>-</v>
      </c>
      <c r="P28" s="19" t="s">
        <v>60</v>
      </c>
      <c r="Q28" s="19" t="str">
        <f>M28</f>
        <v>-</v>
      </c>
      <c r="R28" s="19"/>
    </row>
    <row r="29" spans="1:19">
      <c r="A29" s="121" t="s">
        <v>611</v>
      </c>
      <c r="B29" s="90" t="s">
        <v>417</v>
      </c>
      <c r="C29" s="90">
        <v>-180.9</v>
      </c>
      <c r="J29" s="10" t="s">
        <v>15</v>
      </c>
      <c r="K29" s="16">
        <f>MIN(K11:K26)</f>
        <v>376.70499999999998</v>
      </c>
      <c r="L29" s="15">
        <f>K29*2</f>
        <v>753.41</v>
      </c>
      <c r="M29" s="15" t="str">
        <f>IF(K29&lt;L26, "U/Min "&amp;TEXT(2*L26-2*K29, "0.000"), "-")</f>
        <v>-</v>
      </c>
      <c r="O29" s="5" t="s">
        <v>73</v>
      </c>
      <c r="P29" s="19" t="s">
        <v>62</v>
      </c>
      <c r="Q29" s="19" t="str">
        <f>M29</f>
        <v>-</v>
      </c>
      <c r="R29" s="19"/>
    </row>
    <row r="30" spans="1:19">
      <c r="A30" s="90" t="s">
        <v>412</v>
      </c>
      <c r="B30" s="90" t="s">
        <v>413</v>
      </c>
      <c r="C30" s="90">
        <v>376.70499999999998</v>
      </c>
      <c r="J30" s="10" t="s">
        <v>17</v>
      </c>
      <c r="K30" s="16">
        <f>AVERAGE(K11:K26)*2</f>
        <v>753.47762504926834</v>
      </c>
      <c r="L30" s="15"/>
      <c r="M30" s="15" t="str">
        <f>IF(K30&gt;M6, "O/Max "&amp;TEXT(K30-M6, "0.000"), IF(K30&lt;M7, "U/Min "&amp;TEXT(M7-K30, "0.000"), "-"))</f>
        <v>-</v>
      </c>
      <c r="O30" s="15" t="str">
        <f>IF(K30&gt;O6, CONCATENATE("O/Max ", TEXT(M30-O6, "0.000")), IF(M30&lt;O7, CONCATENATE("U/Min ", TEXT(O7-M30, "0.000")), "-"))</f>
        <v>-</v>
      </c>
      <c r="P30" s="19" t="s">
        <v>18</v>
      </c>
      <c r="Q30" s="19" t="str">
        <f>M31</f>
        <v>-</v>
      </c>
      <c r="R30" s="19"/>
    </row>
    <row r="31" spans="1:19">
      <c r="A31" s="90" t="s">
        <v>612</v>
      </c>
      <c r="B31" s="90" t="s">
        <v>415</v>
      </c>
      <c r="C31" s="90">
        <v>0</v>
      </c>
      <c r="J31" s="10" t="s">
        <v>18</v>
      </c>
      <c r="K31" s="18">
        <f>K28-K29</f>
        <v>7.1000011943453956E-2</v>
      </c>
      <c r="L31" s="15"/>
      <c r="M31" s="15" t="str">
        <f>IF(K31&gt;0.13, "O/Max "&amp;TEXT(K31-0.13, "0.000"), "-")</f>
        <v>-</v>
      </c>
      <c r="N31" s="5" t="s">
        <v>20</v>
      </c>
    </row>
    <row r="32" spans="1:19">
      <c r="A32" s="121" t="s">
        <v>613</v>
      </c>
      <c r="B32" s="90" t="s">
        <v>417</v>
      </c>
      <c r="C32" s="90">
        <v>-180.90100000000001</v>
      </c>
      <c r="S32" s="19" t="s">
        <v>98</v>
      </c>
    </row>
    <row r="33" spans="1:56">
      <c r="A33" s="90" t="s">
        <v>412</v>
      </c>
      <c r="B33" s="90" t="s">
        <v>413</v>
      </c>
      <c r="C33" s="90">
        <v>376.71600000000001</v>
      </c>
      <c r="J33" s="5" t="s">
        <v>99</v>
      </c>
      <c r="M33" s="5" t="s">
        <v>52</v>
      </c>
      <c r="N33" s="5">
        <f>360/36</f>
        <v>10</v>
      </c>
      <c r="O33" s="9" t="s">
        <v>24</v>
      </c>
      <c r="P33" s="5" t="s">
        <v>26</v>
      </c>
      <c r="Q33" s="5">
        <f>'237'!$Q$33</f>
        <v>-1</v>
      </c>
      <c r="R33" s="9" t="s">
        <v>24</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v>24</v>
      </c>
      <c r="AQ33" s="5">
        <v>25</v>
      </c>
      <c r="AR33" s="5">
        <v>26</v>
      </c>
      <c r="AS33" s="5">
        <v>27</v>
      </c>
      <c r="AT33" s="5">
        <v>28</v>
      </c>
      <c r="AU33" s="5">
        <v>29</v>
      </c>
      <c r="AV33" s="5">
        <v>30</v>
      </c>
      <c r="AW33" s="5">
        <v>31</v>
      </c>
      <c r="AX33" s="5">
        <v>32</v>
      </c>
      <c r="AY33" s="5">
        <v>33</v>
      </c>
      <c r="AZ33" s="5">
        <v>34</v>
      </c>
      <c r="BA33" s="5">
        <v>35</v>
      </c>
      <c r="BB33" s="5">
        <v>36</v>
      </c>
      <c r="BC33" s="5"/>
      <c r="BD33" s="5"/>
    </row>
    <row r="34" spans="1:56">
      <c r="A34" s="90" t="s">
        <v>614</v>
      </c>
      <c r="B34" s="90" t="s">
        <v>415</v>
      </c>
      <c r="C34" s="90">
        <v>3.0000000000000001E-3</v>
      </c>
      <c r="K34" s="9" t="s">
        <v>53</v>
      </c>
      <c r="M34" s="9" t="s">
        <v>29</v>
      </c>
      <c r="N34" s="9" t="s">
        <v>31</v>
      </c>
      <c r="O34" s="9" t="s">
        <v>33</v>
      </c>
      <c r="P34" s="9" t="s">
        <v>35</v>
      </c>
      <c r="Q34" s="9" t="s">
        <v>36</v>
      </c>
      <c r="R34" s="5"/>
      <c r="S34" s="20" t="str">
        <f ca="1">CONCATENATE($S$32, "#", OFFSET($J$35, S33, 0))</f>
        <v>Stg.2 Nozzle Aft#1</v>
      </c>
      <c r="T34" s="20" t="str">
        <f t="shared" ref="T34:BB34" ca="1" si="4">CONCATENATE($S$32, "#", OFFSET($J$35, T33, 0))</f>
        <v>Stg.2 Nozzle Aft#36</v>
      </c>
      <c r="U34" s="20" t="str">
        <f t="shared" ca="1" si="4"/>
        <v>Stg.2 Nozzle Aft#35</v>
      </c>
      <c r="V34" s="20" t="str">
        <f t="shared" ca="1" si="4"/>
        <v>Stg.2 Nozzle Aft#34</v>
      </c>
      <c r="W34" s="20" t="str">
        <f t="shared" ca="1" si="4"/>
        <v>Stg.2 Nozzle Aft#33</v>
      </c>
      <c r="X34" s="20" t="str">
        <f t="shared" ca="1" si="4"/>
        <v>Stg.2 Nozzle Aft#32</v>
      </c>
      <c r="Y34" s="20" t="str">
        <f t="shared" ca="1" si="4"/>
        <v>Stg.2 Nozzle Aft#31</v>
      </c>
      <c r="Z34" s="20" t="str">
        <f t="shared" ca="1" si="4"/>
        <v>Stg.2 Nozzle Aft#30</v>
      </c>
      <c r="AA34" s="20" t="str">
        <f t="shared" ca="1" si="4"/>
        <v>Stg.2 Nozzle Aft#29</v>
      </c>
      <c r="AB34" s="20" t="str">
        <f t="shared" ca="1" si="4"/>
        <v>Stg.2 Nozzle Aft#28</v>
      </c>
      <c r="AC34" s="20" t="str">
        <f t="shared" ca="1" si="4"/>
        <v>Stg.2 Nozzle Aft#27</v>
      </c>
      <c r="AD34" s="20" t="str">
        <f t="shared" ca="1" si="4"/>
        <v>Stg.2 Nozzle Aft#26</v>
      </c>
      <c r="AE34" s="20" t="str">
        <f t="shared" ca="1" si="4"/>
        <v>Stg.2 Nozzle Aft#25</v>
      </c>
      <c r="AF34" s="20" t="str">
        <f t="shared" ca="1" si="4"/>
        <v>Stg.2 Nozzle Aft#24</v>
      </c>
      <c r="AG34" s="20" t="str">
        <f t="shared" ca="1" si="4"/>
        <v>Stg.2 Nozzle Aft#23</v>
      </c>
      <c r="AH34" s="20" t="str">
        <f t="shared" ca="1" si="4"/>
        <v>Stg.2 Nozzle Aft#22</v>
      </c>
      <c r="AI34" s="20" t="str">
        <f t="shared" ca="1" si="4"/>
        <v>Stg.2 Nozzle Aft#21</v>
      </c>
      <c r="AJ34" s="20" t="str">
        <f t="shared" ca="1" si="4"/>
        <v>Stg.2 Nozzle Aft#20</v>
      </c>
      <c r="AK34" s="20" t="str">
        <f t="shared" ca="1" si="4"/>
        <v>Stg.2 Nozzle Aft#19</v>
      </c>
      <c r="AL34" s="20" t="str">
        <f t="shared" ca="1" si="4"/>
        <v>Stg.2 Nozzle Aft#18</v>
      </c>
      <c r="AM34" s="20" t="str">
        <f t="shared" ca="1" si="4"/>
        <v>Stg.2 Nozzle Aft#17</v>
      </c>
      <c r="AN34" s="20" t="str">
        <f t="shared" ca="1" si="4"/>
        <v>Stg.2 Nozzle Aft#16</v>
      </c>
      <c r="AO34" s="20" t="str">
        <f t="shared" ca="1" si="4"/>
        <v>Stg.2 Nozzle Aft#15</v>
      </c>
      <c r="AP34" s="20" t="str">
        <f t="shared" ca="1" si="4"/>
        <v>Stg.2 Nozzle Aft#14</v>
      </c>
      <c r="AQ34" s="20" t="str">
        <f t="shared" ca="1" si="4"/>
        <v>Stg.2 Nozzle Aft#13</v>
      </c>
      <c r="AR34" s="20" t="str">
        <f t="shared" ca="1" si="4"/>
        <v>Stg.2 Nozzle Aft#12</v>
      </c>
      <c r="AS34" s="20" t="str">
        <f t="shared" ca="1" si="4"/>
        <v>Stg.2 Nozzle Aft#11</v>
      </c>
      <c r="AT34" s="20" t="str">
        <f t="shared" ca="1" si="4"/>
        <v>Stg.2 Nozzle Aft#10</v>
      </c>
      <c r="AU34" s="20" t="str">
        <f t="shared" ca="1" si="4"/>
        <v>Stg.2 Nozzle Aft#9</v>
      </c>
      <c r="AV34" s="20" t="str">
        <f t="shared" ca="1" si="4"/>
        <v>Stg.2 Nozzle Aft#8</v>
      </c>
      <c r="AW34" s="20" t="str">
        <f t="shared" ca="1" si="4"/>
        <v>Stg.2 Nozzle Aft#7</v>
      </c>
      <c r="AX34" s="20" t="str">
        <f t="shared" ca="1" si="4"/>
        <v>Stg.2 Nozzle Aft#6</v>
      </c>
      <c r="AY34" s="20" t="str">
        <f t="shared" ca="1" si="4"/>
        <v>Stg.2 Nozzle Aft#5</v>
      </c>
      <c r="AZ34" s="20" t="str">
        <f t="shared" ca="1" si="4"/>
        <v>Stg.2 Nozzle Aft#4</v>
      </c>
      <c r="BA34" s="20" t="str">
        <f t="shared" ca="1" si="4"/>
        <v>Stg.2 Nozzle Aft#3</v>
      </c>
      <c r="BB34" s="20" t="str">
        <f t="shared" ca="1" si="4"/>
        <v>Stg.2 Nozzle Aft#2</v>
      </c>
      <c r="BC34" s="20" t="s">
        <v>38</v>
      </c>
      <c r="BD34" s="20" t="s">
        <v>40</v>
      </c>
    </row>
    <row r="35" spans="1:56">
      <c r="A35" s="121" t="s">
        <v>615</v>
      </c>
      <c r="B35" s="90" t="s">
        <v>417</v>
      </c>
      <c r="C35" s="90">
        <v>-180.90100000000001</v>
      </c>
      <c r="J35" s="9" t="s">
        <v>41</v>
      </c>
      <c r="K35" s="9" t="s">
        <v>11</v>
      </c>
      <c r="L35" s="9" t="s">
        <v>54</v>
      </c>
      <c r="M35" s="9" t="s">
        <v>13</v>
      </c>
      <c r="N35" s="9" t="s">
        <v>46</v>
      </c>
      <c r="O35" s="9" t="s">
        <v>11</v>
      </c>
      <c r="P35" s="9" t="s">
        <v>13</v>
      </c>
      <c r="Q35" s="9" t="s">
        <v>13</v>
      </c>
      <c r="R35" s="5"/>
      <c r="S35" s="15"/>
      <c r="T35" s="15"/>
      <c r="U35" s="15"/>
      <c r="V35" s="15"/>
      <c r="W35" s="15"/>
      <c r="X35" s="15"/>
      <c r="Y35" s="15"/>
      <c r="Z35" s="15"/>
      <c r="AA35" s="15"/>
      <c r="AB35" s="15"/>
      <c r="AC35" s="15"/>
      <c r="AD35" s="15"/>
      <c r="AE35" s="15"/>
      <c r="AF35" s="15"/>
      <c r="AG35" s="15"/>
      <c r="AH35" s="15"/>
      <c r="AI35" s="15"/>
      <c r="AJ35" s="48"/>
      <c r="AK35" s="15"/>
      <c r="AL35" s="15"/>
      <c r="AM35" s="15"/>
      <c r="AN35" s="15"/>
      <c r="AO35" s="15"/>
      <c r="AP35" s="15"/>
      <c r="AQ35" s="15"/>
      <c r="AR35" s="15"/>
      <c r="AS35" s="15"/>
      <c r="AT35" s="15"/>
      <c r="AU35" s="15"/>
      <c r="AV35" s="15"/>
      <c r="AW35" s="15"/>
      <c r="AX35" s="15"/>
      <c r="AY35" s="15"/>
      <c r="AZ35" s="15"/>
      <c r="BA35" s="15"/>
      <c r="BB35" s="15"/>
      <c r="BC35" s="22" t="s">
        <v>13</v>
      </c>
      <c r="BD35" s="22" t="s">
        <v>13</v>
      </c>
    </row>
    <row r="36" spans="1:56">
      <c r="A36" s="90" t="s">
        <v>412</v>
      </c>
      <c r="B36" s="90" t="s">
        <v>413</v>
      </c>
      <c r="C36" s="90">
        <v>376.71800000000002</v>
      </c>
      <c r="J36" s="5">
        <v>1</v>
      </c>
      <c r="K36" s="23">
        <f>IF(Q33&lt;0, 360+$Q$33, $Q$33)</f>
        <v>359</v>
      </c>
      <c r="L36" s="24">
        <f>MATCH($K36, $I$11:$I$27, 1)</f>
        <v>16</v>
      </c>
      <c r="M36" s="5">
        <f>VLOOKUP(L36, $H$11:$K$27, 4, FALSE)</f>
        <v>376.70800000000003</v>
      </c>
      <c r="N36" s="25">
        <f>(VLOOKUP(L36+1, $H$11:$K$27, 4, FALSE) - VLOOKUP(L36, $H$11:$K$27, 4, FALSE))/(VLOOKUP(L36+1, $H$11:$K$27, 2, FALSE) - VLOOKUP(L36, $H$11:$K$27, 2, FALSE))</f>
        <v>1.7777777777610025E-4</v>
      </c>
      <c r="O36" s="26">
        <f>K36-VLOOKUP(L36, $H$11:$I$27, 2, FALSE)</f>
        <v>21.5</v>
      </c>
      <c r="P36" s="27">
        <f>M36+N36*O36</f>
        <v>376.71182222222222</v>
      </c>
      <c r="Q36" s="27">
        <f>(P36+P71)/2</f>
        <v>376.71093333333334</v>
      </c>
      <c r="R36" s="5"/>
      <c r="S36" s="30">
        <f>Q36</f>
        <v>376.71093333333334</v>
      </c>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30">
        <f>BB71</f>
        <v>376.70915555555558</v>
      </c>
      <c r="BC36" s="29">
        <f>M$7/2</f>
        <v>376.71800000000002</v>
      </c>
      <c r="BD36" s="29">
        <f>M$6/2</f>
        <v>376.78199999999998</v>
      </c>
    </row>
    <row r="37" spans="1:56">
      <c r="A37" s="90" t="s">
        <v>616</v>
      </c>
      <c r="B37" s="90" t="s">
        <v>415</v>
      </c>
      <c r="C37" s="90">
        <v>1E-3</v>
      </c>
      <c r="J37" s="5">
        <v>36</v>
      </c>
      <c r="K37" s="23">
        <f>IF(K36+$N$33&gt;360, K36+$N$33-360, K36+$N$33)</f>
        <v>9</v>
      </c>
      <c r="L37" s="24">
        <f t="shared" ref="L37:L71" si="5">MATCH($K37, $I$11:$I$27, 1)</f>
        <v>1</v>
      </c>
      <c r="M37" s="5">
        <f t="shared" ref="M37:M71" si="6">VLOOKUP(L37, $H$11:$K$27, 4, FALSE)</f>
        <v>376.71199999999999</v>
      </c>
      <c r="N37" s="25">
        <f t="shared" ref="N37:N71" si="7">(VLOOKUP(L37+1, $H$11:$K$27, 4, FALSE) - VLOOKUP(L37, $H$11:$K$27, 4, FALSE))/(VLOOKUP(L37+1, $H$11:$K$27, 2, FALSE) - VLOOKUP(L37, $H$11:$K$27, 2, FALSE))</f>
        <v>7.555570302353469E-4</v>
      </c>
      <c r="O37" s="26">
        <f t="shared" ref="O37:O71" si="8">K37-VLOOKUP(L37, $H$11:$I$27, 2, FALSE)</f>
        <v>9</v>
      </c>
      <c r="P37" s="27">
        <f t="shared" ref="P37:P71" si="9">M37+N37*O37</f>
        <v>376.71880001327213</v>
      </c>
      <c r="Q37" s="27">
        <f>(P36+P37)/2</f>
        <v>376.71531111774721</v>
      </c>
      <c r="R37" s="5"/>
      <c r="S37" s="30">
        <f>S36</f>
        <v>376.71093333333334</v>
      </c>
      <c r="T37" s="30">
        <f>Q37</f>
        <v>376.71531111774721</v>
      </c>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f t="shared" ref="BC37:BC71" si="10">M$7/2</f>
        <v>376.71800000000002</v>
      </c>
      <c r="BD37" s="21">
        <f t="shared" ref="BD37:BD71" si="11">M$6/2</f>
        <v>376.78199999999998</v>
      </c>
    </row>
    <row r="38" spans="1:56">
      <c r="A38" s="121" t="s">
        <v>617</v>
      </c>
      <c r="B38" s="90" t="s">
        <v>417</v>
      </c>
      <c r="C38" s="90">
        <v>-180.90100000000001</v>
      </c>
      <c r="J38" s="5">
        <v>35</v>
      </c>
      <c r="K38" s="23">
        <f>IF(K37+$N$33&gt;360, K37+$N$33-360, K37+$N$33)</f>
        <v>19</v>
      </c>
      <c r="L38" s="24">
        <f t="shared" si="5"/>
        <v>1</v>
      </c>
      <c r="M38" s="5">
        <f t="shared" si="6"/>
        <v>376.71199999999999</v>
      </c>
      <c r="N38" s="25">
        <f t="shared" si="7"/>
        <v>7.555570302353469E-4</v>
      </c>
      <c r="O38" s="26">
        <f t="shared" si="8"/>
        <v>19</v>
      </c>
      <c r="P38" s="27">
        <f t="shared" si="9"/>
        <v>376.72635558357445</v>
      </c>
      <c r="Q38" s="27">
        <f t="shared" ref="Q38:Q71" si="12">(P37+P38)/2</f>
        <v>376.72257779842329</v>
      </c>
      <c r="R38" s="5"/>
      <c r="S38" s="21"/>
      <c r="T38" s="30">
        <f>T37</f>
        <v>376.71531111774721</v>
      </c>
      <c r="U38" s="30">
        <f>Q38</f>
        <v>376.72257779842329</v>
      </c>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f t="shared" si="10"/>
        <v>376.71800000000002</v>
      </c>
      <c r="BD38" s="21">
        <f t="shared" si="11"/>
        <v>376.78199999999998</v>
      </c>
    </row>
    <row r="39" spans="1:56">
      <c r="A39" s="90" t="s">
        <v>412</v>
      </c>
      <c r="B39" s="90" t="s">
        <v>413</v>
      </c>
      <c r="C39" s="90">
        <v>376.77300000000002</v>
      </c>
      <c r="J39" s="5">
        <v>34</v>
      </c>
      <c r="K39" s="23">
        <f t="shared" ref="K39:K71" si="13">IF(K38+$N$33&gt;360, K38+$N$33-360, K38+$N$33)</f>
        <v>29</v>
      </c>
      <c r="L39" s="24">
        <f t="shared" si="5"/>
        <v>2</v>
      </c>
      <c r="M39" s="5">
        <f t="shared" si="6"/>
        <v>376.72900003318028</v>
      </c>
      <c r="N39" s="25">
        <f t="shared" si="7"/>
        <v>2.2222074754204692E-4</v>
      </c>
      <c r="O39" s="26">
        <f t="shared" si="8"/>
        <v>6.5</v>
      </c>
      <c r="P39" s="27">
        <f t="shared" si="9"/>
        <v>376.73044446803931</v>
      </c>
      <c r="Q39" s="27">
        <f t="shared" si="12"/>
        <v>376.72840002580688</v>
      </c>
      <c r="R39" s="5"/>
      <c r="S39" s="21"/>
      <c r="T39" s="21"/>
      <c r="U39" s="30">
        <f>U38</f>
        <v>376.72257779842329</v>
      </c>
      <c r="V39" s="30">
        <f>Q39</f>
        <v>376.72840002580688</v>
      </c>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f t="shared" si="10"/>
        <v>376.71800000000002</v>
      </c>
      <c r="BD39" s="21">
        <f t="shared" si="11"/>
        <v>376.78199999999998</v>
      </c>
    </row>
    <row r="40" spans="1:56">
      <c r="A40" s="90" t="s">
        <v>618</v>
      </c>
      <c r="B40" s="90" t="s">
        <v>415</v>
      </c>
      <c r="C40" s="90">
        <v>-1.4999999999999999E-2</v>
      </c>
      <c r="J40" s="5">
        <v>33</v>
      </c>
      <c r="K40" s="23">
        <f t="shared" si="13"/>
        <v>39</v>
      </c>
      <c r="L40" s="24">
        <f t="shared" si="5"/>
        <v>2</v>
      </c>
      <c r="M40" s="5">
        <f t="shared" si="6"/>
        <v>376.72900003318028</v>
      </c>
      <c r="N40" s="25">
        <f t="shared" si="7"/>
        <v>2.2222074754204692E-4</v>
      </c>
      <c r="O40" s="26">
        <f t="shared" si="8"/>
        <v>16.5</v>
      </c>
      <c r="P40" s="27">
        <f t="shared" si="9"/>
        <v>376.73266667551474</v>
      </c>
      <c r="Q40" s="27">
        <f t="shared" si="12"/>
        <v>376.73155557177699</v>
      </c>
      <c r="R40" s="5"/>
      <c r="S40" s="21"/>
      <c r="T40" s="21"/>
      <c r="U40" s="21"/>
      <c r="V40" s="30">
        <f>V39</f>
        <v>376.72840002580688</v>
      </c>
      <c r="W40" s="30">
        <f>Q40</f>
        <v>376.73155557177699</v>
      </c>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f t="shared" si="10"/>
        <v>376.71800000000002</v>
      </c>
      <c r="BD40" s="21">
        <f t="shared" si="11"/>
        <v>376.78199999999998</v>
      </c>
    </row>
    <row r="41" spans="1:56">
      <c r="A41" s="121" t="s">
        <v>619</v>
      </c>
      <c r="B41" s="90" t="s">
        <v>417</v>
      </c>
      <c r="C41" s="90">
        <v>-180.90100000000001</v>
      </c>
      <c r="J41" s="5">
        <v>32</v>
      </c>
      <c r="K41" s="23">
        <f t="shared" si="13"/>
        <v>49</v>
      </c>
      <c r="L41" s="24">
        <f t="shared" si="5"/>
        <v>3</v>
      </c>
      <c r="M41" s="5">
        <f t="shared" si="6"/>
        <v>376.73399999999998</v>
      </c>
      <c r="N41" s="25">
        <f t="shared" si="7"/>
        <v>1.6888889478701053E-3</v>
      </c>
      <c r="O41" s="26">
        <f t="shared" si="8"/>
        <v>4</v>
      </c>
      <c r="P41" s="27">
        <f t="shared" si="9"/>
        <v>376.74075555579145</v>
      </c>
      <c r="Q41" s="27">
        <f t="shared" si="12"/>
        <v>376.73671111565307</v>
      </c>
      <c r="R41" s="5"/>
      <c r="S41" s="21"/>
      <c r="T41" s="21"/>
      <c r="U41" s="21"/>
      <c r="V41" s="21"/>
      <c r="W41" s="30">
        <f>W40</f>
        <v>376.73155557177699</v>
      </c>
      <c r="X41" s="30">
        <f>Q41</f>
        <v>376.73671111565307</v>
      </c>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f t="shared" si="10"/>
        <v>376.71800000000002</v>
      </c>
      <c r="BD41" s="21">
        <f t="shared" si="11"/>
        <v>376.78199999999998</v>
      </c>
    </row>
    <row r="42" spans="1:56">
      <c r="A42" s="90" t="s">
        <v>412</v>
      </c>
      <c r="B42" s="90" t="s">
        <v>413</v>
      </c>
      <c r="C42" s="90">
        <v>376.762</v>
      </c>
      <c r="J42" s="5">
        <v>31</v>
      </c>
      <c r="K42" s="23">
        <f t="shared" si="13"/>
        <v>59</v>
      </c>
      <c r="L42" s="24">
        <f t="shared" si="5"/>
        <v>3</v>
      </c>
      <c r="M42" s="5">
        <f t="shared" si="6"/>
        <v>376.73399999999998</v>
      </c>
      <c r="N42" s="25">
        <f t="shared" si="7"/>
        <v>1.6888889478701053E-3</v>
      </c>
      <c r="O42" s="26">
        <f t="shared" si="8"/>
        <v>14</v>
      </c>
      <c r="P42" s="27">
        <f t="shared" si="9"/>
        <v>376.75764444527016</v>
      </c>
      <c r="Q42" s="27">
        <f t="shared" si="12"/>
        <v>376.74920000053078</v>
      </c>
      <c r="R42" s="5"/>
      <c r="S42" s="21"/>
      <c r="T42" s="21"/>
      <c r="U42" s="21"/>
      <c r="V42" s="21"/>
      <c r="W42" s="21"/>
      <c r="X42" s="30">
        <f>X41</f>
        <v>376.73671111565307</v>
      </c>
      <c r="Y42" s="30">
        <f>Q42</f>
        <v>376.74920000053078</v>
      </c>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f t="shared" si="10"/>
        <v>376.71800000000002</v>
      </c>
      <c r="BD42" s="21">
        <f t="shared" si="11"/>
        <v>376.78199999999998</v>
      </c>
    </row>
    <row r="43" spans="1:56">
      <c r="A43" s="90" t="s">
        <v>620</v>
      </c>
      <c r="B43" s="90" t="s">
        <v>415</v>
      </c>
      <c r="C43" s="90">
        <v>0</v>
      </c>
      <c r="J43" s="5">
        <v>30</v>
      </c>
      <c r="K43" s="23">
        <f t="shared" si="13"/>
        <v>69</v>
      </c>
      <c r="L43" s="24">
        <f t="shared" si="5"/>
        <v>4</v>
      </c>
      <c r="M43" s="5">
        <f t="shared" si="6"/>
        <v>376.77200000132706</v>
      </c>
      <c r="N43" s="25">
        <f t="shared" si="7"/>
        <v>-4.4444450342477165E-4</v>
      </c>
      <c r="O43" s="26">
        <f t="shared" si="8"/>
        <v>1.5</v>
      </c>
      <c r="P43" s="27">
        <f t="shared" si="9"/>
        <v>376.77133333457192</v>
      </c>
      <c r="Q43" s="27">
        <f t="shared" si="12"/>
        <v>376.76448888992104</v>
      </c>
      <c r="R43" s="5"/>
      <c r="S43" s="21"/>
      <c r="T43" s="21"/>
      <c r="U43" s="21"/>
      <c r="V43" s="21"/>
      <c r="W43" s="21"/>
      <c r="X43" s="21"/>
      <c r="Y43" s="30">
        <f>Y42</f>
        <v>376.74920000053078</v>
      </c>
      <c r="Z43" s="30">
        <f>Q43</f>
        <v>376.76448888992104</v>
      </c>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f t="shared" si="10"/>
        <v>376.71800000000002</v>
      </c>
      <c r="BD43" s="21">
        <f t="shared" si="11"/>
        <v>376.78199999999998</v>
      </c>
    </row>
    <row r="44" spans="1:56">
      <c r="A44" s="121" t="s">
        <v>621</v>
      </c>
      <c r="B44" s="90" t="s">
        <v>417</v>
      </c>
      <c r="C44" s="90">
        <v>-180.9</v>
      </c>
      <c r="J44" s="5">
        <v>29</v>
      </c>
      <c r="K44" s="23">
        <f t="shared" si="13"/>
        <v>79</v>
      </c>
      <c r="L44" s="24">
        <f t="shared" si="5"/>
        <v>4</v>
      </c>
      <c r="M44" s="5">
        <f t="shared" si="6"/>
        <v>376.77200000132706</v>
      </c>
      <c r="N44" s="25">
        <f t="shared" si="7"/>
        <v>-4.4444450342477165E-4</v>
      </c>
      <c r="O44" s="26">
        <f t="shared" si="8"/>
        <v>11.5</v>
      </c>
      <c r="P44" s="27">
        <f t="shared" si="9"/>
        <v>376.76688888953765</v>
      </c>
      <c r="Q44" s="27">
        <f t="shared" si="12"/>
        <v>376.76911111205482</v>
      </c>
      <c r="R44" s="5"/>
      <c r="S44" s="21"/>
      <c r="T44" s="21"/>
      <c r="U44" s="21"/>
      <c r="V44" s="21"/>
      <c r="W44" s="21"/>
      <c r="X44" s="21"/>
      <c r="Y44" s="21"/>
      <c r="Z44" s="30">
        <f>Z43</f>
        <v>376.76448888992104</v>
      </c>
      <c r="AA44" s="30">
        <f>Q44</f>
        <v>376.76911111205482</v>
      </c>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f t="shared" si="10"/>
        <v>376.71800000000002</v>
      </c>
      <c r="BD44" s="21">
        <f t="shared" si="11"/>
        <v>376.78199999999998</v>
      </c>
    </row>
    <row r="45" spans="1:56">
      <c r="A45" s="90" t="s">
        <v>412</v>
      </c>
      <c r="B45" s="90" t="s">
        <v>413</v>
      </c>
      <c r="C45" s="90">
        <v>376.77199999999999</v>
      </c>
      <c r="J45" s="5">
        <v>28</v>
      </c>
      <c r="K45" s="23">
        <f t="shared" si="13"/>
        <v>89</v>
      </c>
      <c r="L45" s="24">
        <f t="shared" si="5"/>
        <v>4</v>
      </c>
      <c r="M45" s="5">
        <f t="shared" si="6"/>
        <v>376.77200000132706</v>
      </c>
      <c r="N45" s="25">
        <f t="shared" si="7"/>
        <v>-4.4444450342477165E-4</v>
      </c>
      <c r="O45" s="26">
        <f t="shared" si="8"/>
        <v>21.5</v>
      </c>
      <c r="P45" s="27">
        <f t="shared" si="9"/>
        <v>376.76244444450344</v>
      </c>
      <c r="Q45" s="27">
        <f t="shared" si="12"/>
        <v>376.76466666702055</v>
      </c>
      <c r="R45" s="5"/>
      <c r="S45" s="21"/>
      <c r="T45" s="21"/>
      <c r="U45" s="21"/>
      <c r="V45" s="21"/>
      <c r="W45" s="21"/>
      <c r="X45" s="21"/>
      <c r="Y45" s="21"/>
      <c r="Z45" s="21"/>
      <c r="AA45" s="30">
        <f>AA44</f>
        <v>376.76911111205482</v>
      </c>
      <c r="AB45" s="30">
        <f>Q45</f>
        <v>376.76466666702055</v>
      </c>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f t="shared" si="10"/>
        <v>376.71800000000002</v>
      </c>
      <c r="BD45" s="21">
        <f t="shared" si="11"/>
        <v>376.78199999999998</v>
      </c>
    </row>
    <row r="46" spans="1:56">
      <c r="A46" s="90" t="s">
        <v>622</v>
      </c>
      <c r="B46" s="90" t="s">
        <v>415</v>
      </c>
      <c r="C46" s="90">
        <v>-1E-3</v>
      </c>
      <c r="J46" s="5">
        <v>27</v>
      </c>
      <c r="K46" s="23">
        <f t="shared" si="13"/>
        <v>99</v>
      </c>
      <c r="L46" s="24">
        <f t="shared" si="5"/>
        <v>5</v>
      </c>
      <c r="M46" s="5">
        <f t="shared" si="6"/>
        <v>376.762</v>
      </c>
      <c r="N46" s="25">
        <f t="shared" si="7"/>
        <v>4.8890215947873614E-4</v>
      </c>
      <c r="O46" s="26">
        <f t="shared" si="8"/>
        <v>9</v>
      </c>
      <c r="P46" s="27">
        <f t="shared" si="9"/>
        <v>376.76640011943533</v>
      </c>
      <c r="Q46" s="27">
        <f t="shared" si="12"/>
        <v>376.76442228196936</v>
      </c>
      <c r="R46" s="5"/>
      <c r="S46" s="21"/>
      <c r="T46" s="21"/>
      <c r="U46" s="21"/>
      <c r="V46" s="21"/>
      <c r="W46" s="21"/>
      <c r="X46" s="21"/>
      <c r="Y46" s="21"/>
      <c r="Z46" s="21"/>
      <c r="AA46" s="21"/>
      <c r="AB46" s="30">
        <f>AB45</f>
        <v>376.76466666702055</v>
      </c>
      <c r="AC46" s="30">
        <f>Q46</f>
        <v>376.76442228196936</v>
      </c>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f t="shared" si="10"/>
        <v>376.71800000000002</v>
      </c>
      <c r="BD46" s="21">
        <f t="shared" si="11"/>
        <v>376.78199999999998</v>
      </c>
    </row>
    <row r="47" spans="1:56">
      <c r="A47" s="121" t="s">
        <v>623</v>
      </c>
      <c r="B47" s="90" t="s">
        <v>417</v>
      </c>
      <c r="C47" s="90">
        <v>-180.899</v>
      </c>
      <c r="J47" s="5">
        <v>26</v>
      </c>
      <c r="K47" s="23">
        <f t="shared" si="13"/>
        <v>109</v>
      </c>
      <c r="L47" s="24">
        <f t="shared" si="5"/>
        <v>5</v>
      </c>
      <c r="M47" s="5">
        <f t="shared" si="6"/>
        <v>376.762</v>
      </c>
      <c r="N47" s="25">
        <f t="shared" si="7"/>
        <v>4.8890215947873614E-4</v>
      </c>
      <c r="O47" s="26">
        <f t="shared" si="8"/>
        <v>19</v>
      </c>
      <c r="P47" s="27">
        <f t="shared" si="9"/>
        <v>376.77128914103008</v>
      </c>
      <c r="Q47" s="27">
        <f t="shared" si="12"/>
        <v>376.76884463023271</v>
      </c>
      <c r="R47" s="5"/>
      <c r="S47" s="21"/>
      <c r="T47" s="21"/>
      <c r="U47" s="21"/>
      <c r="V47" s="21"/>
      <c r="W47" s="21"/>
      <c r="X47" s="21"/>
      <c r="Y47" s="21"/>
      <c r="Z47" s="21"/>
      <c r="AA47" s="21"/>
      <c r="AB47" s="21"/>
      <c r="AC47" s="30">
        <f>AC46</f>
        <v>376.76442228196936</v>
      </c>
      <c r="AD47" s="30">
        <f>Q47</f>
        <v>376.76884463023271</v>
      </c>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f t="shared" si="10"/>
        <v>376.71800000000002</v>
      </c>
      <c r="BD47" s="21">
        <f t="shared" si="11"/>
        <v>376.78199999999998</v>
      </c>
    </row>
    <row r="48" spans="1:56">
      <c r="A48" s="90" t="s">
        <v>412</v>
      </c>
      <c r="B48" s="90" t="s">
        <v>413</v>
      </c>
      <c r="C48" s="90">
        <v>376.73399999999998</v>
      </c>
      <c r="J48" s="5">
        <v>25</v>
      </c>
      <c r="K48" s="23">
        <f t="shared" si="13"/>
        <v>119</v>
      </c>
      <c r="L48" s="24">
        <f t="shared" si="5"/>
        <v>6</v>
      </c>
      <c r="M48" s="5">
        <f t="shared" si="6"/>
        <v>376.77300029858827</v>
      </c>
      <c r="N48" s="25">
        <f t="shared" si="7"/>
        <v>-2.4444576560452131E-3</v>
      </c>
      <c r="O48" s="26">
        <f t="shared" si="8"/>
        <v>6.5</v>
      </c>
      <c r="P48" s="27">
        <f t="shared" si="9"/>
        <v>376.75711132382401</v>
      </c>
      <c r="Q48" s="27">
        <f t="shared" si="12"/>
        <v>376.76420023242702</v>
      </c>
      <c r="R48" s="5"/>
      <c r="S48" s="21"/>
      <c r="T48" s="21"/>
      <c r="U48" s="21"/>
      <c r="V48" s="21"/>
      <c r="W48" s="21"/>
      <c r="X48" s="21"/>
      <c r="Y48" s="21"/>
      <c r="Z48" s="21"/>
      <c r="AA48" s="21"/>
      <c r="AB48" s="21"/>
      <c r="AC48" s="21"/>
      <c r="AD48" s="30">
        <f>AD47</f>
        <v>376.76884463023271</v>
      </c>
      <c r="AE48" s="30">
        <f>Q48</f>
        <v>376.76420023242702</v>
      </c>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f t="shared" si="10"/>
        <v>376.71800000000002</v>
      </c>
      <c r="BD48" s="21">
        <f t="shared" si="11"/>
        <v>376.78199999999998</v>
      </c>
    </row>
    <row r="49" spans="1:56">
      <c r="A49" s="90" t="s">
        <v>624</v>
      </c>
      <c r="B49" s="90" t="s">
        <v>415</v>
      </c>
      <c r="C49" s="90">
        <v>0</v>
      </c>
      <c r="J49" s="5">
        <v>24</v>
      </c>
      <c r="K49" s="23">
        <f t="shared" si="13"/>
        <v>129</v>
      </c>
      <c r="L49" s="24">
        <f t="shared" si="5"/>
        <v>6</v>
      </c>
      <c r="M49" s="5">
        <f t="shared" si="6"/>
        <v>376.77300029858827</v>
      </c>
      <c r="N49" s="25">
        <f t="shared" si="7"/>
        <v>-2.4444576560452131E-3</v>
      </c>
      <c r="O49" s="26">
        <f t="shared" si="8"/>
        <v>16.5</v>
      </c>
      <c r="P49" s="27">
        <f t="shared" si="9"/>
        <v>376.73266674726352</v>
      </c>
      <c r="Q49" s="27">
        <f t="shared" si="12"/>
        <v>376.74488903554379</v>
      </c>
      <c r="R49" s="5"/>
      <c r="S49" s="21"/>
      <c r="T49" s="21"/>
      <c r="U49" s="21"/>
      <c r="V49" s="21"/>
      <c r="W49" s="21"/>
      <c r="X49" s="21"/>
      <c r="Y49" s="21"/>
      <c r="Z49" s="21"/>
      <c r="AA49" s="21"/>
      <c r="AB49" s="21"/>
      <c r="AC49" s="21"/>
      <c r="AD49" s="21"/>
      <c r="AE49" s="30">
        <f>AE48</f>
        <v>376.76420023242702</v>
      </c>
      <c r="AF49" s="30">
        <f>Q49</f>
        <v>376.74488903554379</v>
      </c>
      <c r="AG49" s="21"/>
      <c r="AH49" s="21"/>
      <c r="AI49" s="21"/>
      <c r="AJ49" s="21"/>
      <c r="AK49" s="21"/>
      <c r="AL49" s="21"/>
      <c r="AM49" s="21"/>
      <c r="AN49" s="21"/>
      <c r="AO49" s="21"/>
      <c r="AP49" s="21"/>
      <c r="AQ49" s="21"/>
      <c r="AR49" s="21"/>
      <c r="AS49" s="21"/>
      <c r="AT49" s="21"/>
      <c r="AU49" s="21"/>
      <c r="AV49" s="21"/>
      <c r="AW49" s="21"/>
      <c r="AX49" s="21"/>
      <c r="AY49" s="21"/>
      <c r="AZ49" s="21"/>
      <c r="BA49" s="21"/>
      <c r="BB49" s="21"/>
      <c r="BC49" s="21">
        <f t="shared" si="10"/>
        <v>376.71800000000002</v>
      </c>
      <c r="BD49" s="21">
        <f t="shared" si="11"/>
        <v>376.78199999999998</v>
      </c>
    </row>
    <row r="50" spans="1:56">
      <c r="A50" s="121" t="s">
        <v>625</v>
      </c>
      <c r="B50" s="90" t="s">
        <v>417</v>
      </c>
      <c r="C50" s="90">
        <v>-180.9</v>
      </c>
      <c r="J50" s="5">
        <v>23</v>
      </c>
      <c r="K50" s="23">
        <f t="shared" si="13"/>
        <v>139</v>
      </c>
      <c r="L50" s="24">
        <f t="shared" si="5"/>
        <v>7</v>
      </c>
      <c r="M50" s="5">
        <f t="shared" si="6"/>
        <v>376.71800000132725</v>
      </c>
      <c r="N50" s="25">
        <f t="shared" si="7"/>
        <v>-8.8888416972723568E-5</v>
      </c>
      <c r="O50" s="26">
        <f t="shared" si="8"/>
        <v>4</v>
      </c>
      <c r="P50" s="27">
        <f t="shared" si="9"/>
        <v>376.71764444765938</v>
      </c>
      <c r="Q50" s="27">
        <f t="shared" si="12"/>
        <v>376.72515559746148</v>
      </c>
      <c r="R50" s="5"/>
      <c r="S50" s="21"/>
      <c r="T50" s="21"/>
      <c r="U50" s="21"/>
      <c r="V50" s="21"/>
      <c r="W50" s="21"/>
      <c r="X50" s="21"/>
      <c r="Y50" s="21"/>
      <c r="Z50" s="21"/>
      <c r="AA50" s="21"/>
      <c r="AB50" s="21"/>
      <c r="AC50" s="21"/>
      <c r="AD50" s="21"/>
      <c r="AE50" s="21"/>
      <c r="AF50" s="30">
        <f>AF49</f>
        <v>376.74488903554379</v>
      </c>
      <c r="AG50" s="30">
        <f>Q50</f>
        <v>376.72515559746148</v>
      </c>
      <c r="AH50" s="21"/>
      <c r="AI50" s="21"/>
      <c r="AJ50" s="21"/>
      <c r="AK50" s="21"/>
      <c r="AL50" s="21"/>
      <c r="AM50" s="21"/>
      <c r="AN50" s="21"/>
      <c r="AO50" s="21"/>
      <c r="AP50" s="21"/>
      <c r="AQ50" s="21"/>
      <c r="AR50" s="21"/>
      <c r="AS50" s="21"/>
      <c r="AT50" s="21"/>
      <c r="AU50" s="21"/>
      <c r="AV50" s="21"/>
      <c r="AW50" s="21"/>
      <c r="AX50" s="21"/>
      <c r="AY50" s="21"/>
      <c r="AZ50" s="21"/>
      <c r="BA50" s="21"/>
      <c r="BB50" s="21"/>
      <c r="BC50" s="21">
        <f t="shared" si="10"/>
        <v>376.71800000000002</v>
      </c>
      <c r="BD50" s="21">
        <f t="shared" si="11"/>
        <v>376.78199999999998</v>
      </c>
    </row>
    <row r="51" spans="1:56">
      <c r="A51" s="90" t="s">
        <v>412</v>
      </c>
      <c r="B51" s="90" t="s">
        <v>413</v>
      </c>
      <c r="C51" s="90">
        <v>376.72899999999998</v>
      </c>
      <c r="J51" s="5">
        <v>22</v>
      </c>
      <c r="K51" s="23">
        <f t="shared" si="13"/>
        <v>149</v>
      </c>
      <c r="L51" s="24">
        <f t="shared" si="5"/>
        <v>7</v>
      </c>
      <c r="M51" s="5">
        <f t="shared" si="6"/>
        <v>376.71800000132725</v>
      </c>
      <c r="N51" s="25">
        <f t="shared" si="7"/>
        <v>-8.8888416972723568E-5</v>
      </c>
      <c r="O51" s="26">
        <f t="shared" si="8"/>
        <v>14</v>
      </c>
      <c r="P51" s="27">
        <f t="shared" si="9"/>
        <v>376.71675556348964</v>
      </c>
      <c r="Q51" s="27">
        <f t="shared" si="12"/>
        <v>376.71720000557451</v>
      </c>
      <c r="R51" s="5"/>
      <c r="S51" s="21"/>
      <c r="T51" s="21"/>
      <c r="U51" s="21"/>
      <c r="V51" s="21"/>
      <c r="W51" s="21"/>
      <c r="X51" s="21"/>
      <c r="Y51" s="21"/>
      <c r="Z51" s="21"/>
      <c r="AA51" s="21"/>
      <c r="AB51" s="21"/>
      <c r="AC51" s="21"/>
      <c r="AD51" s="21"/>
      <c r="AE51" s="21"/>
      <c r="AF51" s="21"/>
      <c r="AG51" s="30">
        <f>AG50</f>
        <v>376.72515559746148</v>
      </c>
      <c r="AH51" s="30">
        <f>Q51</f>
        <v>376.71720000557451</v>
      </c>
      <c r="AI51" s="21"/>
      <c r="AJ51" s="21"/>
      <c r="AK51" s="21"/>
      <c r="AL51" s="21"/>
      <c r="AM51" s="21"/>
      <c r="AN51" s="21"/>
      <c r="AO51" s="21"/>
      <c r="AP51" s="21"/>
      <c r="AQ51" s="21"/>
      <c r="AR51" s="21"/>
      <c r="AS51" s="21"/>
      <c r="AT51" s="21"/>
      <c r="AU51" s="21"/>
      <c r="AV51" s="21"/>
      <c r="AW51" s="21"/>
      <c r="AX51" s="21"/>
      <c r="AY51" s="21"/>
      <c r="AZ51" s="21"/>
      <c r="BA51" s="21"/>
      <c r="BB51" s="21"/>
      <c r="BC51" s="21">
        <f t="shared" si="10"/>
        <v>376.71800000000002</v>
      </c>
      <c r="BD51" s="21">
        <f t="shared" si="11"/>
        <v>376.78199999999998</v>
      </c>
    </row>
    <row r="52" spans="1:56">
      <c r="A52" s="90" t="s">
        <v>626</v>
      </c>
      <c r="B52" s="90" t="s">
        <v>415</v>
      </c>
      <c r="C52" s="90">
        <v>-5.0000000000000001E-3</v>
      </c>
      <c r="J52" s="5">
        <v>21</v>
      </c>
      <c r="K52" s="23">
        <f t="shared" si="13"/>
        <v>159</v>
      </c>
      <c r="L52" s="24">
        <f t="shared" si="5"/>
        <v>8</v>
      </c>
      <c r="M52" s="5">
        <f t="shared" si="6"/>
        <v>376.71600001194537</v>
      </c>
      <c r="N52" s="25">
        <f t="shared" si="7"/>
        <v>-4.8888941979486039E-4</v>
      </c>
      <c r="O52" s="26">
        <f t="shared" si="8"/>
        <v>1.5</v>
      </c>
      <c r="P52" s="27">
        <f t="shared" si="9"/>
        <v>376.71526667781569</v>
      </c>
      <c r="Q52" s="27">
        <f t="shared" si="12"/>
        <v>376.71601112065264</v>
      </c>
      <c r="R52" s="5"/>
      <c r="S52" s="21"/>
      <c r="T52" s="21"/>
      <c r="U52" s="21"/>
      <c r="V52" s="21"/>
      <c r="W52" s="21"/>
      <c r="X52" s="21"/>
      <c r="Y52" s="21"/>
      <c r="Z52" s="21"/>
      <c r="AA52" s="21"/>
      <c r="AB52" s="21"/>
      <c r="AC52" s="21"/>
      <c r="AD52" s="21"/>
      <c r="AE52" s="21"/>
      <c r="AF52" s="21"/>
      <c r="AG52" s="21"/>
      <c r="AH52" s="30">
        <f>AH51</f>
        <v>376.71720000557451</v>
      </c>
      <c r="AI52" s="30">
        <f>Q52</f>
        <v>376.71601112065264</v>
      </c>
      <c r="AJ52" s="21"/>
      <c r="AK52" s="21"/>
      <c r="AL52" s="21"/>
      <c r="AM52" s="21"/>
      <c r="AN52" s="21"/>
      <c r="AO52" s="21"/>
      <c r="AP52" s="21"/>
      <c r="AQ52" s="21"/>
      <c r="AR52" s="21"/>
      <c r="AS52" s="21"/>
      <c r="AT52" s="21"/>
      <c r="AU52" s="21"/>
      <c r="AV52" s="21"/>
      <c r="AW52" s="21"/>
      <c r="AX52" s="21"/>
      <c r="AY52" s="21"/>
      <c r="AZ52" s="21"/>
      <c r="BA52" s="21"/>
      <c r="BB52" s="21"/>
      <c r="BC52" s="21">
        <f t="shared" si="10"/>
        <v>376.71800000000002</v>
      </c>
      <c r="BD52" s="21">
        <f t="shared" si="11"/>
        <v>376.78199999999998</v>
      </c>
    </row>
    <row r="53" spans="1:56">
      <c r="A53" s="121" t="s">
        <v>627</v>
      </c>
      <c r="B53" s="90" t="s">
        <v>417</v>
      </c>
      <c r="C53" s="90">
        <v>-180.899</v>
      </c>
      <c r="J53" s="5">
        <v>20</v>
      </c>
      <c r="K53" s="23">
        <f t="shared" si="13"/>
        <v>169</v>
      </c>
      <c r="L53" s="24">
        <f t="shared" si="5"/>
        <v>8</v>
      </c>
      <c r="M53" s="5">
        <f t="shared" si="6"/>
        <v>376.71600001194537</v>
      </c>
      <c r="N53" s="25">
        <f t="shared" si="7"/>
        <v>-4.8888941979486039E-4</v>
      </c>
      <c r="O53" s="26">
        <f t="shared" si="8"/>
        <v>11.5</v>
      </c>
      <c r="P53" s="27">
        <f t="shared" si="9"/>
        <v>376.71037778361773</v>
      </c>
      <c r="Q53" s="27">
        <f t="shared" si="12"/>
        <v>376.71282223071671</v>
      </c>
      <c r="R53" s="5"/>
      <c r="S53" s="21"/>
      <c r="T53" s="21"/>
      <c r="U53" s="21"/>
      <c r="V53" s="21"/>
      <c r="W53" s="21"/>
      <c r="X53" s="21"/>
      <c r="Y53" s="21"/>
      <c r="Z53" s="21"/>
      <c r="AA53" s="21"/>
      <c r="AB53" s="21"/>
      <c r="AC53" s="21"/>
      <c r="AD53" s="21"/>
      <c r="AE53" s="21"/>
      <c r="AF53" s="21"/>
      <c r="AG53" s="21"/>
      <c r="AH53" s="21"/>
      <c r="AI53" s="30">
        <f>AI52</f>
        <v>376.71601112065264</v>
      </c>
      <c r="AJ53" s="30">
        <f>Q53</f>
        <v>376.71282223071671</v>
      </c>
      <c r="AK53" s="21"/>
      <c r="AL53" s="21"/>
      <c r="AM53" s="21"/>
      <c r="AN53" s="21"/>
      <c r="AO53" s="21"/>
      <c r="AP53" s="21"/>
      <c r="AQ53" s="21"/>
      <c r="AR53" s="21"/>
      <c r="AS53" s="21"/>
      <c r="AT53" s="21"/>
      <c r="AU53" s="21"/>
      <c r="AV53" s="21"/>
      <c r="AW53" s="21"/>
      <c r="AX53" s="21"/>
      <c r="AY53" s="21"/>
      <c r="AZ53" s="21"/>
      <c r="BA53" s="21"/>
      <c r="BB53" s="21"/>
      <c r="BC53" s="21">
        <f t="shared" si="10"/>
        <v>376.71800000000002</v>
      </c>
      <c r="BD53" s="21">
        <f t="shared" si="11"/>
        <v>376.78199999999998</v>
      </c>
    </row>
    <row r="54" spans="1:56">
      <c r="J54" s="5">
        <v>19</v>
      </c>
      <c r="K54" s="23">
        <f t="shared" si="13"/>
        <v>179</v>
      </c>
      <c r="L54" s="24">
        <f t="shared" si="5"/>
        <v>8</v>
      </c>
      <c r="M54" s="5">
        <f t="shared" si="6"/>
        <v>376.71600001194537</v>
      </c>
      <c r="N54" s="25">
        <f t="shared" si="7"/>
        <v>-4.8888941979486039E-4</v>
      </c>
      <c r="O54" s="26">
        <f t="shared" si="8"/>
        <v>21.5</v>
      </c>
      <c r="P54" s="27">
        <f t="shared" si="9"/>
        <v>376.70548888941977</v>
      </c>
      <c r="Q54" s="27">
        <f t="shared" si="12"/>
        <v>376.70793333651875</v>
      </c>
      <c r="R54" s="5"/>
      <c r="S54" s="21"/>
      <c r="T54" s="21"/>
      <c r="U54" s="21"/>
      <c r="V54" s="21"/>
      <c r="W54" s="21"/>
      <c r="X54" s="21"/>
      <c r="Y54" s="21"/>
      <c r="Z54" s="21"/>
      <c r="AA54" s="21"/>
      <c r="AB54" s="21"/>
      <c r="AC54" s="21"/>
      <c r="AD54" s="21"/>
      <c r="AE54" s="21"/>
      <c r="AF54" s="21"/>
      <c r="AG54" s="21"/>
      <c r="AH54" s="21"/>
      <c r="AI54" s="21"/>
      <c r="AJ54" s="30">
        <f>AJ53</f>
        <v>376.71282223071671</v>
      </c>
      <c r="AK54" s="30">
        <f>Q54</f>
        <v>376.70793333651875</v>
      </c>
      <c r="AL54" s="21"/>
      <c r="AM54" s="21"/>
      <c r="AN54" s="21"/>
      <c r="AO54" s="21"/>
      <c r="AP54" s="21"/>
      <c r="AQ54" s="21"/>
      <c r="AR54" s="21"/>
      <c r="AS54" s="21"/>
      <c r="AT54" s="21"/>
      <c r="AU54" s="21"/>
      <c r="AV54" s="21"/>
      <c r="AW54" s="21"/>
      <c r="AX54" s="21"/>
      <c r="AY54" s="21"/>
      <c r="AZ54" s="21"/>
      <c r="BA54" s="21"/>
      <c r="BB54" s="21"/>
      <c r="BC54" s="21">
        <f t="shared" si="10"/>
        <v>376.71800000000002</v>
      </c>
      <c r="BD54" s="21">
        <f t="shared" si="11"/>
        <v>376.78199999999998</v>
      </c>
    </row>
    <row r="55" spans="1:56">
      <c r="A55" s="1"/>
      <c r="J55" s="5">
        <v>18</v>
      </c>
      <c r="K55" s="23">
        <f t="shared" si="13"/>
        <v>189</v>
      </c>
      <c r="L55" s="24">
        <f t="shared" si="5"/>
        <v>9</v>
      </c>
      <c r="M55" s="5">
        <f t="shared" si="6"/>
        <v>376.70499999999998</v>
      </c>
      <c r="N55" s="25">
        <f t="shared" si="7"/>
        <v>5.7777925250219499E-4</v>
      </c>
      <c r="O55" s="26">
        <f t="shared" si="8"/>
        <v>9</v>
      </c>
      <c r="P55" s="27">
        <f t="shared" si="9"/>
        <v>376.71020001327253</v>
      </c>
      <c r="Q55" s="27">
        <f t="shared" si="12"/>
        <v>376.70784445134615</v>
      </c>
      <c r="R55" s="5"/>
      <c r="S55" s="21"/>
      <c r="T55" s="21"/>
      <c r="U55" s="21"/>
      <c r="V55" s="21"/>
      <c r="W55" s="21"/>
      <c r="X55" s="21"/>
      <c r="Y55" s="21"/>
      <c r="Z55" s="21"/>
      <c r="AA55" s="21"/>
      <c r="AB55" s="21"/>
      <c r="AC55" s="21"/>
      <c r="AD55" s="21"/>
      <c r="AE55" s="21"/>
      <c r="AF55" s="21"/>
      <c r="AG55" s="21"/>
      <c r="AH55" s="21"/>
      <c r="AI55" s="21"/>
      <c r="AJ55" s="21"/>
      <c r="AK55" s="30">
        <f>AK54</f>
        <v>376.70793333651875</v>
      </c>
      <c r="AL55" s="30">
        <f>Q55</f>
        <v>376.70784445134615</v>
      </c>
      <c r="AM55" s="21"/>
      <c r="AN55" s="21"/>
      <c r="AO55" s="21"/>
      <c r="AP55" s="21"/>
      <c r="AQ55" s="21"/>
      <c r="AR55" s="21"/>
      <c r="AS55" s="21"/>
      <c r="AT55" s="21"/>
      <c r="AU55" s="21"/>
      <c r="AV55" s="21"/>
      <c r="AW55" s="21"/>
      <c r="AX55" s="21"/>
      <c r="AY55" s="21"/>
      <c r="AZ55" s="21"/>
      <c r="BA55" s="21"/>
      <c r="BB55" s="21"/>
      <c r="BC55" s="21">
        <f t="shared" si="10"/>
        <v>376.71800000000002</v>
      </c>
      <c r="BD55" s="21">
        <f t="shared" si="11"/>
        <v>376.78199999999998</v>
      </c>
    </row>
    <row r="56" spans="1:56">
      <c r="A56" s="1"/>
      <c r="J56" s="5">
        <v>17</v>
      </c>
      <c r="K56" s="23">
        <f t="shared" si="13"/>
        <v>199</v>
      </c>
      <c r="L56" s="24">
        <f t="shared" si="5"/>
        <v>9</v>
      </c>
      <c r="M56" s="5">
        <f t="shared" si="6"/>
        <v>376.70499999999998</v>
      </c>
      <c r="N56" s="25">
        <f t="shared" si="7"/>
        <v>5.7777925250219499E-4</v>
      </c>
      <c r="O56" s="26">
        <f t="shared" si="8"/>
        <v>19</v>
      </c>
      <c r="P56" s="27">
        <f t="shared" si="9"/>
        <v>376.71597780579754</v>
      </c>
      <c r="Q56" s="27">
        <f t="shared" si="12"/>
        <v>376.71308890953503</v>
      </c>
      <c r="R56" s="5"/>
      <c r="S56" s="21"/>
      <c r="T56" s="21"/>
      <c r="U56" s="21"/>
      <c r="V56" s="21"/>
      <c r="W56" s="21"/>
      <c r="X56" s="21"/>
      <c r="Y56" s="21"/>
      <c r="Z56" s="21"/>
      <c r="AA56" s="21"/>
      <c r="AB56" s="21"/>
      <c r="AC56" s="21"/>
      <c r="AD56" s="21"/>
      <c r="AE56" s="21"/>
      <c r="AF56" s="21"/>
      <c r="AG56" s="21"/>
      <c r="AH56" s="21"/>
      <c r="AI56" s="21"/>
      <c r="AJ56" s="21"/>
      <c r="AK56" s="21"/>
      <c r="AL56" s="30">
        <f>AL55</f>
        <v>376.70784445134615</v>
      </c>
      <c r="AM56" s="30">
        <f>Q56</f>
        <v>376.71308890953503</v>
      </c>
      <c r="AN56" s="21"/>
      <c r="AO56" s="21"/>
      <c r="AP56" s="21"/>
      <c r="AQ56" s="21"/>
      <c r="AR56" s="21"/>
      <c r="AS56" s="21"/>
      <c r="AT56" s="21"/>
      <c r="AU56" s="21"/>
      <c r="AV56" s="21"/>
      <c r="AW56" s="21"/>
      <c r="AX56" s="21"/>
      <c r="AY56" s="21"/>
      <c r="AZ56" s="21"/>
      <c r="BA56" s="21"/>
      <c r="BB56" s="21"/>
      <c r="BC56" s="21">
        <f t="shared" si="10"/>
        <v>376.71800000000002</v>
      </c>
      <c r="BD56" s="21">
        <f t="shared" si="11"/>
        <v>376.78199999999998</v>
      </c>
    </row>
    <row r="57" spans="1:56">
      <c r="A57" s="1"/>
      <c r="J57" s="5">
        <v>16</v>
      </c>
      <c r="K57" s="23">
        <f t="shared" si="13"/>
        <v>209</v>
      </c>
      <c r="L57" s="24">
        <f t="shared" si="5"/>
        <v>10</v>
      </c>
      <c r="M57" s="5">
        <f t="shared" si="6"/>
        <v>376.71800003318128</v>
      </c>
      <c r="N57" s="25">
        <f t="shared" si="7"/>
        <v>1.0666652509295697E-3</v>
      </c>
      <c r="O57" s="26">
        <f t="shared" si="8"/>
        <v>6.5</v>
      </c>
      <c r="P57" s="27">
        <f t="shared" si="9"/>
        <v>376.72493335731235</v>
      </c>
      <c r="Q57" s="27">
        <f t="shared" si="12"/>
        <v>376.72045558155492</v>
      </c>
      <c r="R57" s="5"/>
      <c r="S57" s="21"/>
      <c r="T57" s="21"/>
      <c r="U57" s="21"/>
      <c r="V57" s="21"/>
      <c r="W57" s="21"/>
      <c r="X57" s="21"/>
      <c r="Y57" s="21"/>
      <c r="Z57" s="21"/>
      <c r="AA57" s="21"/>
      <c r="AB57" s="21"/>
      <c r="AC57" s="21"/>
      <c r="AD57" s="21"/>
      <c r="AE57" s="21"/>
      <c r="AF57" s="21"/>
      <c r="AG57" s="21"/>
      <c r="AH57" s="21"/>
      <c r="AI57" s="21"/>
      <c r="AJ57" s="21"/>
      <c r="AK57" s="21"/>
      <c r="AL57" s="21"/>
      <c r="AM57" s="30">
        <f>AM56</f>
        <v>376.71308890953503</v>
      </c>
      <c r="AN57" s="30">
        <f>Q57</f>
        <v>376.72045558155492</v>
      </c>
      <c r="AO57" s="21"/>
      <c r="AP57" s="21"/>
      <c r="AQ57" s="21"/>
      <c r="AR57" s="21"/>
      <c r="AS57" s="21"/>
      <c r="AT57" s="21"/>
      <c r="AU57" s="21"/>
      <c r="AV57" s="21"/>
      <c r="AW57" s="21"/>
      <c r="AX57" s="21"/>
      <c r="AY57" s="21"/>
      <c r="AZ57" s="21"/>
      <c r="BA57" s="21"/>
      <c r="BB57" s="21"/>
      <c r="BC57" s="21">
        <f t="shared" si="10"/>
        <v>376.71800000000002</v>
      </c>
      <c r="BD57" s="21">
        <f t="shared" si="11"/>
        <v>376.78199999999998</v>
      </c>
    </row>
    <row r="58" spans="1:56">
      <c r="A58" s="1"/>
      <c r="J58" s="5">
        <v>15</v>
      </c>
      <c r="K58" s="23">
        <f t="shared" si="13"/>
        <v>219</v>
      </c>
      <c r="L58" s="24">
        <f t="shared" si="5"/>
        <v>10</v>
      </c>
      <c r="M58" s="5">
        <f t="shared" si="6"/>
        <v>376.71800003318128</v>
      </c>
      <c r="N58" s="25">
        <f t="shared" si="7"/>
        <v>1.0666652509295697E-3</v>
      </c>
      <c r="O58" s="26">
        <f t="shared" si="8"/>
        <v>16.5</v>
      </c>
      <c r="P58" s="27">
        <f t="shared" si="9"/>
        <v>376.73560000982161</v>
      </c>
      <c r="Q58" s="27">
        <f t="shared" si="12"/>
        <v>376.73026668356698</v>
      </c>
      <c r="R58" s="5"/>
      <c r="S58" s="21"/>
      <c r="T58" s="21"/>
      <c r="U58" s="21"/>
      <c r="V58" s="21"/>
      <c r="W58" s="21"/>
      <c r="X58" s="21"/>
      <c r="Y58" s="21"/>
      <c r="Z58" s="21"/>
      <c r="AA58" s="21"/>
      <c r="AB58" s="21"/>
      <c r="AC58" s="21"/>
      <c r="AD58" s="21"/>
      <c r="AE58" s="21"/>
      <c r="AF58" s="21"/>
      <c r="AG58" s="21"/>
      <c r="AH58" s="21"/>
      <c r="AI58" s="21"/>
      <c r="AJ58" s="21"/>
      <c r="AK58" s="21"/>
      <c r="AL58" s="21"/>
      <c r="AM58" s="21"/>
      <c r="AN58" s="30">
        <f>AN57</f>
        <v>376.72045558155492</v>
      </c>
      <c r="AO58" s="30">
        <f>Q58</f>
        <v>376.73026668356698</v>
      </c>
      <c r="AP58" s="21"/>
      <c r="AQ58" s="21"/>
      <c r="AR58" s="21"/>
      <c r="AS58" s="21"/>
      <c r="AT58" s="21"/>
      <c r="AU58" s="21"/>
      <c r="AV58" s="21"/>
      <c r="AW58" s="21"/>
      <c r="AX58" s="21"/>
      <c r="AY58" s="21"/>
      <c r="AZ58" s="21"/>
      <c r="BA58" s="21"/>
      <c r="BB58" s="21"/>
      <c r="BC58" s="21">
        <f t="shared" si="10"/>
        <v>376.71800000000002</v>
      </c>
      <c r="BD58" s="21">
        <f t="shared" si="11"/>
        <v>376.78199999999998</v>
      </c>
    </row>
    <row r="59" spans="1:56">
      <c r="J59" s="5">
        <v>14</v>
      </c>
      <c r="K59" s="23">
        <f t="shared" si="13"/>
        <v>229</v>
      </c>
      <c r="L59" s="24">
        <f t="shared" si="5"/>
        <v>11</v>
      </c>
      <c r="M59" s="5">
        <f t="shared" si="6"/>
        <v>376.7420000013272</v>
      </c>
      <c r="N59" s="25">
        <f t="shared" si="7"/>
        <v>1.5111115829439666E-3</v>
      </c>
      <c r="O59" s="26">
        <f t="shared" si="8"/>
        <v>4</v>
      </c>
      <c r="P59" s="27">
        <f t="shared" si="9"/>
        <v>376.74804444765897</v>
      </c>
      <c r="Q59" s="27">
        <f t="shared" si="12"/>
        <v>376.74182222874026</v>
      </c>
      <c r="R59" s="5"/>
      <c r="S59" s="21"/>
      <c r="T59" s="21"/>
      <c r="U59" s="21"/>
      <c r="V59" s="21"/>
      <c r="W59" s="21"/>
      <c r="X59" s="21"/>
      <c r="Y59" s="21"/>
      <c r="Z59" s="21"/>
      <c r="AA59" s="21"/>
      <c r="AB59" s="21"/>
      <c r="AC59" s="21"/>
      <c r="AD59" s="21"/>
      <c r="AE59" s="21"/>
      <c r="AF59" s="21"/>
      <c r="AG59" s="21"/>
      <c r="AH59" s="21"/>
      <c r="AI59" s="21"/>
      <c r="AJ59" s="21"/>
      <c r="AK59" s="21"/>
      <c r="AL59" s="21"/>
      <c r="AM59" s="21"/>
      <c r="AN59" s="21"/>
      <c r="AO59" s="30">
        <f>AO58</f>
        <v>376.73026668356698</v>
      </c>
      <c r="AP59" s="30">
        <f>Q59</f>
        <v>376.74182222874026</v>
      </c>
      <c r="AQ59" s="21"/>
      <c r="AR59" s="21"/>
      <c r="AS59" s="21"/>
      <c r="AT59" s="21"/>
      <c r="AU59" s="21"/>
      <c r="AV59" s="21"/>
      <c r="AW59" s="21"/>
      <c r="AX59" s="21"/>
      <c r="AY59" s="21"/>
      <c r="AZ59" s="21"/>
      <c r="BA59" s="21"/>
      <c r="BB59" s="21"/>
      <c r="BC59" s="21">
        <f t="shared" si="10"/>
        <v>376.71800000000002</v>
      </c>
      <c r="BD59" s="21">
        <f t="shared" si="11"/>
        <v>376.78199999999998</v>
      </c>
    </row>
    <row r="60" spans="1:56">
      <c r="J60" s="5">
        <v>13</v>
      </c>
      <c r="K60" s="23">
        <f t="shared" si="13"/>
        <v>239</v>
      </c>
      <c r="L60" s="24">
        <f t="shared" si="5"/>
        <v>11</v>
      </c>
      <c r="M60" s="5">
        <f t="shared" si="6"/>
        <v>376.7420000013272</v>
      </c>
      <c r="N60" s="25">
        <f t="shared" si="7"/>
        <v>1.5111115829439666E-3</v>
      </c>
      <c r="O60" s="26">
        <f t="shared" si="8"/>
        <v>14</v>
      </c>
      <c r="P60" s="27">
        <f t="shared" si="9"/>
        <v>376.7631555634884</v>
      </c>
      <c r="Q60" s="27">
        <f t="shared" si="12"/>
        <v>376.75560000557368</v>
      </c>
      <c r="R60" s="5"/>
      <c r="S60" s="21"/>
      <c r="T60" s="21"/>
      <c r="U60" s="21"/>
      <c r="V60" s="21"/>
      <c r="W60" s="21"/>
      <c r="X60" s="21"/>
      <c r="Y60" s="21"/>
      <c r="Z60" s="21"/>
      <c r="AA60" s="21"/>
      <c r="AB60" s="21"/>
      <c r="AC60" s="21"/>
      <c r="AD60" s="21"/>
      <c r="AE60" s="21"/>
      <c r="AF60" s="21"/>
      <c r="AG60" s="21"/>
      <c r="AH60" s="21"/>
      <c r="AI60" s="21"/>
      <c r="AJ60" s="21"/>
      <c r="AK60" s="21"/>
      <c r="AL60" s="21"/>
      <c r="AM60" s="21"/>
      <c r="AN60" s="21"/>
      <c r="AO60" s="21"/>
      <c r="AP60" s="30">
        <f>AP59</f>
        <v>376.74182222874026</v>
      </c>
      <c r="AQ60" s="30">
        <f>Q60</f>
        <v>376.75560000557368</v>
      </c>
      <c r="AR60" s="21"/>
      <c r="AS60" s="21"/>
      <c r="AT60" s="21"/>
      <c r="AU60" s="21"/>
      <c r="AV60" s="21"/>
      <c r="AW60" s="21"/>
      <c r="AX60" s="21"/>
      <c r="AY60" s="21"/>
      <c r="AZ60" s="21"/>
      <c r="BA60" s="21"/>
      <c r="BB60" s="21"/>
      <c r="BC60" s="21">
        <f t="shared" si="10"/>
        <v>376.71800000000002</v>
      </c>
      <c r="BD60" s="21">
        <f t="shared" si="11"/>
        <v>376.78199999999998</v>
      </c>
    </row>
    <row r="61" spans="1:56">
      <c r="J61" s="5">
        <v>12</v>
      </c>
      <c r="K61" s="23">
        <f t="shared" si="13"/>
        <v>249</v>
      </c>
      <c r="L61" s="24">
        <f t="shared" si="5"/>
        <v>12</v>
      </c>
      <c r="M61" s="5">
        <f t="shared" si="6"/>
        <v>376.77600001194344</v>
      </c>
      <c r="N61" s="25">
        <f t="shared" si="7"/>
        <v>-2.6666719748694352E-4</v>
      </c>
      <c r="O61" s="26">
        <f t="shared" si="8"/>
        <v>1.5</v>
      </c>
      <c r="P61" s="27">
        <f t="shared" si="9"/>
        <v>376.77560001114722</v>
      </c>
      <c r="Q61" s="27">
        <f t="shared" si="12"/>
        <v>376.76937778731781</v>
      </c>
      <c r="R61" s="5"/>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30">
        <f>AQ60</f>
        <v>376.75560000557368</v>
      </c>
      <c r="AR61" s="30">
        <f>Q61</f>
        <v>376.76937778731781</v>
      </c>
      <c r="AS61" s="21"/>
      <c r="AT61" s="21"/>
      <c r="AU61" s="21"/>
      <c r="AV61" s="21"/>
      <c r="AW61" s="21"/>
      <c r="AX61" s="21"/>
      <c r="AY61" s="21"/>
      <c r="AZ61" s="21"/>
      <c r="BA61" s="21"/>
      <c r="BB61" s="21"/>
      <c r="BC61" s="21">
        <f t="shared" si="10"/>
        <v>376.71800000000002</v>
      </c>
      <c r="BD61" s="21">
        <f t="shared" si="11"/>
        <v>376.78199999999998</v>
      </c>
    </row>
    <row r="62" spans="1:56">
      <c r="J62" s="5">
        <v>11</v>
      </c>
      <c r="K62" s="23">
        <f t="shared" si="13"/>
        <v>259</v>
      </c>
      <c r="L62" s="24">
        <f t="shared" si="5"/>
        <v>12</v>
      </c>
      <c r="M62" s="5">
        <f t="shared" si="6"/>
        <v>376.77600001194344</v>
      </c>
      <c r="N62" s="25">
        <f t="shared" si="7"/>
        <v>-2.6666719748694352E-4</v>
      </c>
      <c r="O62" s="26">
        <f t="shared" si="8"/>
        <v>11.5</v>
      </c>
      <c r="P62" s="27">
        <f t="shared" si="9"/>
        <v>376.77293333917231</v>
      </c>
      <c r="Q62" s="27">
        <f t="shared" si="12"/>
        <v>376.77426667515977</v>
      </c>
      <c r="R62" s="5"/>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30">
        <f>AR61</f>
        <v>376.76937778731781</v>
      </c>
      <c r="AS62" s="30">
        <f>Q62</f>
        <v>376.77426667515977</v>
      </c>
      <c r="AT62" s="21"/>
      <c r="AU62" s="21"/>
      <c r="AV62" s="21"/>
      <c r="AW62" s="21"/>
      <c r="AX62" s="21"/>
      <c r="AY62" s="21"/>
      <c r="AZ62" s="21"/>
      <c r="BA62" s="21"/>
      <c r="BB62" s="21"/>
      <c r="BC62" s="21">
        <f t="shared" si="10"/>
        <v>376.71800000000002</v>
      </c>
      <c r="BD62" s="21">
        <f t="shared" si="11"/>
        <v>376.78199999999998</v>
      </c>
    </row>
    <row r="63" spans="1:56">
      <c r="J63" s="5">
        <v>10</v>
      </c>
      <c r="K63" s="23">
        <f t="shared" si="13"/>
        <v>269</v>
      </c>
      <c r="L63" s="24">
        <f t="shared" si="5"/>
        <v>12</v>
      </c>
      <c r="M63" s="5">
        <f t="shared" si="6"/>
        <v>376.77600001194344</v>
      </c>
      <c r="N63" s="25">
        <f t="shared" si="7"/>
        <v>-2.6666719748694352E-4</v>
      </c>
      <c r="O63" s="26">
        <f t="shared" si="8"/>
        <v>21.5</v>
      </c>
      <c r="P63" s="27">
        <f t="shared" si="9"/>
        <v>376.77026666719746</v>
      </c>
      <c r="Q63" s="27">
        <f t="shared" si="12"/>
        <v>376.77160000318486</v>
      </c>
      <c r="R63" s="5"/>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30">
        <f>AS62</f>
        <v>376.77426667515977</v>
      </c>
      <c r="AT63" s="30">
        <f>Q63</f>
        <v>376.77160000318486</v>
      </c>
      <c r="AU63" s="21"/>
      <c r="AV63" s="21"/>
      <c r="AW63" s="21"/>
      <c r="AX63" s="21"/>
      <c r="AY63" s="21"/>
      <c r="AZ63" s="21"/>
      <c r="BA63" s="21"/>
      <c r="BB63" s="21"/>
      <c r="BC63" s="21">
        <f t="shared" si="10"/>
        <v>376.71800000000002</v>
      </c>
      <c r="BD63" s="21">
        <f t="shared" si="11"/>
        <v>376.78199999999998</v>
      </c>
    </row>
    <row r="64" spans="1:56">
      <c r="J64" s="5">
        <v>9</v>
      </c>
      <c r="K64" s="23">
        <f t="shared" si="13"/>
        <v>279</v>
      </c>
      <c r="L64" s="24">
        <f t="shared" si="5"/>
        <v>13</v>
      </c>
      <c r="M64" s="5">
        <f t="shared" si="6"/>
        <v>376.77</v>
      </c>
      <c r="N64" s="25">
        <f t="shared" si="7"/>
        <v>-8.8888829906055532E-5</v>
      </c>
      <c r="O64" s="26">
        <f t="shared" si="8"/>
        <v>9</v>
      </c>
      <c r="P64" s="27">
        <f t="shared" si="9"/>
        <v>376.76920000053082</v>
      </c>
      <c r="Q64" s="27">
        <f t="shared" si="12"/>
        <v>376.76973333386411</v>
      </c>
      <c r="R64" s="5"/>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30">
        <f>AT63</f>
        <v>376.77160000318486</v>
      </c>
      <c r="AU64" s="30">
        <f>Q64</f>
        <v>376.76973333386411</v>
      </c>
      <c r="AV64" s="21"/>
      <c r="AW64" s="21"/>
      <c r="AX64" s="21"/>
      <c r="AY64" s="21"/>
      <c r="AZ64" s="21"/>
      <c r="BA64" s="21"/>
      <c r="BB64" s="21"/>
      <c r="BC64" s="21">
        <f t="shared" si="10"/>
        <v>376.71800000000002</v>
      </c>
      <c r="BD64" s="21">
        <f t="shared" si="11"/>
        <v>376.78199999999998</v>
      </c>
    </row>
    <row r="65" spans="9:56">
      <c r="J65" s="5">
        <v>8</v>
      </c>
      <c r="K65" s="23">
        <f t="shared" si="13"/>
        <v>289</v>
      </c>
      <c r="L65" s="24">
        <f t="shared" si="5"/>
        <v>13</v>
      </c>
      <c r="M65" s="5">
        <f t="shared" si="6"/>
        <v>376.77</v>
      </c>
      <c r="N65" s="25">
        <f t="shared" si="7"/>
        <v>-8.8888829906055532E-5</v>
      </c>
      <c r="O65" s="26">
        <f t="shared" si="8"/>
        <v>19</v>
      </c>
      <c r="P65" s="27">
        <f t="shared" si="9"/>
        <v>376.76831111223174</v>
      </c>
      <c r="Q65" s="27">
        <f t="shared" si="12"/>
        <v>376.76875555638128</v>
      </c>
      <c r="R65" s="5"/>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30">
        <f>AU64</f>
        <v>376.76973333386411</v>
      </c>
      <c r="AV65" s="30">
        <f>Q65</f>
        <v>376.76875555638128</v>
      </c>
      <c r="AW65" s="21"/>
      <c r="AX65" s="21"/>
      <c r="AY65" s="21"/>
      <c r="AZ65" s="21"/>
      <c r="BA65" s="21"/>
      <c r="BB65" s="21"/>
      <c r="BC65" s="21">
        <f t="shared" si="10"/>
        <v>376.71800000000002</v>
      </c>
      <c r="BD65" s="21">
        <f t="shared" si="11"/>
        <v>376.78199999999998</v>
      </c>
    </row>
    <row r="66" spans="9:56">
      <c r="J66" s="5">
        <v>7</v>
      </c>
      <c r="K66" s="23">
        <f t="shared" si="13"/>
        <v>299</v>
      </c>
      <c r="L66" s="24">
        <f t="shared" si="5"/>
        <v>14</v>
      </c>
      <c r="M66" s="5">
        <f t="shared" si="6"/>
        <v>376.7680000013271</v>
      </c>
      <c r="N66" s="25">
        <f t="shared" si="7"/>
        <v>-2.2222222812034588E-3</v>
      </c>
      <c r="O66" s="26">
        <f t="shared" si="8"/>
        <v>6.5</v>
      </c>
      <c r="P66" s="27">
        <f t="shared" si="9"/>
        <v>376.75355555649929</v>
      </c>
      <c r="Q66" s="27">
        <f t="shared" si="12"/>
        <v>376.76093333436552</v>
      </c>
      <c r="R66" s="5"/>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30">
        <f>AV65</f>
        <v>376.76875555638128</v>
      </c>
      <c r="AW66" s="30">
        <f>Q66</f>
        <v>376.76093333436552</v>
      </c>
      <c r="AX66" s="21"/>
      <c r="AY66" s="21"/>
      <c r="AZ66" s="21"/>
      <c r="BA66" s="21"/>
      <c r="BB66" s="21"/>
      <c r="BC66" s="21">
        <f t="shared" si="10"/>
        <v>376.71800000000002</v>
      </c>
      <c r="BD66" s="21">
        <f t="shared" si="11"/>
        <v>376.78199999999998</v>
      </c>
    </row>
    <row r="67" spans="9:56">
      <c r="J67" s="5">
        <v>6</v>
      </c>
      <c r="K67" s="23">
        <f t="shared" si="13"/>
        <v>309</v>
      </c>
      <c r="L67" s="24">
        <f t="shared" si="5"/>
        <v>14</v>
      </c>
      <c r="M67" s="5">
        <f t="shared" si="6"/>
        <v>376.7680000013271</v>
      </c>
      <c r="N67" s="25">
        <f t="shared" si="7"/>
        <v>-2.2222222812034588E-3</v>
      </c>
      <c r="O67" s="26">
        <f t="shared" si="8"/>
        <v>16.5</v>
      </c>
      <c r="P67" s="27">
        <f t="shared" si="9"/>
        <v>376.73133333368725</v>
      </c>
      <c r="Q67" s="27">
        <f t="shared" si="12"/>
        <v>376.74244444509327</v>
      </c>
      <c r="R67" s="5"/>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30">
        <f>AW66</f>
        <v>376.76093333436552</v>
      </c>
      <c r="AX67" s="30">
        <f>Q67</f>
        <v>376.74244444509327</v>
      </c>
      <c r="AY67" s="21"/>
      <c r="AZ67" s="21"/>
      <c r="BA67" s="21"/>
      <c r="BB67" s="21"/>
      <c r="BC67" s="21">
        <f t="shared" si="10"/>
        <v>376.71800000000002</v>
      </c>
      <c r="BD67" s="21">
        <f t="shared" si="11"/>
        <v>376.78199999999998</v>
      </c>
    </row>
    <row r="68" spans="9:56">
      <c r="J68" s="5">
        <v>5</v>
      </c>
      <c r="K68" s="23">
        <f t="shared" si="13"/>
        <v>319</v>
      </c>
      <c r="L68" s="24">
        <f t="shared" si="5"/>
        <v>15</v>
      </c>
      <c r="M68" s="5">
        <f t="shared" si="6"/>
        <v>376.71800000000002</v>
      </c>
      <c r="N68" s="25">
        <f t="shared" si="7"/>
        <v>-4.4444444444404022E-4</v>
      </c>
      <c r="O68" s="26">
        <f t="shared" si="8"/>
        <v>4</v>
      </c>
      <c r="P68" s="27">
        <f t="shared" si="9"/>
        <v>376.71622222222226</v>
      </c>
      <c r="Q68" s="27">
        <f t="shared" si="12"/>
        <v>376.72377777795475</v>
      </c>
      <c r="R68" s="5"/>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30">
        <f>AX67</f>
        <v>376.74244444509327</v>
      </c>
      <c r="AY68" s="30">
        <f>Q68</f>
        <v>376.72377777795475</v>
      </c>
      <c r="AZ68" s="21"/>
      <c r="BA68" s="21"/>
      <c r="BB68" s="21"/>
      <c r="BC68" s="21">
        <f t="shared" si="10"/>
        <v>376.71800000000002</v>
      </c>
      <c r="BD68" s="21">
        <f t="shared" si="11"/>
        <v>376.78199999999998</v>
      </c>
    </row>
    <row r="69" spans="9:56">
      <c r="J69" s="5">
        <v>4</v>
      </c>
      <c r="K69" s="23">
        <f t="shared" si="13"/>
        <v>329</v>
      </c>
      <c r="L69" s="24">
        <f t="shared" si="5"/>
        <v>15</v>
      </c>
      <c r="M69" s="5">
        <f t="shared" si="6"/>
        <v>376.71800000000002</v>
      </c>
      <c r="N69" s="25">
        <f t="shared" si="7"/>
        <v>-4.4444444444404022E-4</v>
      </c>
      <c r="O69" s="26">
        <f t="shared" si="8"/>
        <v>14</v>
      </c>
      <c r="P69" s="27">
        <f t="shared" si="9"/>
        <v>376.7117777777778</v>
      </c>
      <c r="Q69" s="27">
        <f t="shared" si="12"/>
        <v>376.71400000000006</v>
      </c>
      <c r="R69" s="5"/>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30">
        <f>AY68</f>
        <v>376.72377777795475</v>
      </c>
      <c r="AZ69" s="30">
        <f>Q69</f>
        <v>376.71400000000006</v>
      </c>
      <c r="BA69" s="21"/>
      <c r="BB69" s="21"/>
      <c r="BC69" s="21">
        <f t="shared" si="10"/>
        <v>376.71800000000002</v>
      </c>
      <c r="BD69" s="21">
        <f t="shared" si="11"/>
        <v>376.78199999999998</v>
      </c>
    </row>
    <row r="70" spans="9:56">
      <c r="J70" s="5">
        <v>3</v>
      </c>
      <c r="K70" s="23">
        <f t="shared" si="13"/>
        <v>339</v>
      </c>
      <c r="L70" s="24">
        <f t="shared" si="5"/>
        <v>16</v>
      </c>
      <c r="M70" s="5">
        <f t="shared" si="6"/>
        <v>376.70800000000003</v>
      </c>
      <c r="N70" s="25">
        <f t="shared" si="7"/>
        <v>1.7777777777610025E-4</v>
      </c>
      <c r="O70" s="26">
        <f t="shared" si="8"/>
        <v>1.5</v>
      </c>
      <c r="P70" s="27">
        <f t="shared" si="9"/>
        <v>376.7082666666667</v>
      </c>
      <c r="Q70" s="27">
        <f t="shared" si="12"/>
        <v>376.71002222222228</v>
      </c>
      <c r="R70" s="5"/>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30">
        <f>AZ69</f>
        <v>376.71400000000006</v>
      </c>
      <c r="BA70" s="30">
        <f>Q70</f>
        <v>376.71002222222228</v>
      </c>
      <c r="BB70" s="21"/>
      <c r="BC70" s="21">
        <f t="shared" si="10"/>
        <v>376.71800000000002</v>
      </c>
      <c r="BD70" s="21">
        <f t="shared" si="11"/>
        <v>376.78199999999998</v>
      </c>
    </row>
    <row r="71" spans="9:56">
      <c r="J71" s="5">
        <v>2</v>
      </c>
      <c r="K71" s="23">
        <f t="shared" si="13"/>
        <v>349</v>
      </c>
      <c r="L71" s="24">
        <f t="shared" si="5"/>
        <v>16</v>
      </c>
      <c r="M71" s="5">
        <f t="shared" si="6"/>
        <v>376.70800000000003</v>
      </c>
      <c r="N71" s="25">
        <f t="shared" si="7"/>
        <v>1.7777777777610025E-4</v>
      </c>
      <c r="O71" s="26">
        <f t="shared" si="8"/>
        <v>11.5</v>
      </c>
      <c r="P71" s="27">
        <f t="shared" si="9"/>
        <v>376.71004444444446</v>
      </c>
      <c r="Q71" s="27">
        <f t="shared" si="12"/>
        <v>376.70915555555558</v>
      </c>
      <c r="R71" s="5"/>
      <c r="S71" s="31"/>
      <c r="T71" s="31"/>
      <c r="U71" s="31"/>
      <c r="V71" s="31"/>
      <c r="W71" s="31"/>
      <c r="X71" s="31"/>
      <c r="Y71" s="31"/>
      <c r="Z71" s="31"/>
      <c r="AA71" s="31"/>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2">
        <f>BA70</f>
        <v>376.71002222222228</v>
      </c>
      <c r="BB71" s="32">
        <f>Q71</f>
        <v>376.70915555555558</v>
      </c>
      <c r="BC71" s="31">
        <f t="shared" si="10"/>
        <v>376.71800000000002</v>
      </c>
      <c r="BD71" s="31">
        <f t="shared" si="11"/>
        <v>376.78199999999998</v>
      </c>
    </row>
    <row r="74" spans="9:56">
      <c r="I74" s="33"/>
      <c r="J74" s="33"/>
      <c r="K74" s="33"/>
      <c r="L74" s="33"/>
      <c r="M74" s="33"/>
      <c r="N74" s="33"/>
      <c r="O74" s="33"/>
      <c r="P74" s="33"/>
      <c r="Q74" s="33"/>
      <c r="R74" s="33"/>
      <c r="S74" s="33"/>
      <c r="T74" s="33"/>
      <c r="U74" s="33"/>
      <c r="V74" s="33"/>
      <c r="W74" s="49"/>
      <c r="X74" s="33"/>
      <c r="Y74" s="33"/>
      <c r="Z74" s="33"/>
      <c r="AA74" s="33"/>
      <c r="AB74" s="33"/>
      <c r="AC74" s="33"/>
      <c r="AD74" s="33"/>
      <c r="AE74" s="33"/>
      <c r="AF74" s="33"/>
      <c r="AG74" s="33"/>
      <c r="AH74" s="33"/>
      <c r="AI74" s="33"/>
      <c r="AJ74" s="33"/>
      <c r="AK74" s="33"/>
      <c r="AL74" s="33"/>
      <c r="AM74" s="5"/>
    </row>
    <row r="75" spans="9:56">
      <c r="I75" s="33"/>
      <c r="J75" s="33"/>
      <c r="K75" s="33"/>
      <c r="L75" s="33"/>
      <c r="M75" s="33"/>
      <c r="N75" s="33"/>
      <c r="O75" s="33"/>
      <c r="P75" s="33"/>
      <c r="Q75" s="33"/>
      <c r="R75" s="33"/>
      <c r="S75" s="33"/>
      <c r="T75" s="33"/>
      <c r="U75" s="33"/>
      <c r="V75" s="33"/>
      <c r="W75" s="49"/>
      <c r="X75" s="33"/>
      <c r="Y75" s="33"/>
      <c r="Z75" s="33"/>
      <c r="AA75" s="33"/>
      <c r="AB75" s="33"/>
      <c r="AC75" s="33"/>
      <c r="AD75" s="33"/>
      <c r="AE75" s="33"/>
      <c r="AF75" s="33"/>
      <c r="AG75" s="33"/>
      <c r="AH75" s="33"/>
      <c r="AI75" s="33"/>
      <c r="AJ75" s="33"/>
      <c r="AK75" s="33"/>
      <c r="AL75" s="33"/>
      <c r="AM75" s="5"/>
    </row>
    <row r="76" spans="9:56">
      <c r="I76" s="33"/>
      <c r="J76" s="33"/>
      <c r="K76" s="33"/>
      <c r="L76" s="33"/>
      <c r="M76" s="33"/>
      <c r="N76" s="33"/>
      <c r="O76" s="33"/>
      <c r="P76" s="33"/>
      <c r="Q76" s="33"/>
      <c r="R76" s="33"/>
      <c r="S76" s="33"/>
      <c r="T76" s="33"/>
      <c r="U76" s="33"/>
      <c r="V76" s="33"/>
      <c r="W76" s="49"/>
      <c r="X76" s="33"/>
      <c r="Y76" s="33"/>
      <c r="Z76" s="33"/>
      <c r="AA76" s="33"/>
      <c r="AB76" s="33"/>
      <c r="AC76" s="33"/>
      <c r="AD76" s="33"/>
      <c r="AE76" s="33"/>
      <c r="AF76" s="33"/>
      <c r="AG76" s="33"/>
      <c r="AH76" s="33"/>
      <c r="AI76" s="33"/>
      <c r="AJ76" s="33"/>
      <c r="AK76" s="33"/>
      <c r="AL76" s="33"/>
      <c r="AM76" s="5"/>
    </row>
    <row r="77" spans="9:56">
      <c r="I77" s="33"/>
      <c r="J77" s="33"/>
      <c r="K77" s="33"/>
      <c r="L77" s="33"/>
      <c r="M77" s="33"/>
      <c r="N77" s="33"/>
      <c r="O77" s="33"/>
      <c r="P77" s="33"/>
      <c r="Q77" s="33"/>
      <c r="R77" s="33"/>
      <c r="S77" s="33"/>
      <c r="T77" s="33"/>
      <c r="U77" s="33"/>
      <c r="V77" s="33"/>
      <c r="W77" s="49"/>
      <c r="X77" s="33"/>
      <c r="Y77" s="33"/>
      <c r="Z77" s="33"/>
      <c r="AA77" s="33"/>
      <c r="AB77" s="33"/>
      <c r="AC77" s="33"/>
      <c r="AD77" s="33"/>
      <c r="AE77" s="33"/>
      <c r="AF77" s="33"/>
      <c r="AG77" s="33"/>
      <c r="AH77" s="33"/>
      <c r="AI77" s="33"/>
      <c r="AJ77" s="33"/>
      <c r="AK77" s="33"/>
      <c r="AL77" s="33"/>
      <c r="AM77" s="5"/>
    </row>
    <row r="78" spans="9:56">
      <c r="I78" s="33"/>
      <c r="J78" s="33"/>
      <c r="K78" s="33"/>
      <c r="L78" s="33"/>
      <c r="M78" s="33"/>
      <c r="N78" s="33"/>
      <c r="O78" s="33"/>
      <c r="P78" s="33"/>
      <c r="Q78" s="33"/>
      <c r="R78" s="33"/>
      <c r="S78" s="33"/>
      <c r="T78" s="33"/>
      <c r="U78" s="33"/>
      <c r="V78" s="33"/>
      <c r="W78" s="49"/>
      <c r="X78" s="33"/>
      <c r="Y78" s="33"/>
      <c r="Z78" s="33"/>
      <c r="AA78" s="33"/>
      <c r="AB78" s="33"/>
      <c r="AC78" s="33"/>
      <c r="AD78" s="33"/>
      <c r="AE78" s="33"/>
      <c r="AF78" s="33"/>
      <c r="AG78" s="33"/>
      <c r="AH78" s="33"/>
      <c r="AI78" s="33"/>
      <c r="AJ78" s="33"/>
      <c r="AK78" s="33"/>
      <c r="AL78" s="33"/>
      <c r="AM78" s="5"/>
    </row>
    <row r="79" spans="9:56">
      <c r="I79" s="33"/>
      <c r="J79" s="33"/>
      <c r="K79" s="33"/>
      <c r="L79" s="33"/>
      <c r="M79" s="33"/>
      <c r="N79" s="33"/>
      <c r="O79" s="33"/>
      <c r="P79" s="33"/>
      <c r="Q79" s="33"/>
      <c r="R79" s="33"/>
      <c r="S79" s="33"/>
      <c r="T79" s="33"/>
      <c r="U79" s="33"/>
      <c r="V79" s="33"/>
      <c r="W79" s="49"/>
      <c r="X79" s="33"/>
      <c r="Y79" s="33"/>
      <c r="Z79" s="33"/>
      <c r="AA79" s="33"/>
      <c r="AB79" s="33"/>
      <c r="AC79" s="33"/>
      <c r="AD79" s="33"/>
      <c r="AE79" s="33"/>
      <c r="AF79" s="33"/>
      <c r="AG79" s="33"/>
      <c r="AH79" s="33"/>
      <c r="AI79" s="33"/>
      <c r="AJ79" s="33"/>
      <c r="AK79" s="33"/>
      <c r="AL79" s="33"/>
      <c r="AM79" s="5"/>
    </row>
    <row r="80" spans="9:56">
      <c r="I80" s="33"/>
      <c r="J80" s="33"/>
      <c r="K80" s="33"/>
      <c r="L80" s="33"/>
      <c r="M80" s="33"/>
      <c r="N80" s="33"/>
      <c r="O80" s="33"/>
      <c r="P80" s="33"/>
      <c r="Q80" s="33"/>
      <c r="R80" s="33"/>
      <c r="S80" s="33"/>
      <c r="T80" s="33"/>
      <c r="U80" s="33"/>
      <c r="V80" s="33"/>
      <c r="W80" s="49"/>
      <c r="X80" s="33"/>
      <c r="Y80" s="33"/>
      <c r="Z80" s="33"/>
      <c r="AA80" s="33"/>
      <c r="AB80" s="33"/>
      <c r="AC80" s="33"/>
      <c r="AD80" s="33"/>
      <c r="AE80" s="33"/>
      <c r="AF80" s="33"/>
      <c r="AG80" s="33"/>
      <c r="AH80" s="33"/>
      <c r="AI80" s="33"/>
      <c r="AJ80" s="33"/>
      <c r="AK80" s="33"/>
      <c r="AL80" s="33"/>
      <c r="AM80" s="5"/>
    </row>
    <row r="81" spans="9:39">
      <c r="I81" s="33"/>
      <c r="J81" s="33"/>
      <c r="K81" s="33"/>
      <c r="L81" s="33"/>
      <c r="M81" s="33"/>
      <c r="N81" s="33"/>
      <c r="O81" s="33"/>
      <c r="P81" s="33"/>
      <c r="Q81" s="33"/>
      <c r="R81" s="33"/>
      <c r="S81" s="33"/>
      <c r="T81" s="33"/>
      <c r="U81" s="33"/>
      <c r="V81" s="33"/>
      <c r="W81" s="49"/>
      <c r="X81" s="33"/>
      <c r="Y81" s="33"/>
      <c r="Z81" s="33"/>
      <c r="AA81" s="33"/>
      <c r="AB81" s="33"/>
      <c r="AC81" s="33"/>
      <c r="AD81" s="33"/>
      <c r="AE81" s="33"/>
      <c r="AF81" s="33"/>
      <c r="AG81" s="33"/>
      <c r="AH81" s="33"/>
      <c r="AI81" s="33"/>
      <c r="AJ81" s="33"/>
      <c r="AK81" s="33"/>
      <c r="AL81" s="33"/>
      <c r="AM81" s="5"/>
    </row>
    <row r="82" spans="9:39">
      <c r="I82" s="33"/>
      <c r="J82" s="33"/>
      <c r="K82" s="33"/>
      <c r="L82" s="33"/>
      <c r="M82" s="33"/>
      <c r="N82" s="33"/>
      <c r="O82" s="33"/>
      <c r="P82" s="33"/>
      <c r="Q82" s="33"/>
      <c r="R82" s="33"/>
      <c r="S82" s="33"/>
      <c r="T82" s="33"/>
      <c r="U82" s="33"/>
      <c r="V82" s="33"/>
      <c r="W82" s="49"/>
      <c r="X82" s="33"/>
      <c r="Y82" s="33"/>
      <c r="Z82" s="33"/>
      <c r="AA82" s="33"/>
      <c r="AB82" s="33"/>
      <c r="AC82" s="33"/>
      <c r="AD82" s="33"/>
      <c r="AE82" s="33"/>
      <c r="AF82" s="33"/>
      <c r="AG82" s="33"/>
      <c r="AH82" s="33"/>
      <c r="AI82" s="33"/>
      <c r="AJ82" s="33"/>
      <c r="AK82" s="33"/>
      <c r="AL82" s="33"/>
      <c r="AM82" s="5"/>
    </row>
    <row r="83" spans="9:39">
      <c r="I83" s="33"/>
      <c r="J83" s="33"/>
      <c r="K83" s="33"/>
      <c r="L83" s="33"/>
      <c r="M83" s="33"/>
      <c r="N83" s="33"/>
      <c r="O83" s="33"/>
      <c r="P83" s="33"/>
      <c r="Q83" s="33"/>
      <c r="R83" s="33"/>
      <c r="S83" s="33"/>
      <c r="T83" s="33"/>
      <c r="U83" s="33"/>
      <c r="V83" s="33"/>
      <c r="W83" s="49"/>
      <c r="X83" s="33"/>
      <c r="Y83" s="33"/>
      <c r="Z83" s="33"/>
      <c r="AA83" s="33"/>
      <c r="AB83" s="33"/>
      <c r="AC83" s="33"/>
      <c r="AD83" s="33"/>
      <c r="AE83" s="33"/>
      <c r="AF83" s="33"/>
      <c r="AG83" s="33"/>
      <c r="AH83" s="33"/>
      <c r="AI83" s="33"/>
      <c r="AJ83" s="33"/>
      <c r="AK83" s="33"/>
      <c r="AL83" s="33"/>
      <c r="AM83" s="5"/>
    </row>
    <row r="84" spans="9:39">
      <c r="I84" s="33"/>
      <c r="J84" s="33"/>
      <c r="K84" s="33"/>
      <c r="L84" s="33"/>
      <c r="M84" s="33"/>
      <c r="N84" s="33"/>
      <c r="O84" s="33"/>
      <c r="P84" s="33"/>
      <c r="Q84" s="33"/>
      <c r="R84" s="33"/>
      <c r="S84" s="33"/>
      <c r="T84" s="33"/>
      <c r="U84" s="33"/>
      <c r="V84" s="33"/>
      <c r="W84" s="49"/>
      <c r="X84" s="33"/>
      <c r="Y84" s="33"/>
      <c r="Z84" s="33"/>
      <c r="AA84" s="33"/>
      <c r="AB84" s="33"/>
      <c r="AC84" s="33"/>
      <c r="AD84" s="33"/>
      <c r="AE84" s="33"/>
      <c r="AF84" s="33"/>
      <c r="AG84" s="33"/>
      <c r="AH84" s="33"/>
      <c r="AI84" s="33"/>
      <c r="AJ84" s="33"/>
      <c r="AK84" s="33"/>
      <c r="AL84" s="33"/>
      <c r="AM84" s="5"/>
    </row>
    <row r="85" spans="9:39">
      <c r="I85" s="33"/>
      <c r="J85" s="33"/>
      <c r="K85" s="33"/>
      <c r="L85" s="33"/>
      <c r="M85" s="33"/>
      <c r="N85" s="33"/>
      <c r="O85" s="33"/>
      <c r="P85" s="33"/>
      <c r="Q85" s="33"/>
      <c r="R85" s="33"/>
      <c r="S85" s="33"/>
      <c r="T85" s="33"/>
      <c r="U85" s="33"/>
      <c r="V85" s="33"/>
      <c r="W85" s="49"/>
      <c r="X85" s="33"/>
      <c r="Y85" s="33"/>
      <c r="Z85" s="33"/>
      <c r="AA85" s="33"/>
      <c r="AB85" s="33"/>
      <c r="AC85" s="33"/>
      <c r="AD85" s="33"/>
      <c r="AE85" s="33"/>
      <c r="AF85" s="33"/>
      <c r="AG85" s="33"/>
      <c r="AH85" s="33"/>
      <c r="AI85" s="33"/>
      <c r="AJ85" s="33"/>
      <c r="AK85" s="33"/>
      <c r="AL85" s="33"/>
      <c r="AM85" s="5"/>
    </row>
    <row r="86" spans="9:39">
      <c r="I86" s="33"/>
      <c r="J86" s="33"/>
      <c r="K86" s="33"/>
      <c r="L86" s="33"/>
      <c r="M86" s="33"/>
      <c r="N86" s="33"/>
      <c r="O86" s="33"/>
      <c r="P86" s="33"/>
      <c r="Q86" s="33"/>
      <c r="R86" s="33"/>
      <c r="S86" s="33"/>
      <c r="T86" s="33"/>
      <c r="U86" s="33"/>
      <c r="V86" s="33"/>
      <c r="W86" s="49"/>
      <c r="X86" s="33"/>
      <c r="Y86" s="33"/>
      <c r="Z86" s="33"/>
      <c r="AA86" s="33"/>
      <c r="AB86" s="33"/>
      <c r="AC86" s="33"/>
      <c r="AD86" s="33"/>
      <c r="AE86" s="33"/>
      <c r="AF86" s="33"/>
      <c r="AG86" s="33"/>
      <c r="AH86" s="33"/>
      <c r="AI86" s="33"/>
      <c r="AJ86" s="33"/>
      <c r="AK86" s="33"/>
      <c r="AL86" s="33"/>
      <c r="AM86" s="5"/>
    </row>
    <row r="87" spans="9:39">
      <c r="I87" s="33"/>
      <c r="J87" s="33"/>
      <c r="K87" s="33"/>
      <c r="L87" s="33"/>
      <c r="M87" s="33"/>
      <c r="N87" s="33"/>
      <c r="O87" s="33"/>
      <c r="P87" s="33"/>
      <c r="Q87" s="33"/>
      <c r="R87" s="33"/>
      <c r="S87" s="33"/>
      <c r="T87" s="33"/>
      <c r="U87" s="33"/>
      <c r="V87" s="33"/>
      <c r="W87" s="49"/>
      <c r="X87" s="33"/>
      <c r="Y87" s="33"/>
      <c r="Z87" s="33"/>
      <c r="AA87" s="33"/>
      <c r="AB87" s="33"/>
      <c r="AC87" s="33"/>
      <c r="AD87" s="33"/>
      <c r="AE87" s="33"/>
      <c r="AF87" s="33"/>
      <c r="AG87" s="33"/>
      <c r="AH87" s="33"/>
      <c r="AI87" s="33"/>
      <c r="AJ87" s="33"/>
      <c r="AK87" s="33"/>
      <c r="AL87" s="33"/>
      <c r="AM87" s="5"/>
    </row>
    <row r="88" spans="9:39">
      <c r="I88" s="33"/>
      <c r="J88" s="33"/>
      <c r="K88" s="33"/>
      <c r="L88" s="33"/>
      <c r="M88" s="33"/>
      <c r="N88" s="33"/>
      <c r="O88" s="33"/>
      <c r="P88" s="33"/>
      <c r="Q88" s="33"/>
      <c r="R88" s="33"/>
      <c r="S88" s="33"/>
      <c r="T88" s="33"/>
      <c r="U88" s="33"/>
      <c r="V88" s="33"/>
      <c r="W88" s="49"/>
      <c r="X88" s="33"/>
      <c r="Y88" s="33"/>
      <c r="Z88" s="33"/>
      <c r="AA88" s="33"/>
      <c r="AB88" s="33"/>
      <c r="AC88" s="33"/>
      <c r="AD88" s="33"/>
      <c r="AE88" s="33"/>
      <c r="AF88" s="33"/>
      <c r="AG88" s="33"/>
      <c r="AH88" s="33"/>
      <c r="AI88" s="33"/>
      <c r="AJ88" s="33"/>
      <c r="AK88" s="33"/>
      <c r="AL88" s="33"/>
      <c r="AM88" s="5"/>
    </row>
    <row r="89" spans="9:39">
      <c r="I89" s="33"/>
      <c r="J89" s="33"/>
      <c r="K89" s="33"/>
      <c r="L89" s="33"/>
      <c r="M89" s="33"/>
      <c r="N89" s="33"/>
      <c r="O89" s="33"/>
      <c r="P89" s="33"/>
      <c r="Q89" s="33"/>
      <c r="R89" s="33"/>
      <c r="S89" s="33"/>
      <c r="T89" s="33"/>
      <c r="U89" s="33"/>
      <c r="V89" s="33"/>
      <c r="W89" s="49"/>
      <c r="X89" s="33"/>
      <c r="Y89" s="33"/>
      <c r="Z89" s="33"/>
      <c r="AA89" s="33"/>
      <c r="AB89" s="33"/>
      <c r="AC89" s="33"/>
      <c r="AD89" s="33"/>
      <c r="AE89" s="33"/>
      <c r="AF89" s="33"/>
      <c r="AG89" s="33"/>
      <c r="AH89" s="33"/>
      <c r="AI89" s="33"/>
      <c r="AJ89" s="33"/>
      <c r="AK89" s="33"/>
      <c r="AL89" s="33"/>
      <c r="AM89" s="5"/>
    </row>
    <row r="90" spans="9:39">
      <c r="I90" s="33"/>
      <c r="J90" s="33"/>
      <c r="K90" s="33"/>
      <c r="L90" s="33"/>
      <c r="M90" s="33"/>
      <c r="N90" s="33"/>
      <c r="O90" s="33"/>
      <c r="P90" s="33"/>
      <c r="Q90" s="33"/>
      <c r="R90" s="33"/>
      <c r="S90" s="33"/>
      <c r="T90" s="33"/>
      <c r="U90" s="33"/>
      <c r="V90" s="33"/>
      <c r="W90" s="49"/>
      <c r="X90" s="33"/>
      <c r="Y90" s="33"/>
      <c r="Z90" s="33"/>
      <c r="AA90" s="33"/>
      <c r="AB90" s="33"/>
      <c r="AC90" s="33"/>
      <c r="AD90" s="33"/>
      <c r="AE90" s="33"/>
      <c r="AF90" s="33"/>
      <c r="AG90" s="33"/>
      <c r="AH90" s="33"/>
      <c r="AI90" s="33"/>
      <c r="AJ90" s="33"/>
      <c r="AK90" s="33"/>
      <c r="AL90" s="33"/>
      <c r="AM90" s="5"/>
    </row>
    <row r="91" spans="9:39">
      <c r="I91" s="33"/>
      <c r="J91" s="33"/>
      <c r="K91" s="33"/>
      <c r="L91" s="33"/>
      <c r="M91" s="33"/>
      <c r="N91" s="33"/>
      <c r="O91" s="33"/>
      <c r="P91" s="33"/>
      <c r="Q91" s="33"/>
      <c r="R91" s="33"/>
      <c r="S91" s="33"/>
      <c r="T91" s="33"/>
      <c r="U91" s="33"/>
      <c r="V91" s="33"/>
      <c r="W91" s="49"/>
      <c r="X91" s="33"/>
      <c r="Y91" s="33"/>
      <c r="Z91" s="33"/>
      <c r="AA91" s="33"/>
      <c r="AB91" s="33"/>
      <c r="AC91" s="33"/>
      <c r="AD91" s="33"/>
      <c r="AE91" s="33"/>
      <c r="AF91" s="33"/>
      <c r="AG91" s="33"/>
      <c r="AH91" s="33"/>
      <c r="AI91" s="33"/>
      <c r="AJ91" s="33"/>
      <c r="AK91" s="33"/>
      <c r="AL91" s="33"/>
      <c r="AM91" s="5"/>
    </row>
    <row r="92" spans="9:39">
      <c r="I92" s="33"/>
      <c r="J92" s="33"/>
      <c r="K92" s="33"/>
      <c r="L92" s="33"/>
      <c r="M92" s="33"/>
      <c r="N92" s="33"/>
      <c r="O92" s="33"/>
      <c r="P92" s="33"/>
      <c r="Q92" s="33"/>
      <c r="R92" s="33"/>
      <c r="S92" s="33"/>
      <c r="T92" s="33"/>
      <c r="U92" s="33"/>
      <c r="V92" s="33"/>
      <c r="W92" s="49"/>
      <c r="X92" s="33"/>
      <c r="Y92" s="33"/>
      <c r="Z92" s="33"/>
      <c r="AA92" s="33"/>
      <c r="AB92" s="33"/>
      <c r="AC92" s="33"/>
      <c r="AD92" s="33"/>
      <c r="AE92" s="33"/>
      <c r="AF92" s="33"/>
      <c r="AG92" s="33"/>
      <c r="AH92" s="33"/>
      <c r="AI92" s="33"/>
      <c r="AJ92" s="33"/>
      <c r="AK92" s="33"/>
      <c r="AL92" s="33"/>
      <c r="AM92" s="5"/>
    </row>
    <row r="93" spans="9:39">
      <c r="I93" s="33"/>
      <c r="J93" s="33"/>
      <c r="K93" s="33"/>
      <c r="L93" s="33"/>
      <c r="M93" s="33"/>
      <c r="N93" s="33"/>
      <c r="O93" s="33"/>
      <c r="P93" s="33"/>
      <c r="Q93" s="33"/>
      <c r="R93" s="33"/>
      <c r="S93" s="33"/>
      <c r="T93" s="33"/>
      <c r="U93" s="33"/>
      <c r="V93" s="33"/>
      <c r="W93" s="49"/>
      <c r="X93" s="33"/>
      <c r="Y93" s="33"/>
      <c r="Z93" s="33"/>
      <c r="AA93" s="33"/>
      <c r="AB93" s="33"/>
      <c r="AC93" s="33"/>
      <c r="AD93" s="33"/>
      <c r="AE93" s="33"/>
      <c r="AF93" s="33"/>
      <c r="AG93" s="33"/>
      <c r="AH93" s="33"/>
      <c r="AI93" s="33"/>
      <c r="AJ93" s="33"/>
      <c r="AK93" s="33"/>
      <c r="AL93" s="33"/>
      <c r="AM93" s="5"/>
    </row>
    <row r="94" spans="9:39">
      <c r="I94" s="33"/>
      <c r="J94" s="33"/>
      <c r="K94" s="33"/>
      <c r="L94" s="33"/>
      <c r="M94" s="33"/>
      <c r="N94" s="33"/>
      <c r="O94" s="33"/>
      <c r="P94" s="33"/>
      <c r="Q94" s="33"/>
      <c r="R94" s="33"/>
      <c r="S94" s="33"/>
      <c r="T94" s="33"/>
      <c r="U94" s="33"/>
      <c r="V94" s="33"/>
      <c r="W94" s="49"/>
      <c r="X94" s="33"/>
      <c r="Y94" s="33"/>
      <c r="Z94" s="33"/>
      <c r="AA94" s="33"/>
      <c r="AB94" s="33"/>
      <c r="AC94" s="33"/>
      <c r="AD94" s="33"/>
      <c r="AE94" s="33"/>
      <c r="AF94" s="33"/>
      <c r="AG94" s="33"/>
      <c r="AH94" s="33"/>
      <c r="AI94" s="33"/>
      <c r="AJ94" s="33"/>
      <c r="AK94" s="33"/>
      <c r="AL94" s="33"/>
      <c r="AM94" s="5"/>
    </row>
    <row r="95" spans="9:39">
      <c r="I95" s="33"/>
      <c r="J95" s="33"/>
      <c r="K95" s="33"/>
      <c r="L95" s="33"/>
      <c r="M95" s="33"/>
      <c r="N95" s="33"/>
      <c r="O95" s="33"/>
      <c r="P95" s="33"/>
      <c r="Q95" s="33"/>
      <c r="R95" s="33"/>
      <c r="S95" s="33"/>
      <c r="T95" s="33"/>
      <c r="U95" s="33"/>
      <c r="V95" s="33"/>
      <c r="W95" s="49"/>
      <c r="X95" s="33"/>
      <c r="Y95" s="33"/>
      <c r="Z95" s="33"/>
      <c r="AA95" s="33"/>
      <c r="AB95" s="33"/>
      <c r="AC95" s="33"/>
      <c r="AD95" s="33"/>
      <c r="AE95" s="33"/>
      <c r="AF95" s="33"/>
      <c r="AG95" s="33"/>
      <c r="AH95" s="33"/>
      <c r="AI95" s="33"/>
      <c r="AJ95" s="33"/>
      <c r="AK95" s="33"/>
      <c r="AL95" s="33"/>
      <c r="AM95" s="5"/>
    </row>
    <row r="96" spans="9:39">
      <c r="I96" s="33"/>
      <c r="J96" s="33"/>
      <c r="K96" s="33"/>
      <c r="L96" s="33"/>
      <c r="M96" s="33"/>
      <c r="N96" s="33"/>
      <c r="O96" s="33"/>
      <c r="P96" s="33"/>
      <c r="Q96" s="33"/>
      <c r="R96" s="33"/>
      <c r="S96" s="33"/>
      <c r="T96" s="33"/>
      <c r="U96" s="33"/>
      <c r="V96" s="33"/>
      <c r="W96" s="49"/>
      <c r="X96" s="33"/>
      <c r="Y96" s="33"/>
      <c r="Z96" s="33"/>
      <c r="AA96" s="33"/>
      <c r="AB96" s="33"/>
      <c r="AC96" s="33"/>
      <c r="AD96" s="33"/>
      <c r="AE96" s="33"/>
      <c r="AF96" s="33"/>
      <c r="AG96" s="33"/>
      <c r="AH96" s="33"/>
      <c r="AI96" s="33"/>
      <c r="AJ96" s="33"/>
      <c r="AK96" s="33"/>
      <c r="AL96" s="33"/>
      <c r="AM96" s="5"/>
    </row>
    <row r="97" spans="9:39">
      <c r="I97" s="33"/>
      <c r="J97" s="33"/>
      <c r="K97" s="33"/>
      <c r="L97" s="33"/>
      <c r="M97" s="33"/>
      <c r="N97" s="33"/>
      <c r="O97" s="33"/>
      <c r="P97" s="33"/>
      <c r="Q97" s="33"/>
      <c r="R97" s="33"/>
      <c r="S97" s="33"/>
      <c r="T97" s="33"/>
      <c r="U97" s="33"/>
      <c r="V97" s="33"/>
      <c r="W97" s="49"/>
      <c r="X97" s="33"/>
      <c r="Y97" s="33"/>
      <c r="Z97" s="33"/>
      <c r="AA97" s="33"/>
      <c r="AB97" s="33"/>
      <c r="AC97" s="33"/>
      <c r="AD97" s="33"/>
      <c r="AE97" s="33"/>
      <c r="AF97" s="33"/>
      <c r="AG97" s="33"/>
      <c r="AH97" s="33"/>
      <c r="AI97" s="33"/>
      <c r="AJ97" s="33"/>
      <c r="AK97" s="33"/>
      <c r="AL97" s="33"/>
      <c r="AM97" s="5"/>
    </row>
    <row r="98" spans="9:39">
      <c r="I98" s="33"/>
      <c r="J98" s="33"/>
      <c r="K98" s="33"/>
      <c r="L98" s="33"/>
      <c r="M98" s="33"/>
      <c r="N98" s="33"/>
      <c r="O98" s="33"/>
      <c r="P98" s="33"/>
      <c r="Q98" s="33"/>
      <c r="R98" s="33"/>
      <c r="S98" s="33"/>
      <c r="T98" s="33"/>
      <c r="U98" s="33"/>
      <c r="V98" s="33"/>
      <c r="W98" s="49"/>
      <c r="X98" s="33"/>
      <c r="Y98" s="33"/>
      <c r="Z98" s="33"/>
      <c r="AA98" s="33"/>
      <c r="AB98" s="33"/>
      <c r="AC98" s="33"/>
      <c r="AD98" s="33"/>
      <c r="AE98" s="33"/>
      <c r="AF98" s="33"/>
      <c r="AG98" s="33"/>
      <c r="AH98" s="33"/>
      <c r="AI98" s="33"/>
      <c r="AJ98" s="33"/>
      <c r="AK98" s="33"/>
      <c r="AL98" s="33"/>
      <c r="AM98" s="5"/>
    </row>
    <row r="99" spans="9:39">
      <c r="I99" s="33"/>
      <c r="J99" s="33"/>
      <c r="K99" s="33"/>
      <c r="L99" s="33"/>
      <c r="M99" s="33"/>
      <c r="N99" s="33"/>
      <c r="O99" s="33"/>
      <c r="P99" s="33"/>
      <c r="Q99" s="33"/>
      <c r="R99" s="33"/>
      <c r="S99" s="33"/>
      <c r="T99" s="33"/>
      <c r="U99" s="33"/>
      <c r="V99" s="33"/>
      <c r="W99" s="49"/>
      <c r="X99" s="33"/>
      <c r="Y99" s="33"/>
      <c r="Z99" s="33"/>
      <c r="AA99" s="33"/>
      <c r="AB99" s="33"/>
      <c r="AC99" s="33"/>
      <c r="AD99" s="33"/>
      <c r="AE99" s="33"/>
      <c r="AF99" s="33"/>
      <c r="AG99" s="33"/>
      <c r="AH99" s="33"/>
      <c r="AI99" s="33"/>
      <c r="AJ99" s="33"/>
      <c r="AK99" s="33"/>
      <c r="AL99" s="33"/>
      <c r="AM99" s="5"/>
    </row>
    <row r="100" spans="9:39">
      <c r="I100" s="33"/>
      <c r="J100" s="33"/>
      <c r="K100" s="33"/>
      <c r="L100" s="33"/>
      <c r="M100" s="33"/>
      <c r="N100" s="33"/>
      <c r="O100" s="33"/>
      <c r="P100" s="33"/>
      <c r="Q100" s="33"/>
      <c r="R100" s="33"/>
      <c r="S100" s="33"/>
      <c r="T100" s="33"/>
      <c r="U100" s="33"/>
      <c r="V100" s="33"/>
      <c r="W100" s="49"/>
      <c r="X100" s="33"/>
      <c r="Y100" s="33"/>
      <c r="Z100" s="33"/>
      <c r="AA100" s="33"/>
      <c r="AB100" s="33"/>
      <c r="AC100" s="33"/>
      <c r="AD100" s="33"/>
      <c r="AE100" s="33"/>
      <c r="AF100" s="33"/>
      <c r="AG100" s="33"/>
      <c r="AH100" s="33"/>
      <c r="AI100" s="33"/>
      <c r="AJ100" s="33"/>
      <c r="AK100" s="33"/>
      <c r="AL100" s="33"/>
      <c r="AM100" s="5"/>
    </row>
    <row r="101" spans="9:39">
      <c r="I101" s="33"/>
      <c r="J101" s="33"/>
      <c r="K101" s="33"/>
      <c r="L101" s="33"/>
      <c r="M101" s="33"/>
      <c r="N101" s="33"/>
      <c r="O101" s="33"/>
      <c r="P101" s="33"/>
      <c r="Q101" s="33"/>
      <c r="R101" s="33"/>
      <c r="S101" s="33"/>
      <c r="T101" s="33"/>
      <c r="U101" s="33"/>
      <c r="V101" s="33"/>
      <c r="W101" s="49"/>
      <c r="X101" s="33"/>
      <c r="Y101" s="33"/>
      <c r="Z101" s="33"/>
      <c r="AA101" s="33"/>
      <c r="AB101" s="33"/>
      <c r="AC101" s="33"/>
      <c r="AD101" s="33"/>
      <c r="AE101" s="33"/>
      <c r="AF101" s="33"/>
      <c r="AG101" s="33"/>
      <c r="AH101" s="33"/>
      <c r="AI101" s="33"/>
      <c r="AJ101" s="33"/>
      <c r="AK101" s="33"/>
      <c r="AL101" s="33"/>
      <c r="AM101" s="5"/>
    </row>
    <row r="102" spans="9:39">
      <c r="I102" s="33"/>
      <c r="J102" s="33"/>
      <c r="K102" s="33"/>
      <c r="L102" s="33"/>
      <c r="M102" s="33"/>
      <c r="N102" s="33"/>
      <c r="O102" s="33"/>
      <c r="P102" s="33"/>
      <c r="Q102" s="33"/>
      <c r="R102" s="33"/>
      <c r="S102" s="33"/>
      <c r="T102" s="33"/>
      <c r="U102" s="33"/>
      <c r="V102" s="33"/>
      <c r="W102" s="49"/>
      <c r="X102" s="33"/>
      <c r="Y102" s="33"/>
      <c r="Z102" s="33"/>
      <c r="AA102" s="33"/>
      <c r="AB102" s="33"/>
      <c r="AC102" s="33"/>
      <c r="AD102" s="33"/>
      <c r="AE102" s="33"/>
      <c r="AF102" s="33"/>
      <c r="AG102" s="33"/>
      <c r="AH102" s="33"/>
      <c r="AI102" s="33"/>
      <c r="AJ102" s="33"/>
      <c r="AK102" s="33"/>
      <c r="AL102" s="33"/>
      <c r="AM102" s="5"/>
    </row>
    <row r="103" spans="9:39">
      <c r="I103" s="33"/>
      <c r="J103" s="33"/>
      <c r="K103" s="33"/>
      <c r="L103" s="33"/>
      <c r="M103" s="33"/>
      <c r="N103" s="33"/>
      <c r="O103" s="33"/>
      <c r="P103" s="33"/>
      <c r="Q103" s="33"/>
      <c r="R103" s="33"/>
      <c r="S103" s="33"/>
      <c r="T103" s="33"/>
      <c r="U103" s="33"/>
      <c r="V103" s="33"/>
      <c r="W103" s="5"/>
      <c r="X103" s="33"/>
      <c r="Y103" s="33"/>
      <c r="Z103" s="33"/>
      <c r="AA103" s="33"/>
      <c r="AB103" s="33"/>
      <c r="AC103" s="33"/>
      <c r="AD103" s="33"/>
      <c r="AE103" s="33"/>
      <c r="AF103" s="33"/>
      <c r="AG103" s="33"/>
      <c r="AH103" s="33"/>
      <c r="AI103" s="33"/>
      <c r="AJ103" s="33"/>
      <c r="AK103" s="33"/>
      <c r="AL103" s="33"/>
      <c r="AM103" s="5"/>
    </row>
    <row r="104" spans="9:39">
      <c r="I104" s="33"/>
      <c r="J104" s="33"/>
      <c r="K104" s="33"/>
      <c r="L104" s="33"/>
      <c r="M104" s="33"/>
      <c r="N104" s="33"/>
      <c r="O104" s="33"/>
      <c r="P104" s="33"/>
      <c r="Q104" s="33"/>
      <c r="R104" s="33"/>
      <c r="S104" s="33"/>
      <c r="T104" s="33"/>
      <c r="U104" s="33"/>
      <c r="V104" s="33"/>
      <c r="W104" s="5"/>
      <c r="X104" s="33"/>
      <c r="Y104" s="33"/>
      <c r="Z104" s="33"/>
      <c r="AA104" s="33"/>
      <c r="AB104" s="33"/>
      <c r="AC104" s="33"/>
      <c r="AD104" s="33"/>
      <c r="AE104" s="33"/>
      <c r="AF104" s="33"/>
      <c r="AG104" s="33"/>
      <c r="AH104" s="33"/>
      <c r="AI104" s="33"/>
      <c r="AJ104" s="33"/>
      <c r="AK104" s="33"/>
      <c r="AL104" s="33"/>
      <c r="AM104" s="5"/>
    </row>
    <row r="105" spans="9:39">
      <c r="I105" s="33"/>
      <c r="J105" s="33"/>
      <c r="K105" s="33"/>
      <c r="L105" s="33"/>
      <c r="M105" s="33"/>
      <c r="N105" s="33"/>
      <c r="O105" s="33"/>
      <c r="P105" s="33"/>
      <c r="Q105" s="33"/>
      <c r="R105" s="33"/>
      <c r="S105" s="33"/>
      <c r="T105" s="33"/>
      <c r="U105" s="33"/>
      <c r="V105" s="33"/>
      <c r="W105" s="5"/>
      <c r="X105" s="33"/>
      <c r="Y105" s="33"/>
      <c r="Z105" s="33"/>
      <c r="AA105" s="33"/>
      <c r="AB105" s="33"/>
      <c r="AC105" s="33"/>
      <c r="AD105" s="33"/>
      <c r="AE105" s="33"/>
      <c r="AF105" s="33"/>
      <c r="AG105" s="33"/>
      <c r="AH105" s="33"/>
      <c r="AI105" s="33"/>
      <c r="AJ105" s="33"/>
      <c r="AK105" s="33"/>
      <c r="AL105" s="33"/>
      <c r="AM105" s="5"/>
    </row>
    <row r="106" spans="9:39">
      <c r="I106" s="33"/>
      <c r="J106" s="33"/>
      <c r="K106" s="33"/>
      <c r="L106" s="33"/>
      <c r="M106" s="33"/>
      <c r="N106" s="33"/>
      <c r="O106" s="33"/>
      <c r="P106" s="33"/>
      <c r="Q106" s="33"/>
      <c r="R106" s="33"/>
      <c r="S106" s="33"/>
      <c r="T106" s="33"/>
      <c r="U106" s="33"/>
      <c r="V106" s="33"/>
      <c r="W106" s="5"/>
      <c r="X106" s="33"/>
      <c r="Y106" s="33"/>
      <c r="Z106" s="33"/>
      <c r="AA106" s="33"/>
      <c r="AB106" s="33"/>
      <c r="AC106" s="33"/>
      <c r="AD106" s="33"/>
      <c r="AE106" s="33"/>
      <c r="AF106" s="33"/>
      <c r="AG106" s="33"/>
      <c r="AH106" s="33"/>
      <c r="AI106" s="33"/>
      <c r="AJ106" s="33"/>
      <c r="AK106" s="33"/>
      <c r="AL106" s="33"/>
      <c r="AM106" s="5"/>
    </row>
    <row r="107" spans="9:39">
      <c r="I107" s="33"/>
      <c r="J107" s="33"/>
      <c r="K107" s="33"/>
      <c r="L107" s="33"/>
      <c r="M107" s="33"/>
      <c r="N107" s="33"/>
      <c r="O107" s="33"/>
      <c r="P107" s="33"/>
      <c r="Q107" s="33"/>
      <c r="R107" s="33"/>
      <c r="S107" s="33"/>
      <c r="T107" s="33"/>
      <c r="U107" s="33"/>
      <c r="V107" s="33"/>
      <c r="W107" s="5"/>
      <c r="X107" s="33"/>
      <c r="Y107" s="33"/>
      <c r="Z107" s="33"/>
      <c r="AA107" s="33"/>
      <c r="AB107" s="33"/>
      <c r="AC107" s="33"/>
      <c r="AD107" s="33"/>
      <c r="AE107" s="33"/>
      <c r="AF107" s="33"/>
      <c r="AG107" s="33"/>
      <c r="AH107" s="33"/>
      <c r="AI107" s="33"/>
      <c r="AJ107" s="33"/>
      <c r="AK107" s="33"/>
      <c r="AL107" s="33"/>
      <c r="AM107" s="5"/>
    </row>
    <row r="108" spans="9:39">
      <c r="I108" s="33"/>
      <c r="J108" s="33"/>
      <c r="K108" s="33"/>
      <c r="L108" s="33"/>
      <c r="M108" s="33"/>
      <c r="N108" s="33"/>
      <c r="O108" s="33"/>
      <c r="P108" s="33"/>
      <c r="Q108" s="33"/>
      <c r="R108" s="33"/>
      <c r="S108" s="33"/>
      <c r="T108" s="33"/>
      <c r="U108" s="33"/>
      <c r="V108" s="33"/>
      <c r="W108" s="5"/>
      <c r="X108" s="33"/>
      <c r="Y108" s="33"/>
      <c r="Z108" s="33"/>
      <c r="AA108" s="33"/>
      <c r="AB108" s="33"/>
      <c r="AC108" s="33"/>
      <c r="AD108" s="33"/>
      <c r="AE108" s="33"/>
      <c r="AF108" s="33"/>
      <c r="AG108" s="33"/>
      <c r="AH108" s="33"/>
      <c r="AI108" s="33"/>
      <c r="AJ108" s="33"/>
      <c r="AK108" s="33"/>
      <c r="AL108" s="33"/>
      <c r="AM108" s="5"/>
    </row>
    <row r="109" spans="9:39">
      <c r="I109" s="33"/>
      <c r="J109" s="33"/>
      <c r="K109" s="33"/>
      <c r="L109" s="33"/>
      <c r="M109" s="33"/>
      <c r="N109" s="33"/>
      <c r="O109" s="33"/>
      <c r="P109" s="33"/>
      <c r="Q109" s="33"/>
      <c r="R109" s="33"/>
      <c r="S109" s="33"/>
      <c r="T109" s="33"/>
      <c r="U109" s="33"/>
      <c r="V109" s="33"/>
      <c r="W109" s="5"/>
      <c r="X109" s="33"/>
      <c r="Y109" s="33"/>
      <c r="Z109" s="33"/>
      <c r="AA109" s="33"/>
      <c r="AB109" s="33"/>
      <c r="AC109" s="33"/>
      <c r="AD109" s="33"/>
      <c r="AE109" s="33"/>
      <c r="AF109" s="33"/>
      <c r="AG109" s="33"/>
      <c r="AH109" s="33"/>
      <c r="AI109" s="33"/>
      <c r="AJ109" s="33"/>
      <c r="AK109" s="33"/>
      <c r="AL109" s="33"/>
      <c r="AM109" s="5"/>
    </row>
    <row r="110" spans="9:39">
      <c r="I110" s="33"/>
      <c r="J110" s="33"/>
      <c r="K110" s="33"/>
      <c r="L110" s="33"/>
      <c r="M110" s="33"/>
      <c r="N110" s="33"/>
      <c r="O110" s="33"/>
      <c r="P110" s="33"/>
      <c r="Q110" s="33"/>
      <c r="R110" s="33"/>
      <c r="S110" s="33"/>
      <c r="T110" s="33"/>
      <c r="U110" s="33"/>
      <c r="V110" s="33"/>
      <c r="W110" s="5"/>
      <c r="X110" s="33"/>
      <c r="Y110" s="33"/>
      <c r="Z110" s="33"/>
      <c r="AA110" s="33"/>
      <c r="AB110" s="33"/>
      <c r="AC110" s="33"/>
      <c r="AD110" s="33"/>
      <c r="AE110" s="33"/>
      <c r="AF110" s="33"/>
      <c r="AG110" s="33"/>
      <c r="AH110" s="33"/>
      <c r="AI110" s="33"/>
      <c r="AJ110" s="33"/>
      <c r="AK110" s="33"/>
      <c r="AL110" s="33"/>
      <c r="AM110" s="5"/>
    </row>
    <row r="111" spans="9:39">
      <c r="I111" s="33"/>
      <c r="J111" s="33"/>
      <c r="K111" s="33"/>
      <c r="L111" s="33"/>
      <c r="M111" s="33"/>
      <c r="N111" s="33"/>
      <c r="O111" s="33"/>
      <c r="P111" s="33"/>
      <c r="Q111" s="33"/>
      <c r="R111" s="33"/>
      <c r="S111" s="33"/>
      <c r="T111" s="33"/>
      <c r="U111" s="33"/>
      <c r="V111" s="33"/>
      <c r="W111" s="5"/>
      <c r="X111" s="33"/>
      <c r="Y111" s="33"/>
      <c r="Z111" s="33"/>
      <c r="AA111" s="33"/>
      <c r="AB111" s="33"/>
      <c r="AC111" s="33"/>
      <c r="AD111" s="33"/>
      <c r="AE111" s="33"/>
      <c r="AF111" s="33"/>
      <c r="AG111" s="33"/>
      <c r="AH111" s="33"/>
      <c r="AI111" s="33"/>
      <c r="AJ111" s="33"/>
      <c r="AK111" s="33"/>
      <c r="AL111" s="33"/>
      <c r="AM111" s="5"/>
    </row>
    <row r="112" spans="9:39">
      <c r="I112" s="33"/>
      <c r="J112" s="33"/>
      <c r="K112" s="33"/>
      <c r="L112" s="33"/>
      <c r="M112" s="33"/>
      <c r="N112" s="33"/>
      <c r="O112" s="33"/>
      <c r="P112" s="33"/>
      <c r="Q112" s="33"/>
      <c r="R112" s="33"/>
      <c r="S112" s="33"/>
      <c r="T112" s="33"/>
      <c r="U112" s="33"/>
      <c r="V112" s="33"/>
      <c r="W112" s="5"/>
      <c r="X112" s="33"/>
      <c r="Y112" s="33"/>
      <c r="Z112" s="33"/>
      <c r="AA112" s="33"/>
      <c r="AB112" s="33"/>
      <c r="AC112" s="33"/>
      <c r="AD112" s="33"/>
      <c r="AE112" s="33"/>
      <c r="AF112" s="33"/>
      <c r="AG112" s="33"/>
      <c r="AH112" s="33"/>
      <c r="AI112" s="33"/>
      <c r="AJ112" s="33"/>
      <c r="AK112" s="33"/>
      <c r="AL112" s="33"/>
      <c r="AM112" s="5"/>
    </row>
    <row r="113" spans="9:62">
      <c r="I113" s="33"/>
      <c r="J113" s="33"/>
      <c r="K113" s="33"/>
      <c r="L113" s="33"/>
      <c r="M113" s="33"/>
      <c r="N113" s="33"/>
      <c r="O113" s="33"/>
      <c r="P113" s="33"/>
      <c r="Q113" s="33"/>
      <c r="R113" s="33"/>
      <c r="S113" s="33"/>
      <c r="T113" s="33"/>
      <c r="U113" s="33"/>
      <c r="V113" s="33"/>
      <c r="W113" s="5"/>
      <c r="X113" s="33"/>
      <c r="Y113" s="33"/>
      <c r="Z113" s="33"/>
      <c r="AA113" s="33"/>
      <c r="AB113" s="33"/>
      <c r="AC113" s="33"/>
      <c r="AD113" s="33"/>
      <c r="AE113" s="33"/>
      <c r="AF113" s="33"/>
      <c r="AG113" s="33"/>
      <c r="AH113" s="33"/>
      <c r="AI113" s="33"/>
      <c r="AJ113" s="33"/>
      <c r="AK113" s="33"/>
      <c r="AL113" s="33"/>
      <c r="AM113" s="5"/>
    </row>
    <row r="114" spans="9:62">
      <c r="I114" s="33"/>
      <c r="J114" s="33"/>
      <c r="K114" s="33"/>
      <c r="L114" s="33"/>
      <c r="M114" s="33"/>
      <c r="N114" s="33"/>
      <c r="O114" s="33"/>
      <c r="P114" s="33"/>
      <c r="Q114" s="33"/>
      <c r="R114" s="33"/>
      <c r="S114" s="33"/>
      <c r="T114" s="33"/>
      <c r="U114" s="33"/>
      <c r="V114" s="33"/>
      <c r="W114" s="5"/>
      <c r="X114" s="33"/>
      <c r="Y114" s="33"/>
      <c r="Z114" s="33"/>
      <c r="AA114" s="33"/>
      <c r="AB114" s="33"/>
      <c r="AC114" s="33"/>
      <c r="AD114" s="33"/>
      <c r="AE114" s="33"/>
      <c r="AF114" s="33"/>
      <c r="AG114" s="33"/>
      <c r="AH114" s="33"/>
      <c r="AI114" s="33"/>
      <c r="AJ114" s="33"/>
      <c r="AK114" s="33"/>
      <c r="AL114" s="33"/>
      <c r="AM114" s="5"/>
    </row>
    <row r="115" spans="9:62">
      <c r="I115" s="33"/>
      <c r="J115" s="33"/>
      <c r="K115" s="33"/>
      <c r="L115" s="33"/>
      <c r="M115" s="33"/>
      <c r="N115" s="33"/>
      <c r="O115" s="33"/>
      <c r="P115" s="33"/>
      <c r="Q115" s="33"/>
      <c r="R115" s="33"/>
      <c r="S115" s="33"/>
      <c r="T115" s="33"/>
      <c r="U115" s="33"/>
      <c r="V115" s="33"/>
      <c r="W115" s="5"/>
      <c r="X115" s="33"/>
      <c r="Y115" s="33"/>
      <c r="Z115" s="33"/>
      <c r="AA115" s="33"/>
      <c r="AB115" s="33"/>
      <c r="AC115" s="33"/>
      <c r="AD115" s="33"/>
      <c r="AE115" s="33"/>
      <c r="AF115" s="33"/>
      <c r="AG115" s="33"/>
      <c r="AH115" s="33"/>
      <c r="AI115" s="33"/>
      <c r="AJ115" s="33"/>
      <c r="AK115" s="33"/>
      <c r="AL115" s="33"/>
      <c r="AM115" s="5"/>
    </row>
    <row r="116" spans="9:62">
      <c r="I116" s="33"/>
      <c r="J116" s="33"/>
      <c r="K116" s="33"/>
      <c r="L116" s="33"/>
      <c r="M116" s="33"/>
      <c r="N116" s="33"/>
      <c r="O116" s="33"/>
      <c r="P116" s="33"/>
      <c r="Q116" s="33"/>
      <c r="R116" s="33"/>
      <c r="S116" s="33"/>
      <c r="T116" s="33"/>
      <c r="U116" s="33"/>
      <c r="V116" s="33"/>
      <c r="W116" s="5"/>
      <c r="X116" s="33"/>
      <c r="Y116" s="33"/>
      <c r="Z116" s="33"/>
      <c r="AA116" s="33"/>
      <c r="AB116" s="33"/>
      <c r="AC116" s="33"/>
      <c r="AD116" s="33"/>
      <c r="AE116" s="33"/>
      <c r="AF116" s="33"/>
      <c r="AG116" s="33"/>
      <c r="AH116" s="33"/>
      <c r="AI116" s="33"/>
      <c r="AJ116" s="33"/>
      <c r="AK116" s="33"/>
      <c r="AL116" s="33"/>
      <c r="AM116" s="5"/>
    </row>
    <row r="117" spans="9:62">
      <c r="I117" s="49"/>
      <c r="J117" s="49"/>
      <c r="K117" s="49"/>
      <c r="L117" s="49"/>
      <c r="M117" s="49"/>
      <c r="N117" s="49"/>
      <c r="O117" s="49"/>
      <c r="P117" s="49"/>
      <c r="Q117" s="49"/>
      <c r="R117" s="49"/>
      <c r="S117" s="49"/>
      <c r="T117" s="49"/>
      <c r="U117" s="49"/>
      <c r="V117" s="49"/>
      <c r="W117" s="49"/>
      <c r="X117" s="5"/>
      <c r="Y117" s="5"/>
      <c r="Z117" s="5"/>
      <c r="AA117" s="5"/>
      <c r="AB117" s="5"/>
      <c r="AC117" s="5"/>
      <c r="AD117" s="5"/>
      <c r="AE117" s="5"/>
      <c r="AF117" s="5"/>
      <c r="AG117" s="5"/>
      <c r="AH117" s="5"/>
      <c r="AI117" s="5"/>
      <c r="AJ117" s="5"/>
      <c r="AK117" s="5"/>
      <c r="AL117" s="5"/>
      <c r="AM117" s="5"/>
    </row>
    <row r="119" spans="9:62">
      <c r="S119" s="20" t="str">
        <f ca="1">CONCATENATE(LEFT($S$32, LEN($S$32)-4), " Step#", OFFSET($J$35, S33, 0))</f>
        <v>Stg.2 Nozzle Step#1</v>
      </c>
      <c r="T119" s="20" t="str">
        <f t="shared" ref="T119:BB119" ca="1" si="14">CONCATENATE(LEFT($S$32, LEN($S$32)-4), " Step#", OFFSET($J$35, T33, 0))</f>
        <v>Stg.2 Nozzle Step#36</v>
      </c>
      <c r="U119" s="20" t="str">
        <f t="shared" ca="1" si="14"/>
        <v>Stg.2 Nozzle Step#35</v>
      </c>
      <c r="V119" s="20" t="str">
        <f t="shared" ca="1" si="14"/>
        <v>Stg.2 Nozzle Step#34</v>
      </c>
      <c r="W119" s="20" t="str">
        <f t="shared" ca="1" si="14"/>
        <v>Stg.2 Nozzle Step#33</v>
      </c>
      <c r="X119" s="20" t="str">
        <f t="shared" ca="1" si="14"/>
        <v>Stg.2 Nozzle Step#32</v>
      </c>
      <c r="Y119" s="20" t="str">
        <f t="shared" ca="1" si="14"/>
        <v>Stg.2 Nozzle Step#31</v>
      </c>
      <c r="Z119" s="20" t="str">
        <f t="shared" ca="1" si="14"/>
        <v>Stg.2 Nozzle Step#30</v>
      </c>
      <c r="AA119" s="20" t="str">
        <f t="shared" ca="1" si="14"/>
        <v>Stg.2 Nozzle Step#29</v>
      </c>
      <c r="AB119" s="20" t="str">
        <f t="shared" ca="1" si="14"/>
        <v>Stg.2 Nozzle Step#28</v>
      </c>
      <c r="AC119" s="20" t="str">
        <f t="shared" ca="1" si="14"/>
        <v>Stg.2 Nozzle Step#27</v>
      </c>
      <c r="AD119" s="20" t="str">
        <f t="shared" ca="1" si="14"/>
        <v>Stg.2 Nozzle Step#26</v>
      </c>
      <c r="AE119" s="20" t="str">
        <f t="shared" ca="1" si="14"/>
        <v>Stg.2 Nozzle Step#25</v>
      </c>
      <c r="AF119" s="20" t="str">
        <f t="shared" ca="1" si="14"/>
        <v>Stg.2 Nozzle Step#24</v>
      </c>
      <c r="AG119" s="20" t="str">
        <f t="shared" ca="1" si="14"/>
        <v>Stg.2 Nozzle Step#23</v>
      </c>
      <c r="AH119" s="20" t="str">
        <f t="shared" ca="1" si="14"/>
        <v>Stg.2 Nozzle Step#22</v>
      </c>
      <c r="AI119" s="20" t="str">
        <f t="shared" ca="1" si="14"/>
        <v>Stg.2 Nozzle Step#21</v>
      </c>
      <c r="AJ119" s="20" t="str">
        <f t="shared" ca="1" si="14"/>
        <v>Stg.2 Nozzle Step#20</v>
      </c>
      <c r="AK119" s="20" t="str">
        <f t="shared" ca="1" si="14"/>
        <v>Stg.2 Nozzle Step#19</v>
      </c>
      <c r="AL119" s="20" t="str">
        <f t="shared" ca="1" si="14"/>
        <v>Stg.2 Nozzle Step#18</v>
      </c>
      <c r="AM119" s="20" t="str">
        <f t="shared" ca="1" si="14"/>
        <v>Stg.2 Nozzle Step#17</v>
      </c>
      <c r="AN119" s="20" t="str">
        <f t="shared" ca="1" si="14"/>
        <v>Stg.2 Nozzle Step#16</v>
      </c>
      <c r="AO119" s="20" t="str">
        <f t="shared" ca="1" si="14"/>
        <v>Stg.2 Nozzle Step#15</v>
      </c>
      <c r="AP119" s="20" t="str">
        <f t="shared" ca="1" si="14"/>
        <v>Stg.2 Nozzle Step#14</v>
      </c>
      <c r="AQ119" s="20" t="str">
        <f t="shared" ca="1" si="14"/>
        <v>Stg.2 Nozzle Step#13</v>
      </c>
      <c r="AR119" s="20" t="str">
        <f t="shared" ca="1" si="14"/>
        <v>Stg.2 Nozzle Step#12</v>
      </c>
      <c r="AS119" s="20" t="str">
        <f t="shared" ca="1" si="14"/>
        <v>Stg.2 Nozzle Step#11</v>
      </c>
      <c r="AT119" s="20" t="str">
        <f t="shared" ca="1" si="14"/>
        <v>Stg.2 Nozzle Step#10</v>
      </c>
      <c r="AU119" s="20" t="str">
        <f t="shared" ca="1" si="14"/>
        <v>Stg.2 Nozzle Step#9</v>
      </c>
      <c r="AV119" s="20" t="str">
        <f t="shared" ca="1" si="14"/>
        <v>Stg.2 Nozzle Step#8</v>
      </c>
      <c r="AW119" s="20" t="str">
        <f t="shared" ca="1" si="14"/>
        <v>Stg.2 Nozzle Step#7</v>
      </c>
      <c r="AX119" s="20" t="str">
        <f t="shared" ca="1" si="14"/>
        <v>Stg.2 Nozzle Step#6</v>
      </c>
      <c r="AY119" s="20" t="str">
        <f t="shared" ca="1" si="14"/>
        <v>Stg.2 Nozzle Step#5</v>
      </c>
      <c r="AZ119" s="20" t="str">
        <f t="shared" ca="1" si="14"/>
        <v>Stg.2 Nozzle Step#4</v>
      </c>
      <c r="BA119" s="20" t="str">
        <f t="shared" ca="1" si="14"/>
        <v>Stg.2 Nozzle Step#3</v>
      </c>
      <c r="BB119" s="20" t="str">
        <f t="shared" ca="1" si="14"/>
        <v>Stg.2 Nozzle Step#2</v>
      </c>
      <c r="BC119" s="20" t="s">
        <v>100</v>
      </c>
      <c r="BD119" s="20" t="s">
        <v>101</v>
      </c>
    </row>
    <row r="120" spans="9:62">
      <c r="S120" s="15"/>
      <c r="T120" s="15"/>
      <c r="U120" s="15"/>
      <c r="V120" s="15"/>
      <c r="W120" s="15"/>
      <c r="X120" s="15"/>
      <c r="Y120" s="15"/>
      <c r="Z120" s="15"/>
      <c r="AA120" s="15"/>
      <c r="AB120" s="15"/>
      <c r="AC120" s="15"/>
      <c r="AD120" s="15"/>
      <c r="AE120" s="15"/>
      <c r="AF120" s="15"/>
      <c r="AG120" s="15"/>
      <c r="AH120" s="15"/>
      <c r="AI120" s="15"/>
      <c r="AJ120" s="48"/>
      <c r="AK120" s="15"/>
      <c r="AL120" s="15"/>
      <c r="AM120" s="15"/>
      <c r="AN120" s="15"/>
      <c r="AO120" s="15"/>
      <c r="AP120" s="15"/>
      <c r="AQ120" s="15"/>
      <c r="AR120" s="15"/>
      <c r="AS120" s="15"/>
      <c r="AT120" s="15"/>
      <c r="AU120" s="15"/>
      <c r="AV120" s="15"/>
      <c r="AW120" s="15"/>
      <c r="AX120" s="15"/>
      <c r="AY120" s="15"/>
      <c r="AZ120" s="15"/>
      <c r="BA120" s="15"/>
      <c r="BB120" s="15"/>
      <c r="BC120" s="22" t="s">
        <v>102</v>
      </c>
      <c r="BD120" s="22" t="s">
        <v>94</v>
      </c>
    </row>
    <row r="121" spans="9:62">
      <c r="S121" s="30">
        <f>S36-'237'!S36-$BC$161</f>
        <v>-1.9400001383587551E-2</v>
      </c>
      <c r="T121" s="30"/>
      <c r="U121" s="30"/>
      <c r="V121" s="30"/>
      <c r="W121" s="30"/>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f>BB36-'237'!BB36-$BC$161</f>
        <v>-1.6733334716946047E-2</v>
      </c>
      <c r="BC121" s="29">
        <f>BC36-'237'!$BD$36-$BC$161</f>
        <v>-6.399999999996453E-2</v>
      </c>
      <c r="BD121" s="29">
        <f>BD36-'237'!$BC$36-$BC$161</f>
        <v>6.399999999996453E-2</v>
      </c>
      <c r="BE121" s="13" t="s">
        <v>60</v>
      </c>
      <c r="BF121" s="36">
        <f>MAX(S121:BB156)</f>
        <v>2.811110659536098E-3</v>
      </c>
      <c r="BG121" s="13" t="str">
        <f>IF(BF121&gt;BD121, CONCATENATE("O/Max ", TEXT(BF121-BD121,"0.000")), "-")</f>
        <v>-</v>
      </c>
      <c r="BH121" s="36">
        <f>$Q36-'237'!$Q36-$BC$161</f>
        <v>-1.9400001383587551E-2</v>
      </c>
      <c r="BI121" s="13">
        <f>INDEX($J36:$J71,MATCH(BF121,BH121:BH156,0))</f>
        <v>21</v>
      </c>
      <c r="BJ121">
        <f>MATCH(BF121,BH121:BH156,0)</f>
        <v>17</v>
      </c>
    </row>
    <row r="122" spans="9:62">
      <c r="S122" s="30">
        <f>S37-'237'!S37-$BC$161</f>
        <v>-1.9400001383587551E-2</v>
      </c>
      <c r="T122" s="30">
        <f>T37-'237'!T37-$BC$161</f>
        <v>-1.8866665564814866E-2</v>
      </c>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21">
        <f>BC121</f>
        <v>-6.399999999996453E-2</v>
      </c>
      <c r="BD122" s="21">
        <f>BD121</f>
        <v>6.399999999996453E-2</v>
      </c>
      <c r="BE122" s="13" t="s">
        <v>63</v>
      </c>
      <c r="BF122" s="36">
        <f>MIN(S121:BB156)</f>
        <v>-1.9400001383587551E-2</v>
      </c>
      <c r="BG122" s="13" t="str">
        <f>IF(BF122&lt;BC121, CONCATENATE("U/Min ", TEXT(BC121-BF122,"0.000")), "-")</f>
        <v>-</v>
      </c>
      <c r="BH122" s="36">
        <f>$Q37-'237'!$Q37-$BC$161</f>
        <v>-1.8866665564814866E-2</v>
      </c>
      <c r="BI122" s="13">
        <f>INDEX(J36:$J71,MATCH(BF122,BH121:BH156,0))</f>
        <v>1</v>
      </c>
      <c r="BJ122">
        <f>MATCH(BF122,BH121:BH156,0)</f>
        <v>1</v>
      </c>
    </row>
    <row r="123" spans="9:62">
      <c r="S123" s="30"/>
      <c r="T123" s="30">
        <f>T38-'237'!T38-$BC$161</f>
        <v>-1.8866665564814866E-2</v>
      </c>
      <c r="U123" s="30">
        <f>U38-'237'!U38-$BC$161</f>
        <v>-1.4777771428953201E-2</v>
      </c>
      <c r="V123" s="30"/>
      <c r="W123" s="30"/>
      <c r="X123" s="30"/>
      <c r="Y123" s="30"/>
      <c r="Z123" s="30"/>
      <c r="AA123" s="30"/>
      <c r="AB123" s="30"/>
      <c r="AC123" s="30"/>
      <c r="AD123" s="30"/>
      <c r="AE123" s="30"/>
      <c r="AF123" s="30"/>
      <c r="AG123" s="30"/>
      <c r="AH123" s="30"/>
      <c r="AI123" s="30"/>
      <c r="AJ123" s="30"/>
      <c r="AK123" s="30"/>
      <c r="AL123" s="30"/>
      <c r="AM123" s="30"/>
      <c r="AN123" s="30"/>
      <c r="AO123" s="30"/>
      <c r="AP123" s="30"/>
      <c r="AQ123" s="30"/>
      <c r="AR123" s="30"/>
      <c r="AS123" s="30"/>
      <c r="AT123" s="30"/>
      <c r="AU123" s="30"/>
      <c r="AV123" s="30"/>
      <c r="AW123" s="30"/>
      <c r="AX123" s="30"/>
      <c r="AY123" s="30"/>
      <c r="AZ123" s="30"/>
      <c r="BA123" s="30"/>
      <c r="BB123" s="30"/>
      <c r="BC123" s="21">
        <f t="shared" ref="BC123:BC156" si="15">BC122</f>
        <v>-6.399999999996453E-2</v>
      </c>
      <c r="BD123" s="21">
        <f t="shared" ref="BD123:BD156" si="16">BD122</f>
        <v>6.399999999996453E-2</v>
      </c>
      <c r="BH123" s="36">
        <f>$Q38-'237'!$Q38-$BC$161</f>
        <v>-1.4777771428953201E-2</v>
      </c>
      <c r="BI123" s="2"/>
    </row>
    <row r="124" spans="9:62">
      <c r="S124" s="30"/>
      <c r="T124" s="30"/>
      <c r="U124" s="30">
        <f>U39-'237'!U39-$BC$161</f>
        <v>-1.4777771428953201E-2</v>
      </c>
      <c r="V124" s="30">
        <f>V39-'237'!V39-$BC$161</f>
        <v>-1.0911102629336256E-2</v>
      </c>
      <c r="W124" s="30"/>
      <c r="X124" s="30"/>
      <c r="Y124" s="30"/>
      <c r="Z124" s="30"/>
      <c r="AA124" s="30"/>
      <c r="AB124" s="30"/>
      <c r="AC124" s="30"/>
      <c r="AD124" s="30"/>
      <c r="AE124" s="30"/>
      <c r="AF124" s="30"/>
      <c r="AG124" s="30"/>
      <c r="AH124" s="30"/>
      <c r="AI124" s="30"/>
      <c r="AJ124" s="30"/>
      <c r="AK124" s="30"/>
      <c r="AL124" s="30"/>
      <c r="AM124" s="30"/>
      <c r="AN124" s="30"/>
      <c r="AO124" s="30"/>
      <c r="AP124" s="30"/>
      <c r="AQ124" s="30"/>
      <c r="AR124" s="30"/>
      <c r="AS124" s="30"/>
      <c r="AT124" s="30"/>
      <c r="AU124" s="30"/>
      <c r="AV124" s="30"/>
      <c r="AW124" s="30"/>
      <c r="AX124" s="30"/>
      <c r="AY124" s="30"/>
      <c r="AZ124" s="30"/>
      <c r="BA124" s="30"/>
      <c r="BB124" s="30"/>
      <c r="BC124" s="21">
        <f t="shared" si="15"/>
        <v>-6.399999999996453E-2</v>
      </c>
      <c r="BD124" s="21">
        <f t="shared" si="16"/>
        <v>6.399999999996453E-2</v>
      </c>
      <c r="BH124" s="36">
        <f>$Q39-'237'!$Q39-$BC$161</f>
        <v>-1.0911102629336256E-2</v>
      </c>
      <c r="BI124" s="2"/>
    </row>
    <row r="125" spans="9:62">
      <c r="S125" s="30"/>
      <c r="T125" s="30"/>
      <c r="U125" s="30"/>
      <c r="V125" s="30">
        <f>V40-'237'!V40-$BC$161</f>
        <v>-1.0911102629336256E-2</v>
      </c>
      <c r="W125" s="30">
        <f>W40-'237'!W40-$BC$161</f>
        <v>-7.9333279343245522E-3</v>
      </c>
      <c r="X125" s="30"/>
      <c r="Y125" s="30"/>
      <c r="Z125" s="30"/>
      <c r="AA125" s="30"/>
      <c r="AB125" s="30"/>
      <c r="AC125" s="30"/>
      <c r="AD125" s="30"/>
      <c r="AE125" s="30"/>
      <c r="AF125" s="30"/>
      <c r="AG125" s="30"/>
      <c r="AH125" s="30"/>
      <c r="AI125" s="30"/>
      <c r="AJ125" s="30"/>
      <c r="AK125" s="30"/>
      <c r="AL125" s="30"/>
      <c r="AM125" s="30"/>
      <c r="AN125" s="30"/>
      <c r="AO125" s="30"/>
      <c r="AP125" s="30"/>
      <c r="AQ125" s="30"/>
      <c r="AR125" s="30"/>
      <c r="AS125" s="30"/>
      <c r="AT125" s="30"/>
      <c r="AU125" s="30"/>
      <c r="AV125" s="30"/>
      <c r="AW125" s="30"/>
      <c r="AX125" s="30"/>
      <c r="AY125" s="30"/>
      <c r="AZ125" s="30"/>
      <c r="BA125" s="30"/>
      <c r="BB125" s="30"/>
      <c r="BC125" s="21">
        <f t="shared" si="15"/>
        <v>-6.399999999996453E-2</v>
      </c>
      <c r="BD125" s="21">
        <f t="shared" si="16"/>
        <v>6.399999999996453E-2</v>
      </c>
      <c r="BH125" s="36">
        <f>$Q40-'237'!$Q40-$BC$161</f>
        <v>-7.9333279343245522E-3</v>
      </c>
      <c r="BI125" s="2"/>
    </row>
    <row r="126" spans="9:62">
      <c r="S126" s="30"/>
      <c r="T126" s="30"/>
      <c r="U126" s="30"/>
      <c r="V126" s="30"/>
      <c r="W126" s="30">
        <f>W41-'237'!W41-$BC$161</f>
        <v>-7.9333279343245522E-3</v>
      </c>
      <c r="X126" s="30">
        <f>X41-'237'!X41-$BC$161</f>
        <v>-6.06666950318413E-3</v>
      </c>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21">
        <f t="shared" si="15"/>
        <v>-6.399999999996453E-2</v>
      </c>
      <c r="BD126" s="21">
        <f t="shared" si="16"/>
        <v>6.399999999996453E-2</v>
      </c>
      <c r="BH126" s="36">
        <f>$Q41-'237'!$Q41-$BC$161</f>
        <v>-6.06666950318413E-3</v>
      </c>
      <c r="BI126" s="2"/>
    </row>
    <row r="127" spans="9:62">
      <c r="S127" s="30"/>
      <c r="T127" s="30"/>
      <c r="U127" s="30"/>
      <c r="V127" s="30"/>
      <c r="W127" s="30"/>
      <c r="X127" s="30">
        <f>X42-'237'!X42-$BC$161</f>
        <v>-6.06666950318413E-3</v>
      </c>
      <c r="Y127" s="30">
        <f>Y42-'237'!Y42-$BC$161</f>
        <v>-6.2000193901212697E-3</v>
      </c>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21">
        <f t="shared" si="15"/>
        <v>-6.399999999996453E-2</v>
      </c>
      <c r="BD127" s="21">
        <f t="shared" si="16"/>
        <v>6.399999999996453E-2</v>
      </c>
      <c r="BH127" s="36">
        <f>$Q42-'237'!$Q42-$BC$161</f>
        <v>-6.2000193901212697E-3</v>
      </c>
      <c r="BI127" s="2"/>
    </row>
    <row r="128" spans="9:62">
      <c r="S128" s="30"/>
      <c r="T128" s="30"/>
      <c r="U128" s="30"/>
      <c r="V128" s="30"/>
      <c r="W128" s="30"/>
      <c r="X128" s="30"/>
      <c r="Y128" s="30">
        <f>Y43-'237'!Y43-$BC$161</f>
        <v>-6.2000193901212697E-3</v>
      </c>
      <c r="Z128" s="30">
        <f>Z43-'237'!Z43-$BC$161</f>
        <v>-7.5333710823315414E-3</v>
      </c>
      <c r="AA128" s="30"/>
      <c r="AB128" s="30"/>
      <c r="AC128" s="30"/>
      <c r="AD128" s="30"/>
      <c r="AE128" s="30"/>
      <c r="AF128" s="30"/>
      <c r="AG128" s="30"/>
      <c r="AH128" s="30"/>
      <c r="AI128" s="30"/>
      <c r="AJ128" s="30"/>
      <c r="AK128" s="30"/>
      <c r="AL128" s="30"/>
      <c r="AM128" s="30"/>
      <c r="AN128" s="30"/>
      <c r="AO128" s="30"/>
      <c r="AP128" s="30"/>
      <c r="AQ128" s="30"/>
      <c r="AR128" s="30"/>
      <c r="AS128" s="30"/>
      <c r="AT128" s="30"/>
      <c r="AU128" s="30"/>
      <c r="AV128" s="30"/>
      <c r="AW128" s="30"/>
      <c r="AX128" s="30"/>
      <c r="AY128" s="30"/>
      <c r="AZ128" s="30"/>
      <c r="BA128" s="30"/>
      <c r="BB128" s="30"/>
      <c r="BC128" s="21">
        <f t="shared" si="15"/>
        <v>-6.399999999996453E-2</v>
      </c>
      <c r="BD128" s="21">
        <f t="shared" si="16"/>
        <v>6.399999999996453E-2</v>
      </c>
      <c r="BH128" s="36">
        <f>$Q43-'237'!$Q43-$BC$161</f>
        <v>-7.5333710823315414E-3</v>
      </c>
      <c r="BI128" s="2"/>
    </row>
    <row r="129" spans="19:61">
      <c r="S129" s="30"/>
      <c r="T129" s="30"/>
      <c r="U129" s="30"/>
      <c r="V129" s="30"/>
      <c r="W129" s="30"/>
      <c r="X129" s="30"/>
      <c r="Y129" s="30"/>
      <c r="Z129" s="30">
        <f>Z44-'237'!Z44-$BC$161</f>
        <v>-7.5333710823315414E-3</v>
      </c>
      <c r="AA129" s="30">
        <f>AA44-'237'!AA44-$BC$161</f>
        <v>-8.8667015374994662E-3</v>
      </c>
      <c r="AB129" s="30"/>
      <c r="AC129" s="30"/>
      <c r="AD129" s="30"/>
      <c r="AE129" s="30"/>
      <c r="AF129" s="30"/>
      <c r="AG129" s="30"/>
      <c r="AH129" s="30"/>
      <c r="AI129" s="30"/>
      <c r="AJ129" s="30"/>
      <c r="AK129" s="30"/>
      <c r="AL129" s="30"/>
      <c r="AM129" s="30"/>
      <c r="AN129" s="30"/>
      <c r="AO129" s="30"/>
      <c r="AP129" s="30"/>
      <c r="AQ129" s="30"/>
      <c r="AR129" s="30"/>
      <c r="AS129" s="30"/>
      <c r="AT129" s="30"/>
      <c r="AU129" s="30"/>
      <c r="AV129" s="30"/>
      <c r="AW129" s="30"/>
      <c r="AX129" s="30"/>
      <c r="AY129" s="30"/>
      <c r="AZ129" s="30"/>
      <c r="BA129" s="30"/>
      <c r="BB129" s="30"/>
      <c r="BC129" s="21">
        <f t="shared" si="15"/>
        <v>-6.399999999996453E-2</v>
      </c>
      <c r="BD129" s="21">
        <f t="shared" si="16"/>
        <v>6.399999999996453E-2</v>
      </c>
      <c r="BH129" s="36">
        <f>$Q44-'237'!$Q44-$BC$161</f>
        <v>-8.8667015374994662E-3</v>
      </c>
      <c r="BI129" s="2"/>
    </row>
    <row r="130" spans="19:61">
      <c r="S130" s="30"/>
      <c r="T130" s="30"/>
      <c r="U130" s="30"/>
      <c r="V130" s="30"/>
      <c r="W130" s="30"/>
      <c r="X130" s="30"/>
      <c r="Y130" s="30"/>
      <c r="Z130" s="30"/>
      <c r="AA130" s="30">
        <f>AA45-'237'!AA45-$BC$161</f>
        <v>-8.8667015374994662E-3</v>
      </c>
      <c r="AB130" s="30">
        <f>AB45-'237'!AB45-$BC$161</f>
        <v>-1.020001394118708E-2</v>
      </c>
      <c r="AC130" s="30"/>
      <c r="AD130" s="30"/>
      <c r="AE130" s="30"/>
      <c r="AF130" s="30"/>
      <c r="AG130" s="30"/>
      <c r="AH130" s="30"/>
      <c r="AI130" s="30"/>
      <c r="AJ130" s="30"/>
      <c r="AK130" s="30"/>
      <c r="AL130" s="30"/>
      <c r="AM130" s="30"/>
      <c r="AN130" s="30"/>
      <c r="AO130" s="30"/>
      <c r="AP130" s="30"/>
      <c r="AQ130" s="30"/>
      <c r="AR130" s="30"/>
      <c r="AS130" s="30"/>
      <c r="AT130" s="30"/>
      <c r="AU130" s="30"/>
      <c r="AV130" s="30"/>
      <c r="AW130" s="30"/>
      <c r="AX130" s="30"/>
      <c r="AY130" s="30"/>
      <c r="AZ130" s="30"/>
      <c r="BA130" s="30"/>
      <c r="BB130" s="30"/>
      <c r="BC130" s="21">
        <f t="shared" si="15"/>
        <v>-6.399999999996453E-2</v>
      </c>
      <c r="BD130" s="21">
        <f t="shared" si="16"/>
        <v>6.399999999996453E-2</v>
      </c>
      <c r="BH130" s="36">
        <f>$Q45-'237'!$Q45-$BC$161</f>
        <v>-1.020001394118708E-2</v>
      </c>
      <c r="BI130" s="2"/>
    </row>
    <row r="131" spans="19:61">
      <c r="S131" s="30"/>
      <c r="T131" s="30"/>
      <c r="U131" s="30"/>
      <c r="V131" s="30"/>
      <c r="W131" s="30"/>
      <c r="X131" s="30"/>
      <c r="Y131" s="30"/>
      <c r="Z131" s="30"/>
      <c r="AA131" s="30"/>
      <c r="AB131" s="30">
        <f>AB46-'237'!AB46-$BC$161</f>
        <v>-1.020001394118708E-2</v>
      </c>
      <c r="AC131" s="30">
        <f>AC46-'237'!AC46-$BC$161</f>
        <v>-1.0733280195722728E-2</v>
      </c>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21">
        <f t="shared" si="15"/>
        <v>-6.399999999996453E-2</v>
      </c>
      <c r="BD131" s="21">
        <f t="shared" si="16"/>
        <v>6.399999999996453E-2</v>
      </c>
      <c r="BH131" s="36">
        <f>$Q46-'237'!$Q46-$BC$161</f>
        <v>-1.0733280195722728E-2</v>
      </c>
      <c r="BI131" s="2"/>
    </row>
    <row r="132" spans="19:61">
      <c r="S132" s="30"/>
      <c r="T132" s="30"/>
      <c r="U132" s="30"/>
      <c r="V132" s="30"/>
      <c r="W132" s="30"/>
      <c r="X132" s="30"/>
      <c r="Y132" s="30"/>
      <c r="Z132" s="30"/>
      <c r="AA132" s="30"/>
      <c r="AB132" s="30"/>
      <c r="AC132" s="30">
        <f>AC47-'237'!AC47-$BC$161</f>
        <v>-1.0733280195722728E-2</v>
      </c>
      <c r="AD132" s="30">
        <f>AD47-'237'!AD47-$BC$161</f>
        <v>-1.0377606284521335E-2</v>
      </c>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21">
        <f t="shared" si="15"/>
        <v>-6.399999999996453E-2</v>
      </c>
      <c r="BD132" s="21">
        <f t="shared" si="16"/>
        <v>6.399999999996453E-2</v>
      </c>
      <c r="BH132" s="36">
        <f>$Q47-'237'!$Q47-$BC$161</f>
        <v>-1.0377606284521335E-2</v>
      </c>
      <c r="BI132" s="2"/>
    </row>
    <row r="133" spans="19:61">
      <c r="S133" s="30"/>
      <c r="T133" s="30"/>
      <c r="U133" s="30"/>
      <c r="V133" s="30"/>
      <c r="W133" s="30"/>
      <c r="X133" s="30"/>
      <c r="Y133" s="30"/>
      <c r="Z133" s="30"/>
      <c r="AA133" s="30"/>
      <c r="AB133" s="30"/>
      <c r="AC133" s="30"/>
      <c r="AD133" s="30">
        <f>AD48-'237'!AD48-$BC$161</f>
        <v>-1.0377606284521335E-2</v>
      </c>
      <c r="AE133" s="30">
        <f>AE48-'237'!AE48-$BC$161</f>
        <v>-9.3553406514956805E-3</v>
      </c>
      <c r="AF133" s="30"/>
      <c r="AG133" s="30"/>
      <c r="AH133" s="30"/>
      <c r="AI133" s="30"/>
      <c r="AJ133" s="30"/>
      <c r="AK133" s="30"/>
      <c r="AL133" s="30"/>
      <c r="AM133" s="30"/>
      <c r="AN133" s="30"/>
      <c r="AO133" s="30"/>
      <c r="AP133" s="30"/>
      <c r="AQ133" s="30"/>
      <c r="AR133" s="30"/>
      <c r="AS133" s="30"/>
      <c r="AT133" s="30"/>
      <c r="AU133" s="30"/>
      <c r="AV133" s="30"/>
      <c r="AW133" s="30"/>
      <c r="AX133" s="30"/>
      <c r="AY133" s="30"/>
      <c r="AZ133" s="30"/>
      <c r="BA133" s="30"/>
      <c r="BB133" s="30"/>
      <c r="BC133" s="21">
        <f t="shared" si="15"/>
        <v>-6.399999999996453E-2</v>
      </c>
      <c r="BD133" s="21">
        <f t="shared" si="16"/>
        <v>6.399999999996453E-2</v>
      </c>
      <c r="BH133" s="36">
        <f>$Q48-'237'!$Q48-$BC$161</f>
        <v>-9.3553406514956805E-3</v>
      </c>
      <c r="BI133" s="2"/>
    </row>
    <row r="134" spans="19:61">
      <c r="S134" s="30"/>
      <c r="T134" s="30"/>
      <c r="U134" s="30"/>
      <c r="V134" s="30"/>
      <c r="W134" s="30"/>
      <c r="X134" s="30"/>
      <c r="Y134" s="30"/>
      <c r="Z134" s="30"/>
      <c r="AA134" s="30"/>
      <c r="AB134" s="30"/>
      <c r="AC134" s="30"/>
      <c r="AD134" s="30"/>
      <c r="AE134" s="30">
        <f>AE49-'237'!AE49-$BC$161</f>
        <v>-9.3553406514956805E-3</v>
      </c>
      <c r="AF134" s="30">
        <f>AF49-'237'!AF49-$BC$161</f>
        <v>-7.4443093178615527E-3</v>
      </c>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21">
        <f t="shared" si="15"/>
        <v>-6.399999999996453E-2</v>
      </c>
      <c r="BD134" s="21">
        <f t="shared" si="16"/>
        <v>6.399999999996453E-2</v>
      </c>
      <c r="BH134" s="36">
        <f>$Q49-'237'!$Q49-$BC$161</f>
        <v>-7.4443093178615527E-3</v>
      </c>
      <c r="BI134" s="2"/>
    </row>
    <row r="135" spans="19:61">
      <c r="S135" s="30"/>
      <c r="T135" s="30"/>
      <c r="U135" s="30"/>
      <c r="V135" s="30"/>
      <c r="W135" s="30"/>
      <c r="X135" s="30"/>
      <c r="Y135" s="30"/>
      <c r="Z135" s="30"/>
      <c r="AA135" s="30"/>
      <c r="AB135" s="30"/>
      <c r="AC135" s="30"/>
      <c r="AD135" s="30"/>
      <c r="AE135" s="30"/>
      <c r="AF135" s="30">
        <f>AF50-'237'!AF50-$BC$161</f>
        <v>-7.4443093178615527E-3</v>
      </c>
      <c r="AG135" s="30">
        <f>AG50-'237'!AG50-$BC$161</f>
        <v>-4.7777410061371484E-3</v>
      </c>
      <c r="AH135" s="30"/>
      <c r="AI135" s="30"/>
      <c r="AJ135" s="30"/>
      <c r="AK135" s="30"/>
      <c r="AL135" s="30"/>
      <c r="AM135" s="30"/>
      <c r="AN135" s="30"/>
      <c r="AO135" s="30"/>
      <c r="AP135" s="30"/>
      <c r="AQ135" s="30"/>
      <c r="AR135" s="30"/>
      <c r="AS135" s="30"/>
      <c r="AT135" s="30"/>
      <c r="AU135" s="30"/>
      <c r="AV135" s="30"/>
      <c r="AW135" s="30"/>
      <c r="AX135" s="30"/>
      <c r="AY135" s="30"/>
      <c r="AZ135" s="30"/>
      <c r="BA135" s="30"/>
      <c r="BB135" s="30"/>
      <c r="BC135" s="21">
        <f t="shared" si="15"/>
        <v>-6.399999999996453E-2</v>
      </c>
      <c r="BD135" s="21">
        <f t="shared" si="16"/>
        <v>6.399999999996453E-2</v>
      </c>
      <c r="BH135" s="36">
        <f>$Q50-'237'!$Q50-$BC$161</f>
        <v>-4.7777410061371484E-3</v>
      </c>
      <c r="BI135" s="2"/>
    </row>
    <row r="136" spans="19:61">
      <c r="S136" s="30"/>
      <c r="T136" s="30"/>
      <c r="U136" s="30"/>
      <c r="V136" s="30"/>
      <c r="W136" s="30"/>
      <c r="X136" s="30"/>
      <c r="Y136" s="30"/>
      <c r="Z136" s="30"/>
      <c r="AA136" s="30"/>
      <c r="AB136" s="30"/>
      <c r="AC136" s="30"/>
      <c r="AD136" s="30"/>
      <c r="AE136" s="30"/>
      <c r="AF136" s="30"/>
      <c r="AG136" s="30">
        <f>AG51-'237'!AG51-$BC$161</f>
        <v>-4.7777410061371484E-3</v>
      </c>
      <c r="AH136" s="30">
        <f>AH51-'237'!AH51-$BC$161</f>
        <v>-1.0000002368428795E-3</v>
      </c>
      <c r="AI136" s="30"/>
      <c r="AJ136" s="30"/>
      <c r="AK136" s="30"/>
      <c r="AL136" s="30"/>
      <c r="AM136" s="30"/>
      <c r="AN136" s="30"/>
      <c r="AO136" s="30"/>
      <c r="AP136" s="30"/>
      <c r="AQ136" s="30"/>
      <c r="AR136" s="30"/>
      <c r="AS136" s="30"/>
      <c r="AT136" s="30"/>
      <c r="AU136" s="30"/>
      <c r="AV136" s="30"/>
      <c r="AW136" s="30"/>
      <c r="AX136" s="30"/>
      <c r="AY136" s="30"/>
      <c r="AZ136" s="30"/>
      <c r="BA136" s="30"/>
      <c r="BB136" s="30"/>
      <c r="BC136" s="21">
        <f t="shared" si="15"/>
        <v>-6.399999999996453E-2</v>
      </c>
      <c r="BD136" s="21">
        <f t="shared" si="16"/>
        <v>6.399999999996453E-2</v>
      </c>
      <c r="BH136" s="36">
        <f>$Q51-'237'!$Q51-$BC$161</f>
        <v>-1.0000002368428795E-3</v>
      </c>
      <c r="BI136" s="2"/>
    </row>
    <row r="137" spans="19:61">
      <c r="S137" s="30"/>
      <c r="T137" s="30"/>
      <c r="U137" s="30"/>
      <c r="V137" s="30"/>
      <c r="W137" s="30"/>
      <c r="X137" s="30"/>
      <c r="Y137" s="30"/>
      <c r="Z137" s="30"/>
      <c r="AA137" s="30"/>
      <c r="AB137" s="30"/>
      <c r="AC137" s="30"/>
      <c r="AD137" s="30"/>
      <c r="AE137" s="30"/>
      <c r="AF137" s="30"/>
      <c r="AG137" s="30"/>
      <c r="AH137" s="30">
        <f>AH52-'237'!AH52-$BC$161</f>
        <v>-1.0000002368428795E-3</v>
      </c>
      <c r="AI137" s="30">
        <f>AI52-'237'!AI52-$BC$161</f>
        <v>2.811110659536098E-3</v>
      </c>
      <c r="AJ137" s="30"/>
      <c r="AK137" s="30"/>
      <c r="AL137" s="30"/>
      <c r="AM137" s="30"/>
      <c r="AN137" s="30"/>
      <c r="AO137" s="30"/>
      <c r="AP137" s="30"/>
      <c r="AQ137" s="30"/>
      <c r="AR137" s="30"/>
      <c r="AS137" s="30"/>
      <c r="AT137" s="30"/>
      <c r="AU137" s="30"/>
      <c r="AV137" s="30"/>
      <c r="AW137" s="30"/>
      <c r="AX137" s="30"/>
      <c r="AY137" s="30"/>
      <c r="AZ137" s="30"/>
      <c r="BA137" s="30"/>
      <c r="BB137" s="30"/>
      <c r="BC137" s="21">
        <f t="shared" si="15"/>
        <v>-6.399999999996453E-2</v>
      </c>
      <c r="BD137" s="21">
        <f t="shared" si="16"/>
        <v>6.399999999996453E-2</v>
      </c>
      <c r="BH137" s="36">
        <f>$Q52-'237'!$Q52-$BC$161</f>
        <v>2.811110659536098E-3</v>
      </c>
      <c r="BI137" s="2"/>
    </row>
    <row r="138" spans="19:61">
      <c r="S138" s="30"/>
      <c r="T138" s="30"/>
      <c r="U138" s="30"/>
      <c r="V138" s="30"/>
      <c r="W138" s="30"/>
      <c r="X138" s="30"/>
      <c r="Y138" s="30"/>
      <c r="Z138" s="30"/>
      <c r="AA138" s="30"/>
      <c r="AB138" s="30"/>
      <c r="AC138" s="30"/>
      <c r="AD138" s="30"/>
      <c r="AE138" s="30"/>
      <c r="AF138" s="30"/>
      <c r="AG138" s="30"/>
      <c r="AH138" s="30"/>
      <c r="AI138" s="30">
        <f>AI53-'237'!AI53-$BC$161</f>
        <v>2.811110659536098E-3</v>
      </c>
      <c r="AJ138" s="30">
        <f>AJ53-'237'!AJ53-$BC$161</f>
        <v>2.3999992393441971E-3</v>
      </c>
      <c r="AK138" s="30"/>
      <c r="AL138" s="30"/>
      <c r="AM138" s="30"/>
      <c r="AN138" s="30"/>
      <c r="AO138" s="30"/>
      <c r="AP138" s="30"/>
      <c r="AQ138" s="30"/>
      <c r="AR138" s="30"/>
      <c r="AS138" s="30"/>
      <c r="AT138" s="30"/>
      <c r="AU138" s="30"/>
      <c r="AV138" s="30"/>
      <c r="AW138" s="30"/>
      <c r="AX138" s="30"/>
      <c r="AY138" s="30"/>
      <c r="AZ138" s="30"/>
      <c r="BA138" s="30"/>
      <c r="BB138" s="30"/>
      <c r="BC138" s="21">
        <f t="shared" si="15"/>
        <v>-6.399999999996453E-2</v>
      </c>
      <c r="BD138" s="21">
        <f t="shared" si="16"/>
        <v>6.399999999996453E-2</v>
      </c>
      <c r="BH138" s="36">
        <f>$Q53-'237'!$Q53-$BC$161</f>
        <v>2.3999992393441971E-3</v>
      </c>
      <c r="BI138" s="2"/>
    </row>
    <row r="139" spans="19:61">
      <c r="S139" s="30"/>
      <c r="T139" s="30"/>
      <c r="U139" s="30"/>
      <c r="V139" s="30"/>
      <c r="W139" s="30"/>
      <c r="X139" s="30"/>
      <c r="Y139" s="30"/>
      <c r="Z139" s="30"/>
      <c r="AA139" s="30"/>
      <c r="AB139" s="30"/>
      <c r="AC139" s="30"/>
      <c r="AD139" s="30"/>
      <c r="AE139" s="30"/>
      <c r="AF139" s="30"/>
      <c r="AG139" s="30"/>
      <c r="AH139" s="30"/>
      <c r="AI139" s="30"/>
      <c r="AJ139" s="30">
        <f>AJ54-'237'!AJ54-$BC$161</f>
        <v>2.3999992393441971E-3</v>
      </c>
      <c r="AK139" s="30">
        <f>AK54-'237'!AK54-$BC$161</f>
        <v>-1.6000011500523215E-3</v>
      </c>
      <c r="AL139" s="30"/>
      <c r="AM139" s="30"/>
      <c r="AN139" s="30"/>
      <c r="AO139" s="30"/>
      <c r="AP139" s="30"/>
      <c r="AQ139" s="30"/>
      <c r="AR139" s="30"/>
      <c r="AS139" s="30"/>
      <c r="AT139" s="30"/>
      <c r="AU139" s="30"/>
      <c r="AV139" s="30"/>
      <c r="AW139" s="30"/>
      <c r="AX139" s="30"/>
      <c r="AY139" s="30"/>
      <c r="AZ139" s="30"/>
      <c r="BA139" s="30"/>
      <c r="BB139" s="30"/>
      <c r="BC139" s="21">
        <f t="shared" si="15"/>
        <v>-6.399999999996453E-2</v>
      </c>
      <c r="BD139" s="21">
        <f t="shared" si="16"/>
        <v>6.399999999996453E-2</v>
      </c>
      <c r="BH139" s="36">
        <f>$Q54-'237'!$Q54-$BC$161</f>
        <v>-1.6000011500523215E-3</v>
      </c>
    </row>
    <row r="140" spans="19:61">
      <c r="S140" s="30"/>
      <c r="T140" s="30"/>
      <c r="U140" s="30"/>
      <c r="V140" s="30"/>
      <c r="W140" s="30"/>
      <c r="X140" s="30"/>
      <c r="Y140" s="30"/>
      <c r="Z140" s="30"/>
      <c r="AA140" s="30"/>
      <c r="AB140" s="30"/>
      <c r="AC140" s="30"/>
      <c r="AD140" s="30"/>
      <c r="AE140" s="30"/>
      <c r="AF140" s="30"/>
      <c r="AG140" s="30"/>
      <c r="AH140" s="30"/>
      <c r="AI140" s="30"/>
      <c r="AJ140" s="30"/>
      <c r="AK140" s="30">
        <f>AK55-'237'!AK55-$BC$161</f>
        <v>-1.6000011500523215E-3</v>
      </c>
      <c r="AL140" s="30">
        <f>AL55-'237'!AL55-$BC$161</f>
        <v>-6.5999969416452586E-3</v>
      </c>
      <c r="AM140" s="30"/>
      <c r="AN140" s="30"/>
      <c r="AO140" s="30"/>
      <c r="AP140" s="30"/>
      <c r="AQ140" s="30"/>
      <c r="AR140" s="30"/>
      <c r="AS140" s="30"/>
      <c r="AT140" s="30"/>
      <c r="AU140" s="30"/>
      <c r="AV140" s="30"/>
      <c r="AW140" s="30"/>
      <c r="AX140" s="30"/>
      <c r="AY140" s="30"/>
      <c r="AZ140" s="30"/>
      <c r="BA140" s="30"/>
      <c r="BB140" s="30"/>
      <c r="BC140" s="21">
        <f t="shared" si="15"/>
        <v>-6.399999999996453E-2</v>
      </c>
      <c r="BD140" s="21">
        <f t="shared" si="16"/>
        <v>6.399999999996453E-2</v>
      </c>
      <c r="BH140" s="36">
        <f>$Q55-'237'!$Q55-$BC$161</f>
        <v>-6.5999969416452586E-3</v>
      </c>
    </row>
    <row r="141" spans="19:61">
      <c r="S141" s="30"/>
      <c r="T141" s="30"/>
      <c r="U141" s="30"/>
      <c r="V141" s="30"/>
      <c r="W141" s="30"/>
      <c r="X141" s="30"/>
      <c r="Y141" s="30"/>
      <c r="Z141" s="30"/>
      <c r="AA141" s="30"/>
      <c r="AB141" s="30"/>
      <c r="AC141" s="30"/>
      <c r="AD141" s="30"/>
      <c r="AE141" s="30"/>
      <c r="AF141" s="30"/>
      <c r="AG141" s="30"/>
      <c r="AH141" s="30"/>
      <c r="AI141" s="30"/>
      <c r="AJ141" s="30"/>
      <c r="AK141" s="30"/>
      <c r="AL141" s="30">
        <f>AL56-'237'!AL56-$BC$161</f>
        <v>-6.5999969416452586E-3</v>
      </c>
      <c r="AM141" s="30">
        <f>AM56-'237'!AM56-$BC$161</f>
        <v>-1.2711098735678661E-2</v>
      </c>
      <c r="AN141" s="30"/>
      <c r="AO141" s="30"/>
      <c r="AP141" s="30"/>
      <c r="AQ141" s="30"/>
      <c r="AR141" s="30"/>
      <c r="AS141" s="30"/>
      <c r="AT141" s="30"/>
      <c r="AU141" s="30"/>
      <c r="AV141" s="30"/>
      <c r="AW141" s="30"/>
      <c r="AX141" s="30"/>
      <c r="AY141" s="30"/>
      <c r="AZ141" s="30"/>
      <c r="BA141" s="30"/>
      <c r="BB141" s="30"/>
      <c r="BC141" s="21">
        <f t="shared" si="15"/>
        <v>-6.399999999996453E-2</v>
      </c>
      <c r="BD141" s="21">
        <f t="shared" si="16"/>
        <v>6.399999999996453E-2</v>
      </c>
      <c r="BH141" s="36">
        <f>$Q56-'237'!$Q56-$BC$161</f>
        <v>-1.2711098735678661E-2</v>
      </c>
    </row>
    <row r="142" spans="19:61">
      <c r="S142" s="30"/>
      <c r="T142" s="30"/>
      <c r="U142" s="30"/>
      <c r="V142" s="30"/>
      <c r="W142" s="30"/>
      <c r="X142" s="30"/>
      <c r="Y142" s="30"/>
      <c r="Z142" s="30"/>
      <c r="AA142" s="30"/>
      <c r="AB142" s="30"/>
      <c r="AC142" s="30"/>
      <c r="AD142" s="30"/>
      <c r="AE142" s="30"/>
      <c r="AF142" s="30"/>
      <c r="AG142" s="30"/>
      <c r="AH142" s="30"/>
      <c r="AI142" s="30"/>
      <c r="AJ142" s="30"/>
      <c r="AK142" s="30"/>
      <c r="AL142" s="30"/>
      <c r="AM142" s="30">
        <f>AM57-'237'!AM57-$BC$161</f>
        <v>-1.2711098735678661E-2</v>
      </c>
      <c r="AN142" s="30">
        <f>AN57-'237'!AN57-$BC$161</f>
        <v>-1.5611095703661704E-2</v>
      </c>
      <c r="AO142" s="30"/>
      <c r="AP142" s="30"/>
      <c r="AQ142" s="30"/>
      <c r="AR142" s="30"/>
      <c r="AS142" s="30"/>
      <c r="AT142" s="30"/>
      <c r="AU142" s="30"/>
      <c r="AV142" s="30"/>
      <c r="AW142" s="30"/>
      <c r="AX142" s="30"/>
      <c r="AY142" s="30"/>
      <c r="AZ142" s="30"/>
      <c r="BA142" s="30"/>
      <c r="BB142" s="30"/>
      <c r="BC142" s="21">
        <f t="shared" si="15"/>
        <v>-6.399999999996453E-2</v>
      </c>
      <c r="BD142" s="21">
        <f t="shared" si="16"/>
        <v>6.399999999996453E-2</v>
      </c>
      <c r="BH142" s="36">
        <f>$Q57-'237'!$Q57-$BC$161</f>
        <v>-1.5611095703661704E-2</v>
      </c>
    </row>
    <row r="143" spans="19:61">
      <c r="S143" s="30"/>
      <c r="T143" s="30"/>
      <c r="U143" s="30"/>
      <c r="V143" s="30"/>
      <c r="W143" s="30"/>
      <c r="X143" s="30"/>
      <c r="Y143" s="30"/>
      <c r="Z143" s="30"/>
      <c r="AA143" s="30"/>
      <c r="AB143" s="30"/>
      <c r="AC143" s="30"/>
      <c r="AD143" s="30"/>
      <c r="AE143" s="30"/>
      <c r="AF143" s="30"/>
      <c r="AG143" s="30"/>
      <c r="AH143" s="30"/>
      <c r="AI143" s="30"/>
      <c r="AJ143" s="30"/>
      <c r="AK143" s="30"/>
      <c r="AL143" s="30"/>
      <c r="AM143" s="30"/>
      <c r="AN143" s="30">
        <f>AN58-'237'!AN58-$BC$161</f>
        <v>-1.5611095703661704E-2</v>
      </c>
      <c r="AO143" s="30">
        <f>AO58-'237'!AO58-$BC$161</f>
        <v>-1.339999201587716E-2</v>
      </c>
      <c r="AP143" s="30"/>
      <c r="AQ143" s="30"/>
      <c r="AR143" s="30"/>
      <c r="AS143" s="30"/>
      <c r="AT143" s="30"/>
      <c r="AU143" s="30"/>
      <c r="AV143" s="30"/>
      <c r="AW143" s="30"/>
      <c r="AX143" s="30"/>
      <c r="AY143" s="30"/>
      <c r="AZ143" s="30"/>
      <c r="BA143" s="30"/>
      <c r="BB143" s="30"/>
      <c r="BC143" s="21">
        <f t="shared" si="15"/>
        <v>-6.399999999996453E-2</v>
      </c>
      <c r="BD143" s="21">
        <f t="shared" si="16"/>
        <v>6.399999999996453E-2</v>
      </c>
      <c r="BH143" s="36">
        <f>$Q58-'237'!$Q58-$BC$161</f>
        <v>-1.339999201587716E-2</v>
      </c>
    </row>
    <row r="144" spans="19:61">
      <c r="S144" s="30"/>
      <c r="T144" s="30"/>
      <c r="U144" s="30"/>
      <c r="V144" s="30"/>
      <c r="W144" s="30"/>
      <c r="X144" s="30"/>
      <c r="Y144" s="30"/>
      <c r="Z144" s="30"/>
      <c r="AA144" s="30"/>
      <c r="AB144" s="30"/>
      <c r="AC144" s="30"/>
      <c r="AD144" s="30"/>
      <c r="AE144" s="30"/>
      <c r="AF144" s="30"/>
      <c r="AG144" s="30"/>
      <c r="AH144" s="30"/>
      <c r="AI144" s="30"/>
      <c r="AJ144" s="30"/>
      <c r="AK144" s="30"/>
      <c r="AL144" s="30"/>
      <c r="AM144" s="30"/>
      <c r="AN144" s="30"/>
      <c r="AO144" s="30">
        <f>AO59-'237'!AO59-$BC$161</f>
        <v>-1.339999201587716E-2</v>
      </c>
      <c r="AP144" s="30">
        <f>AP59-'237'!AP59-$BC$161</f>
        <v>-1.037779210315648E-2</v>
      </c>
      <c r="AQ144" s="30"/>
      <c r="AR144" s="30"/>
      <c r="AS144" s="30"/>
      <c r="AT144" s="30"/>
      <c r="AU144" s="30"/>
      <c r="AV144" s="30"/>
      <c r="AW144" s="30"/>
      <c r="AX144" s="30"/>
      <c r="AY144" s="30"/>
      <c r="AZ144" s="30"/>
      <c r="BA144" s="30"/>
      <c r="BB144" s="30"/>
      <c r="BC144" s="21">
        <f t="shared" si="15"/>
        <v>-6.399999999996453E-2</v>
      </c>
      <c r="BD144" s="21">
        <f t="shared" si="16"/>
        <v>6.399999999996453E-2</v>
      </c>
      <c r="BH144" s="36">
        <f>$Q59-'237'!$Q59-$BC$161</f>
        <v>-1.037779210315648E-2</v>
      </c>
    </row>
    <row r="145" spans="19:60">
      <c r="S145" s="30"/>
      <c r="T145" s="30"/>
      <c r="U145" s="30"/>
      <c r="V145" s="30"/>
      <c r="W145" s="30"/>
      <c r="X145" s="30"/>
      <c r="Y145" s="30"/>
      <c r="Z145" s="30"/>
      <c r="AA145" s="30"/>
      <c r="AB145" s="30"/>
      <c r="AC145" s="30"/>
      <c r="AD145" s="30"/>
      <c r="AE145" s="30"/>
      <c r="AF145" s="30"/>
      <c r="AG145" s="30"/>
      <c r="AH145" s="30"/>
      <c r="AI145" s="30"/>
      <c r="AJ145" s="30"/>
      <c r="AK145" s="30"/>
      <c r="AL145" s="30"/>
      <c r="AM145" s="30"/>
      <c r="AN145" s="30"/>
      <c r="AO145" s="30"/>
      <c r="AP145" s="30">
        <f>AP60-'237'!AP60-$BC$161</f>
        <v>-1.037779210315648E-2</v>
      </c>
      <c r="AQ145" s="30">
        <f>AQ60-'237'!AQ60-$BC$161</f>
        <v>-9.800064701721567E-3</v>
      </c>
      <c r="AR145" s="30"/>
      <c r="AS145" s="30"/>
      <c r="AT145" s="30"/>
      <c r="AU145" s="30"/>
      <c r="AV145" s="30"/>
      <c r="AW145" s="30"/>
      <c r="AX145" s="30"/>
      <c r="AY145" s="30"/>
      <c r="AZ145" s="30"/>
      <c r="BA145" s="30"/>
      <c r="BB145" s="30"/>
      <c r="BC145" s="21">
        <f t="shared" si="15"/>
        <v>-6.399999999996453E-2</v>
      </c>
      <c r="BD145" s="21">
        <f t="shared" si="16"/>
        <v>6.399999999996453E-2</v>
      </c>
      <c r="BH145" s="36">
        <f>$Q60-'237'!$Q60-$BC$161</f>
        <v>-9.800064701721567E-3</v>
      </c>
    </row>
    <row r="146" spans="19:60">
      <c r="S146" s="30"/>
      <c r="T146" s="30"/>
      <c r="U146" s="30"/>
      <c r="V146" s="30"/>
      <c r="W146" s="30"/>
      <c r="X146" s="30"/>
      <c r="Y146" s="30"/>
      <c r="Z146" s="30"/>
      <c r="AA146" s="30"/>
      <c r="AB146" s="30"/>
      <c r="AC146" s="30"/>
      <c r="AD146" s="30"/>
      <c r="AE146" s="30"/>
      <c r="AF146" s="30"/>
      <c r="AG146" s="30"/>
      <c r="AH146" s="30"/>
      <c r="AI146" s="30"/>
      <c r="AJ146" s="30"/>
      <c r="AK146" s="30"/>
      <c r="AL146" s="30"/>
      <c r="AM146" s="30"/>
      <c r="AN146" s="30"/>
      <c r="AO146" s="30"/>
      <c r="AP146" s="30"/>
      <c r="AQ146" s="30">
        <f>AQ61-'237'!AQ61-$BC$161</f>
        <v>-9.800064701721567E-3</v>
      </c>
      <c r="AR146" s="30">
        <f>AR61-'237'!AR61-$BC$161</f>
        <v>-1.0355677297184229E-2</v>
      </c>
      <c r="AS146" s="30"/>
      <c r="AT146" s="30"/>
      <c r="AU146" s="30"/>
      <c r="AV146" s="30"/>
      <c r="AW146" s="30"/>
      <c r="AX146" s="30"/>
      <c r="AY146" s="30"/>
      <c r="AZ146" s="30"/>
      <c r="BA146" s="30"/>
      <c r="BB146" s="30"/>
      <c r="BC146" s="21">
        <f t="shared" si="15"/>
        <v>-6.399999999996453E-2</v>
      </c>
      <c r="BD146" s="21">
        <f t="shared" si="16"/>
        <v>6.399999999996453E-2</v>
      </c>
      <c r="BH146" s="36">
        <f>$Q61-'237'!$Q61-$BC$161</f>
        <v>-1.0355677297184229E-2</v>
      </c>
    </row>
    <row r="147" spans="19:6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f>AR62-'237'!AR62-$BC$161</f>
        <v>-1.0355677297184229E-2</v>
      </c>
      <c r="AS147" s="30">
        <f>AS62-'237'!AS62-$BC$161</f>
        <v>-8.6889998265178292E-3</v>
      </c>
      <c r="AT147" s="30"/>
      <c r="AU147" s="30"/>
      <c r="AV147" s="30"/>
      <c r="AW147" s="30"/>
      <c r="AX147" s="30"/>
      <c r="AY147" s="30"/>
      <c r="AZ147" s="30"/>
      <c r="BA147" s="30"/>
      <c r="BB147" s="30"/>
      <c r="BC147" s="21">
        <f t="shared" si="15"/>
        <v>-6.399999999996453E-2</v>
      </c>
      <c r="BD147" s="21">
        <f t="shared" si="16"/>
        <v>6.399999999996453E-2</v>
      </c>
      <c r="BH147" s="36">
        <f>$Q62-'237'!$Q62-$BC$161</f>
        <v>-8.6889998265178292E-3</v>
      </c>
    </row>
    <row r="148" spans="19:60">
      <c r="S148" s="30"/>
      <c r="T148" s="30"/>
      <c r="U148" s="30"/>
      <c r="V148" s="30"/>
      <c r="W148" s="30"/>
      <c r="X148" s="30"/>
      <c r="Y148" s="30"/>
      <c r="Z148" s="30"/>
      <c r="AA148" s="30"/>
      <c r="AB148" s="30"/>
      <c r="AC148" s="30"/>
      <c r="AD148" s="30"/>
      <c r="AE148" s="30"/>
      <c r="AF148" s="30"/>
      <c r="AG148" s="30"/>
      <c r="AH148" s="30"/>
      <c r="AI148" s="30"/>
      <c r="AJ148" s="30"/>
      <c r="AK148" s="30"/>
      <c r="AL148" s="30"/>
      <c r="AM148" s="30"/>
      <c r="AN148" s="30"/>
      <c r="AO148" s="30"/>
      <c r="AP148" s="30"/>
      <c r="AQ148" s="30"/>
      <c r="AR148" s="30"/>
      <c r="AS148" s="30">
        <f>AS63-'237'!AS63-$BC$161</f>
        <v>-8.6889998265178292E-3</v>
      </c>
      <c r="AT148" s="30">
        <f>AT63-'237'!AT63-$BC$161</f>
        <v>-5.1333757996872009E-3</v>
      </c>
      <c r="AU148" s="30"/>
      <c r="AV148" s="30"/>
      <c r="AW148" s="30"/>
      <c r="AX148" s="30"/>
      <c r="AY148" s="30"/>
      <c r="AZ148" s="30"/>
      <c r="BA148" s="30"/>
      <c r="BB148" s="30"/>
      <c r="BC148" s="21">
        <f t="shared" si="15"/>
        <v>-6.399999999996453E-2</v>
      </c>
      <c r="BD148" s="21">
        <f t="shared" si="16"/>
        <v>6.399999999996453E-2</v>
      </c>
      <c r="BH148" s="36">
        <f>$Q63-'237'!$Q63-$BC$161</f>
        <v>-5.1333757996872009E-3</v>
      </c>
    </row>
    <row r="149" spans="19:6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f>AT64-'237'!AT64-$BC$161</f>
        <v>-5.1333757996872009E-3</v>
      </c>
      <c r="AU149" s="30">
        <f>AU64-'237'!AU64-$BC$161</f>
        <v>-4.1777820426887047E-3</v>
      </c>
      <c r="AV149" s="30"/>
      <c r="AW149" s="30"/>
      <c r="AX149" s="30"/>
      <c r="AY149" s="30"/>
      <c r="AZ149" s="30"/>
      <c r="BA149" s="30"/>
      <c r="BB149" s="30"/>
      <c r="BC149" s="21">
        <f t="shared" si="15"/>
        <v>-6.399999999996453E-2</v>
      </c>
      <c r="BD149" s="21">
        <f t="shared" si="16"/>
        <v>6.399999999996453E-2</v>
      </c>
      <c r="BH149" s="36">
        <f>$Q64-'237'!$Q64-$BC$161</f>
        <v>-4.1777820426887047E-3</v>
      </c>
    </row>
    <row r="150" spans="19:60">
      <c r="S150" s="30"/>
      <c r="T150" s="30"/>
      <c r="U150" s="30"/>
      <c r="V150" s="30"/>
      <c r="W150" s="30"/>
      <c r="X150" s="30"/>
      <c r="Y150" s="30"/>
      <c r="Z150" s="30"/>
      <c r="AA150" s="30"/>
      <c r="AB150" s="30"/>
      <c r="AC150" s="30"/>
      <c r="AD150" s="30"/>
      <c r="AE150" s="30"/>
      <c r="AF150" s="30"/>
      <c r="AG150" s="30"/>
      <c r="AH150" s="30"/>
      <c r="AI150" s="30"/>
      <c r="AJ150" s="30"/>
      <c r="AK150" s="30"/>
      <c r="AL150" s="30"/>
      <c r="AM150" s="30"/>
      <c r="AN150" s="30"/>
      <c r="AO150" s="30"/>
      <c r="AP150" s="30"/>
      <c r="AQ150" s="30"/>
      <c r="AR150" s="30"/>
      <c r="AS150" s="30"/>
      <c r="AT150" s="30"/>
      <c r="AU150" s="30">
        <f>AU65-'237'!AU65-$BC$161</f>
        <v>-4.1777820426887047E-3</v>
      </c>
      <c r="AV150" s="30">
        <f>AV65-'237'!AV65-$BC$161</f>
        <v>-6.1111108079785481E-3</v>
      </c>
      <c r="AW150" s="30"/>
      <c r="AX150" s="30"/>
      <c r="AY150" s="30"/>
      <c r="AZ150" s="30"/>
      <c r="BA150" s="30"/>
      <c r="BB150" s="30"/>
      <c r="BC150" s="21">
        <f t="shared" si="15"/>
        <v>-6.399999999996453E-2</v>
      </c>
      <c r="BD150" s="21">
        <f t="shared" si="16"/>
        <v>6.399999999996453E-2</v>
      </c>
      <c r="BH150" s="36">
        <f>$Q65-'237'!$Q65-$BC$161</f>
        <v>-6.1111108079785481E-3</v>
      </c>
    </row>
    <row r="151" spans="19:6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f>AV66-'237'!AV66-$BC$161</f>
        <v>-6.1111108079785481E-3</v>
      </c>
      <c r="AW151" s="30">
        <f>AW66-'237'!AW66-$BC$161</f>
        <v>-8.188889763005136E-3</v>
      </c>
      <c r="AX151" s="30"/>
      <c r="AY151" s="30"/>
      <c r="AZ151" s="30"/>
      <c r="BA151" s="30"/>
      <c r="BB151" s="30"/>
      <c r="BC151" s="21">
        <f t="shared" si="15"/>
        <v>-6.399999999996453E-2</v>
      </c>
      <c r="BD151" s="21">
        <f t="shared" si="16"/>
        <v>6.399999999996453E-2</v>
      </c>
      <c r="BH151" s="36">
        <f>$Q66-'237'!$Q66-$BC$161</f>
        <v>-8.188889763005136E-3</v>
      </c>
    </row>
    <row r="152" spans="19:6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f>AW67-'237'!AW67-$BC$161</f>
        <v>-8.188889763005136E-3</v>
      </c>
      <c r="AX152" s="30">
        <f>AX67-'237'!AX67-$BC$161</f>
        <v>-1.0044450160080487E-2</v>
      </c>
      <c r="AY152" s="30"/>
      <c r="AZ152" s="30"/>
      <c r="BA152" s="30"/>
      <c r="BB152" s="30"/>
      <c r="BC152" s="21">
        <f t="shared" si="15"/>
        <v>-6.399999999996453E-2</v>
      </c>
      <c r="BD152" s="21">
        <f t="shared" si="16"/>
        <v>6.399999999996453E-2</v>
      </c>
      <c r="BH152" s="36">
        <f>$Q67-'237'!$Q67-$BC$161</f>
        <v>-1.0044450160080487E-2</v>
      </c>
    </row>
    <row r="153" spans="19:60">
      <c r="S153" s="30"/>
      <c r="T153" s="30"/>
      <c r="U153" s="30"/>
      <c r="V153" s="30"/>
      <c r="W153" s="30"/>
      <c r="X153" s="30"/>
      <c r="Y153" s="30"/>
      <c r="Z153" s="30"/>
      <c r="AA153" s="30"/>
      <c r="AB153" s="30"/>
      <c r="AC153" s="30"/>
      <c r="AD153" s="30"/>
      <c r="AE153" s="30"/>
      <c r="AF153" s="30"/>
      <c r="AG153" s="30"/>
      <c r="AH153" s="30"/>
      <c r="AI153" s="30"/>
      <c r="AJ153" s="30"/>
      <c r="AK153" s="30"/>
      <c r="AL153" s="30"/>
      <c r="AM153" s="30"/>
      <c r="AN153" s="30"/>
      <c r="AO153" s="30"/>
      <c r="AP153" s="30"/>
      <c r="AQ153" s="30"/>
      <c r="AR153" s="30"/>
      <c r="AS153" s="30"/>
      <c r="AT153" s="30"/>
      <c r="AU153" s="30"/>
      <c r="AV153" s="30"/>
      <c r="AW153" s="30"/>
      <c r="AX153" s="30">
        <f>AX68-'237'!AX68-$BC$161</f>
        <v>-1.0044450160080487E-2</v>
      </c>
      <c r="AY153" s="30">
        <f>AY68-'237'!AY68-$BC$161</f>
        <v>-1.173334296441908E-2</v>
      </c>
      <c r="AZ153" s="30"/>
      <c r="BA153" s="30"/>
      <c r="BB153" s="30"/>
      <c r="BC153" s="21">
        <f t="shared" si="15"/>
        <v>-6.399999999996453E-2</v>
      </c>
      <c r="BD153" s="21">
        <f t="shared" si="16"/>
        <v>6.399999999996453E-2</v>
      </c>
      <c r="BH153" s="36">
        <f>$Q68-'237'!$Q68-$BC$161</f>
        <v>-1.173334296441908E-2</v>
      </c>
    </row>
    <row r="154" spans="19:60">
      <c r="S154" s="30"/>
      <c r="T154" s="30"/>
      <c r="U154" s="30"/>
      <c r="V154" s="30"/>
      <c r="W154" s="30"/>
      <c r="X154" s="30"/>
      <c r="Y154" s="30"/>
      <c r="Z154" s="30"/>
      <c r="AA154" s="30"/>
      <c r="AB154" s="30"/>
      <c r="AC154" s="30"/>
      <c r="AD154" s="30"/>
      <c r="AE154" s="30"/>
      <c r="AF154" s="30"/>
      <c r="AG154" s="30"/>
      <c r="AH154" s="30"/>
      <c r="AI154" s="30"/>
      <c r="AJ154" s="30"/>
      <c r="AK154" s="30"/>
      <c r="AL154" s="30"/>
      <c r="AM154" s="30"/>
      <c r="AN154" s="30"/>
      <c r="AO154" s="30"/>
      <c r="AP154" s="30"/>
      <c r="AQ154" s="30"/>
      <c r="AR154" s="30"/>
      <c r="AS154" s="30"/>
      <c r="AT154" s="30"/>
      <c r="AU154" s="30"/>
      <c r="AV154" s="30"/>
      <c r="AW154" s="30"/>
      <c r="AX154" s="30"/>
      <c r="AY154" s="30">
        <f>AY69-'237'!AY69-$BC$161</f>
        <v>-1.173334296441908E-2</v>
      </c>
      <c r="AZ154" s="30">
        <f>AZ69-'237'!AZ69-$BC$161</f>
        <v>-1.3200008024739418E-2</v>
      </c>
      <c r="BA154" s="30"/>
      <c r="BB154" s="30"/>
      <c r="BC154" s="21">
        <f t="shared" si="15"/>
        <v>-6.399999999996453E-2</v>
      </c>
      <c r="BD154" s="21">
        <f t="shared" si="16"/>
        <v>6.399999999996453E-2</v>
      </c>
      <c r="BH154" s="36">
        <f>$Q69-'237'!$Q69-$BC$161</f>
        <v>-1.3200008024739418E-2</v>
      </c>
    </row>
    <row r="155" spans="19:60">
      <c r="S155" s="30"/>
      <c r="T155" s="30"/>
      <c r="U155" s="30"/>
      <c r="V155" s="30"/>
      <c r="W155" s="30"/>
      <c r="X155" s="30"/>
      <c r="Y155" s="30"/>
      <c r="Z155" s="30"/>
      <c r="AA155" s="30"/>
      <c r="AB155" s="30"/>
      <c r="AC155" s="30"/>
      <c r="AD155" s="30"/>
      <c r="AE155" s="30"/>
      <c r="AF155" s="30"/>
      <c r="AG155" s="30"/>
      <c r="AH155" s="30"/>
      <c r="AI155" s="30"/>
      <c r="AJ155" s="30"/>
      <c r="AK155" s="30"/>
      <c r="AL155" s="30"/>
      <c r="AM155" s="30"/>
      <c r="AN155" s="30"/>
      <c r="AO155" s="30"/>
      <c r="AP155" s="30"/>
      <c r="AQ155" s="30"/>
      <c r="AR155" s="30"/>
      <c r="AS155" s="30"/>
      <c r="AT155" s="30"/>
      <c r="AU155" s="30"/>
      <c r="AV155" s="30"/>
      <c r="AW155" s="30"/>
      <c r="AX155" s="30"/>
      <c r="AY155" s="30"/>
      <c r="AZ155" s="30">
        <f>AZ70-'237'!AZ70-$BC$161</f>
        <v>-1.3200008024739418E-2</v>
      </c>
      <c r="BA155" s="30">
        <f>BA70-'237'!BA70-$BC$161</f>
        <v>-1.4633336807662545E-2</v>
      </c>
      <c r="BB155" s="30"/>
      <c r="BC155" s="21">
        <f t="shared" si="15"/>
        <v>-6.399999999996453E-2</v>
      </c>
      <c r="BD155" s="21">
        <f t="shared" si="16"/>
        <v>6.399999999996453E-2</v>
      </c>
      <c r="BH155" s="36">
        <f>$Q70-'237'!$Q70-$BC$161</f>
        <v>-1.4633336807662545E-2</v>
      </c>
    </row>
    <row r="156" spans="19:60">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f>BA71-'237'!BA71-$BC$161</f>
        <v>-1.4633336807662545E-2</v>
      </c>
      <c r="BB156" s="32">
        <f>BB71-'237'!BB71-$BC$161</f>
        <v>-1.6733334716946047E-2</v>
      </c>
      <c r="BC156" s="21">
        <f t="shared" si="15"/>
        <v>-6.399999999996453E-2</v>
      </c>
      <c r="BD156" s="21">
        <f t="shared" si="16"/>
        <v>6.399999999996453E-2</v>
      </c>
      <c r="BH156" s="36">
        <f>$Q71-'237'!$Q71-$BC$161</f>
        <v>-1.6733334716946047E-2</v>
      </c>
    </row>
    <row r="158" spans="19:60">
      <c r="BC158" s="51" t="s">
        <v>355</v>
      </c>
      <c r="BD158" s="51" t="s">
        <v>356</v>
      </c>
    </row>
    <row r="159" spans="19:60">
      <c r="BC159" s="52">
        <f>BC36-'237'!$BD$36</f>
        <v>15.286000000000058</v>
      </c>
      <c r="BD159" s="52">
        <f>BD36-'237'!$BC$36</f>
        <v>15.413999999999987</v>
      </c>
    </row>
    <row r="160" spans="19:60">
      <c r="BC160" s="51" t="s">
        <v>357</v>
      </c>
      <c r="BD160" s="51"/>
    </row>
    <row r="161" spans="55:56">
      <c r="BC161" s="51">
        <f>AVERAGE(BC159:BD159)</f>
        <v>15.350000000000023</v>
      </c>
      <c r="BD161" s="51"/>
    </row>
  </sheetData>
  <mergeCells count="1">
    <mergeCell ref="J9:J10"/>
  </mergeCells>
  <phoneticPr fontId="2"/>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C000"/>
  </sheetPr>
  <dimension ref="A1:AR167"/>
  <sheetViews>
    <sheetView zoomScale="70" zoomScaleNormal="70" workbookViewId="0">
      <selection activeCell="M11" sqref="M11"/>
    </sheetView>
  </sheetViews>
  <sheetFormatPr defaultRowHeight="15"/>
  <cols>
    <col min="1" max="1" width="24.42578125" customWidth="1"/>
    <col min="10" max="14" width="9" style="5"/>
  </cols>
  <sheetData>
    <row r="1" spans="1:27">
      <c r="A1" s="90" t="s">
        <v>628</v>
      </c>
      <c r="B1" s="90"/>
      <c r="C1" s="90"/>
      <c r="D1" s="90"/>
      <c r="E1" s="90"/>
      <c r="F1" s="90"/>
      <c r="G1" s="90"/>
      <c r="Y1" s="2"/>
      <c r="Z1" s="2"/>
      <c r="AA1" s="2"/>
    </row>
    <row r="2" spans="1:27">
      <c r="A2" s="90" t="s">
        <v>449</v>
      </c>
      <c r="B2" s="90" t="s">
        <v>450</v>
      </c>
      <c r="C2" s="90">
        <v>789.78700000000003</v>
      </c>
      <c r="D2" s="90" t="s">
        <v>451</v>
      </c>
      <c r="E2" s="90">
        <v>789.8</v>
      </c>
      <c r="F2" s="90"/>
      <c r="G2" s="90"/>
      <c r="Y2" s="2"/>
      <c r="Z2" s="2"/>
      <c r="AA2" s="2"/>
    </row>
    <row r="3" spans="1:27">
      <c r="A3" s="90" t="s">
        <v>629</v>
      </c>
      <c r="B3" s="90" t="s">
        <v>408</v>
      </c>
      <c r="C3" s="90">
        <v>-1.2999999999999999E-2</v>
      </c>
      <c r="D3" s="90" t="s">
        <v>453</v>
      </c>
      <c r="E3" s="90">
        <v>6.4000000000000001E-2</v>
      </c>
      <c r="F3" s="90" t="s">
        <v>406</v>
      </c>
      <c r="G3" s="90"/>
      <c r="Y3" s="2"/>
      <c r="Z3" s="2"/>
      <c r="AA3" s="2"/>
    </row>
    <row r="4" spans="1:27">
      <c r="A4" s="121" t="s">
        <v>630</v>
      </c>
      <c r="B4" s="90" t="s">
        <v>455</v>
      </c>
      <c r="C4" s="90">
        <v>-6.4000000000000001E-2</v>
      </c>
      <c r="D4" s="90"/>
      <c r="E4" s="90"/>
      <c r="F4" s="90"/>
      <c r="G4" s="90"/>
      <c r="J4" s="5" t="s">
        <v>103</v>
      </c>
      <c r="Y4" s="2"/>
      <c r="Z4" s="2"/>
      <c r="AA4" s="2"/>
    </row>
    <row r="5" spans="1:27">
      <c r="A5" s="1" t="s">
        <v>1034</v>
      </c>
      <c r="B5" s="1"/>
      <c r="C5" s="1" t="s">
        <v>411</v>
      </c>
      <c r="D5" s="1"/>
      <c r="E5" s="1"/>
      <c r="F5" s="1"/>
      <c r="G5" s="1"/>
      <c r="L5" s="6" t="s">
        <v>1</v>
      </c>
      <c r="M5" s="6">
        <v>789.8</v>
      </c>
      <c r="Y5" s="2"/>
      <c r="Z5" s="2"/>
      <c r="AA5" s="2"/>
    </row>
    <row r="6" spans="1:27">
      <c r="A6" s="90" t="s">
        <v>412</v>
      </c>
      <c r="B6" s="90" t="s">
        <v>413</v>
      </c>
      <c r="C6" s="90">
        <v>394.86599999999999</v>
      </c>
      <c r="D6" s="1"/>
      <c r="E6" s="1"/>
      <c r="F6" s="1"/>
      <c r="G6" s="1"/>
      <c r="L6" s="6" t="s">
        <v>2</v>
      </c>
      <c r="M6" s="13">
        <f>M5+0.064</f>
        <v>789.86399999999992</v>
      </c>
      <c r="Y6" s="2"/>
      <c r="Z6" s="2"/>
      <c r="AA6" s="2"/>
    </row>
    <row r="7" spans="1:27">
      <c r="A7" s="90" t="s">
        <v>631</v>
      </c>
      <c r="B7" s="90" t="s">
        <v>415</v>
      </c>
      <c r="C7" s="90">
        <v>0</v>
      </c>
      <c r="D7" s="1"/>
      <c r="E7" s="1"/>
      <c r="F7" s="1"/>
      <c r="G7" s="1"/>
      <c r="L7" s="6" t="s">
        <v>3</v>
      </c>
      <c r="M7" s="13">
        <f>M5-0.064</f>
        <v>789.73599999999999</v>
      </c>
      <c r="Y7" s="2"/>
      <c r="Z7" s="2"/>
      <c r="AA7" s="2"/>
    </row>
    <row r="8" spans="1:27">
      <c r="A8" s="121" t="s">
        <v>632</v>
      </c>
      <c r="B8" s="90" t="s">
        <v>417</v>
      </c>
      <c r="C8" s="90">
        <v>-139.375</v>
      </c>
      <c r="D8" s="1"/>
      <c r="E8" s="1"/>
      <c r="F8" s="1"/>
      <c r="G8" s="1"/>
      <c r="U8" s="5">
        <v>240</v>
      </c>
      <c r="V8" s="5">
        <v>238</v>
      </c>
      <c r="Y8" s="2"/>
      <c r="Z8" s="2"/>
      <c r="AA8" s="2"/>
    </row>
    <row r="9" spans="1:27">
      <c r="A9" s="90" t="s">
        <v>412</v>
      </c>
      <c r="B9" s="90" t="s">
        <v>413</v>
      </c>
      <c r="C9" s="90">
        <v>394.85700000000003</v>
      </c>
      <c r="D9" s="1"/>
      <c r="E9" s="1"/>
      <c r="F9" s="1"/>
      <c r="G9" s="1"/>
      <c r="H9" s="5"/>
      <c r="I9" s="9" t="s">
        <v>4</v>
      </c>
      <c r="J9" s="144" t="s">
        <v>104</v>
      </c>
      <c r="K9" s="10" t="s">
        <v>6</v>
      </c>
      <c r="L9" s="10" t="s">
        <v>7</v>
      </c>
      <c r="M9" s="10" t="s">
        <v>8</v>
      </c>
      <c r="P9" s="11" t="s">
        <v>9</v>
      </c>
      <c r="Q9" s="2"/>
      <c r="S9" s="5"/>
      <c r="T9" s="9" t="str">
        <f t="shared" ref="T9:T26" si="0">I9</f>
        <v>Angle</v>
      </c>
      <c r="U9" s="144" t="str">
        <f t="shared" ref="U9" si="1">J9</f>
        <v>240
Position</v>
      </c>
      <c r="V9" s="80" t="s">
        <v>304</v>
      </c>
      <c r="W9" s="80" t="s">
        <v>309</v>
      </c>
      <c r="Y9" s="13"/>
      <c r="Z9" s="13" t="s">
        <v>275</v>
      </c>
      <c r="AA9" s="13" t="s">
        <v>283</v>
      </c>
    </row>
    <row r="10" spans="1:27">
      <c r="A10" s="90" t="s">
        <v>633</v>
      </c>
      <c r="B10" s="90" t="s">
        <v>415</v>
      </c>
      <c r="C10" s="90">
        <v>1E-3</v>
      </c>
      <c r="D10" s="1"/>
      <c r="E10" s="1"/>
      <c r="F10" s="1"/>
      <c r="G10" s="1"/>
      <c r="H10" s="9" t="s">
        <v>10</v>
      </c>
      <c r="I10" s="9" t="s">
        <v>11</v>
      </c>
      <c r="J10" s="145"/>
      <c r="K10" s="10" t="s">
        <v>12</v>
      </c>
      <c r="L10" s="10" t="s">
        <v>12</v>
      </c>
      <c r="M10" s="10" t="s">
        <v>12</v>
      </c>
      <c r="P10" s="11" t="s">
        <v>13</v>
      </c>
      <c r="Q10" s="2"/>
      <c r="S10" s="9" t="str">
        <f t="shared" ref="S10:S26" si="2">H10</f>
        <v>Area#</v>
      </c>
      <c r="T10" s="9" t="str">
        <f t="shared" si="0"/>
        <v>[deg]</v>
      </c>
      <c r="U10" s="145"/>
      <c r="V10" s="79" t="s">
        <v>12</v>
      </c>
      <c r="W10" s="79" t="s">
        <v>12</v>
      </c>
      <c r="Y10" s="13" t="s">
        <v>284</v>
      </c>
      <c r="Z10" s="13">
        <f t="shared" ref="Z10:AA11" ca="1" si="3">AQ89</f>
        <v>16</v>
      </c>
      <c r="AA10" s="13">
        <f t="shared" ca="1" si="3"/>
        <v>4</v>
      </c>
    </row>
    <row r="11" spans="1:27">
      <c r="A11" s="121" t="s">
        <v>634</v>
      </c>
      <c r="B11" s="90" t="s">
        <v>417</v>
      </c>
      <c r="C11" s="90">
        <v>-139.375</v>
      </c>
      <c r="D11" s="1"/>
      <c r="E11" s="1"/>
      <c r="F11" s="1"/>
      <c r="G11" s="1"/>
      <c r="H11" s="13">
        <v>1</v>
      </c>
      <c r="I11" s="13">
        <v>0</v>
      </c>
      <c r="J11" s="10">
        <v>1</v>
      </c>
      <c r="K11" s="14">
        <f>SQRT(C6^2+C7^2)</f>
        <v>394.86599999999999</v>
      </c>
      <c r="L11" s="142">
        <f>M$7/2-0.116/2</f>
        <v>394.81</v>
      </c>
      <c r="M11" s="142">
        <f>M$6/2+0.116/2</f>
        <v>394.98999999999995</v>
      </c>
      <c r="P11" s="13">
        <f>K11+K19</f>
        <v>789.73</v>
      </c>
      <c r="Q11" s="2"/>
      <c r="S11" s="13">
        <f t="shared" si="2"/>
        <v>1</v>
      </c>
      <c r="T11" s="13">
        <f t="shared" si="0"/>
        <v>0</v>
      </c>
      <c r="U11" s="79">
        <f t="shared" ref="U11:U26" si="4">J11</f>
        <v>1</v>
      </c>
      <c r="V11" s="14">
        <f>K11-'238'!V11</f>
        <v>20.361999998664828</v>
      </c>
      <c r="W11" s="14">
        <f>K11-'238'!W11</f>
        <v>20.350999998664918</v>
      </c>
      <c r="Y11" s="13" t="s">
        <v>278</v>
      </c>
      <c r="Z11" s="13">
        <f t="shared" ca="1" si="3"/>
        <v>13</v>
      </c>
      <c r="AA11" s="13">
        <f t="shared" ca="1" si="3"/>
        <v>7</v>
      </c>
    </row>
    <row r="12" spans="1:27">
      <c r="A12" s="90" t="s">
        <v>412</v>
      </c>
      <c r="B12" s="90" t="s">
        <v>413</v>
      </c>
      <c r="C12" s="90">
        <v>394.86799999999999</v>
      </c>
      <c r="D12" s="1"/>
      <c r="E12" s="1"/>
      <c r="F12" s="1"/>
      <c r="G12" s="1"/>
      <c r="H12" s="13">
        <v>2</v>
      </c>
      <c r="I12" s="13">
        <f>I11+360/16</f>
        <v>22.5</v>
      </c>
      <c r="J12" s="10">
        <v>16</v>
      </c>
      <c r="K12" s="16">
        <f>SQRT(C51^2+C52^2)</f>
        <v>394.89100000126621</v>
      </c>
      <c r="L12" s="142">
        <f>L$11</f>
        <v>394.81</v>
      </c>
      <c r="M12" s="142">
        <f>M$11</f>
        <v>394.98999999999995</v>
      </c>
      <c r="P12" s="13">
        <f t="shared" ref="P12:P18" si="5">K12+K20</f>
        <v>789.76500002152579</v>
      </c>
      <c r="Q12" s="2"/>
      <c r="S12" s="13">
        <f t="shared" si="2"/>
        <v>2</v>
      </c>
      <c r="T12" s="13">
        <f t="shared" si="0"/>
        <v>22.5</v>
      </c>
      <c r="U12" s="79">
        <f t="shared" si="4"/>
        <v>16</v>
      </c>
      <c r="V12" s="14">
        <f>K12-'238'!V12</f>
        <v>20.36299998925108</v>
      </c>
      <c r="W12" s="14">
        <f>K12-'238'!W12</f>
        <v>20.352999989251373</v>
      </c>
    </row>
    <row r="13" spans="1:27">
      <c r="A13" s="90" t="s">
        <v>635</v>
      </c>
      <c r="B13" s="90" t="s">
        <v>415</v>
      </c>
      <c r="C13" s="90">
        <v>0</v>
      </c>
      <c r="D13" s="1"/>
      <c r="E13" s="1"/>
      <c r="F13" s="1"/>
      <c r="G13" s="1"/>
      <c r="H13" s="13">
        <v>3</v>
      </c>
      <c r="I13" s="13">
        <f t="shared" ref="I13:I26" si="6">I12+360/16</f>
        <v>45</v>
      </c>
      <c r="J13" s="10">
        <v>15</v>
      </c>
      <c r="K13" s="16">
        <f>SQRT(C48^2+C49^2)</f>
        <v>394.9</v>
      </c>
      <c r="L13" s="142">
        <f t="shared" ref="L13:M26" si="7">L$11</f>
        <v>394.81</v>
      </c>
      <c r="M13" s="142">
        <f t="shared" si="7"/>
        <v>394.98999999999995</v>
      </c>
      <c r="P13" s="13">
        <f t="shared" si="5"/>
        <v>789.79000000506471</v>
      </c>
      <c r="Q13" s="2"/>
      <c r="S13" s="13">
        <f t="shared" si="2"/>
        <v>3</v>
      </c>
      <c r="T13" s="13">
        <f t="shared" si="0"/>
        <v>45</v>
      </c>
      <c r="U13" s="79">
        <f t="shared" si="4"/>
        <v>15</v>
      </c>
      <c r="V13" s="14">
        <f>K13-'238'!V13</f>
        <v>20.370000000000005</v>
      </c>
      <c r="W13" s="14">
        <f>K13-'238'!W13</f>
        <v>20.359999999999957</v>
      </c>
    </row>
    <row r="14" spans="1:27">
      <c r="A14" s="121" t="s">
        <v>636</v>
      </c>
      <c r="B14" s="90" t="s">
        <v>417</v>
      </c>
      <c r="C14" s="90">
        <v>-139.375</v>
      </c>
      <c r="D14" s="1"/>
      <c r="E14" s="1"/>
      <c r="F14" s="1"/>
      <c r="G14" s="1"/>
      <c r="H14" s="13">
        <v>4</v>
      </c>
      <c r="I14" s="13">
        <f t="shared" si="6"/>
        <v>67.5</v>
      </c>
      <c r="J14" s="10">
        <v>14</v>
      </c>
      <c r="K14" s="16">
        <f>SQRT(C45^2+C46^2)</f>
        <v>394.91700000506432</v>
      </c>
      <c r="L14" s="142">
        <f t="shared" si="7"/>
        <v>394.81</v>
      </c>
      <c r="M14" s="142">
        <f t="shared" si="7"/>
        <v>394.98999999999995</v>
      </c>
      <c r="P14" s="13">
        <f t="shared" si="5"/>
        <v>789.85200001645865</v>
      </c>
      <c r="Q14" s="2"/>
      <c r="S14" s="13">
        <f t="shared" si="2"/>
        <v>4</v>
      </c>
      <c r="T14" s="13">
        <f t="shared" si="0"/>
        <v>67.5</v>
      </c>
      <c r="U14" s="79">
        <f t="shared" si="4"/>
        <v>14</v>
      </c>
      <c r="V14" s="14">
        <f>K14-'238'!V14</f>
        <v>20.354000003729425</v>
      </c>
      <c r="W14" s="14">
        <f>K14-'238'!W14</f>
        <v>20.341999983706785</v>
      </c>
    </row>
    <row r="15" spans="1:27">
      <c r="A15" s="90" t="s">
        <v>412</v>
      </c>
      <c r="B15" s="90" t="s">
        <v>413</v>
      </c>
      <c r="C15" s="90">
        <v>394.911</v>
      </c>
      <c r="D15" s="1"/>
      <c r="E15" s="1"/>
      <c r="F15" s="1"/>
      <c r="G15" s="1"/>
      <c r="H15" s="13">
        <v>5</v>
      </c>
      <c r="I15" s="13">
        <f t="shared" si="6"/>
        <v>90</v>
      </c>
      <c r="J15" s="10">
        <v>13</v>
      </c>
      <c r="K15" s="16">
        <f>SQRT(C42^2+C43^2)</f>
        <v>394.91</v>
      </c>
      <c r="L15" s="142">
        <f t="shared" si="7"/>
        <v>394.81</v>
      </c>
      <c r="M15" s="142">
        <f t="shared" si="7"/>
        <v>394.98999999999995</v>
      </c>
      <c r="P15" s="13">
        <f t="shared" si="5"/>
        <v>789.84</v>
      </c>
      <c r="Q15" s="2"/>
      <c r="S15" s="13">
        <f t="shared" si="2"/>
        <v>5</v>
      </c>
      <c r="T15" s="13">
        <f t="shared" si="0"/>
        <v>90</v>
      </c>
      <c r="U15" s="79">
        <f t="shared" si="4"/>
        <v>13</v>
      </c>
      <c r="V15" s="14">
        <f>K15-'238'!V15</f>
        <v>20.349999998665112</v>
      </c>
      <c r="W15" s="14">
        <f>K15-'238'!W15</f>
        <v>20.339999998665178</v>
      </c>
    </row>
    <row r="16" spans="1:27">
      <c r="A16" s="90" t="s">
        <v>637</v>
      </c>
      <c r="B16" s="90" t="s">
        <v>415</v>
      </c>
      <c r="C16" s="90">
        <v>0</v>
      </c>
      <c r="D16" s="1"/>
      <c r="E16" s="1"/>
      <c r="F16" s="1"/>
      <c r="G16" s="1"/>
      <c r="H16" s="13">
        <v>6</v>
      </c>
      <c r="I16" s="13">
        <f t="shared" si="6"/>
        <v>112.5</v>
      </c>
      <c r="J16" s="10">
        <v>12</v>
      </c>
      <c r="K16" s="16">
        <f>SQRT(C39^2+C40^2)</f>
        <v>394.91400000506439</v>
      </c>
      <c r="L16" s="142">
        <f t="shared" si="7"/>
        <v>394.81</v>
      </c>
      <c r="M16" s="142">
        <f t="shared" si="7"/>
        <v>394.98999999999995</v>
      </c>
      <c r="P16" s="13">
        <f t="shared" si="5"/>
        <v>789.82500000506434</v>
      </c>
      <c r="Q16" s="2"/>
      <c r="S16" s="13">
        <f t="shared" si="2"/>
        <v>6</v>
      </c>
      <c r="T16" s="13">
        <f t="shared" si="0"/>
        <v>112.5</v>
      </c>
      <c r="U16" s="79">
        <f t="shared" si="4"/>
        <v>12</v>
      </c>
      <c r="V16" s="14">
        <f>K16-'238'!V16</f>
        <v>20.348000003729567</v>
      </c>
      <c r="W16" s="14">
        <f>K16-'238'!W16</f>
        <v>20.334999999725085</v>
      </c>
    </row>
    <row r="17" spans="1:23">
      <c r="A17" s="121" t="s">
        <v>638</v>
      </c>
      <c r="B17" s="90" t="s">
        <v>417</v>
      </c>
      <c r="C17" s="90">
        <v>-139.375</v>
      </c>
      <c r="D17" s="1"/>
      <c r="E17" s="1"/>
      <c r="F17" s="1"/>
      <c r="G17" s="1"/>
      <c r="H17" s="13">
        <v>7</v>
      </c>
      <c r="I17" s="13">
        <f t="shared" si="6"/>
        <v>135</v>
      </c>
      <c r="J17" s="10">
        <v>11</v>
      </c>
      <c r="K17" s="16">
        <f>SQRT(C36^2+C37^2)</f>
        <v>394.88500000126618</v>
      </c>
      <c r="L17" s="142">
        <f t="shared" si="7"/>
        <v>394.81</v>
      </c>
      <c r="M17" s="142">
        <f t="shared" si="7"/>
        <v>394.98999999999995</v>
      </c>
      <c r="P17" s="13">
        <f t="shared" si="5"/>
        <v>789.75300000126617</v>
      </c>
      <c r="Q17" s="2"/>
      <c r="S17" s="13">
        <f t="shared" si="2"/>
        <v>7</v>
      </c>
      <c r="T17" s="13">
        <f t="shared" si="0"/>
        <v>135</v>
      </c>
      <c r="U17" s="79">
        <f t="shared" si="4"/>
        <v>11</v>
      </c>
      <c r="V17" s="14">
        <f>K17-'238'!V17</f>
        <v>20.375000001266187</v>
      </c>
      <c r="W17" s="14">
        <f>K17-'238'!W17</f>
        <v>20.356000001266182</v>
      </c>
    </row>
    <row r="18" spans="1:23">
      <c r="A18" s="90" t="s">
        <v>412</v>
      </c>
      <c r="B18" s="90" t="s">
        <v>413</v>
      </c>
      <c r="C18" s="90">
        <v>394.93</v>
      </c>
      <c r="D18" s="1"/>
      <c r="E18" s="1"/>
      <c r="F18" s="1"/>
      <c r="G18" s="1"/>
      <c r="H18" s="13">
        <v>8</v>
      </c>
      <c r="I18" s="13">
        <f t="shared" si="6"/>
        <v>157.5</v>
      </c>
      <c r="J18" s="10">
        <v>10</v>
      </c>
      <c r="K18" s="16">
        <f>SQRT(C33^2+C34^2)</f>
        <v>394.88000000126624</v>
      </c>
      <c r="L18" s="142">
        <f t="shared" si="7"/>
        <v>394.81</v>
      </c>
      <c r="M18" s="142">
        <f t="shared" si="7"/>
        <v>394.98999999999995</v>
      </c>
      <c r="P18" s="13">
        <f t="shared" si="5"/>
        <v>789.73700000253257</v>
      </c>
      <c r="Q18" s="2"/>
      <c r="S18" s="13">
        <f t="shared" si="2"/>
        <v>8</v>
      </c>
      <c r="T18" s="13">
        <f t="shared" si="0"/>
        <v>157.5</v>
      </c>
      <c r="U18" s="79">
        <f t="shared" si="4"/>
        <v>10</v>
      </c>
      <c r="V18" s="14">
        <f>K18-'238'!V18</f>
        <v>20.368999893125192</v>
      </c>
      <c r="W18" s="14">
        <f>K18-'238'!W18</f>
        <v>20.352999995926154</v>
      </c>
    </row>
    <row r="19" spans="1:23">
      <c r="A19" s="90" t="s">
        <v>639</v>
      </c>
      <c r="B19" s="90" t="s">
        <v>415</v>
      </c>
      <c r="C19" s="90">
        <v>0</v>
      </c>
      <c r="D19" s="1"/>
      <c r="E19" s="1"/>
      <c r="F19" s="1"/>
      <c r="G19" s="1"/>
      <c r="H19" s="13">
        <v>9</v>
      </c>
      <c r="I19" s="13">
        <f t="shared" si="6"/>
        <v>180</v>
      </c>
      <c r="J19" s="10">
        <v>9</v>
      </c>
      <c r="K19" s="16">
        <f>SQRT(C30^2+C31^2)</f>
        <v>394.86399999999998</v>
      </c>
      <c r="L19" s="142">
        <f t="shared" si="7"/>
        <v>394.81</v>
      </c>
      <c r="M19" s="142">
        <f t="shared" si="7"/>
        <v>394.98999999999995</v>
      </c>
      <c r="P19" s="13"/>
      <c r="Q19" s="2"/>
      <c r="S19" s="13">
        <f t="shared" si="2"/>
        <v>9</v>
      </c>
      <c r="T19" s="13">
        <f t="shared" si="0"/>
        <v>180</v>
      </c>
      <c r="U19" s="79">
        <f t="shared" si="4"/>
        <v>9</v>
      </c>
      <c r="V19" s="14">
        <f>K19-'238'!V19</f>
        <v>20.368999998664833</v>
      </c>
      <c r="W19" s="14">
        <f>K19-'238'!W19</f>
        <v>20.349999998664885</v>
      </c>
    </row>
    <row r="20" spans="1:23">
      <c r="A20" s="121" t="s">
        <v>640</v>
      </c>
      <c r="B20" s="90" t="s">
        <v>417</v>
      </c>
      <c r="C20" s="90">
        <v>-139.375</v>
      </c>
      <c r="D20" s="1"/>
      <c r="E20" s="1"/>
      <c r="F20" s="1"/>
      <c r="G20" s="1"/>
      <c r="H20" s="13">
        <v>10</v>
      </c>
      <c r="I20" s="13">
        <f t="shared" si="6"/>
        <v>202.5</v>
      </c>
      <c r="J20" s="10">
        <v>8</v>
      </c>
      <c r="K20" s="16">
        <f>SQRT(C27^2+C28^2)</f>
        <v>394.87400002025964</v>
      </c>
      <c r="L20" s="142">
        <f t="shared" si="7"/>
        <v>394.81</v>
      </c>
      <c r="M20" s="142">
        <f t="shared" si="7"/>
        <v>394.98999999999995</v>
      </c>
      <c r="P20" s="13">
        <f>MAX(P11:P18)</f>
        <v>789.85200001645865</v>
      </c>
      <c r="Q20" s="13" t="str">
        <f>IF(P20&gt;M6, CONCATENATE("O/Max ", TEXT(P20-M6, "0.000")), "-")</f>
        <v>-</v>
      </c>
      <c r="S20" s="13">
        <f t="shared" si="2"/>
        <v>10</v>
      </c>
      <c r="T20" s="13">
        <f t="shared" si="0"/>
        <v>202.5</v>
      </c>
      <c r="U20" s="79">
        <f t="shared" si="4"/>
        <v>8</v>
      </c>
      <c r="V20" s="14">
        <f>K20-'238'!V20</f>
        <v>20.356000020259671</v>
      </c>
      <c r="W20" s="14">
        <f>K20-'238'!W20</f>
        <v>20.348000014919535</v>
      </c>
    </row>
    <row r="21" spans="1:23">
      <c r="A21" s="90" t="s">
        <v>412</v>
      </c>
      <c r="B21" s="90" t="s">
        <v>413</v>
      </c>
      <c r="C21" s="90">
        <v>394.935</v>
      </c>
      <c r="D21" s="1"/>
      <c r="E21" s="1"/>
      <c r="F21" s="1"/>
      <c r="G21" s="1"/>
      <c r="H21" s="13">
        <v>11</v>
      </c>
      <c r="I21" s="13">
        <f t="shared" si="6"/>
        <v>225</v>
      </c>
      <c r="J21" s="10">
        <v>7</v>
      </c>
      <c r="K21" s="16">
        <f>SQRT(C24^2+C25^2)</f>
        <v>394.89000000506468</v>
      </c>
      <c r="L21" s="142">
        <f t="shared" si="7"/>
        <v>394.81</v>
      </c>
      <c r="M21" s="142">
        <f t="shared" si="7"/>
        <v>394.98999999999995</v>
      </c>
      <c r="P21" s="13">
        <f>MIN(P11:P18)</f>
        <v>789.73</v>
      </c>
      <c r="Q21" s="13" t="str">
        <f>IF(P21&lt;M7, CONCATENATE("U/Min ", TEXT(M7-P21, "0.000")), "-")</f>
        <v>U/Min 0.006</v>
      </c>
      <c r="S21" s="13">
        <f t="shared" si="2"/>
        <v>11</v>
      </c>
      <c r="T21" s="13">
        <f t="shared" si="0"/>
        <v>225</v>
      </c>
      <c r="U21" s="79">
        <f t="shared" si="4"/>
        <v>7</v>
      </c>
      <c r="V21" s="14">
        <f>K21-'238'!V21</f>
        <v>20.35199999972474</v>
      </c>
      <c r="W21" s="14">
        <f>K21-'238'!W21</f>
        <v>20.340999993050218</v>
      </c>
    </row>
    <row r="22" spans="1:23">
      <c r="A22" s="90" t="s">
        <v>641</v>
      </c>
      <c r="B22" s="90" t="s">
        <v>415</v>
      </c>
      <c r="C22" s="90">
        <v>-3.0000000000000001E-3</v>
      </c>
      <c r="D22" s="1"/>
      <c r="E22" s="1"/>
      <c r="F22" s="1"/>
      <c r="G22" s="1"/>
      <c r="H22" s="13">
        <v>12</v>
      </c>
      <c r="I22" s="13">
        <f t="shared" si="6"/>
        <v>247.5</v>
      </c>
      <c r="J22" s="10">
        <v>6</v>
      </c>
      <c r="K22" s="16">
        <f>SQRT(C21^2+C22^2)</f>
        <v>394.93500001139432</v>
      </c>
      <c r="L22" s="142">
        <f t="shared" si="7"/>
        <v>394.81</v>
      </c>
      <c r="M22" s="142">
        <f t="shared" si="7"/>
        <v>394.98999999999995</v>
      </c>
      <c r="S22" s="13">
        <f t="shared" si="2"/>
        <v>12</v>
      </c>
      <c r="T22" s="13">
        <f t="shared" si="0"/>
        <v>247.5</v>
      </c>
      <c r="U22" s="79">
        <f t="shared" si="4"/>
        <v>6</v>
      </c>
      <c r="V22" s="14">
        <f>K22-'238'!V22</f>
        <v>20.366000010059452</v>
      </c>
      <c r="W22" s="14">
        <f>K22-'238'!W22</f>
        <v>20.354000010059451</v>
      </c>
    </row>
    <row r="23" spans="1:23">
      <c r="A23" s="121" t="s">
        <v>642</v>
      </c>
      <c r="B23" s="90" t="s">
        <v>417</v>
      </c>
      <c r="C23" s="90">
        <v>-139.376</v>
      </c>
      <c r="D23" s="1"/>
      <c r="E23" s="1"/>
      <c r="F23" s="1"/>
      <c r="G23" s="1"/>
      <c r="H23" s="13">
        <v>13</v>
      </c>
      <c r="I23" s="13">
        <f t="shared" si="6"/>
        <v>270</v>
      </c>
      <c r="J23" s="10">
        <v>5</v>
      </c>
      <c r="K23" s="16">
        <f>SQRT(C18^2+C19^2)</f>
        <v>394.93</v>
      </c>
      <c r="L23" s="142">
        <f t="shared" si="7"/>
        <v>394.81</v>
      </c>
      <c r="M23" s="142">
        <f t="shared" si="7"/>
        <v>394.98999999999995</v>
      </c>
      <c r="S23" s="13">
        <f t="shared" si="2"/>
        <v>13</v>
      </c>
      <c r="T23" s="13">
        <f t="shared" si="0"/>
        <v>270</v>
      </c>
      <c r="U23" s="79">
        <f t="shared" si="4"/>
        <v>5</v>
      </c>
      <c r="V23" s="14">
        <f>K23-'238'!V23</f>
        <v>20.363999998665179</v>
      </c>
      <c r="W23" s="14">
        <f>K23-'238'!W23</f>
        <v>20.349999998665169</v>
      </c>
    </row>
    <row r="24" spans="1:23">
      <c r="A24" s="90" t="s">
        <v>412</v>
      </c>
      <c r="B24" s="90" t="s">
        <v>413</v>
      </c>
      <c r="C24" s="90">
        <v>394.89</v>
      </c>
      <c r="D24" s="1"/>
      <c r="E24" s="1"/>
      <c r="F24" s="1"/>
      <c r="G24" s="1"/>
      <c r="H24" s="13">
        <v>14</v>
      </c>
      <c r="I24" s="13">
        <f t="shared" si="6"/>
        <v>292.5</v>
      </c>
      <c r="J24" s="10">
        <v>4</v>
      </c>
      <c r="K24" s="16">
        <f>SQRT(C15^2+C16^2)</f>
        <v>394.911</v>
      </c>
      <c r="L24" s="142">
        <f t="shared" si="7"/>
        <v>394.81</v>
      </c>
      <c r="M24" s="142">
        <f t="shared" si="7"/>
        <v>394.98999999999995</v>
      </c>
      <c r="S24" s="13">
        <f t="shared" si="2"/>
        <v>14</v>
      </c>
      <c r="T24" s="13">
        <f t="shared" si="0"/>
        <v>292.5</v>
      </c>
      <c r="U24" s="79">
        <f t="shared" si="4"/>
        <v>4</v>
      </c>
      <c r="V24" s="14">
        <f>K24-'238'!V24</f>
        <v>20.34899999999999</v>
      </c>
      <c r="W24" s="14">
        <f>K24-'238'!W24</f>
        <v>20.342999998665107</v>
      </c>
    </row>
    <row r="25" spans="1:23">
      <c r="A25" s="90" t="s">
        <v>643</v>
      </c>
      <c r="B25" s="90" t="s">
        <v>415</v>
      </c>
      <c r="C25" s="90">
        <v>-2E-3</v>
      </c>
      <c r="D25" s="1"/>
      <c r="E25" s="1"/>
      <c r="F25" s="1"/>
      <c r="G25" s="1"/>
      <c r="H25" s="13">
        <v>15</v>
      </c>
      <c r="I25" s="13">
        <f t="shared" si="6"/>
        <v>315</v>
      </c>
      <c r="J25" s="10">
        <v>3</v>
      </c>
      <c r="K25" s="16">
        <f>SQRT(C12^2+C13^2)</f>
        <v>394.86799999999999</v>
      </c>
      <c r="L25" s="142">
        <f t="shared" si="7"/>
        <v>394.81</v>
      </c>
      <c r="M25" s="142">
        <f t="shared" si="7"/>
        <v>394.98999999999995</v>
      </c>
      <c r="S25" s="13">
        <f t="shared" si="2"/>
        <v>15</v>
      </c>
      <c r="T25" s="13">
        <f t="shared" si="0"/>
        <v>315</v>
      </c>
      <c r="U25" s="79">
        <f t="shared" si="4"/>
        <v>3</v>
      </c>
      <c r="V25" s="14">
        <f>K25-'238'!V25</f>
        <v>20.353999998664904</v>
      </c>
      <c r="W25" s="14">
        <f>K25-'238'!W25</f>
        <v>20.347999998664932</v>
      </c>
    </row>
    <row r="26" spans="1:23">
      <c r="A26" s="121" t="s">
        <v>644</v>
      </c>
      <c r="B26" s="90" t="s">
        <v>417</v>
      </c>
      <c r="C26" s="90">
        <v>-139.375</v>
      </c>
      <c r="D26" s="1"/>
      <c r="E26" s="1"/>
      <c r="F26" s="1"/>
      <c r="G26" s="1"/>
      <c r="H26" s="13">
        <v>16</v>
      </c>
      <c r="I26" s="13">
        <f t="shared" si="6"/>
        <v>337.5</v>
      </c>
      <c r="J26" s="10">
        <v>2</v>
      </c>
      <c r="K26" s="16">
        <f>SQRT(C9^2+C10^2)</f>
        <v>394.85700000126633</v>
      </c>
      <c r="L26" s="142">
        <f t="shared" si="7"/>
        <v>394.81</v>
      </c>
      <c r="M26" s="142">
        <f t="shared" si="7"/>
        <v>394.98999999999995</v>
      </c>
      <c r="S26" s="13">
        <f t="shared" si="2"/>
        <v>16</v>
      </c>
      <c r="T26" s="13">
        <f t="shared" si="0"/>
        <v>337.5</v>
      </c>
      <c r="U26" s="79">
        <f t="shared" si="4"/>
        <v>2</v>
      </c>
      <c r="V26" s="14">
        <f>K26-'238'!V26</f>
        <v>20.345999989250629</v>
      </c>
      <c r="W26" s="14">
        <f>K26-'238'!W26</f>
        <v>20.34199998925078</v>
      </c>
    </row>
    <row r="27" spans="1:23">
      <c r="A27" s="90" t="s">
        <v>412</v>
      </c>
      <c r="B27" s="90" t="s">
        <v>413</v>
      </c>
      <c r="C27" s="90">
        <v>394.87400000000002</v>
      </c>
      <c r="D27" s="1"/>
      <c r="E27" s="1"/>
      <c r="F27" s="1"/>
      <c r="G27" s="1"/>
      <c r="H27" s="13">
        <v>17</v>
      </c>
      <c r="I27" s="13">
        <v>360</v>
      </c>
      <c r="J27" s="10">
        <v>1</v>
      </c>
      <c r="K27" s="15">
        <f>K11</f>
        <v>394.86599999999999</v>
      </c>
      <c r="P27" s="19" t="s">
        <v>271</v>
      </c>
      <c r="Q27" s="19" t="str">
        <f>M30</f>
        <v>-</v>
      </c>
      <c r="R27" s="19"/>
      <c r="S27" s="13"/>
      <c r="T27" s="13"/>
      <c r="U27" s="79"/>
    </row>
    <row r="28" spans="1:23">
      <c r="A28" s="90" t="s">
        <v>645</v>
      </c>
      <c r="B28" s="90" t="s">
        <v>415</v>
      </c>
      <c r="C28" s="90">
        <v>-4.0000000000000001E-3</v>
      </c>
      <c r="D28" s="1"/>
      <c r="E28" s="1"/>
      <c r="F28" s="1"/>
      <c r="G28" s="1"/>
      <c r="J28" s="10" t="s">
        <v>14</v>
      </c>
      <c r="K28" s="5">
        <f>MAX(K11:K26)</f>
        <v>394.93500001139432</v>
      </c>
      <c r="L28" s="15">
        <f>K28*2</f>
        <v>789.87000002278864</v>
      </c>
      <c r="M28" s="15" t="str">
        <f>IF(K28&gt;M26, "O/Max "&amp;TEXT(2*K28-2*M26, "0.000"), "-")</f>
        <v>-</v>
      </c>
      <c r="P28" s="19" t="s">
        <v>60</v>
      </c>
      <c r="Q28" s="19" t="str">
        <f>M28</f>
        <v>-</v>
      </c>
      <c r="R28" s="19"/>
    </row>
    <row r="29" spans="1:23">
      <c r="A29" s="121" t="s">
        <v>646</v>
      </c>
      <c r="B29" s="90" t="s">
        <v>417</v>
      </c>
      <c r="C29" s="90">
        <v>-139.376</v>
      </c>
      <c r="D29" s="1"/>
      <c r="E29" s="1"/>
      <c r="F29" s="1"/>
      <c r="G29" s="1"/>
      <c r="J29" s="10" t="s">
        <v>15</v>
      </c>
      <c r="K29" s="15">
        <f>MIN(K11:K26)</f>
        <v>394.85700000126633</v>
      </c>
      <c r="L29" s="15">
        <f>K29*2</f>
        <v>789.71400000253266</v>
      </c>
      <c r="M29" s="15" t="str">
        <f>IF(K29&lt;L26, "U/Min "&amp;TEXT(2*L26-2*K29, "0.000"), "-")</f>
        <v>-</v>
      </c>
      <c r="P29" s="19" t="s">
        <v>62</v>
      </c>
      <c r="Q29" s="19" t="str">
        <f>M29</f>
        <v>-</v>
      </c>
      <c r="R29" s="19"/>
    </row>
    <row r="30" spans="1:23">
      <c r="A30" s="90" t="s">
        <v>412</v>
      </c>
      <c r="B30" s="90" t="s">
        <v>413</v>
      </c>
      <c r="C30" s="90">
        <v>394.86399999999998</v>
      </c>
      <c r="D30" s="1"/>
      <c r="E30" s="1"/>
      <c r="F30" s="1"/>
      <c r="G30" s="1"/>
      <c r="J30" s="17" t="s">
        <v>17</v>
      </c>
      <c r="K30" s="16">
        <f>AVERAGE(K11:K26)*2</f>
        <v>789.78650000648918</v>
      </c>
      <c r="L30" s="15"/>
      <c r="M30" s="15" t="str">
        <f>IF(K30&gt;M6, "O/Max "&amp;TEXT(K30-M6, "0.000"), IF(K30&lt;M7, "U/Min "&amp;TEXT(M7-K30, "0.000"), "-"))</f>
        <v>-</v>
      </c>
      <c r="P30" s="19" t="s">
        <v>18</v>
      </c>
      <c r="Q30" s="19" t="str">
        <f>M31</f>
        <v>-</v>
      </c>
      <c r="R30" s="19"/>
    </row>
    <row r="31" spans="1:23">
      <c r="A31" s="90" t="s">
        <v>647</v>
      </c>
      <c r="B31" s="90" t="s">
        <v>415</v>
      </c>
      <c r="C31" s="90">
        <v>0</v>
      </c>
      <c r="D31" s="1"/>
      <c r="E31" s="1"/>
      <c r="F31" s="1"/>
      <c r="G31" s="1"/>
      <c r="J31" s="10" t="s">
        <v>18</v>
      </c>
      <c r="K31" s="18">
        <f>K28-K29</f>
        <v>7.8000010127993846E-2</v>
      </c>
      <c r="L31" s="15"/>
      <c r="M31" s="15" t="str">
        <f>IF(K31&gt;0.13, "O/Max "&amp;TEXT(K31-0.13, "0.000"), "-")</f>
        <v>-</v>
      </c>
      <c r="N31" s="5" t="s">
        <v>20</v>
      </c>
    </row>
    <row r="32" spans="1:23">
      <c r="A32" s="121" t="s">
        <v>648</v>
      </c>
      <c r="B32" s="90" t="s">
        <v>417</v>
      </c>
      <c r="C32" s="90">
        <v>-139.375</v>
      </c>
      <c r="D32" s="1"/>
      <c r="E32" s="1"/>
      <c r="F32" s="1"/>
      <c r="G32" s="1"/>
      <c r="S32" s="19" t="s">
        <v>105</v>
      </c>
    </row>
    <row r="33" spans="1:38">
      <c r="A33" s="90" t="s">
        <v>412</v>
      </c>
      <c r="B33" s="90" t="s">
        <v>413</v>
      </c>
      <c r="C33" s="90">
        <v>394.88</v>
      </c>
      <c r="D33" s="1"/>
      <c r="E33" s="1"/>
      <c r="F33" s="1"/>
      <c r="G33" s="1"/>
      <c r="J33" s="5" t="s">
        <v>106</v>
      </c>
      <c r="M33" s="5" t="s">
        <v>52</v>
      </c>
      <c r="N33" s="5">
        <f>360/18</f>
        <v>20</v>
      </c>
      <c r="O33" s="9" t="s">
        <v>24</v>
      </c>
      <c r="P33" s="5" t="s">
        <v>26</v>
      </c>
      <c r="Q33" s="5">
        <f>'238'!$Q$33</f>
        <v>-7.55</v>
      </c>
      <c r="R33" s="9" t="s">
        <v>107</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c r="AL33" s="5"/>
    </row>
    <row r="34" spans="1:38">
      <c r="A34" s="90" t="s">
        <v>649</v>
      </c>
      <c r="B34" s="90" t="s">
        <v>415</v>
      </c>
      <c r="C34" s="90">
        <v>-1E-3</v>
      </c>
      <c r="D34" s="1"/>
      <c r="E34" s="1"/>
      <c r="F34" s="1"/>
      <c r="G34" s="1"/>
      <c r="K34" s="9" t="s">
        <v>108</v>
      </c>
      <c r="M34" s="9" t="s">
        <v>109</v>
      </c>
      <c r="N34" s="9" t="s">
        <v>110</v>
      </c>
      <c r="O34" s="9" t="s">
        <v>111</v>
      </c>
      <c r="P34" s="9" t="s">
        <v>112</v>
      </c>
      <c r="Q34" s="9" t="s">
        <v>113</v>
      </c>
      <c r="R34" s="5"/>
      <c r="S34" s="20" t="str">
        <f ca="1">CONCATENATE($S$32, "#", OFFSET($J$35, S33, 0))</f>
        <v>Stg.2 Shroud Aft#1</v>
      </c>
      <c r="T34" s="20" t="str">
        <f t="shared" ref="T34:AJ34" ca="1" si="8">CONCATENATE($S$32, "#", OFFSET($J$35, T33, 0))</f>
        <v>Stg.2 Shroud Aft#18</v>
      </c>
      <c r="U34" s="20" t="str">
        <f t="shared" ca="1" si="8"/>
        <v>Stg.2 Shroud Aft#17</v>
      </c>
      <c r="V34" s="20" t="str">
        <f t="shared" ca="1" si="8"/>
        <v>Stg.2 Shroud Aft#16</v>
      </c>
      <c r="W34" s="20" t="str">
        <f t="shared" ca="1" si="8"/>
        <v>Stg.2 Shroud Aft#15</v>
      </c>
      <c r="X34" s="20" t="str">
        <f t="shared" ca="1" si="8"/>
        <v>Stg.2 Shroud Aft#14</v>
      </c>
      <c r="Y34" s="20" t="str">
        <f t="shared" ca="1" si="8"/>
        <v>Stg.2 Shroud Aft#13</v>
      </c>
      <c r="Z34" s="20" t="str">
        <f t="shared" ca="1" si="8"/>
        <v>Stg.2 Shroud Aft#12</v>
      </c>
      <c r="AA34" s="20" t="str">
        <f t="shared" ca="1" si="8"/>
        <v>Stg.2 Shroud Aft#11</v>
      </c>
      <c r="AB34" s="20" t="str">
        <f t="shared" ca="1" si="8"/>
        <v>Stg.2 Shroud Aft#10</v>
      </c>
      <c r="AC34" s="20" t="str">
        <f t="shared" ca="1" si="8"/>
        <v>Stg.2 Shroud Aft#9</v>
      </c>
      <c r="AD34" s="20" t="str">
        <f t="shared" ca="1" si="8"/>
        <v>Stg.2 Shroud Aft#8</v>
      </c>
      <c r="AE34" s="20" t="str">
        <f t="shared" ca="1" si="8"/>
        <v>Stg.2 Shroud Aft#7</v>
      </c>
      <c r="AF34" s="20" t="str">
        <f t="shared" ca="1" si="8"/>
        <v>Stg.2 Shroud Aft#6</v>
      </c>
      <c r="AG34" s="20" t="str">
        <f t="shared" ca="1" si="8"/>
        <v>Stg.2 Shroud Aft#5</v>
      </c>
      <c r="AH34" s="20" t="str">
        <f t="shared" ca="1" si="8"/>
        <v>Stg.2 Shroud Aft#4</v>
      </c>
      <c r="AI34" s="20" t="str">
        <f t="shared" ca="1" si="8"/>
        <v>Stg.2 Shroud Aft#3</v>
      </c>
      <c r="AJ34" s="20" t="str">
        <f t="shared" ca="1" si="8"/>
        <v>Stg.2 Shroud Aft#2</v>
      </c>
      <c r="AK34" s="20" t="s">
        <v>114</v>
      </c>
      <c r="AL34" s="20" t="s">
        <v>115</v>
      </c>
    </row>
    <row r="35" spans="1:38">
      <c r="A35" s="121" t="s">
        <v>650</v>
      </c>
      <c r="B35" s="90" t="s">
        <v>417</v>
      </c>
      <c r="C35" s="90">
        <v>-139.375</v>
      </c>
      <c r="D35" s="1"/>
      <c r="E35" s="1"/>
      <c r="F35" s="1"/>
      <c r="G35" s="1"/>
      <c r="J35" s="9" t="s">
        <v>116</v>
      </c>
      <c r="K35" s="9" t="s">
        <v>117</v>
      </c>
      <c r="L35" s="9" t="s">
        <v>118</v>
      </c>
      <c r="M35" s="9" t="s">
        <v>119</v>
      </c>
      <c r="N35" s="9" t="s">
        <v>120</v>
      </c>
      <c r="O35" s="9" t="s">
        <v>117</v>
      </c>
      <c r="P35" s="9" t="s">
        <v>119</v>
      </c>
      <c r="Q35" s="9" t="s">
        <v>119</v>
      </c>
      <c r="R35" s="5"/>
      <c r="S35" s="21"/>
      <c r="T35" s="21"/>
      <c r="U35" s="21"/>
      <c r="V35" s="21"/>
      <c r="W35" s="21"/>
      <c r="X35" s="21"/>
      <c r="Y35" s="21"/>
      <c r="Z35" s="21"/>
      <c r="AA35" s="21"/>
      <c r="AB35" s="21"/>
      <c r="AC35" s="21"/>
      <c r="AD35" s="21"/>
      <c r="AE35" s="21"/>
      <c r="AF35" s="21"/>
      <c r="AG35" s="21"/>
      <c r="AH35" s="21"/>
      <c r="AI35" s="21"/>
      <c r="AJ35" s="21"/>
      <c r="AK35" s="22" t="s">
        <v>119</v>
      </c>
      <c r="AL35" s="22" t="s">
        <v>119</v>
      </c>
    </row>
    <row r="36" spans="1:38">
      <c r="A36" s="90" t="s">
        <v>412</v>
      </c>
      <c r="B36" s="90" t="s">
        <v>413</v>
      </c>
      <c r="C36" s="90">
        <v>394.88499999999999</v>
      </c>
      <c r="D36" s="1"/>
      <c r="E36" s="1"/>
      <c r="F36" s="1"/>
      <c r="G36" s="1"/>
      <c r="J36" s="5">
        <v>1</v>
      </c>
      <c r="K36" s="23">
        <f>IF(Q33&lt;0, 360+$Q$33, $Q$33)</f>
        <v>352.45</v>
      </c>
      <c r="L36" s="24">
        <f>MATCH($K36, $I$11:$I$27, 1)</f>
        <v>16</v>
      </c>
      <c r="M36" s="5">
        <f>VLOOKUP(L36, $H$11:$K$27, 4, FALSE)</f>
        <v>394.85700000126633</v>
      </c>
      <c r="N36" s="25">
        <f>(VLOOKUP(L36+1, $H$11:$K$27, 4, FALSE) - VLOOKUP(L36, $H$11:$K$27, 4, FALSE))/(VLOOKUP(L36+1, $H$11:$K$27, 2, FALSE) - VLOOKUP(L36, $H$11:$K$27, 2, FALSE))</f>
        <v>3.9999994371808296E-4</v>
      </c>
      <c r="O36" s="26">
        <f>K36-VLOOKUP(L36, $H$11:$I$27, 2, FALSE)</f>
        <v>14.949999999999989</v>
      </c>
      <c r="P36" s="27">
        <f>M36+N36*O36</f>
        <v>394.8629800004249</v>
      </c>
      <c r="Q36" s="27">
        <f>(P36+P53)/2</f>
        <v>394.86122444514797</v>
      </c>
      <c r="R36" s="5"/>
      <c r="S36" s="28">
        <f>Q36</f>
        <v>394.86122444514797</v>
      </c>
      <c r="T36" s="29"/>
      <c r="U36" s="29"/>
      <c r="V36" s="29"/>
      <c r="W36" s="29"/>
      <c r="X36" s="29"/>
      <c r="Y36" s="29"/>
      <c r="Z36" s="29"/>
      <c r="AA36" s="29"/>
      <c r="AB36" s="29"/>
      <c r="AC36" s="29"/>
      <c r="AD36" s="29"/>
      <c r="AE36" s="29"/>
      <c r="AF36" s="29"/>
      <c r="AG36" s="29"/>
      <c r="AH36" s="29"/>
      <c r="AI36" s="29"/>
      <c r="AJ36" s="28">
        <f>AJ53</f>
        <v>394.86617111160217</v>
      </c>
      <c r="AK36" s="29">
        <f>M$7/2</f>
        <v>394.86799999999999</v>
      </c>
      <c r="AL36" s="29">
        <f>M$6/2</f>
        <v>394.93199999999996</v>
      </c>
    </row>
    <row r="37" spans="1:38">
      <c r="A37" s="90" t="s">
        <v>651</v>
      </c>
      <c r="B37" s="90" t="s">
        <v>415</v>
      </c>
      <c r="C37" s="90">
        <v>1E-3</v>
      </c>
      <c r="D37" s="1"/>
      <c r="E37" s="1"/>
      <c r="F37" s="1"/>
      <c r="G37" s="1"/>
      <c r="J37" s="5">
        <v>18</v>
      </c>
      <c r="K37" s="23">
        <f>IF(K36+$N$33&gt;360, K36+$N$33-360, K36+$N$33)</f>
        <v>12.449999999999989</v>
      </c>
      <c r="L37" s="24">
        <f t="shared" ref="L37:L52" si="9">MATCH($K37, $I$11:$I$27, 1)</f>
        <v>1</v>
      </c>
      <c r="M37" s="5">
        <f t="shared" ref="M37:M52" si="10">VLOOKUP(L37, $H$11:$K$27, 4, FALSE)</f>
        <v>394.86599999999999</v>
      </c>
      <c r="N37" s="25">
        <f t="shared" ref="N37:N52" si="11">(VLOOKUP(L37+1, $H$11:$K$27, 4, FALSE) - VLOOKUP(L37, $H$11:$K$27, 4, FALSE))/(VLOOKUP(L37+1, $H$11:$K$27, 2, FALSE) - VLOOKUP(L37, $H$11:$K$27, 2, FALSE))</f>
        <v>1.1111111673876117E-3</v>
      </c>
      <c r="O37" s="26">
        <f t="shared" ref="O37:O53" si="12">K37-VLOOKUP(L37, $H$11:$I$27, 2, FALSE)</f>
        <v>12.449999999999989</v>
      </c>
      <c r="P37" s="27">
        <f t="shared" ref="P37:P53" si="13">M37+N37*O37</f>
        <v>394.87983333403395</v>
      </c>
      <c r="Q37" s="27">
        <f>(P36+P37)/2</f>
        <v>394.87140666722939</v>
      </c>
      <c r="R37" s="5"/>
      <c r="S37" s="30">
        <f>S36</f>
        <v>394.86122444514797</v>
      </c>
      <c r="T37" s="30">
        <f>Q37</f>
        <v>394.87140666722939</v>
      </c>
      <c r="U37" s="21"/>
      <c r="V37" s="21"/>
      <c r="W37" s="21"/>
      <c r="X37" s="21"/>
      <c r="Y37" s="21"/>
      <c r="Z37" s="21"/>
      <c r="AA37" s="21"/>
      <c r="AB37" s="21"/>
      <c r="AC37" s="21"/>
      <c r="AD37" s="21"/>
      <c r="AE37" s="21"/>
      <c r="AF37" s="21"/>
      <c r="AG37" s="21"/>
      <c r="AH37" s="21"/>
      <c r="AI37" s="21"/>
      <c r="AJ37" s="21"/>
      <c r="AK37" s="21">
        <f t="shared" ref="AK37:AK53" si="14">M$7/2</f>
        <v>394.86799999999999</v>
      </c>
      <c r="AL37" s="21">
        <f t="shared" ref="AL37:AL53" si="15">M$6/2</f>
        <v>394.93199999999996</v>
      </c>
    </row>
    <row r="38" spans="1:38">
      <c r="A38" s="121" t="s">
        <v>652</v>
      </c>
      <c r="B38" s="90" t="s">
        <v>417</v>
      </c>
      <c r="C38" s="90">
        <v>-139.375</v>
      </c>
      <c r="D38" s="1"/>
      <c r="E38" s="1"/>
      <c r="F38" s="1"/>
      <c r="G38" s="1"/>
      <c r="J38" s="5">
        <v>17</v>
      </c>
      <c r="K38" s="23">
        <f t="shared" ref="K38:K53" si="16">IF(K37+$N$33&gt;360, K37+$N$33-360, K37+$N$33)</f>
        <v>32.449999999999989</v>
      </c>
      <c r="L38" s="24">
        <f t="shared" si="9"/>
        <v>2</v>
      </c>
      <c r="M38" s="5">
        <f t="shared" si="10"/>
        <v>394.89100000126621</v>
      </c>
      <c r="N38" s="25">
        <f t="shared" si="11"/>
        <v>3.9999994372313572E-4</v>
      </c>
      <c r="O38" s="26">
        <f t="shared" si="12"/>
        <v>9.9499999999999886</v>
      </c>
      <c r="P38" s="27">
        <f t="shared" si="13"/>
        <v>394.89498000070625</v>
      </c>
      <c r="Q38" s="27">
        <f t="shared" ref="Q38:Q53" si="17">(P37+P38)/2</f>
        <v>394.8874066673701</v>
      </c>
      <c r="R38" s="5"/>
      <c r="S38" s="21"/>
      <c r="T38" s="30">
        <f>T37</f>
        <v>394.87140666722939</v>
      </c>
      <c r="U38" s="30">
        <f>Q38</f>
        <v>394.8874066673701</v>
      </c>
      <c r="V38" s="21"/>
      <c r="W38" s="21"/>
      <c r="X38" s="21"/>
      <c r="Y38" s="21"/>
      <c r="Z38" s="21"/>
      <c r="AA38" s="21"/>
      <c r="AB38" s="21"/>
      <c r="AC38" s="21"/>
      <c r="AD38" s="21"/>
      <c r="AE38" s="21"/>
      <c r="AF38" s="21"/>
      <c r="AG38" s="21"/>
      <c r="AH38" s="21"/>
      <c r="AI38" s="21"/>
      <c r="AJ38" s="21"/>
      <c r="AK38" s="21">
        <f t="shared" si="14"/>
        <v>394.86799999999999</v>
      </c>
      <c r="AL38" s="21">
        <f t="shared" si="15"/>
        <v>394.93199999999996</v>
      </c>
    </row>
    <row r="39" spans="1:38">
      <c r="A39" s="90" t="s">
        <v>412</v>
      </c>
      <c r="B39" s="90" t="s">
        <v>413</v>
      </c>
      <c r="C39" s="90">
        <v>394.91399999999999</v>
      </c>
      <c r="D39" s="1"/>
      <c r="E39" s="1"/>
      <c r="F39" s="1"/>
      <c r="G39" s="1"/>
      <c r="J39" s="5">
        <v>16</v>
      </c>
      <c r="K39" s="23">
        <f t="shared" si="16"/>
        <v>52.449999999999989</v>
      </c>
      <c r="L39" s="24">
        <f t="shared" si="9"/>
        <v>3</v>
      </c>
      <c r="M39" s="5">
        <f t="shared" si="10"/>
        <v>394.9</v>
      </c>
      <c r="N39" s="25">
        <f t="shared" si="11"/>
        <v>7.5555578063762777E-4</v>
      </c>
      <c r="O39" s="26">
        <f t="shared" si="12"/>
        <v>7.4499999999999886</v>
      </c>
      <c r="P39" s="27">
        <f t="shared" si="13"/>
        <v>394.90562889056571</v>
      </c>
      <c r="Q39" s="27">
        <f t="shared" si="17"/>
        <v>394.90030444563598</v>
      </c>
      <c r="R39" s="5"/>
      <c r="S39" s="21"/>
      <c r="T39" s="21"/>
      <c r="U39" s="30">
        <f>U38</f>
        <v>394.8874066673701</v>
      </c>
      <c r="V39" s="30">
        <f>Q39</f>
        <v>394.90030444563598</v>
      </c>
      <c r="W39" s="21"/>
      <c r="X39" s="21"/>
      <c r="Y39" s="21"/>
      <c r="Z39" s="21"/>
      <c r="AA39" s="21"/>
      <c r="AB39" s="21"/>
      <c r="AC39" s="21"/>
      <c r="AD39" s="21"/>
      <c r="AE39" s="21"/>
      <c r="AF39" s="21"/>
      <c r="AG39" s="21"/>
      <c r="AH39" s="21"/>
      <c r="AI39" s="21"/>
      <c r="AJ39" s="21"/>
      <c r="AK39" s="21">
        <f t="shared" si="14"/>
        <v>394.86799999999999</v>
      </c>
      <c r="AL39" s="21">
        <f t="shared" si="15"/>
        <v>394.93199999999996</v>
      </c>
    </row>
    <row r="40" spans="1:38">
      <c r="A40" s="90" t="s">
        <v>653</v>
      </c>
      <c r="B40" s="90" t="s">
        <v>415</v>
      </c>
      <c r="C40" s="90">
        <v>-2E-3</v>
      </c>
      <c r="D40" s="1"/>
      <c r="E40" s="1"/>
      <c r="F40" s="1"/>
      <c r="G40" s="1"/>
      <c r="J40" s="5">
        <v>15</v>
      </c>
      <c r="K40" s="23">
        <f t="shared" si="16"/>
        <v>72.449999999999989</v>
      </c>
      <c r="L40" s="24">
        <f t="shared" si="9"/>
        <v>4</v>
      </c>
      <c r="M40" s="5">
        <f t="shared" si="10"/>
        <v>394.91700000506432</v>
      </c>
      <c r="N40" s="25">
        <f t="shared" si="11"/>
        <v>-3.1111133619106114E-4</v>
      </c>
      <c r="O40" s="26">
        <f t="shared" si="12"/>
        <v>4.9499999999999886</v>
      </c>
      <c r="P40" s="27">
        <f t="shared" si="13"/>
        <v>394.91546000395016</v>
      </c>
      <c r="Q40" s="27">
        <f t="shared" si="17"/>
        <v>394.91054444725796</v>
      </c>
      <c r="R40" s="5"/>
      <c r="S40" s="21"/>
      <c r="T40" s="21"/>
      <c r="U40" s="21"/>
      <c r="V40" s="30">
        <f>V39</f>
        <v>394.90030444563598</v>
      </c>
      <c r="W40" s="30">
        <f>Q40</f>
        <v>394.91054444725796</v>
      </c>
      <c r="X40" s="21"/>
      <c r="Y40" s="21"/>
      <c r="Z40" s="21"/>
      <c r="AA40" s="21"/>
      <c r="AB40" s="21"/>
      <c r="AC40" s="21"/>
      <c r="AD40" s="21"/>
      <c r="AE40" s="21"/>
      <c r="AF40" s="21"/>
      <c r="AG40" s="21"/>
      <c r="AH40" s="21"/>
      <c r="AI40" s="21"/>
      <c r="AJ40" s="21"/>
      <c r="AK40" s="21">
        <f t="shared" si="14"/>
        <v>394.86799999999999</v>
      </c>
      <c r="AL40" s="21">
        <f t="shared" si="15"/>
        <v>394.93199999999996</v>
      </c>
    </row>
    <row r="41" spans="1:38">
      <c r="A41" s="121" t="s">
        <v>654</v>
      </c>
      <c r="B41" s="90" t="s">
        <v>417</v>
      </c>
      <c r="C41" s="90">
        <v>-139.375</v>
      </c>
      <c r="D41" s="1"/>
      <c r="E41" s="1"/>
      <c r="F41" s="1"/>
      <c r="G41" s="1"/>
      <c r="J41" s="5">
        <v>14</v>
      </c>
      <c r="K41" s="23">
        <f t="shared" si="16"/>
        <v>92.449999999999989</v>
      </c>
      <c r="L41" s="24">
        <f t="shared" si="9"/>
        <v>5</v>
      </c>
      <c r="M41" s="5">
        <f t="shared" si="10"/>
        <v>394.91</v>
      </c>
      <c r="N41" s="25">
        <f t="shared" si="11"/>
        <v>1.7777800286088071E-4</v>
      </c>
      <c r="O41" s="26">
        <f t="shared" si="12"/>
        <v>2.4499999999999886</v>
      </c>
      <c r="P41" s="27">
        <f t="shared" si="13"/>
        <v>394.91043555610702</v>
      </c>
      <c r="Q41" s="27">
        <f t="shared" si="17"/>
        <v>394.91294778002862</v>
      </c>
      <c r="R41" s="5"/>
      <c r="S41" s="21"/>
      <c r="T41" s="21"/>
      <c r="U41" s="21"/>
      <c r="V41" s="21"/>
      <c r="W41" s="30">
        <f>W40</f>
        <v>394.91054444725796</v>
      </c>
      <c r="X41" s="30">
        <f>Q41</f>
        <v>394.91294778002862</v>
      </c>
      <c r="Y41" s="21"/>
      <c r="Z41" s="21"/>
      <c r="AA41" s="21"/>
      <c r="AB41" s="21"/>
      <c r="AC41" s="21"/>
      <c r="AD41" s="21"/>
      <c r="AE41" s="21"/>
      <c r="AF41" s="21"/>
      <c r="AG41" s="21"/>
      <c r="AH41" s="21"/>
      <c r="AI41" s="21"/>
      <c r="AJ41" s="21"/>
      <c r="AK41" s="21">
        <f t="shared" si="14"/>
        <v>394.86799999999999</v>
      </c>
      <c r="AL41" s="21">
        <f t="shared" si="15"/>
        <v>394.93199999999996</v>
      </c>
    </row>
    <row r="42" spans="1:38">
      <c r="A42" s="90" t="s">
        <v>412</v>
      </c>
      <c r="B42" s="90" t="s">
        <v>413</v>
      </c>
      <c r="C42" s="90">
        <v>394.91</v>
      </c>
      <c r="D42" s="1"/>
      <c r="E42" s="1"/>
      <c r="F42" s="1"/>
      <c r="G42" s="1"/>
      <c r="J42" s="5">
        <v>13</v>
      </c>
      <c r="K42" s="23">
        <f t="shared" si="16"/>
        <v>112.44999999999999</v>
      </c>
      <c r="L42" s="24">
        <f t="shared" si="9"/>
        <v>5</v>
      </c>
      <c r="M42" s="5">
        <f t="shared" si="10"/>
        <v>394.91</v>
      </c>
      <c r="N42" s="25">
        <f t="shared" si="11"/>
        <v>1.7777800286088071E-4</v>
      </c>
      <c r="O42" s="26">
        <f t="shared" si="12"/>
        <v>22.449999999999989</v>
      </c>
      <c r="P42" s="27">
        <f t="shared" si="13"/>
        <v>394.91399111616425</v>
      </c>
      <c r="Q42" s="27">
        <f t="shared" si="17"/>
        <v>394.91221333613566</v>
      </c>
      <c r="R42" s="5"/>
      <c r="S42" s="21"/>
      <c r="T42" s="21"/>
      <c r="U42" s="21"/>
      <c r="V42" s="21"/>
      <c r="W42" s="21"/>
      <c r="X42" s="30">
        <f>X41</f>
        <v>394.91294778002862</v>
      </c>
      <c r="Y42" s="30">
        <f>Q42</f>
        <v>394.91221333613566</v>
      </c>
      <c r="Z42" s="21"/>
      <c r="AA42" s="21"/>
      <c r="AB42" s="21"/>
      <c r="AC42" s="21"/>
      <c r="AD42" s="21"/>
      <c r="AE42" s="21"/>
      <c r="AF42" s="21"/>
      <c r="AG42" s="21"/>
      <c r="AH42" s="21"/>
      <c r="AI42" s="21"/>
      <c r="AJ42" s="21"/>
      <c r="AK42" s="21">
        <f t="shared" si="14"/>
        <v>394.86799999999999</v>
      </c>
      <c r="AL42" s="21">
        <f t="shared" si="15"/>
        <v>394.93199999999996</v>
      </c>
    </row>
    <row r="43" spans="1:38">
      <c r="A43" s="90" t="s">
        <v>655</v>
      </c>
      <c r="B43" s="90" t="s">
        <v>415</v>
      </c>
      <c r="C43" s="90">
        <v>0</v>
      </c>
      <c r="D43" s="1"/>
      <c r="E43" s="1"/>
      <c r="F43" s="1"/>
      <c r="G43" s="1"/>
      <c r="J43" s="5">
        <v>12</v>
      </c>
      <c r="K43" s="23">
        <f t="shared" si="16"/>
        <v>132.44999999999999</v>
      </c>
      <c r="L43" s="24">
        <f t="shared" si="9"/>
        <v>6</v>
      </c>
      <c r="M43" s="5">
        <f t="shared" si="10"/>
        <v>394.91400000506439</v>
      </c>
      <c r="N43" s="25">
        <f t="shared" si="11"/>
        <v>-1.2888890576985229E-3</v>
      </c>
      <c r="O43" s="26">
        <f t="shared" si="12"/>
        <v>19.949999999999989</v>
      </c>
      <c r="P43" s="27">
        <f t="shared" si="13"/>
        <v>394.88828666836332</v>
      </c>
      <c r="Q43" s="27">
        <f t="shared" si="17"/>
        <v>394.90113889226382</v>
      </c>
      <c r="R43" s="5"/>
      <c r="S43" s="21"/>
      <c r="T43" s="21"/>
      <c r="U43" s="21"/>
      <c r="V43" s="21"/>
      <c r="W43" s="21"/>
      <c r="X43" s="21"/>
      <c r="Y43" s="30">
        <f>Y42</f>
        <v>394.91221333613566</v>
      </c>
      <c r="Z43" s="30">
        <f>Q43</f>
        <v>394.90113889226382</v>
      </c>
      <c r="AA43" s="21"/>
      <c r="AB43" s="21"/>
      <c r="AC43" s="21"/>
      <c r="AD43" s="21"/>
      <c r="AE43" s="21"/>
      <c r="AF43" s="21"/>
      <c r="AG43" s="21"/>
      <c r="AH43" s="21"/>
      <c r="AI43" s="21"/>
      <c r="AJ43" s="21"/>
      <c r="AK43" s="21">
        <f t="shared" si="14"/>
        <v>394.86799999999999</v>
      </c>
      <c r="AL43" s="21">
        <f t="shared" si="15"/>
        <v>394.93199999999996</v>
      </c>
    </row>
    <row r="44" spans="1:38">
      <c r="A44" s="121" t="s">
        <v>656</v>
      </c>
      <c r="B44" s="90" t="s">
        <v>417</v>
      </c>
      <c r="C44" s="90">
        <v>-139.375</v>
      </c>
      <c r="D44" s="1"/>
      <c r="E44" s="1"/>
      <c r="F44" s="1"/>
      <c r="G44" s="1"/>
      <c r="J44" s="5">
        <v>11</v>
      </c>
      <c r="K44" s="23">
        <f t="shared" si="16"/>
        <v>152.44999999999999</v>
      </c>
      <c r="L44" s="24">
        <f t="shared" si="9"/>
        <v>7</v>
      </c>
      <c r="M44" s="5">
        <f t="shared" si="10"/>
        <v>394.88500000126618</v>
      </c>
      <c r="N44" s="25">
        <f t="shared" si="11"/>
        <v>-2.2222222221949373E-4</v>
      </c>
      <c r="O44" s="26">
        <f t="shared" si="12"/>
        <v>17.449999999999989</v>
      </c>
      <c r="P44" s="27">
        <f t="shared" si="13"/>
        <v>394.88112222348843</v>
      </c>
      <c r="Q44" s="27">
        <f t="shared" si="17"/>
        <v>394.88470444592588</v>
      </c>
      <c r="R44" s="5"/>
      <c r="S44" s="21"/>
      <c r="T44" s="21"/>
      <c r="U44" s="21"/>
      <c r="V44" s="21"/>
      <c r="W44" s="21"/>
      <c r="X44" s="21"/>
      <c r="Y44" s="21"/>
      <c r="Z44" s="30">
        <f>Z43</f>
        <v>394.90113889226382</v>
      </c>
      <c r="AA44" s="30">
        <f>Q44</f>
        <v>394.88470444592588</v>
      </c>
      <c r="AB44" s="21"/>
      <c r="AC44" s="21"/>
      <c r="AD44" s="21"/>
      <c r="AE44" s="21"/>
      <c r="AF44" s="21"/>
      <c r="AG44" s="21"/>
      <c r="AH44" s="21"/>
      <c r="AI44" s="21"/>
      <c r="AJ44" s="21"/>
      <c r="AK44" s="21">
        <f t="shared" si="14"/>
        <v>394.86799999999999</v>
      </c>
      <c r="AL44" s="21">
        <f t="shared" si="15"/>
        <v>394.93199999999996</v>
      </c>
    </row>
    <row r="45" spans="1:38">
      <c r="A45" s="90" t="s">
        <v>412</v>
      </c>
      <c r="B45" s="90" t="s">
        <v>413</v>
      </c>
      <c r="C45" s="90">
        <v>394.91699999999997</v>
      </c>
      <c r="D45" s="1"/>
      <c r="E45" s="1"/>
      <c r="F45" s="1"/>
      <c r="G45" s="1"/>
      <c r="J45" s="5">
        <v>10</v>
      </c>
      <c r="K45" s="23">
        <f t="shared" si="16"/>
        <v>172.45</v>
      </c>
      <c r="L45" s="24">
        <f t="shared" si="9"/>
        <v>8</v>
      </c>
      <c r="M45" s="5">
        <f t="shared" si="10"/>
        <v>394.88000000126624</v>
      </c>
      <c r="N45" s="25">
        <f t="shared" si="11"/>
        <v>-7.1111116738949121E-4</v>
      </c>
      <c r="O45" s="26">
        <f t="shared" si="12"/>
        <v>14.949999999999989</v>
      </c>
      <c r="P45" s="27">
        <f t="shared" si="13"/>
        <v>394.86936888931376</v>
      </c>
      <c r="Q45" s="27">
        <f t="shared" si="17"/>
        <v>394.87524555640107</v>
      </c>
      <c r="R45" s="5"/>
      <c r="S45" s="21"/>
      <c r="T45" s="21"/>
      <c r="U45" s="21"/>
      <c r="V45" s="21"/>
      <c r="W45" s="21"/>
      <c r="X45" s="21"/>
      <c r="Y45" s="21"/>
      <c r="Z45" s="21"/>
      <c r="AA45" s="30">
        <f>AA44</f>
        <v>394.88470444592588</v>
      </c>
      <c r="AB45" s="30">
        <f>Q45</f>
        <v>394.87524555640107</v>
      </c>
      <c r="AC45" s="21"/>
      <c r="AD45" s="21"/>
      <c r="AE45" s="21"/>
      <c r="AF45" s="21"/>
      <c r="AG45" s="21"/>
      <c r="AH45" s="21"/>
      <c r="AI45" s="21"/>
      <c r="AJ45" s="21"/>
      <c r="AK45" s="21">
        <f t="shared" si="14"/>
        <v>394.86799999999999</v>
      </c>
      <c r="AL45" s="21">
        <f t="shared" si="15"/>
        <v>394.93199999999996</v>
      </c>
    </row>
    <row r="46" spans="1:38">
      <c r="A46" s="90" t="s">
        <v>657</v>
      </c>
      <c r="B46" s="90" t="s">
        <v>415</v>
      </c>
      <c r="C46" s="90">
        <v>-2E-3</v>
      </c>
      <c r="D46" s="1"/>
      <c r="E46" s="1"/>
      <c r="F46" s="1"/>
      <c r="G46" s="1"/>
      <c r="J46" s="5">
        <v>9</v>
      </c>
      <c r="K46" s="23">
        <f t="shared" si="16"/>
        <v>192.45</v>
      </c>
      <c r="L46" s="24">
        <f t="shared" si="9"/>
        <v>9</v>
      </c>
      <c r="M46" s="5">
        <f t="shared" si="10"/>
        <v>394.86399999999998</v>
      </c>
      <c r="N46" s="25">
        <f t="shared" si="11"/>
        <v>4.4444534487411149E-4</v>
      </c>
      <c r="O46" s="26">
        <f t="shared" si="12"/>
        <v>12.449999999999989</v>
      </c>
      <c r="P46" s="27">
        <f t="shared" si="13"/>
        <v>394.86953334454364</v>
      </c>
      <c r="Q46" s="27">
        <f t="shared" si="17"/>
        <v>394.8694511169287</v>
      </c>
      <c r="R46" s="5"/>
      <c r="S46" s="21"/>
      <c r="T46" s="21"/>
      <c r="U46" s="21"/>
      <c r="V46" s="21"/>
      <c r="W46" s="21"/>
      <c r="X46" s="21"/>
      <c r="Y46" s="21"/>
      <c r="Z46" s="21"/>
      <c r="AA46" s="21"/>
      <c r="AB46" s="30">
        <f>AB45</f>
        <v>394.87524555640107</v>
      </c>
      <c r="AC46" s="30">
        <f>Q46</f>
        <v>394.8694511169287</v>
      </c>
      <c r="AD46" s="21"/>
      <c r="AE46" s="21"/>
      <c r="AF46" s="21"/>
      <c r="AG46" s="21"/>
      <c r="AH46" s="21"/>
      <c r="AI46" s="21"/>
      <c r="AJ46" s="21"/>
      <c r="AK46" s="21">
        <f t="shared" si="14"/>
        <v>394.86799999999999</v>
      </c>
      <c r="AL46" s="21">
        <f t="shared" si="15"/>
        <v>394.93199999999996</v>
      </c>
    </row>
    <row r="47" spans="1:38">
      <c r="A47" s="121" t="s">
        <v>658</v>
      </c>
      <c r="B47" s="90" t="s">
        <v>417</v>
      </c>
      <c r="C47" s="90">
        <v>-139.374</v>
      </c>
      <c r="D47" s="1"/>
      <c r="E47" s="1"/>
      <c r="F47" s="1"/>
      <c r="G47" s="1"/>
      <c r="J47" s="5">
        <v>8</v>
      </c>
      <c r="K47" s="23">
        <f t="shared" si="16"/>
        <v>212.45</v>
      </c>
      <c r="L47" s="24">
        <f t="shared" si="9"/>
        <v>10</v>
      </c>
      <c r="M47" s="5">
        <f t="shared" si="10"/>
        <v>394.87400002025964</v>
      </c>
      <c r="N47" s="25">
        <f t="shared" si="11"/>
        <v>7.1111043577932131E-4</v>
      </c>
      <c r="O47" s="26">
        <f t="shared" si="12"/>
        <v>9.9499999999999886</v>
      </c>
      <c r="P47" s="27">
        <f t="shared" si="13"/>
        <v>394.88107556909563</v>
      </c>
      <c r="Q47" s="27">
        <f t="shared" si="17"/>
        <v>394.87530445681966</v>
      </c>
      <c r="R47" s="5"/>
      <c r="S47" s="21"/>
      <c r="T47" s="21"/>
      <c r="U47" s="21"/>
      <c r="V47" s="21"/>
      <c r="W47" s="21"/>
      <c r="X47" s="21"/>
      <c r="Y47" s="21"/>
      <c r="Z47" s="21"/>
      <c r="AA47" s="21"/>
      <c r="AB47" s="21"/>
      <c r="AC47" s="30">
        <f>AC46</f>
        <v>394.8694511169287</v>
      </c>
      <c r="AD47" s="30">
        <f>Q47</f>
        <v>394.87530445681966</v>
      </c>
      <c r="AE47" s="21"/>
      <c r="AF47" s="21"/>
      <c r="AG47" s="21"/>
      <c r="AH47" s="21"/>
      <c r="AI47" s="21"/>
      <c r="AJ47" s="21"/>
      <c r="AK47" s="21">
        <f t="shared" si="14"/>
        <v>394.86799999999999</v>
      </c>
      <c r="AL47" s="21">
        <f t="shared" si="15"/>
        <v>394.93199999999996</v>
      </c>
    </row>
    <row r="48" spans="1:38">
      <c r="A48" s="90" t="s">
        <v>412</v>
      </c>
      <c r="B48" s="90" t="s">
        <v>413</v>
      </c>
      <c r="C48" s="90">
        <v>394.9</v>
      </c>
      <c r="D48" s="1"/>
      <c r="E48" s="1"/>
      <c r="F48" s="1"/>
      <c r="G48" s="1"/>
      <c r="J48" s="5">
        <v>7</v>
      </c>
      <c r="K48" s="23">
        <f t="shared" si="16"/>
        <v>232.45</v>
      </c>
      <c r="L48" s="24">
        <f t="shared" si="9"/>
        <v>11</v>
      </c>
      <c r="M48" s="5">
        <f t="shared" si="10"/>
        <v>394.89000000506468</v>
      </c>
      <c r="N48" s="25">
        <f t="shared" si="11"/>
        <v>2.000000281317524E-3</v>
      </c>
      <c r="O48" s="26">
        <f t="shared" si="12"/>
        <v>7.4499999999999886</v>
      </c>
      <c r="P48" s="27">
        <f t="shared" si="13"/>
        <v>394.90490000716051</v>
      </c>
      <c r="Q48" s="27">
        <f t="shared" si="17"/>
        <v>394.89298778812804</v>
      </c>
      <c r="R48" s="5"/>
      <c r="S48" s="21"/>
      <c r="T48" s="21"/>
      <c r="U48" s="21"/>
      <c r="V48" s="21"/>
      <c r="W48" s="21"/>
      <c r="X48" s="21"/>
      <c r="Y48" s="21"/>
      <c r="Z48" s="21"/>
      <c r="AA48" s="21"/>
      <c r="AB48" s="21"/>
      <c r="AC48" s="21"/>
      <c r="AD48" s="30">
        <f>AD47</f>
        <v>394.87530445681966</v>
      </c>
      <c r="AE48" s="30">
        <f>Q48</f>
        <v>394.89298778812804</v>
      </c>
      <c r="AF48" s="21"/>
      <c r="AG48" s="21"/>
      <c r="AH48" s="21"/>
      <c r="AI48" s="21"/>
      <c r="AJ48" s="21"/>
      <c r="AK48" s="21">
        <f t="shared" si="14"/>
        <v>394.86799999999999</v>
      </c>
      <c r="AL48" s="21">
        <f t="shared" si="15"/>
        <v>394.93199999999996</v>
      </c>
    </row>
    <row r="49" spans="1:38">
      <c r="A49" s="90" t="s">
        <v>659</v>
      </c>
      <c r="B49" s="90" t="s">
        <v>415</v>
      </c>
      <c r="C49" s="90">
        <v>0</v>
      </c>
      <c r="D49" s="1"/>
      <c r="E49" s="1"/>
      <c r="F49" s="1"/>
      <c r="G49" s="1"/>
      <c r="J49" s="5">
        <v>6</v>
      </c>
      <c r="K49" s="23">
        <f t="shared" si="16"/>
        <v>252.45</v>
      </c>
      <c r="L49" s="24">
        <f t="shared" si="9"/>
        <v>12</v>
      </c>
      <c r="M49" s="5">
        <f t="shared" si="10"/>
        <v>394.93500001139432</v>
      </c>
      <c r="N49" s="25">
        <f t="shared" si="11"/>
        <v>-2.2222272863624918E-4</v>
      </c>
      <c r="O49" s="26">
        <f t="shared" si="12"/>
        <v>4.9499999999999886</v>
      </c>
      <c r="P49" s="27">
        <f t="shared" si="13"/>
        <v>394.93390000888758</v>
      </c>
      <c r="Q49" s="27">
        <f t="shared" si="17"/>
        <v>394.91940000802401</v>
      </c>
      <c r="R49" s="5"/>
      <c r="S49" s="21"/>
      <c r="T49" s="21"/>
      <c r="U49" s="21"/>
      <c r="V49" s="21"/>
      <c r="W49" s="21"/>
      <c r="X49" s="21"/>
      <c r="Y49" s="21"/>
      <c r="Z49" s="21"/>
      <c r="AA49" s="21"/>
      <c r="AB49" s="21"/>
      <c r="AC49" s="21"/>
      <c r="AD49" s="21"/>
      <c r="AE49" s="30">
        <f>AE48</f>
        <v>394.89298778812804</v>
      </c>
      <c r="AF49" s="30">
        <f>Q49</f>
        <v>394.91940000802401</v>
      </c>
      <c r="AG49" s="21"/>
      <c r="AH49" s="21"/>
      <c r="AI49" s="21"/>
      <c r="AJ49" s="21"/>
      <c r="AK49" s="21">
        <f t="shared" si="14"/>
        <v>394.86799999999999</v>
      </c>
      <c r="AL49" s="21">
        <f t="shared" si="15"/>
        <v>394.93199999999996</v>
      </c>
    </row>
    <row r="50" spans="1:38">
      <c r="A50" s="121" t="s">
        <v>660</v>
      </c>
      <c r="B50" s="90" t="s">
        <v>417</v>
      </c>
      <c r="C50" s="90">
        <v>-139.376</v>
      </c>
      <c r="D50" s="1"/>
      <c r="E50" s="1"/>
      <c r="F50" s="1"/>
      <c r="G50" s="1"/>
      <c r="J50" s="5">
        <v>5</v>
      </c>
      <c r="K50" s="23">
        <f t="shared" si="16"/>
        <v>272.45</v>
      </c>
      <c r="L50" s="24">
        <f t="shared" si="9"/>
        <v>13</v>
      </c>
      <c r="M50" s="5">
        <f t="shared" si="10"/>
        <v>394.93</v>
      </c>
      <c r="N50" s="25">
        <f t="shared" si="11"/>
        <v>-8.4444444444468697E-4</v>
      </c>
      <c r="O50" s="26">
        <f t="shared" si="12"/>
        <v>2.4499999999999886</v>
      </c>
      <c r="P50" s="27">
        <f t="shared" si="13"/>
        <v>394.92793111111109</v>
      </c>
      <c r="Q50" s="27">
        <f t="shared" si="17"/>
        <v>394.93091555999933</v>
      </c>
      <c r="R50" s="5"/>
      <c r="S50" s="21"/>
      <c r="T50" s="21"/>
      <c r="U50" s="21"/>
      <c r="V50" s="21"/>
      <c r="W50" s="21"/>
      <c r="X50" s="21"/>
      <c r="Y50" s="21"/>
      <c r="Z50" s="21"/>
      <c r="AA50" s="21"/>
      <c r="AB50" s="21"/>
      <c r="AC50" s="21"/>
      <c r="AD50" s="21"/>
      <c r="AE50" s="21"/>
      <c r="AF50" s="30">
        <f>AF49</f>
        <v>394.91940000802401</v>
      </c>
      <c r="AG50" s="30">
        <f>Q50</f>
        <v>394.93091555999933</v>
      </c>
      <c r="AH50" s="21"/>
      <c r="AI50" s="21"/>
      <c r="AJ50" s="21"/>
      <c r="AK50" s="21">
        <f t="shared" si="14"/>
        <v>394.86799999999999</v>
      </c>
      <c r="AL50" s="21">
        <f t="shared" si="15"/>
        <v>394.93199999999996</v>
      </c>
    </row>
    <row r="51" spans="1:38">
      <c r="A51" s="90" t="s">
        <v>412</v>
      </c>
      <c r="B51" s="90" t="s">
        <v>413</v>
      </c>
      <c r="C51" s="90">
        <v>394.89100000000002</v>
      </c>
      <c r="D51" s="1"/>
      <c r="E51" s="1"/>
      <c r="F51" s="1"/>
      <c r="G51" s="1"/>
      <c r="J51" s="5">
        <v>4</v>
      </c>
      <c r="K51" s="23">
        <f t="shared" si="16"/>
        <v>292.45</v>
      </c>
      <c r="L51" s="24">
        <f t="shared" si="9"/>
        <v>13</v>
      </c>
      <c r="M51" s="5">
        <f t="shared" si="10"/>
        <v>394.93</v>
      </c>
      <c r="N51" s="25">
        <f t="shared" si="11"/>
        <v>-8.4444444444468697E-4</v>
      </c>
      <c r="O51" s="26">
        <f t="shared" si="12"/>
        <v>22.449999999999989</v>
      </c>
      <c r="P51" s="27">
        <f t="shared" si="13"/>
        <v>394.91104222222225</v>
      </c>
      <c r="Q51" s="27">
        <f t="shared" si="17"/>
        <v>394.91948666666667</v>
      </c>
      <c r="R51" s="5"/>
      <c r="S51" s="21"/>
      <c r="T51" s="21"/>
      <c r="U51" s="21"/>
      <c r="V51" s="21"/>
      <c r="W51" s="21"/>
      <c r="X51" s="21"/>
      <c r="Y51" s="21"/>
      <c r="Z51" s="21"/>
      <c r="AA51" s="21"/>
      <c r="AB51" s="21"/>
      <c r="AC51" s="21"/>
      <c r="AD51" s="21"/>
      <c r="AE51" s="21"/>
      <c r="AF51" s="21"/>
      <c r="AG51" s="30">
        <f>AG50</f>
        <v>394.93091555999933</v>
      </c>
      <c r="AH51" s="30">
        <f>Q51</f>
        <v>394.91948666666667</v>
      </c>
      <c r="AI51" s="21"/>
      <c r="AJ51" s="21"/>
      <c r="AK51" s="21">
        <f t="shared" si="14"/>
        <v>394.86799999999999</v>
      </c>
      <c r="AL51" s="21">
        <f t="shared" si="15"/>
        <v>394.93199999999996</v>
      </c>
    </row>
    <row r="52" spans="1:38">
      <c r="A52" s="90" t="s">
        <v>661</v>
      </c>
      <c r="B52" s="90" t="s">
        <v>415</v>
      </c>
      <c r="C52" s="90">
        <v>1E-3</v>
      </c>
      <c r="D52" s="1"/>
      <c r="E52" s="1"/>
      <c r="F52" s="1"/>
      <c r="G52" s="1"/>
      <c r="J52" s="5">
        <v>3</v>
      </c>
      <c r="K52" s="23">
        <f t="shared" si="16"/>
        <v>312.45</v>
      </c>
      <c r="L52" s="24">
        <f t="shared" si="9"/>
        <v>14</v>
      </c>
      <c r="M52" s="5">
        <f t="shared" si="10"/>
        <v>394.911</v>
      </c>
      <c r="N52" s="25">
        <f t="shared" si="11"/>
        <v>-1.911111111111394E-3</v>
      </c>
      <c r="O52" s="26">
        <f t="shared" si="12"/>
        <v>19.949999999999989</v>
      </c>
      <c r="P52" s="27">
        <f t="shared" si="13"/>
        <v>394.8728733333333</v>
      </c>
      <c r="Q52" s="27">
        <f t="shared" si="17"/>
        <v>394.89195777777775</v>
      </c>
      <c r="R52" s="5"/>
      <c r="S52" s="21"/>
      <c r="T52" s="21"/>
      <c r="U52" s="21"/>
      <c r="V52" s="21"/>
      <c r="W52" s="21"/>
      <c r="X52" s="21"/>
      <c r="Y52" s="21"/>
      <c r="Z52" s="21"/>
      <c r="AA52" s="21"/>
      <c r="AB52" s="21"/>
      <c r="AC52" s="21"/>
      <c r="AD52" s="21"/>
      <c r="AE52" s="21"/>
      <c r="AF52" s="21"/>
      <c r="AG52" s="21"/>
      <c r="AH52" s="30">
        <f>AH51</f>
        <v>394.91948666666667</v>
      </c>
      <c r="AI52" s="30">
        <f>Q52</f>
        <v>394.89195777777775</v>
      </c>
      <c r="AJ52" s="21"/>
      <c r="AK52" s="21">
        <f t="shared" si="14"/>
        <v>394.86799999999999</v>
      </c>
      <c r="AL52" s="21">
        <f t="shared" si="15"/>
        <v>394.93199999999996</v>
      </c>
    </row>
    <row r="53" spans="1:38">
      <c r="A53" s="121" t="s">
        <v>662</v>
      </c>
      <c r="B53" s="90" t="s">
        <v>417</v>
      </c>
      <c r="C53" s="90">
        <v>-139.375</v>
      </c>
      <c r="D53" s="1"/>
      <c r="E53" s="1"/>
      <c r="F53" s="1"/>
      <c r="G53" s="1"/>
      <c r="J53" s="5">
        <v>2</v>
      </c>
      <c r="K53" s="23">
        <f t="shared" si="16"/>
        <v>332.45</v>
      </c>
      <c r="L53" s="24">
        <f>MATCH($K53, $I$11:$I$27, 1)</f>
        <v>15</v>
      </c>
      <c r="M53" s="5">
        <f>VLOOKUP(L53, $H$11:$K$27, 4, FALSE)</f>
        <v>394.86799999999999</v>
      </c>
      <c r="N53" s="25">
        <f>(VLOOKUP(L53+1, $H$11:$K$27, 4, FALSE) - VLOOKUP(L53, $H$11:$K$27, 4, FALSE))/(VLOOKUP(L53+1, $H$11:$K$27, 2, FALSE) - VLOOKUP(L53, $H$11:$K$27, 2, FALSE))</f>
        <v>-4.8888883260739626E-4</v>
      </c>
      <c r="O53" s="26">
        <f t="shared" si="12"/>
        <v>17.449999999999989</v>
      </c>
      <c r="P53" s="27">
        <f t="shared" si="13"/>
        <v>394.85946888987098</v>
      </c>
      <c r="Q53" s="27">
        <f t="shared" si="17"/>
        <v>394.86617111160217</v>
      </c>
      <c r="R53" s="5"/>
      <c r="S53" s="31"/>
      <c r="T53" s="31"/>
      <c r="U53" s="31"/>
      <c r="V53" s="31"/>
      <c r="W53" s="31"/>
      <c r="X53" s="31"/>
      <c r="Y53" s="31"/>
      <c r="Z53" s="31"/>
      <c r="AA53" s="31"/>
      <c r="AB53" s="31"/>
      <c r="AC53" s="31"/>
      <c r="AD53" s="31"/>
      <c r="AE53" s="31"/>
      <c r="AF53" s="31"/>
      <c r="AG53" s="31"/>
      <c r="AH53" s="31"/>
      <c r="AI53" s="32">
        <f>AI52</f>
        <v>394.89195777777775</v>
      </c>
      <c r="AJ53" s="32">
        <f>Q53</f>
        <v>394.86617111160217</v>
      </c>
      <c r="AK53" s="31">
        <f t="shared" si="14"/>
        <v>394.86799999999999</v>
      </c>
      <c r="AL53" s="31">
        <f t="shared" si="15"/>
        <v>394.93199999999996</v>
      </c>
    </row>
    <row r="54" spans="1:38">
      <c r="A54" s="1"/>
      <c r="B54" s="1"/>
      <c r="C54" s="1"/>
      <c r="D54" s="1"/>
      <c r="E54" s="1"/>
      <c r="F54" s="1"/>
      <c r="G54" s="1"/>
    </row>
    <row r="55" spans="1:38">
      <c r="A55" s="1"/>
      <c r="B55" s="1"/>
      <c r="C55" s="1"/>
      <c r="D55" s="1"/>
      <c r="E55" s="1"/>
      <c r="F55" s="1"/>
      <c r="G55" s="1"/>
    </row>
    <row r="56" spans="1:38">
      <c r="A56" s="1"/>
      <c r="B56" s="1"/>
      <c r="C56" s="1"/>
      <c r="D56" s="1"/>
      <c r="E56" s="1"/>
      <c r="F56" s="1"/>
      <c r="G56" s="1"/>
      <c r="J56" s="33"/>
      <c r="K56" s="33"/>
      <c r="L56" s="33"/>
      <c r="M56" s="33"/>
      <c r="N56" s="33"/>
      <c r="O56" s="33"/>
      <c r="P56" s="33"/>
      <c r="Q56" s="33"/>
      <c r="R56" s="33"/>
      <c r="S56" s="5"/>
      <c r="T56" s="33"/>
      <c r="U56" s="33"/>
      <c r="V56" s="33"/>
      <c r="W56" s="33"/>
      <c r="X56" s="33"/>
      <c r="Y56" s="33"/>
      <c r="Z56" s="33"/>
      <c r="AA56" s="33"/>
      <c r="AB56" s="33"/>
      <c r="AC56" s="33"/>
    </row>
    <row r="57" spans="1:38">
      <c r="A57" s="1"/>
      <c r="B57" s="1"/>
      <c r="C57" s="1"/>
      <c r="D57" s="1"/>
      <c r="E57" s="1"/>
      <c r="F57" s="1"/>
      <c r="G57" s="1"/>
      <c r="J57" s="33"/>
      <c r="K57" s="33"/>
      <c r="L57" s="33"/>
      <c r="M57" s="33"/>
      <c r="N57" s="33"/>
      <c r="O57" s="33"/>
      <c r="P57" s="33"/>
      <c r="Q57" s="33"/>
      <c r="R57" s="33"/>
      <c r="S57" s="5"/>
      <c r="T57" s="33"/>
      <c r="U57" s="33"/>
      <c r="V57" s="33"/>
      <c r="W57" s="33"/>
      <c r="X57" s="33"/>
      <c r="Y57" s="33"/>
      <c r="Z57" s="33"/>
      <c r="AA57" s="33"/>
      <c r="AB57" s="33"/>
      <c r="AC57" s="33"/>
    </row>
    <row r="58" spans="1:38">
      <c r="A58" s="1"/>
      <c r="B58" s="1"/>
      <c r="C58" s="1"/>
      <c r="D58" s="1"/>
      <c r="E58" s="1"/>
      <c r="F58" s="1"/>
      <c r="G58" s="1"/>
      <c r="J58" s="33"/>
      <c r="K58" s="33"/>
      <c r="L58" s="33"/>
      <c r="M58" s="33"/>
      <c r="N58" s="33"/>
      <c r="O58" s="33"/>
      <c r="P58" s="33"/>
      <c r="Q58" s="33"/>
      <c r="R58" s="33"/>
      <c r="S58" s="5"/>
      <c r="T58" s="33"/>
      <c r="U58" s="33"/>
      <c r="V58" s="33"/>
      <c r="W58" s="33"/>
      <c r="X58" s="33"/>
      <c r="Y58" s="33"/>
      <c r="Z58" s="33"/>
      <c r="AA58" s="33"/>
      <c r="AB58" s="33"/>
      <c r="AC58" s="33"/>
    </row>
    <row r="59" spans="1:38">
      <c r="J59" s="33"/>
      <c r="K59" s="33"/>
      <c r="L59" s="33"/>
      <c r="M59" s="33"/>
      <c r="N59" s="33"/>
      <c r="O59" s="33"/>
      <c r="P59" s="33"/>
      <c r="Q59" s="33"/>
      <c r="R59" s="33"/>
      <c r="S59" s="5"/>
      <c r="T59" s="33"/>
      <c r="U59" s="33"/>
      <c r="V59" s="33"/>
      <c r="W59" s="33"/>
      <c r="X59" s="33"/>
      <c r="Y59" s="33"/>
      <c r="Z59" s="33"/>
      <c r="AA59" s="33"/>
      <c r="AB59" s="33"/>
      <c r="AC59" s="33"/>
    </row>
    <row r="60" spans="1:38">
      <c r="J60" s="33"/>
      <c r="K60" s="33"/>
      <c r="L60" s="33"/>
      <c r="M60" s="33"/>
      <c r="N60" s="33"/>
      <c r="O60" s="33"/>
      <c r="P60" s="33"/>
      <c r="Q60" s="33"/>
      <c r="R60" s="33"/>
      <c r="S60" s="5"/>
      <c r="T60" s="33"/>
      <c r="U60" s="33"/>
      <c r="V60" s="33"/>
      <c r="W60" s="33"/>
      <c r="X60" s="33"/>
      <c r="Y60" s="33"/>
      <c r="Z60" s="33"/>
      <c r="AA60" s="33"/>
      <c r="AB60" s="33"/>
      <c r="AC60" s="33"/>
    </row>
    <row r="61" spans="1:38">
      <c r="J61" s="33"/>
      <c r="K61" s="33"/>
      <c r="L61" s="33"/>
      <c r="M61" s="33"/>
      <c r="N61" s="33"/>
      <c r="O61" s="33"/>
      <c r="P61" s="33"/>
      <c r="Q61" s="33"/>
      <c r="R61" s="33"/>
      <c r="S61" s="5"/>
      <c r="T61" s="33"/>
      <c r="U61" s="33"/>
      <c r="V61" s="33"/>
      <c r="W61" s="33"/>
      <c r="X61" s="33"/>
      <c r="Y61" s="33"/>
      <c r="Z61" s="33"/>
      <c r="AA61" s="33"/>
      <c r="AB61" s="33"/>
      <c r="AC61" s="33"/>
    </row>
    <row r="62" spans="1:38">
      <c r="J62" s="33"/>
      <c r="K62" s="33"/>
      <c r="L62" s="33"/>
      <c r="M62" s="33"/>
      <c r="N62" s="33"/>
      <c r="O62" s="33"/>
      <c r="P62" s="33"/>
      <c r="Q62" s="33"/>
      <c r="R62" s="33"/>
      <c r="S62" s="5"/>
      <c r="T62" s="33"/>
      <c r="U62" s="33"/>
      <c r="V62" s="33"/>
      <c r="W62" s="33"/>
      <c r="X62" s="33"/>
      <c r="Y62" s="33"/>
      <c r="Z62" s="33"/>
      <c r="AA62" s="33"/>
      <c r="AB62" s="33"/>
      <c r="AC62" s="33"/>
    </row>
    <row r="63" spans="1:38">
      <c r="J63" s="33"/>
      <c r="K63" s="33"/>
      <c r="L63" s="33"/>
      <c r="M63" s="33"/>
      <c r="N63" s="33"/>
      <c r="O63" s="33"/>
      <c r="P63" s="33"/>
      <c r="Q63" s="33"/>
      <c r="R63" s="33"/>
      <c r="S63" s="5"/>
      <c r="T63" s="33"/>
      <c r="U63" s="33"/>
      <c r="V63" s="33"/>
      <c r="W63" s="33"/>
      <c r="X63" s="33"/>
      <c r="Y63" s="33"/>
      <c r="Z63" s="33"/>
      <c r="AA63" s="33"/>
      <c r="AB63" s="33"/>
      <c r="AC63" s="33"/>
    </row>
    <row r="64" spans="1:38">
      <c r="J64" s="33"/>
      <c r="K64" s="33"/>
      <c r="L64" s="33"/>
      <c r="M64" s="33"/>
      <c r="N64" s="33"/>
      <c r="O64" s="33"/>
      <c r="P64" s="33"/>
      <c r="Q64" s="33"/>
      <c r="R64" s="33"/>
      <c r="S64" s="5"/>
      <c r="T64" s="33"/>
      <c r="U64" s="33"/>
      <c r="V64" s="33"/>
      <c r="W64" s="33"/>
      <c r="X64" s="33"/>
      <c r="Y64" s="33"/>
      <c r="Z64" s="33"/>
      <c r="AA64" s="33"/>
      <c r="AB64" s="33"/>
      <c r="AC64" s="33"/>
    </row>
    <row r="65" spans="10:29">
      <c r="J65" s="33"/>
      <c r="K65" s="33"/>
      <c r="L65" s="33"/>
      <c r="M65" s="33"/>
      <c r="N65" s="33"/>
      <c r="O65" s="33"/>
      <c r="P65" s="33"/>
      <c r="Q65" s="33"/>
      <c r="R65" s="33"/>
      <c r="S65" s="5"/>
      <c r="T65" s="33"/>
      <c r="U65" s="33"/>
      <c r="V65" s="33"/>
      <c r="W65" s="33"/>
      <c r="X65" s="33"/>
      <c r="Y65" s="33"/>
      <c r="Z65" s="33"/>
      <c r="AA65" s="33"/>
      <c r="AB65" s="33"/>
      <c r="AC65" s="33"/>
    </row>
    <row r="66" spans="10:29">
      <c r="J66" s="33"/>
      <c r="K66" s="33"/>
      <c r="L66" s="33"/>
      <c r="M66" s="33"/>
      <c r="N66" s="33"/>
      <c r="O66" s="33"/>
      <c r="P66" s="33"/>
      <c r="Q66" s="33"/>
      <c r="R66" s="33"/>
      <c r="S66" s="5"/>
      <c r="T66" s="33"/>
      <c r="U66" s="33"/>
      <c r="V66" s="33"/>
      <c r="W66" s="33"/>
      <c r="X66" s="33"/>
      <c r="Y66" s="33"/>
      <c r="Z66" s="33"/>
      <c r="AA66" s="33"/>
      <c r="AB66" s="33"/>
      <c r="AC66" s="33"/>
    </row>
    <row r="67" spans="10:29">
      <c r="J67" s="33"/>
      <c r="K67" s="33"/>
      <c r="L67" s="33"/>
      <c r="M67" s="33"/>
      <c r="N67" s="33"/>
      <c r="O67" s="33"/>
      <c r="P67" s="33"/>
      <c r="Q67" s="33"/>
      <c r="R67" s="33"/>
      <c r="S67" s="5"/>
      <c r="T67" s="33"/>
      <c r="U67" s="33"/>
      <c r="V67" s="33"/>
      <c r="W67" s="33"/>
      <c r="X67" s="33"/>
      <c r="Y67" s="33"/>
      <c r="Z67" s="33"/>
      <c r="AA67" s="33"/>
      <c r="AB67" s="33"/>
      <c r="AC67" s="33"/>
    </row>
    <row r="68" spans="10:29">
      <c r="J68" s="33"/>
      <c r="K68" s="33"/>
      <c r="L68" s="33"/>
      <c r="M68" s="33"/>
      <c r="N68" s="33"/>
      <c r="O68" s="33"/>
      <c r="P68" s="33"/>
      <c r="Q68" s="33"/>
      <c r="R68" s="33"/>
      <c r="S68" s="5"/>
      <c r="T68" s="33"/>
      <c r="U68" s="33"/>
      <c r="V68" s="33"/>
      <c r="W68" s="33"/>
      <c r="X68" s="33"/>
      <c r="Y68" s="33"/>
      <c r="Z68" s="33"/>
      <c r="AA68" s="33"/>
      <c r="AB68" s="33"/>
      <c r="AC68" s="33"/>
    </row>
    <row r="69" spans="10:29">
      <c r="J69" s="33"/>
      <c r="K69" s="33"/>
      <c r="L69" s="33"/>
      <c r="M69" s="33"/>
      <c r="N69" s="33"/>
      <c r="O69" s="33"/>
      <c r="P69" s="33"/>
      <c r="Q69" s="33"/>
      <c r="R69" s="33"/>
      <c r="S69" s="5"/>
      <c r="T69" s="33"/>
      <c r="U69" s="33"/>
      <c r="V69" s="33"/>
      <c r="W69" s="33"/>
      <c r="X69" s="33"/>
      <c r="Y69" s="33"/>
      <c r="Z69" s="33"/>
      <c r="AA69" s="33"/>
      <c r="AB69" s="33"/>
      <c r="AC69" s="33"/>
    </row>
    <row r="70" spans="10:29">
      <c r="J70" s="33"/>
      <c r="K70" s="33"/>
      <c r="L70" s="33"/>
      <c r="M70" s="33"/>
      <c r="N70" s="33"/>
      <c r="O70" s="33"/>
      <c r="P70" s="33"/>
      <c r="Q70" s="33"/>
      <c r="R70" s="33"/>
      <c r="S70" s="5"/>
      <c r="T70" s="33"/>
      <c r="U70" s="33"/>
      <c r="V70" s="33"/>
      <c r="W70" s="33"/>
      <c r="X70" s="33"/>
      <c r="Y70" s="33"/>
      <c r="Z70" s="33"/>
      <c r="AA70" s="33"/>
      <c r="AB70" s="33"/>
      <c r="AC70" s="33"/>
    </row>
    <row r="71" spans="10:29">
      <c r="J71" s="33"/>
      <c r="K71" s="33"/>
      <c r="L71" s="33"/>
      <c r="M71" s="33"/>
      <c r="N71" s="33"/>
      <c r="O71" s="33"/>
      <c r="P71" s="33"/>
      <c r="Q71" s="33"/>
      <c r="R71" s="33"/>
      <c r="S71" s="5"/>
      <c r="T71" s="33"/>
      <c r="U71" s="33"/>
      <c r="V71" s="33"/>
      <c r="W71" s="33"/>
      <c r="X71" s="33"/>
      <c r="Y71" s="33"/>
      <c r="Z71" s="33"/>
      <c r="AA71" s="33"/>
      <c r="AB71" s="33"/>
      <c r="AC71" s="33"/>
    </row>
    <row r="72" spans="10:29">
      <c r="J72" s="33"/>
      <c r="K72" s="33"/>
      <c r="L72" s="33"/>
      <c r="M72" s="33"/>
      <c r="N72" s="33"/>
      <c r="O72" s="33"/>
      <c r="P72" s="33"/>
      <c r="Q72" s="33"/>
      <c r="R72" s="33"/>
      <c r="S72" s="5"/>
      <c r="T72" s="33"/>
      <c r="U72" s="33"/>
      <c r="V72" s="33"/>
      <c r="W72" s="33"/>
      <c r="X72" s="33"/>
      <c r="Y72" s="33"/>
      <c r="Z72" s="33"/>
      <c r="AA72" s="33"/>
      <c r="AB72" s="33"/>
      <c r="AC72" s="33"/>
    </row>
    <row r="73" spans="10:29">
      <c r="J73" s="33"/>
      <c r="K73" s="33"/>
      <c r="L73" s="33"/>
      <c r="M73" s="33"/>
      <c r="N73" s="33"/>
      <c r="O73" s="33"/>
      <c r="P73" s="33"/>
      <c r="Q73" s="33"/>
      <c r="R73" s="33"/>
      <c r="S73" s="5"/>
      <c r="T73" s="33"/>
      <c r="U73" s="33"/>
      <c r="V73" s="33"/>
      <c r="W73" s="33"/>
      <c r="X73" s="33"/>
      <c r="Y73" s="33"/>
      <c r="Z73" s="33"/>
      <c r="AA73" s="33"/>
      <c r="AB73" s="33"/>
      <c r="AC73" s="33"/>
    </row>
    <row r="74" spans="10:29">
      <c r="J74" s="33"/>
      <c r="K74" s="33"/>
      <c r="L74" s="33"/>
      <c r="M74" s="33"/>
      <c r="N74" s="33"/>
      <c r="O74" s="33"/>
      <c r="P74" s="33"/>
      <c r="Q74" s="33"/>
      <c r="R74" s="33"/>
      <c r="S74" s="5"/>
      <c r="T74" s="33"/>
      <c r="U74" s="33"/>
      <c r="V74" s="33"/>
      <c r="W74" s="33"/>
      <c r="X74" s="33"/>
      <c r="Y74" s="33"/>
      <c r="Z74" s="33"/>
      <c r="AA74" s="33"/>
      <c r="AB74" s="33"/>
      <c r="AC74" s="33"/>
    </row>
    <row r="75" spans="10:29">
      <c r="J75" s="33"/>
      <c r="K75" s="33"/>
      <c r="L75" s="33"/>
      <c r="M75" s="33"/>
      <c r="N75" s="33"/>
      <c r="O75" s="33"/>
      <c r="P75" s="33"/>
      <c r="Q75" s="33"/>
      <c r="R75" s="33"/>
      <c r="S75" s="5"/>
      <c r="T75" s="33"/>
      <c r="U75" s="33"/>
      <c r="V75" s="33"/>
      <c r="W75" s="33"/>
      <c r="X75" s="33"/>
      <c r="Y75" s="33"/>
      <c r="Z75" s="33"/>
      <c r="AA75" s="33"/>
      <c r="AB75" s="33"/>
      <c r="AC75" s="33"/>
    </row>
    <row r="76" spans="10:29">
      <c r="J76" s="33"/>
      <c r="K76" s="33"/>
      <c r="L76" s="33"/>
      <c r="M76" s="33"/>
      <c r="N76" s="33"/>
      <c r="O76" s="33"/>
      <c r="P76" s="33"/>
      <c r="Q76" s="33"/>
      <c r="R76" s="33"/>
      <c r="S76" s="5"/>
      <c r="T76" s="33"/>
      <c r="U76" s="33"/>
      <c r="V76" s="33"/>
      <c r="W76" s="33"/>
      <c r="X76" s="33"/>
      <c r="Y76" s="33"/>
      <c r="Z76" s="33"/>
      <c r="AA76" s="33"/>
      <c r="AB76" s="33"/>
      <c r="AC76" s="33"/>
    </row>
    <row r="77" spans="10:29">
      <c r="J77" s="33"/>
      <c r="K77" s="33"/>
      <c r="L77" s="33"/>
      <c r="M77" s="33"/>
      <c r="N77" s="33"/>
      <c r="O77" s="33"/>
      <c r="P77" s="33"/>
      <c r="Q77" s="33"/>
      <c r="R77" s="33"/>
      <c r="S77" s="5"/>
      <c r="T77" s="33"/>
      <c r="U77" s="33"/>
      <c r="V77" s="33"/>
      <c r="W77" s="33"/>
      <c r="X77" s="33"/>
      <c r="Y77" s="33"/>
      <c r="Z77" s="33"/>
      <c r="AA77" s="33"/>
      <c r="AB77" s="33"/>
      <c r="AC77" s="33"/>
    </row>
    <row r="78" spans="10:29">
      <c r="J78" s="33"/>
      <c r="K78" s="33"/>
      <c r="L78" s="33"/>
      <c r="M78" s="33"/>
      <c r="N78" s="33"/>
      <c r="O78" s="33"/>
      <c r="P78" s="33"/>
      <c r="Q78" s="33"/>
      <c r="R78" s="33"/>
      <c r="S78" s="5"/>
      <c r="T78" s="33"/>
      <c r="U78" s="33"/>
      <c r="V78" s="33"/>
      <c r="W78" s="33"/>
      <c r="X78" s="33"/>
      <c r="Y78" s="33"/>
      <c r="Z78" s="33"/>
      <c r="AA78" s="33"/>
      <c r="AB78" s="33"/>
      <c r="AC78" s="33"/>
    </row>
    <row r="79" spans="10:29">
      <c r="J79" s="33"/>
      <c r="K79" s="33"/>
      <c r="L79" s="33"/>
      <c r="M79" s="33"/>
      <c r="N79" s="33"/>
      <c r="O79" s="33"/>
      <c r="P79" s="33"/>
      <c r="Q79" s="33"/>
      <c r="R79" s="33"/>
      <c r="S79" s="5"/>
      <c r="T79" s="33"/>
      <c r="U79" s="33"/>
      <c r="V79" s="33"/>
      <c r="W79" s="33"/>
      <c r="X79" s="33"/>
      <c r="Y79" s="33"/>
      <c r="Z79" s="33"/>
      <c r="AA79" s="33"/>
      <c r="AB79" s="33"/>
      <c r="AC79" s="33"/>
    </row>
    <row r="80" spans="10:29">
      <c r="J80" s="33"/>
      <c r="K80" s="33"/>
      <c r="L80" s="33"/>
      <c r="M80" s="33"/>
      <c r="N80" s="33"/>
      <c r="O80" s="33"/>
      <c r="P80" s="33"/>
      <c r="Q80" s="33"/>
      <c r="R80" s="33"/>
      <c r="S80" s="5"/>
      <c r="T80" s="33"/>
      <c r="U80" s="33"/>
      <c r="V80" s="33"/>
      <c r="W80" s="33"/>
      <c r="X80" s="33"/>
      <c r="Y80" s="33"/>
      <c r="Z80" s="33"/>
      <c r="AA80" s="33"/>
      <c r="AB80" s="33"/>
      <c r="AC80" s="33"/>
    </row>
    <row r="81" spans="10:44">
      <c r="J81" s="33"/>
      <c r="K81" s="33"/>
      <c r="L81" s="33"/>
      <c r="M81" s="33"/>
      <c r="N81" s="33"/>
      <c r="O81" s="33"/>
      <c r="P81" s="33"/>
      <c r="Q81" s="33"/>
      <c r="R81" s="33"/>
      <c r="S81" s="5"/>
      <c r="T81" s="33"/>
      <c r="U81" s="33"/>
      <c r="V81" s="33"/>
      <c r="W81" s="33"/>
      <c r="X81" s="33"/>
      <c r="Y81" s="33"/>
      <c r="Z81" s="33"/>
      <c r="AA81" s="33"/>
      <c r="AB81" s="33"/>
      <c r="AC81" s="33"/>
    </row>
    <row r="82" spans="10:44">
      <c r="J82" s="33"/>
      <c r="K82" s="33"/>
      <c r="L82" s="33"/>
      <c r="M82" s="33"/>
      <c r="N82" s="33"/>
      <c r="O82" s="33"/>
      <c r="P82" s="33"/>
      <c r="Q82" s="33"/>
      <c r="R82" s="33"/>
      <c r="S82" s="5"/>
      <c r="T82" s="33"/>
      <c r="U82" s="33"/>
      <c r="V82" s="33"/>
      <c r="W82" s="33"/>
      <c r="X82" s="33"/>
      <c r="Y82" s="33"/>
      <c r="Z82" s="33"/>
      <c r="AA82" s="33"/>
      <c r="AB82" s="33"/>
      <c r="AC82" s="33"/>
    </row>
    <row r="83" spans="10:44">
      <c r="J83" s="33"/>
      <c r="K83" s="33"/>
      <c r="L83" s="33"/>
      <c r="M83" s="33"/>
      <c r="N83" s="33"/>
      <c r="O83" s="33"/>
      <c r="P83" s="33"/>
      <c r="Q83" s="33"/>
      <c r="R83" s="33"/>
      <c r="S83" s="5"/>
      <c r="T83" s="33"/>
      <c r="U83" s="33"/>
      <c r="V83" s="33"/>
      <c r="W83" s="33"/>
      <c r="X83" s="33"/>
      <c r="Y83" s="33"/>
      <c r="Z83" s="33"/>
      <c r="AA83" s="33"/>
      <c r="AB83" s="33"/>
      <c r="AC83" s="33"/>
    </row>
    <row r="84" spans="10:44">
      <c r="J84" s="33"/>
      <c r="K84" s="33"/>
      <c r="L84" s="33"/>
      <c r="M84" s="33"/>
      <c r="N84" s="33"/>
      <c r="O84" s="33"/>
      <c r="P84" s="33"/>
      <c r="Q84" s="33"/>
      <c r="R84" s="33"/>
      <c r="S84" s="5"/>
      <c r="T84" s="33"/>
      <c r="U84" s="33"/>
      <c r="V84" s="33"/>
      <c r="W84" s="33"/>
      <c r="X84" s="33"/>
      <c r="Y84" s="33"/>
      <c r="Z84" s="33"/>
      <c r="AA84" s="33"/>
      <c r="AB84" s="33"/>
      <c r="AC84" s="33"/>
    </row>
    <row r="87" spans="10:44">
      <c r="S87" s="20" t="str">
        <f ca="1">CONCATENATE(LEFT($S$32, LEN($S$32)-4), " Step#", OFFSET($J$35, S33, 0))</f>
        <v>Stg.2 Shroud Step#1</v>
      </c>
      <c r="T87" s="20" t="str">
        <f t="shared" ref="T87:AJ87" ca="1" si="18">CONCATENATE(LEFT($S$32, LEN($S$32)-4), " Step#", OFFSET($J$35, T33, 0))</f>
        <v>Stg.2 Shroud Step#18</v>
      </c>
      <c r="U87" s="20" t="str">
        <f t="shared" ca="1" si="18"/>
        <v>Stg.2 Shroud Step#17</v>
      </c>
      <c r="V87" s="20" t="str">
        <f t="shared" ca="1" si="18"/>
        <v>Stg.2 Shroud Step#16</v>
      </c>
      <c r="W87" s="20" t="str">
        <f t="shared" ca="1" si="18"/>
        <v>Stg.2 Shroud Step#15</v>
      </c>
      <c r="X87" s="20" t="str">
        <f t="shared" ca="1" si="18"/>
        <v>Stg.2 Shroud Step#14</v>
      </c>
      <c r="Y87" s="20" t="str">
        <f t="shared" ca="1" si="18"/>
        <v>Stg.2 Shroud Step#13</v>
      </c>
      <c r="Z87" s="20" t="str">
        <f t="shared" ca="1" si="18"/>
        <v>Stg.2 Shroud Step#12</v>
      </c>
      <c r="AA87" s="20" t="str">
        <f t="shared" ca="1" si="18"/>
        <v>Stg.2 Shroud Step#11</v>
      </c>
      <c r="AB87" s="20" t="str">
        <f t="shared" ca="1" si="18"/>
        <v>Stg.2 Shroud Step#10</v>
      </c>
      <c r="AC87" s="20" t="str">
        <f t="shared" ca="1" si="18"/>
        <v>Stg.2 Shroud Step#9</v>
      </c>
      <c r="AD87" s="20" t="str">
        <f t="shared" ca="1" si="18"/>
        <v>Stg.2 Shroud Step#8</v>
      </c>
      <c r="AE87" s="20" t="str">
        <f t="shared" ca="1" si="18"/>
        <v>Stg.2 Shroud Step#7</v>
      </c>
      <c r="AF87" s="20" t="str">
        <f t="shared" ca="1" si="18"/>
        <v>Stg.2 Shroud Step#6</v>
      </c>
      <c r="AG87" s="20" t="str">
        <f t="shared" ca="1" si="18"/>
        <v>Stg.2 Shroud Step#5</v>
      </c>
      <c r="AH87" s="20" t="str">
        <f t="shared" ca="1" si="18"/>
        <v>Stg.2 Shroud Step#4</v>
      </c>
      <c r="AI87" s="20" t="str">
        <f t="shared" ca="1" si="18"/>
        <v>Stg.2 Shroud Step#3</v>
      </c>
      <c r="AJ87" s="20" t="str">
        <f t="shared" ca="1" si="18"/>
        <v>Stg.2 Shroud Step#2</v>
      </c>
      <c r="AK87" s="20" t="s">
        <v>55</v>
      </c>
      <c r="AL87" s="20" t="s">
        <v>57</v>
      </c>
    </row>
    <row r="88" spans="10:44">
      <c r="S88" s="15"/>
      <c r="T88" s="15"/>
      <c r="U88" s="15"/>
      <c r="V88" s="15"/>
      <c r="W88" s="15"/>
      <c r="X88" s="15"/>
      <c r="Y88" s="15"/>
      <c r="Z88" s="15"/>
      <c r="AA88" s="15"/>
      <c r="AB88" s="15"/>
      <c r="AC88" s="15"/>
      <c r="AD88" s="15"/>
      <c r="AE88" s="15"/>
      <c r="AF88" s="15"/>
      <c r="AG88" s="15"/>
      <c r="AH88" s="15"/>
      <c r="AI88" s="15"/>
      <c r="AJ88" s="15"/>
      <c r="AK88" s="17" t="s">
        <v>13</v>
      </c>
      <c r="AL88" s="17" t="s">
        <v>13</v>
      </c>
    </row>
    <row r="89" spans="10:44">
      <c r="R89" s="5"/>
      <c r="S89" s="35">
        <f ca="1">IF(S36&lt;&gt;"", S36-'238'!S36-$AK$111, "")</f>
        <v>-4.3366732317622336E-3</v>
      </c>
      <c r="T89" s="35"/>
      <c r="U89" s="35"/>
      <c r="V89" s="35"/>
      <c r="W89" s="35"/>
      <c r="X89" s="35"/>
      <c r="Y89" s="35"/>
      <c r="Z89" s="35"/>
      <c r="AA89" s="35"/>
      <c r="AB89" s="35"/>
      <c r="AC89" s="35"/>
      <c r="AD89" s="35"/>
      <c r="AE89" s="35"/>
      <c r="AF89" s="35"/>
      <c r="AG89" s="35"/>
      <c r="AH89" s="35"/>
      <c r="AI89" s="35"/>
      <c r="AJ89" s="35">
        <f ca="1">IF(AJ36&lt;&gt;"", AJ36-'238'!AJ36-$AK$111, "")</f>
        <v>-4.6100049856363512E-3</v>
      </c>
      <c r="AK89" s="21">
        <f>AK36-'238'!AL36-$AK$111</f>
        <v>-6.399999999996453E-2</v>
      </c>
      <c r="AL89" s="21">
        <f>AL36-'238'!AK36-$AK$111</f>
        <v>6.399999999996453E-2</v>
      </c>
      <c r="AM89" s="13" t="s">
        <v>60</v>
      </c>
      <c r="AN89" s="36">
        <f ca="1">MAX(S89:AJ106)</f>
        <v>5.0677720826683981E-3</v>
      </c>
      <c r="AO89" s="13" t="str">
        <f ca="1">IF(AN89&gt;AL89, CONCATENATE("O/Max ", TEXT(AN89-AL89,"0.000")), "-")</f>
        <v>-</v>
      </c>
      <c r="AP89" s="36">
        <f ca="1">$Q36-'238'!$Q36-$AK$111</f>
        <v>-4.3366732317622336E-3</v>
      </c>
      <c r="AQ89" s="13">
        <f ca="1">INDEX($J36:$J53,MATCH(AN89,AP89:AP106,0))</f>
        <v>16</v>
      </c>
      <c r="AR89" s="13">
        <f ca="1">MATCH(AN89,AP89:AP106,0)</f>
        <v>4</v>
      </c>
    </row>
    <row r="90" spans="10:44">
      <c r="R90" s="5"/>
      <c r="S90" s="35">
        <f ca="1">IF(S37&lt;&gt;"", S37-'238'!S37-$AK$111, "")</f>
        <v>-4.3366732317622336E-3</v>
      </c>
      <c r="T90" s="35">
        <f ca="1">IF(T37&lt;&gt;"", T37-'238'!T37-$AK$111, "")</f>
        <v>4.3327814353233407E-5</v>
      </c>
      <c r="U90" s="35"/>
      <c r="V90" s="35"/>
      <c r="W90" s="35"/>
      <c r="X90" s="35"/>
      <c r="Y90" s="35"/>
      <c r="Z90" s="35"/>
      <c r="AA90" s="35"/>
      <c r="AB90" s="35"/>
      <c r="AC90" s="35"/>
      <c r="AD90" s="35"/>
      <c r="AE90" s="35"/>
      <c r="AF90" s="35"/>
      <c r="AG90" s="35"/>
      <c r="AH90" s="35"/>
      <c r="AI90" s="35"/>
      <c r="AJ90" s="35"/>
      <c r="AK90" s="21">
        <f>AK89</f>
        <v>-6.399999999996453E-2</v>
      </c>
      <c r="AL90" s="21">
        <f>AL89</f>
        <v>6.399999999996453E-2</v>
      </c>
      <c r="AM90" s="13" t="s">
        <v>62</v>
      </c>
      <c r="AN90" s="36">
        <f ca="1">MIN(S89:AJ106)</f>
        <v>-1.2766667414950916E-2</v>
      </c>
      <c r="AO90" s="13" t="str">
        <f ca="1">IF(AN90&lt;AK89, CONCATENATE("U/Min ", TEXT(AK89-AN90,"0.000")), "-")</f>
        <v>-</v>
      </c>
      <c r="AP90" s="36">
        <f ca="1">$Q37-'238'!$Q37-$AK$111</f>
        <v>4.3327814353233407E-5</v>
      </c>
      <c r="AQ90" s="13">
        <f ca="1">INDEX($J36:$J53,MATCH(AN90,AP89:AP106,0))</f>
        <v>13</v>
      </c>
      <c r="AR90" s="13">
        <f ca="1">MATCH(AN90,AP89:AP106,0)</f>
        <v>7</v>
      </c>
    </row>
    <row r="91" spans="10:44">
      <c r="R91" s="5"/>
      <c r="S91" s="35"/>
      <c r="T91" s="35">
        <f ca="1">IF(T38&lt;&gt;"", T38-'238'!T38-$AK$111, "")</f>
        <v>4.3327814353233407E-5</v>
      </c>
      <c r="U91" s="35">
        <f ca="1">IF(U38&lt;&gt;"", U38-'238'!U38-$AK$111, "")</f>
        <v>4.1011048414816287E-3</v>
      </c>
      <c r="V91" s="35"/>
      <c r="W91" s="35"/>
      <c r="X91" s="35"/>
      <c r="Y91" s="35"/>
      <c r="Z91" s="35"/>
      <c r="AA91" s="35"/>
      <c r="AB91" s="35"/>
      <c r="AC91" s="35"/>
      <c r="AD91" s="35"/>
      <c r="AE91" s="35"/>
      <c r="AF91" s="35"/>
      <c r="AG91" s="35"/>
      <c r="AH91" s="35"/>
      <c r="AI91" s="35"/>
      <c r="AJ91" s="35"/>
      <c r="AK91" s="21">
        <f t="shared" ref="AK91:AK106" si="19">AK90</f>
        <v>-6.399999999996453E-2</v>
      </c>
      <c r="AL91" s="21">
        <f t="shared" ref="AL91:AL106" si="20">AL90</f>
        <v>6.399999999996453E-2</v>
      </c>
      <c r="AP91" s="36">
        <f ca="1">$Q38-'238'!$Q38-$AK$111</f>
        <v>4.1011048414816287E-3</v>
      </c>
      <c r="AQ91" s="2"/>
    </row>
    <row r="92" spans="10:44">
      <c r="R92" s="5"/>
      <c r="S92" s="35"/>
      <c r="T92" s="35"/>
      <c r="U92" s="35">
        <f ca="1">IF(U39&lt;&gt;"", U39-'238'!U39-$AK$111, "")</f>
        <v>4.1011048414816287E-3</v>
      </c>
      <c r="V92" s="35">
        <f ca="1">IF(V39&lt;&gt;"", V39-'238'!V39-$AK$111, "")</f>
        <v>5.0677720826683981E-3</v>
      </c>
      <c r="W92" s="35"/>
      <c r="X92" s="35"/>
      <c r="Y92" s="35"/>
      <c r="Z92" s="35"/>
      <c r="AA92" s="35"/>
      <c r="AB92" s="35"/>
      <c r="AC92" s="35"/>
      <c r="AD92" s="35"/>
      <c r="AE92" s="35"/>
      <c r="AF92" s="35"/>
      <c r="AG92" s="35"/>
      <c r="AH92" s="35"/>
      <c r="AI92" s="35"/>
      <c r="AJ92" s="35"/>
      <c r="AK92" s="21">
        <f t="shared" si="19"/>
        <v>-6.399999999996453E-2</v>
      </c>
      <c r="AL92" s="21">
        <f t="shared" si="20"/>
        <v>6.399999999996453E-2</v>
      </c>
      <c r="AP92" s="36">
        <f ca="1">$Q39-'238'!$Q39-$AK$111</f>
        <v>5.0677720826683981E-3</v>
      </c>
      <c r="AQ92" s="2"/>
    </row>
    <row r="93" spans="10:44">
      <c r="R93" s="5"/>
      <c r="S93" s="35"/>
      <c r="T93" s="35"/>
      <c r="U93" s="35"/>
      <c r="V93" s="35">
        <f ca="1">IF(V40&lt;&gt;"", V40-'238'!V40-$AK$111, "")</f>
        <v>5.0677720826683981E-3</v>
      </c>
      <c r="W93" s="35">
        <f ca="1">IF(W40&lt;&gt;"", W40-'238'!W40-$AK$111, "")</f>
        <v>-2.2000091985887593E-3</v>
      </c>
      <c r="X93" s="35"/>
      <c r="Y93" s="35"/>
      <c r="Z93" s="35"/>
      <c r="AA93" s="35"/>
      <c r="AB93" s="35"/>
      <c r="AC93" s="35"/>
      <c r="AD93" s="35"/>
      <c r="AE93" s="35"/>
      <c r="AF93" s="35"/>
      <c r="AG93" s="35"/>
      <c r="AH93" s="35"/>
      <c r="AI93" s="35"/>
      <c r="AJ93" s="35"/>
      <c r="AK93" s="21">
        <f t="shared" si="19"/>
        <v>-6.399999999996453E-2</v>
      </c>
      <c r="AL93" s="21">
        <f t="shared" si="20"/>
        <v>6.399999999996453E-2</v>
      </c>
      <c r="AP93" s="36">
        <f ca="1">$Q40-'238'!$Q40-$AK$111</f>
        <v>-2.2000091985887593E-3</v>
      </c>
      <c r="AQ93" s="2"/>
    </row>
    <row r="94" spans="10:44">
      <c r="R94" s="5"/>
      <c r="S94" s="35"/>
      <c r="T94" s="35"/>
      <c r="U94" s="35"/>
      <c r="V94" s="35"/>
      <c r="W94" s="35">
        <f ca="1">IF(W41&lt;&gt;"", W41-'238'!W41-$AK$111, "")</f>
        <v>-2.2000091985887593E-3</v>
      </c>
      <c r="X94" s="35">
        <f ca="1">IF(X41&lt;&gt;"", X41-'238'!X41-$AK$111, "")</f>
        <v>-9.4922293330341745E-3</v>
      </c>
      <c r="Y94" s="35"/>
      <c r="Z94" s="35"/>
      <c r="AA94" s="35"/>
      <c r="AB94" s="35"/>
      <c r="AC94" s="35"/>
      <c r="AD94" s="35"/>
      <c r="AE94" s="35"/>
      <c r="AF94" s="35"/>
      <c r="AG94" s="35"/>
      <c r="AH94" s="35"/>
      <c r="AI94" s="35"/>
      <c r="AJ94" s="35"/>
      <c r="AK94" s="21">
        <f t="shared" si="19"/>
        <v>-6.399999999996453E-2</v>
      </c>
      <c r="AL94" s="21">
        <f t="shared" si="20"/>
        <v>6.399999999996453E-2</v>
      </c>
      <c r="AP94" s="36">
        <f ca="1">$Q41-'238'!$Q41-$AK$111</f>
        <v>-9.4922293330341745E-3</v>
      </c>
      <c r="AQ94" s="2"/>
    </row>
    <row r="95" spans="10:44">
      <c r="R95" s="5"/>
      <c r="S95" s="35"/>
      <c r="T95" s="35"/>
      <c r="U95" s="35"/>
      <c r="V95" s="35"/>
      <c r="W95" s="35"/>
      <c r="X95" s="35">
        <f ca="1">IF(X42&lt;&gt;"", X42-'238'!X42-$AK$111, "")</f>
        <v>-9.4922293330341745E-3</v>
      </c>
      <c r="Y95" s="35">
        <f ca="1">IF(Y42&lt;&gt;"", Y42-'238'!Y42-$AK$111, "")</f>
        <v>-1.2766667414950916E-2</v>
      </c>
      <c r="Z95" s="35"/>
      <c r="AA95" s="35"/>
      <c r="AB95" s="35"/>
      <c r="AC95" s="35"/>
      <c r="AD95" s="35"/>
      <c r="AE95" s="35"/>
      <c r="AF95" s="35"/>
      <c r="AG95" s="35"/>
      <c r="AH95" s="35"/>
      <c r="AI95" s="35"/>
      <c r="AJ95" s="35"/>
      <c r="AK95" s="21">
        <f t="shared" si="19"/>
        <v>-6.399999999996453E-2</v>
      </c>
      <c r="AL95" s="21">
        <f t="shared" si="20"/>
        <v>6.399999999996453E-2</v>
      </c>
      <c r="AP95" s="36">
        <f ca="1">$Q42-'238'!$Q42-$AK$111</f>
        <v>-1.2766667414950916E-2</v>
      </c>
      <c r="AQ95" s="2"/>
    </row>
    <row r="96" spans="10:44">
      <c r="R96" s="5"/>
      <c r="S96" s="35"/>
      <c r="T96" s="35"/>
      <c r="U96" s="35"/>
      <c r="V96" s="35"/>
      <c r="W96" s="35"/>
      <c r="X96" s="35"/>
      <c r="Y96" s="35">
        <f ca="1">IF(Y43&lt;&gt;"", Y43-'238'!Y43-$AK$111, "")</f>
        <v>-1.2766667414950916E-2</v>
      </c>
      <c r="Z96" s="35">
        <f ca="1">IF(Z43&lt;&gt;"", Z43-'238'!Z43-$AK$111, "")</f>
        <v>-5.6844440372856297E-3</v>
      </c>
      <c r="AA96" s="35"/>
      <c r="AB96" s="35"/>
      <c r="AC96" s="35"/>
      <c r="AD96" s="35"/>
      <c r="AE96" s="35"/>
      <c r="AF96" s="35"/>
      <c r="AG96" s="35"/>
      <c r="AH96" s="35"/>
      <c r="AI96" s="35"/>
      <c r="AJ96" s="35"/>
      <c r="AK96" s="21">
        <f t="shared" si="19"/>
        <v>-6.399999999996453E-2</v>
      </c>
      <c r="AL96" s="21">
        <f t="shared" si="20"/>
        <v>6.399999999996453E-2</v>
      </c>
      <c r="AP96" s="36">
        <f ca="1">$Q43-'238'!$Q43-$AK$111</f>
        <v>-5.6844440372856297E-3</v>
      </c>
      <c r="AQ96" s="2"/>
    </row>
    <row r="97" spans="18:43">
      <c r="R97" s="5"/>
      <c r="S97" s="35"/>
      <c r="T97" s="35"/>
      <c r="U97" s="35"/>
      <c r="V97" s="35"/>
      <c r="W97" s="35"/>
      <c r="X97" s="35"/>
      <c r="Y97" s="35"/>
      <c r="Z97" s="35">
        <f ca="1">IF(Z44&lt;&gt;"", Z44-'238'!Z44-$AK$111, "")</f>
        <v>-5.6844440372856297E-3</v>
      </c>
      <c r="AA97" s="35">
        <f ca="1">IF(AA44&lt;&gt;"", AA44-'238'!AA44-$AK$111, "")</f>
        <v>3.6466657748519538E-3</v>
      </c>
      <c r="AB97" s="35"/>
      <c r="AC97" s="35"/>
      <c r="AD97" s="35"/>
      <c r="AE97" s="35"/>
      <c r="AF97" s="35"/>
      <c r="AG97" s="35"/>
      <c r="AH97" s="35"/>
      <c r="AI97" s="35"/>
      <c r="AJ97" s="35"/>
      <c r="AK97" s="21">
        <f t="shared" si="19"/>
        <v>-6.399999999996453E-2</v>
      </c>
      <c r="AL97" s="21">
        <f t="shared" si="20"/>
        <v>6.399999999996453E-2</v>
      </c>
      <c r="AP97" s="36">
        <f ca="1">$Q44-'238'!$Q44-$AK$111</f>
        <v>3.6466657748519538E-3</v>
      </c>
      <c r="AQ97" s="2"/>
    </row>
    <row r="98" spans="18:43">
      <c r="R98" s="5"/>
      <c r="S98" s="35"/>
      <c r="T98" s="35"/>
      <c r="U98" s="35"/>
      <c r="V98" s="35"/>
      <c r="W98" s="35"/>
      <c r="X98" s="35"/>
      <c r="Y98" s="35"/>
      <c r="Z98" s="35"/>
      <c r="AA98" s="35">
        <f ca="1">IF(AA45&lt;&gt;"", AA45-'238'!AA45-$AK$111, "")</f>
        <v>3.6466657748519538E-3</v>
      </c>
      <c r="AB98" s="35">
        <f ca="1">IF(AB45&lt;&gt;"", AB45-'238'!AB45-$AK$111, "")</f>
        <v>2.3399974352855679E-3</v>
      </c>
      <c r="AC98" s="35"/>
      <c r="AD98" s="35"/>
      <c r="AE98" s="35"/>
      <c r="AF98" s="35"/>
      <c r="AG98" s="35"/>
      <c r="AH98" s="35"/>
      <c r="AI98" s="35"/>
      <c r="AJ98" s="35"/>
      <c r="AK98" s="21">
        <f t="shared" si="19"/>
        <v>-6.399999999996453E-2</v>
      </c>
      <c r="AL98" s="21">
        <f t="shared" si="20"/>
        <v>6.399999999996453E-2</v>
      </c>
      <c r="AP98" s="36">
        <f ca="1">$Q45-'238'!$Q45-$AK$111</f>
        <v>2.3399974352855679E-3</v>
      </c>
      <c r="AQ98" s="2"/>
    </row>
    <row r="99" spans="18:43">
      <c r="R99" s="5"/>
      <c r="S99" s="35"/>
      <c r="T99" s="35"/>
      <c r="U99" s="35"/>
      <c r="V99" s="35"/>
      <c r="W99" s="35"/>
      <c r="X99" s="35"/>
      <c r="Y99" s="35"/>
      <c r="Z99" s="35"/>
      <c r="AA99" s="35"/>
      <c r="AB99" s="35">
        <f ca="1">IF(AB46&lt;&gt;"", AB46-'238'!AB46-$AK$111, "")</f>
        <v>2.3399974352855679E-3</v>
      </c>
      <c r="AC99" s="35">
        <f ca="1">IF(AC46&lt;&gt;"", AC46-'238'!AC46-$AK$111, "")</f>
        <v>-4.9997297480786074E-5</v>
      </c>
      <c r="AD99" s="35"/>
      <c r="AE99" s="35"/>
      <c r="AF99" s="35"/>
      <c r="AG99" s="35"/>
      <c r="AH99" s="35"/>
      <c r="AI99" s="35"/>
      <c r="AJ99" s="35"/>
      <c r="AK99" s="21">
        <f t="shared" si="19"/>
        <v>-6.399999999996453E-2</v>
      </c>
      <c r="AL99" s="21">
        <f t="shared" si="20"/>
        <v>6.399999999996453E-2</v>
      </c>
      <c r="AP99" s="36">
        <f ca="1">$Q46-'238'!$Q46-$AK$111</f>
        <v>-4.9997297480786074E-5</v>
      </c>
      <c r="AQ99" s="2"/>
    </row>
    <row r="100" spans="18:43">
      <c r="R100" s="5"/>
      <c r="S100" s="35"/>
      <c r="T100" s="35"/>
      <c r="U100" s="35"/>
      <c r="V100" s="35"/>
      <c r="W100" s="35"/>
      <c r="X100" s="35"/>
      <c r="Y100" s="35"/>
      <c r="Z100" s="35"/>
      <c r="AA100" s="35"/>
      <c r="AB100" s="35"/>
      <c r="AC100" s="35">
        <f ca="1">IF(AC47&lt;&gt;"", AC47-'238'!AC47-$AK$111, "")</f>
        <v>-4.9997297480786074E-5</v>
      </c>
      <c r="AD100" s="35">
        <f ca="1">IF(AD47&lt;&gt;"", AD47-'238'!AD47-$AK$111, "")</f>
        <v>-3.101104657275755E-3</v>
      </c>
      <c r="AE100" s="35"/>
      <c r="AF100" s="35"/>
      <c r="AG100" s="35"/>
      <c r="AH100" s="35"/>
      <c r="AI100" s="35"/>
      <c r="AJ100" s="35"/>
      <c r="AK100" s="21">
        <f t="shared" si="19"/>
        <v>-6.399999999996453E-2</v>
      </c>
      <c r="AL100" s="21">
        <f t="shared" si="20"/>
        <v>6.399999999996453E-2</v>
      </c>
      <c r="AP100" s="36">
        <f ca="1">$Q47-'238'!$Q47-$AK$111</f>
        <v>-3.101104657275755E-3</v>
      </c>
      <c r="AQ100" s="2"/>
    </row>
    <row r="101" spans="18:43">
      <c r="R101" s="5"/>
      <c r="S101" s="35"/>
      <c r="T101" s="35"/>
      <c r="U101" s="35"/>
      <c r="V101" s="35"/>
      <c r="W101" s="35"/>
      <c r="X101" s="35"/>
      <c r="Y101" s="35"/>
      <c r="Z101" s="35"/>
      <c r="AA101" s="35"/>
      <c r="AB101" s="35"/>
      <c r="AC101" s="35"/>
      <c r="AD101" s="35">
        <f ca="1">IF(AD48&lt;&gt;"", AD48-'238'!AD48-$AK$111, "")</f>
        <v>-3.101104657275755E-3</v>
      </c>
      <c r="AE101" s="35">
        <f ca="1">IF(AE48&lt;&gt;"", AE48-'238'!AE48-$AK$111, "")</f>
        <v>-4.895553590245072E-3</v>
      </c>
      <c r="AF101" s="35"/>
      <c r="AG101" s="35"/>
      <c r="AH101" s="35"/>
      <c r="AI101" s="35"/>
      <c r="AJ101" s="35"/>
      <c r="AK101" s="21">
        <f t="shared" si="19"/>
        <v>-6.399999999996453E-2</v>
      </c>
      <c r="AL101" s="21">
        <f t="shared" si="20"/>
        <v>6.399999999996453E-2</v>
      </c>
      <c r="AP101" s="36">
        <f ca="1">$Q48-'238'!$Q48-$AK$111</f>
        <v>-4.895553590245072E-3</v>
      </c>
      <c r="AQ101" s="2"/>
    </row>
    <row r="102" spans="18:43">
      <c r="R102" s="5"/>
      <c r="S102" s="35"/>
      <c r="T102" s="35"/>
      <c r="U102" s="35"/>
      <c r="V102" s="35"/>
      <c r="W102" s="35"/>
      <c r="X102" s="35"/>
      <c r="Y102" s="35"/>
      <c r="Z102" s="35"/>
      <c r="AA102" s="35"/>
      <c r="AB102" s="35"/>
      <c r="AC102" s="35"/>
      <c r="AD102" s="35"/>
      <c r="AE102" s="35">
        <f ca="1">IF(AE49&lt;&gt;"", AE49-'238'!AE49-$AK$111, "")</f>
        <v>-4.895553590245072E-3</v>
      </c>
      <c r="AF102" s="35">
        <f ca="1">IF(AF49&lt;&gt;"", AF49-'238'!AF49-$AK$111, "")</f>
        <v>-7.8777466029578136E-4</v>
      </c>
      <c r="AG102" s="35"/>
      <c r="AH102" s="35"/>
      <c r="AI102" s="35"/>
      <c r="AJ102" s="35"/>
      <c r="AK102" s="21">
        <f t="shared" si="19"/>
        <v>-6.399999999996453E-2</v>
      </c>
      <c r="AL102" s="21">
        <f t="shared" si="20"/>
        <v>6.399999999996453E-2</v>
      </c>
      <c r="AP102" s="36">
        <f ca="1">$Q49-'238'!$Q49-$AK$111</f>
        <v>-7.8777466029578136E-4</v>
      </c>
      <c r="AQ102" s="2"/>
    </row>
    <row r="103" spans="18:43">
      <c r="R103" s="5"/>
      <c r="S103" s="35"/>
      <c r="T103" s="35"/>
      <c r="U103" s="35"/>
      <c r="V103" s="35"/>
      <c r="W103" s="35"/>
      <c r="X103" s="35"/>
      <c r="Y103" s="35"/>
      <c r="Z103" s="35"/>
      <c r="AA103" s="35"/>
      <c r="AB103" s="35"/>
      <c r="AC103" s="35"/>
      <c r="AD103" s="35"/>
      <c r="AE103" s="35"/>
      <c r="AF103" s="35">
        <f ca="1">IF(AF50&lt;&gt;"", AF50-'238'!AF50-$AK$111, "")</f>
        <v>-7.8777466029578136E-4</v>
      </c>
      <c r="AG103" s="35">
        <f ca="1">IF(AG50&lt;&gt;"", AG50-'238'!AG50-$AK$111, "")</f>
        <v>1.1788919978812373E-3</v>
      </c>
      <c r="AH103" s="35"/>
      <c r="AI103" s="35"/>
      <c r="AJ103" s="35"/>
      <c r="AK103" s="21">
        <f t="shared" si="19"/>
        <v>-6.399999999996453E-2</v>
      </c>
      <c r="AL103" s="21">
        <f t="shared" si="20"/>
        <v>6.399999999996453E-2</v>
      </c>
      <c r="AP103" s="36">
        <f ca="1">$Q50-'238'!$Q50-$AK$111</f>
        <v>1.1788919978812373E-3</v>
      </c>
      <c r="AQ103" s="2"/>
    </row>
    <row r="104" spans="18:43">
      <c r="R104" s="5"/>
      <c r="S104" s="35"/>
      <c r="T104" s="35"/>
      <c r="U104" s="35"/>
      <c r="V104" s="35"/>
      <c r="W104" s="35"/>
      <c r="X104" s="35"/>
      <c r="Y104" s="35"/>
      <c r="Z104" s="35"/>
      <c r="AA104" s="35"/>
      <c r="AB104" s="35"/>
      <c r="AC104" s="35"/>
      <c r="AD104" s="35"/>
      <c r="AE104" s="35"/>
      <c r="AF104" s="35"/>
      <c r="AG104" s="35">
        <f ca="1">IF(AG51&lt;&gt;"", AG51-'238'!AG51-$AK$111, "")</f>
        <v>1.1788919978812373E-3</v>
      </c>
      <c r="AH104" s="35">
        <f ca="1">IF(AH51&lt;&gt;"", AH51-'238'!AH51-$AK$111, "")</f>
        <v>-3.8733346681851799E-3</v>
      </c>
      <c r="AI104" s="35"/>
      <c r="AJ104" s="35"/>
      <c r="AK104" s="21">
        <f t="shared" si="19"/>
        <v>-6.399999999996453E-2</v>
      </c>
      <c r="AL104" s="21">
        <f t="shared" si="20"/>
        <v>6.399999999996453E-2</v>
      </c>
      <c r="AP104" s="36">
        <f ca="1">$Q51-'238'!$Q51-$AK$111</f>
        <v>-3.8733346681851799E-3</v>
      </c>
      <c r="AQ104" s="2"/>
    </row>
    <row r="105" spans="18:43">
      <c r="R105" s="5"/>
      <c r="S105" s="35"/>
      <c r="T105" s="35"/>
      <c r="U105" s="35"/>
      <c r="V105" s="35"/>
      <c r="W105" s="35"/>
      <c r="X105" s="35"/>
      <c r="Y105" s="35"/>
      <c r="Z105" s="35"/>
      <c r="AA105" s="35"/>
      <c r="AB105" s="35"/>
      <c r="AC105" s="35"/>
      <c r="AD105" s="35"/>
      <c r="AE105" s="35"/>
      <c r="AF105" s="35"/>
      <c r="AG105" s="35"/>
      <c r="AH105" s="35">
        <f ca="1">IF(AH52&lt;&gt;"", AH52-'238'!AH52-$AK$111, "")</f>
        <v>-3.8733346681851799E-3</v>
      </c>
      <c r="AI105" s="35">
        <f ca="1">IF(AI52&lt;&gt;"", AI52-'238'!AI52-$AK$111, "")</f>
        <v>-4.775556890479038E-3</v>
      </c>
      <c r="AJ105" s="35"/>
      <c r="AK105" s="21">
        <f t="shared" si="19"/>
        <v>-6.399999999996453E-2</v>
      </c>
      <c r="AL105" s="21">
        <f t="shared" si="20"/>
        <v>6.399999999996453E-2</v>
      </c>
      <c r="AP105" s="36">
        <f ca="1">$Q52-'238'!$Q52-$AK$111</f>
        <v>-4.775556890479038E-3</v>
      </c>
      <c r="AQ105" s="2"/>
    </row>
    <row r="106" spans="18:43">
      <c r="R106" s="5"/>
      <c r="S106" s="39"/>
      <c r="T106" s="39"/>
      <c r="U106" s="39"/>
      <c r="V106" s="39"/>
      <c r="W106" s="39"/>
      <c r="X106" s="39"/>
      <c r="Y106" s="39"/>
      <c r="Z106" s="39"/>
      <c r="AA106" s="39"/>
      <c r="AB106" s="39"/>
      <c r="AC106" s="39"/>
      <c r="AD106" s="39"/>
      <c r="AE106" s="39"/>
      <c r="AF106" s="39"/>
      <c r="AG106" s="39"/>
      <c r="AH106" s="39"/>
      <c r="AI106" s="39">
        <f ca="1">IF(AI53&lt;&gt;"", AI53-'238'!AI53-$AK$111, "")</f>
        <v>-4.775556890479038E-3</v>
      </c>
      <c r="AJ106" s="39">
        <f ca="1">IF(AJ53&lt;&gt;"", AJ53-'238'!AJ53-$AK$111, "")</f>
        <v>-4.6100049856363512E-3</v>
      </c>
      <c r="AK106" s="21">
        <f t="shared" si="19"/>
        <v>-6.399999999996453E-2</v>
      </c>
      <c r="AL106" s="21">
        <f t="shared" si="20"/>
        <v>6.399999999996453E-2</v>
      </c>
      <c r="AP106" s="36">
        <f ca="1">$Q53-'238'!$Q53-$AK$111</f>
        <v>-4.6100049856363512E-3</v>
      </c>
      <c r="AQ106" s="2"/>
    </row>
    <row r="108" spans="18:43">
      <c r="AK108" t="s">
        <v>355</v>
      </c>
      <c r="AL108" t="s">
        <v>356</v>
      </c>
    </row>
    <row r="109" spans="18:43">
      <c r="AK109" s="52">
        <f>AK36-'238'!AL36</f>
        <v>20.286000000000001</v>
      </c>
      <c r="AL109" s="52">
        <f>AL36-'238'!AK36</f>
        <v>20.41399999999993</v>
      </c>
    </row>
    <row r="110" spans="18:43">
      <c r="AK110" s="51" t="s">
        <v>357</v>
      </c>
      <c r="AL110" s="51"/>
    </row>
    <row r="111" spans="18:43">
      <c r="AK111" s="51">
        <f>AVERAGE(AK109:AL109)</f>
        <v>20.349999999999966</v>
      </c>
      <c r="AL111" s="51"/>
    </row>
    <row r="144" spans="9:26">
      <c r="I144" s="51"/>
      <c r="J144" s="52"/>
      <c r="K144" s="52"/>
      <c r="L144" s="52"/>
      <c r="M144" s="52"/>
      <c r="N144" s="52"/>
      <c r="O144" s="51"/>
      <c r="P144" s="51"/>
      <c r="Q144" s="51"/>
      <c r="R144" s="51"/>
      <c r="S144" s="51"/>
      <c r="T144" s="51"/>
      <c r="U144" s="51"/>
      <c r="V144" s="51"/>
      <c r="W144" s="51"/>
      <c r="X144" s="51"/>
      <c r="Y144" s="51"/>
      <c r="Z144" s="51"/>
    </row>
    <row r="145" spans="9:26">
      <c r="I145" s="51"/>
      <c r="J145" s="52"/>
      <c r="K145" s="52"/>
      <c r="L145" s="52"/>
      <c r="M145" s="52"/>
      <c r="N145" s="52"/>
      <c r="O145" s="51"/>
      <c r="P145" s="51"/>
      <c r="Q145" s="51"/>
      <c r="R145" s="51"/>
      <c r="S145" s="51"/>
      <c r="T145" s="51"/>
      <c r="U145" s="51"/>
      <c r="V145" s="51"/>
      <c r="W145" s="51"/>
      <c r="X145" s="51"/>
      <c r="Y145" s="51"/>
      <c r="Z145" s="51"/>
    </row>
    <row r="146" spans="9:26">
      <c r="I146" s="51"/>
      <c r="J146" s="52"/>
      <c r="K146" s="52"/>
      <c r="L146" s="52"/>
      <c r="M146" s="52"/>
      <c r="N146" s="52"/>
      <c r="O146" s="51"/>
      <c r="P146" s="51"/>
      <c r="Q146" s="51"/>
      <c r="R146" s="51"/>
      <c r="S146" s="51"/>
      <c r="T146" s="51"/>
      <c r="U146" s="51"/>
      <c r="V146" s="51"/>
      <c r="W146" s="51"/>
      <c r="X146" s="51"/>
      <c r="Y146" s="51"/>
      <c r="Z146" s="51"/>
    </row>
    <row r="147" spans="9:26">
      <c r="I147" s="51"/>
      <c r="J147" s="52"/>
      <c r="K147" s="52"/>
      <c r="L147" s="52"/>
      <c r="M147" s="52"/>
      <c r="N147" s="52"/>
      <c r="O147" s="51"/>
      <c r="P147" s="51"/>
      <c r="Q147" s="51"/>
      <c r="R147" s="51"/>
      <c r="S147" s="51"/>
      <c r="T147" s="51"/>
      <c r="U147" s="51"/>
      <c r="V147" s="51"/>
      <c r="W147" s="51"/>
      <c r="X147" s="51"/>
      <c r="Y147" s="51"/>
      <c r="Z147" s="51"/>
    </row>
    <row r="148" spans="9:26">
      <c r="I148" s="51"/>
      <c r="J148" s="53"/>
      <c r="K148" s="52"/>
      <c r="L148" s="52"/>
      <c r="M148" s="52"/>
      <c r="N148" s="52"/>
      <c r="O148" s="51"/>
      <c r="P148" s="51"/>
      <c r="Q148" s="51"/>
      <c r="R148" s="51"/>
      <c r="S148" s="51"/>
      <c r="T148" s="51"/>
      <c r="U148" s="51"/>
      <c r="V148" s="51"/>
      <c r="W148" s="51"/>
      <c r="X148" s="51"/>
      <c r="Y148" s="51"/>
      <c r="Z148" s="51"/>
    </row>
    <row r="149" spans="9:26">
      <c r="I149" s="51"/>
      <c r="J149" s="54"/>
      <c r="K149" s="54"/>
      <c r="L149" s="54"/>
      <c r="M149" s="45"/>
      <c r="N149" s="55"/>
      <c r="O149" s="55"/>
      <c r="P149" s="51"/>
      <c r="Q149" s="51"/>
      <c r="R149" s="51"/>
      <c r="S149" s="51"/>
      <c r="T149" s="51"/>
      <c r="U149" s="51"/>
      <c r="V149" s="51"/>
      <c r="W149" s="51"/>
      <c r="X149" s="51"/>
      <c r="Y149" s="51"/>
      <c r="Z149" s="51"/>
    </row>
    <row r="150" spans="9:26">
      <c r="I150" s="51"/>
      <c r="J150" s="45"/>
      <c r="K150" s="52"/>
      <c r="L150" s="52"/>
      <c r="M150" s="52"/>
      <c r="N150" s="52"/>
      <c r="O150" s="52"/>
      <c r="P150" s="45"/>
      <c r="Q150" s="51"/>
      <c r="R150" s="51"/>
      <c r="S150" s="51"/>
      <c r="T150" s="51"/>
      <c r="U150" s="51"/>
      <c r="V150" s="51"/>
      <c r="W150" s="51"/>
      <c r="X150" s="51"/>
      <c r="Y150" s="51"/>
      <c r="Z150" s="51"/>
    </row>
    <row r="151" spans="9:26">
      <c r="I151" s="51"/>
      <c r="J151" s="45"/>
      <c r="K151" s="52"/>
      <c r="L151" s="52"/>
      <c r="M151" s="52"/>
      <c r="N151" s="52"/>
      <c r="O151" s="52"/>
      <c r="P151" s="45"/>
      <c r="Q151" s="51"/>
      <c r="R151" s="51"/>
      <c r="S151" s="51"/>
      <c r="T151" s="51"/>
      <c r="U151" s="51"/>
      <c r="V151" s="51"/>
      <c r="W151" s="51"/>
      <c r="X151" s="51"/>
      <c r="Y151" s="51"/>
      <c r="Z151" s="51"/>
    </row>
    <row r="152" spans="9:26">
      <c r="I152" s="51"/>
      <c r="J152" s="45"/>
      <c r="K152" s="52"/>
      <c r="L152" s="52"/>
      <c r="M152" s="52"/>
      <c r="N152" s="52"/>
      <c r="O152" s="52"/>
      <c r="P152" s="45"/>
      <c r="Q152" s="51"/>
      <c r="R152" s="51"/>
      <c r="S152" s="51"/>
      <c r="T152" s="51"/>
      <c r="U152" s="51"/>
      <c r="V152" s="51"/>
      <c r="W152" s="51"/>
      <c r="X152" s="51"/>
      <c r="Y152" s="51"/>
      <c r="Z152" s="51"/>
    </row>
    <row r="153" spans="9:26">
      <c r="I153" s="51"/>
      <c r="J153" s="45"/>
      <c r="K153" s="52"/>
      <c r="L153" s="52"/>
      <c r="M153" s="52"/>
      <c r="N153" s="52"/>
      <c r="O153" s="52"/>
      <c r="P153" s="45"/>
      <c r="Q153" s="51"/>
      <c r="R153" s="51"/>
      <c r="S153" s="51"/>
      <c r="T153" s="51"/>
      <c r="U153" s="51"/>
      <c r="V153" s="51"/>
      <c r="W153" s="51"/>
      <c r="X153" s="51"/>
      <c r="Y153" s="51"/>
      <c r="Z153" s="51"/>
    </row>
    <row r="154" spans="9:26">
      <c r="I154" s="51"/>
      <c r="J154" s="45"/>
      <c r="K154" s="52"/>
      <c r="L154" s="52"/>
      <c r="M154" s="52"/>
      <c r="N154" s="52"/>
      <c r="O154" s="52"/>
      <c r="P154" s="45"/>
      <c r="Q154" s="51"/>
      <c r="R154" s="51"/>
      <c r="S154" s="51"/>
      <c r="T154" s="51"/>
      <c r="U154" s="51"/>
      <c r="V154" s="51"/>
      <c r="W154" s="51"/>
      <c r="X154" s="51"/>
      <c r="Y154" s="51"/>
      <c r="Z154" s="51"/>
    </row>
    <row r="155" spans="9:26">
      <c r="I155" s="51"/>
      <c r="J155" s="45"/>
      <c r="K155" s="52"/>
      <c r="L155" s="52"/>
      <c r="M155" s="52"/>
      <c r="N155" s="52"/>
      <c r="O155" s="52"/>
      <c r="P155" s="45"/>
      <c r="Q155" s="51"/>
      <c r="R155" s="51"/>
      <c r="S155" s="51"/>
      <c r="T155" s="51"/>
      <c r="U155" s="51"/>
      <c r="V155" s="51"/>
      <c r="W155" s="51"/>
      <c r="X155" s="51"/>
      <c r="Y155" s="51"/>
      <c r="Z155" s="51"/>
    </row>
    <row r="156" spans="9:26">
      <c r="I156" s="51"/>
      <c r="J156" s="45"/>
      <c r="K156" s="52"/>
      <c r="L156" s="52"/>
      <c r="M156" s="52"/>
      <c r="N156" s="52"/>
      <c r="O156" s="52"/>
      <c r="P156" s="45"/>
      <c r="Q156" s="51"/>
      <c r="R156" s="51"/>
      <c r="S156" s="51"/>
      <c r="T156" s="51"/>
      <c r="U156" s="51"/>
      <c r="V156" s="51"/>
      <c r="W156" s="51"/>
      <c r="X156" s="51"/>
      <c r="Y156" s="51"/>
      <c r="Z156" s="51"/>
    </row>
    <row r="157" spans="9:26">
      <c r="I157" s="51"/>
      <c r="J157" s="45"/>
      <c r="K157" s="52"/>
      <c r="L157" s="52"/>
      <c r="M157" s="52"/>
      <c r="N157" s="52"/>
      <c r="O157" s="52"/>
      <c r="P157" s="45"/>
      <c r="Q157" s="51"/>
      <c r="R157" s="51"/>
      <c r="S157" s="51"/>
      <c r="T157" s="51"/>
      <c r="U157" s="51"/>
      <c r="V157" s="51"/>
      <c r="W157" s="51"/>
      <c r="X157" s="51"/>
      <c r="Y157" s="51"/>
      <c r="Z157" s="51"/>
    </row>
    <row r="158" spans="9:26">
      <c r="I158" s="51"/>
      <c r="J158" s="45"/>
      <c r="K158" s="52"/>
      <c r="L158" s="52"/>
      <c r="M158" s="52"/>
      <c r="N158" s="52"/>
      <c r="O158" s="52"/>
      <c r="P158" s="45"/>
      <c r="Q158" s="51"/>
      <c r="R158" s="51"/>
      <c r="S158" s="51"/>
      <c r="T158" s="51"/>
      <c r="U158" s="51"/>
      <c r="V158" s="51"/>
      <c r="W158" s="51"/>
      <c r="X158" s="51"/>
      <c r="Y158" s="51"/>
      <c r="Z158" s="51"/>
    </row>
    <row r="159" spans="9:26">
      <c r="I159" s="51"/>
      <c r="J159" s="45"/>
      <c r="K159" s="52"/>
      <c r="L159" s="52"/>
      <c r="M159" s="52"/>
      <c r="N159" s="52"/>
      <c r="O159" s="52"/>
      <c r="P159" s="45"/>
      <c r="Q159" s="51"/>
      <c r="R159" s="51"/>
      <c r="S159" s="51"/>
      <c r="T159" s="51"/>
      <c r="U159" s="51"/>
      <c r="V159" s="51"/>
      <c r="W159" s="51"/>
      <c r="X159" s="51"/>
      <c r="Y159" s="51"/>
      <c r="Z159" s="51"/>
    </row>
    <row r="160" spans="9:26">
      <c r="I160" s="51"/>
      <c r="J160" s="45"/>
      <c r="K160" s="52"/>
      <c r="L160" s="52"/>
      <c r="M160" s="52"/>
      <c r="N160" s="52"/>
      <c r="O160" s="52"/>
      <c r="P160" s="45"/>
      <c r="Q160" s="51"/>
      <c r="R160" s="51"/>
      <c r="S160" s="51"/>
      <c r="T160" s="51"/>
      <c r="U160" s="51"/>
      <c r="V160" s="51"/>
      <c r="W160" s="51"/>
      <c r="X160" s="51"/>
      <c r="Y160" s="51"/>
      <c r="Z160" s="51"/>
    </row>
    <row r="161" spans="9:26">
      <c r="I161" s="51"/>
      <c r="J161" s="45"/>
      <c r="K161" s="52"/>
      <c r="L161" s="52"/>
      <c r="M161" s="52"/>
      <c r="N161" s="52"/>
      <c r="O161" s="52"/>
      <c r="P161" s="45"/>
      <c r="Q161" s="51"/>
      <c r="R161" s="51"/>
      <c r="S161" s="51"/>
      <c r="T161" s="51"/>
      <c r="U161" s="51"/>
      <c r="V161" s="51"/>
      <c r="W161" s="51"/>
      <c r="X161" s="51"/>
      <c r="Y161" s="51"/>
      <c r="Z161" s="51"/>
    </row>
    <row r="162" spans="9:26">
      <c r="I162" s="51"/>
      <c r="J162" s="45"/>
      <c r="K162" s="52"/>
      <c r="L162" s="52"/>
      <c r="M162" s="52"/>
      <c r="N162" s="52"/>
      <c r="O162" s="52"/>
      <c r="P162" s="45"/>
      <c r="Q162" s="51"/>
      <c r="R162" s="51"/>
      <c r="S162" s="51"/>
      <c r="T162" s="51"/>
      <c r="U162" s="51"/>
      <c r="V162" s="51"/>
      <c r="W162" s="51"/>
      <c r="X162" s="51"/>
      <c r="Y162" s="51"/>
      <c r="Z162" s="51"/>
    </row>
    <row r="163" spans="9:26">
      <c r="I163" s="51"/>
      <c r="J163" s="45"/>
      <c r="K163" s="52"/>
      <c r="L163" s="52"/>
      <c r="M163" s="52"/>
      <c r="N163" s="52"/>
      <c r="O163" s="52"/>
      <c r="P163" s="45"/>
      <c r="Q163" s="51"/>
      <c r="R163" s="51"/>
      <c r="S163" s="51"/>
      <c r="T163" s="51"/>
      <c r="U163" s="51"/>
      <c r="V163" s="51"/>
      <c r="W163" s="51"/>
      <c r="X163" s="51"/>
      <c r="Y163" s="51"/>
      <c r="Z163" s="51"/>
    </row>
    <row r="164" spans="9:26">
      <c r="I164" s="51"/>
      <c r="J164" s="45"/>
      <c r="K164" s="52"/>
      <c r="L164" s="52"/>
      <c r="M164" s="52"/>
      <c r="N164" s="52"/>
      <c r="O164" s="52"/>
      <c r="P164" s="45"/>
      <c r="Q164" s="51"/>
      <c r="R164" s="51"/>
      <c r="S164" s="51"/>
      <c r="T164" s="51"/>
      <c r="U164" s="51"/>
      <c r="V164" s="51"/>
      <c r="W164" s="51"/>
      <c r="X164" s="51"/>
      <c r="Y164" s="51"/>
      <c r="Z164" s="51"/>
    </row>
    <row r="165" spans="9:26">
      <c r="I165" s="51"/>
      <c r="J165" s="45"/>
      <c r="K165" s="52"/>
      <c r="L165" s="52"/>
      <c r="M165" s="52"/>
      <c r="N165" s="52"/>
      <c r="O165" s="52"/>
      <c r="P165" s="45"/>
      <c r="Q165" s="51"/>
      <c r="R165" s="51"/>
      <c r="S165" s="51"/>
      <c r="T165" s="51"/>
      <c r="U165" s="51"/>
      <c r="V165" s="51"/>
      <c r="W165" s="51"/>
      <c r="X165" s="51"/>
      <c r="Y165" s="51"/>
      <c r="Z165" s="51"/>
    </row>
    <row r="166" spans="9:26">
      <c r="I166" s="51"/>
      <c r="J166" s="52"/>
      <c r="K166" s="52"/>
      <c r="L166" s="52"/>
      <c r="M166" s="52"/>
      <c r="N166" s="52"/>
      <c r="O166" s="51"/>
      <c r="P166" s="51"/>
      <c r="Q166" s="51"/>
      <c r="R166" s="51"/>
      <c r="S166" s="51"/>
      <c r="T166" s="51"/>
      <c r="U166" s="51"/>
      <c r="V166" s="51"/>
      <c r="W166" s="51"/>
      <c r="X166" s="51"/>
      <c r="Y166" s="51"/>
      <c r="Z166" s="51"/>
    </row>
    <row r="167" spans="9:26">
      <c r="I167" s="51"/>
      <c r="J167" s="52"/>
      <c r="K167" s="52"/>
      <c r="L167" s="52"/>
      <c r="M167" s="52"/>
      <c r="N167" s="52"/>
      <c r="O167" s="51"/>
      <c r="P167" s="51"/>
      <c r="Q167" s="51"/>
      <c r="R167" s="51"/>
      <c r="S167" s="51"/>
      <c r="T167" s="51"/>
      <c r="U167" s="51"/>
      <c r="V167" s="51"/>
      <c r="W167" s="51"/>
      <c r="X167" s="51"/>
      <c r="Y167" s="51"/>
      <c r="Z167" s="51"/>
    </row>
  </sheetData>
  <mergeCells count="2">
    <mergeCell ref="J9:J10"/>
    <mergeCell ref="U9:U10"/>
  </mergeCells>
  <phoneticPr fontId="2"/>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2D050"/>
  </sheetPr>
  <dimension ref="A1:AQ103"/>
  <sheetViews>
    <sheetView zoomScale="70" zoomScaleNormal="70" workbookViewId="0">
      <selection activeCell="M11" sqref="M11"/>
    </sheetView>
  </sheetViews>
  <sheetFormatPr defaultRowHeight="15"/>
  <cols>
    <col min="1" max="1" width="24.42578125" customWidth="1"/>
    <col min="10" max="14" width="9" style="5"/>
  </cols>
  <sheetData>
    <row r="1" spans="1:17">
      <c r="A1" s="90" t="s">
        <v>663</v>
      </c>
      <c r="B1" s="90"/>
      <c r="C1" s="90"/>
      <c r="D1" s="90"/>
      <c r="E1" s="90"/>
      <c r="F1" s="90"/>
      <c r="G1" s="90"/>
    </row>
    <row r="2" spans="1:17">
      <c r="A2" s="90" t="s">
        <v>449</v>
      </c>
      <c r="B2" s="90" t="s">
        <v>450</v>
      </c>
      <c r="C2" s="90">
        <v>793.81100000000004</v>
      </c>
      <c r="D2" s="90" t="s">
        <v>451</v>
      </c>
      <c r="E2" s="90">
        <v>793.8</v>
      </c>
      <c r="F2" s="90"/>
      <c r="G2" s="90"/>
    </row>
    <row r="3" spans="1:17">
      <c r="A3" s="90" t="s">
        <v>664</v>
      </c>
      <c r="B3" s="90" t="s">
        <v>408</v>
      </c>
      <c r="C3" s="90">
        <v>1.0999999999999999E-2</v>
      </c>
      <c r="D3" s="90" t="s">
        <v>453</v>
      </c>
      <c r="E3" s="90">
        <v>6.4000000000000001E-2</v>
      </c>
      <c r="F3" s="90" t="s">
        <v>406</v>
      </c>
      <c r="G3" s="90"/>
    </row>
    <row r="4" spans="1:17">
      <c r="A4" s="121" t="s">
        <v>665</v>
      </c>
      <c r="B4" s="90" t="s">
        <v>455</v>
      </c>
      <c r="C4" s="90">
        <v>-6.4000000000000001E-2</v>
      </c>
      <c r="D4" s="90"/>
      <c r="E4" s="90"/>
      <c r="F4" s="90"/>
      <c r="G4" s="90"/>
      <c r="J4" s="5" t="s">
        <v>121</v>
      </c>
    </row>
    <row r="5" spans="1:17">
      <c r="A5" s="90" t="s">
        <v>1034</v>
      </c>
      <c r="B5" s="90"/>
      <c r="C5" s="90" t="s">
        <v>411</v>
      </c>
      <c r="D5" s="90"/>
      <c r="E5" s="90"/>
      <c r="F5" s="90"/>
      <c r="G5" s="90"/>
      <c r="L5" s="6" t="s">
        <v>1</v>
      </c>
      <c r="M5" s="6">
        <v>793.8</v>
      </c>
      <c r="N5" s="5" t="s">
        <v>65</v>
      </c>
      <c r="O5" s="5"/>
    </row>
    <row r="6" spans="1:17">
      <c r="A6" s="90" t="s">
        <v>412</v>
      </c>
      <c r="B6" s="90" t="s">
        <v>413</v>
      </c>
      <c r="C6" s="90">
        <v>396.88499999999999</v>
      </c>
      <c r="D6" s="90"/>
      <c r="E6" s="90"/>
      <c r="F6" s="90"/>
      <c r="G6" s="90"/>
      <c r="L6" s="6" t="s">
        <v>2</v>
      </c>
      <c r="M6" s="13">
        <f>M5+0.064</f>
        <v>793.86399999999992</v>
      </c>
      <c r="N6" s="5" t="s">
        <v>2</v>
      </c>
      <c r="O6" s="5">
        <v>793.96100000000001</v>
      </c>
      <c r="P6" s="56" t="str">
        <f>CONCATENATE("O/Max ", TEXT(O6-M6, "0.###"))</f>
        <v>O/Max 0.097</v>
      </c>
    </row>
    <row r="7" spans="1:17">
      <c r="A7" s="90" t="s">
        <v>666</v>
      </c>
      <c r="B7" s="90" t="s">
        <v>415</v>
      </c>
      <c r="C7" s="90">
        <v>1E-3</v>
      </c>
      <c r="D7" s="90"/>
      <c r="E7" s="90"/>
      <c r="F7" s="90"/>
      <c r="G7" s="90"/>
      <c r="L7" s="6" t="s">
        <v>3</v>
      </c>
      <c r="M7" s="13">
        <f>M5-0.064</f>
        <v>793.73599999999999</v>
      </c>
      <c r="N7" s="5" t="s">
        <v>3</v>
      </c>
      <c r="O7" s="5">
        <v>793.40300000000002</v>
      </c>
      <c r="P7" s="56" t="str">
        <f>CONCATENATE("U/Min ", TEXT(ABS(O7-M7), "0.###"))</f>
        <v>U/Min 0.333</v>
      </c>
      <c r="Q7" s="13"/>
    </row>
    <row r="8" spans="1:17">
      <c r="A8" s="121" t="s">
        <v>667</v>
      </c>
      <c r="B8" s="90" t="s">
        <v>417</v>
      </c>
      <c r="C8" s="90">
        <v>-137.81100000000001</v>
      </c>
      <c r="D8" s="90"/>
      <c r="E8" s="90"/>
      <c r="F8" s="90"/>
      <c r="G8" s="90"/>
      <c r="P8" s="5"/>
      <c r="Q8" s="13"/>
    </row>
    <row r="9" spans="1:17">
      <c r="A9" s="90" t="s">
        <v>412</v>
      </c>
      <c r="B9" s="90" t="s">
        <v>413</v>
      </c>
      <c r="C9" s="90">
        <v>396.87</v>
      </c>
      <c r="D9" s="90"/>
      <c r="E9" s="90"/>
      <c r="F9" s="90"/>
      <c r="G9" s="90"/>
      <c r="H9" s="5"/>
      <c r="I9" s="9" t="s">
        <v>122</v>
      </c>
      <c r="J9" s="144" t="s">
        <v>123</v>
      </c>
      <c r="K9" s="10" t="s">
        <v>6</v>
      </c>
      <c r="L9" s="10" t="s">
        <v>7</v>
      </c>
      <c r="M9" s="10" t="s">
        <v>8</v>
      </c>
      <c r="N9" s="13"/>
      <c r="O9" s="13"/>
      <c r="P9" s="11" t="s">
        <v>124</v>
      </c>
      <c r="Q9" s="13"/>
    </row>
    <row r="10" spans="1:17">
      <c r="A10" s="90" t="s">
        <v>668</v>
      </c>
      <c r="B10" s="90" t="s">
        <v>415</v>
      </c>
      <c r="C10" s="90">
        <v>-3.0000000000000001E-3</v>
      </c>
      <c r="D10" s="90"/>
      <c r="E10" s="90"/>
      <c r="F10" s="90"/>
      <c r="G10" s="90"/>
      <c r="H10" s="9" t="s">
        <v>125</v>
      </c>
      <c r="I10" s="9" t="s">
        <v>117</v>
      </c>
      <c r="J10" s="145"/>
      <c r="K10" s="10" t="s">
        <v>12</v>
      </c>
      <c r="L10" s="10" t="s">
        <v>12</v>
      </c>
      <c r="M10" s="10" t="s">
        <v>12</v>
      </c>
      <c r="N10" s="13"/>
      <c r="O10" s="13"/>
      <c r="P10" s="11" t="s">
        <v>119</v>
      </c>
      <c r="Q10" s="13"/>
    </row>
    <row r="11" spans="1:17">
      <c r="A11" s="121" t="s">
        <v>669</v>
      </c>
      <c r="B11" s="90" t="s">
        <v>417</v>
      </c>
      <c r="C11" s="90">
        <v>-137.81</v>
      </c>
      <c r="D11" s="90"/>
      <c r="E11" s="90"/>
      <c r="F11" s="90"/>
      <c r="G11" s="90"/>
      <c r="H11" s="13">
        <v>1</v>
      </c>
      <c r="I11" s="13">
        <v>0</v>
      </c>
      <c r="J11" s="10">
        <v>1</v>
      </c>
      <c r="K11" s="14">
        <f>SQRT(C6^2+C7^2)</f>
        <v>396.88500000125981</v>
      </c>
      <c r="L11" s="142">
        <f>M$7/2-0.116/2</f>
        <v>396.81</v>
      </c>
      <c r="M11" s="142">
        <f>M$6/2+0.116/2</f>
        <v>396.98999999999995</v>
      </c>
      <c r="N11" s="13"/>
      <c r="O11" s="13"/>
      <c r="P11" s="13">
        <f>K11+K19</f>
        <v>793.7570000025197</v>
      </c>
      <c r="Q11" s="13"/>
    </row>
    <row r="12" spans="1:17">
      <c r="A12" s="90" t="s">
        <v>412</v>
      </c>
      <c r="B12" s="90" t="s">
        <v>413</v>
      </c>
      <c r="C12" s="90">
        <v>396.88299999999998</v>
      </c>
      <c r="D12" s="90"/>
      <c r="E12" s="90"/>
      <c r="F12" s="90"/>
      <c r="G12" s="90"/>
      <c r="H12" s="13">
        <v>2</v>
      </c>
      <c r="I12" s="13">
        <f>I11+360/16</f>
        <v>22.5</v>
      </c>
      <c r="J12" s="10">
        <v>16</v>
      </c>
      <c r="K12" s="16">
        <f>SQRT(C51^2+C52^2)</f>
        <v>396.90400000503899</v>
      </c>
      <c r="L12" s="142">
        <f>L$11</f>
        <v>396.81</v>
      </c>
      <c r="M12" s="142">
        <f>M$11</f>
        <v>396.98999999999995</v>
      </c>
      <c r="N12" s="13"/>
      <c r="O12" s="13"/>
      <c r="P12" s="13">
        <f t="shared" ref="P12:P18" si="0">K12+K20</f>
        <v>793.79100001637721</v>
      </c>
      <c r="Q12" s="13"/>
    </row>
    <row r="13" spans="1:17">
      <c r="A13" s="90" t="s">
        <v>670</v>
      </c>
      <c r="B13" s="90" t="s">
        <v>415</v>
      </c>
      <c r="C13" s="90">
        <v>1E-3</v>
      </c>
      <c r="D13" s="90"/>
      <c r="E13" s="90"/>
      <c r="F13" s="90"/>
      <c r="G13" s="90"/>
      <c r="H13" s="13">
        <v>3</v>
      </c>
      <c r="I13" s="13">
        <f t="shared" ref="I13:I26" si="1">I12+360/16</f>
        <v>45</v>
      </c>
      <c r="J13" s="10">
        <v>15</v>
      </c>
      <c r="K13" s="16">
        <f>SQRT(C48^2+C49^2)</f>
        <v>396.90900000125976</v>
      </c>
      <c r="L13" s="142">
        <f t="shared" ref="L13:M26" si="2">L$11</f>
        <v>396.81</v>
      </c>
      <c r="M13" s="142">
        <f t="shared" si="2"/>
        <v>396.98999999999995</v>
      </c>
      <c r="N13" s="13"/>
      <c r="O13" s="13"/>
      <c r="P13" s="13">
        <f t="shared" si="0"/>
        <v>793.80800000251952</v>
      </c>
      <c r="Q13" s="13"/>
    </row>
    <row r="14" spans="1:17">
      <c r="A14" s="121" t="s">
        <v>671</v>
      </c>
      <c r="B14" s="90" t="s">
        <v>417</v>
      </c>
      <c r="C14" s="90">
        <v>-137.786</v>
      </c>
      <c r="D14" s="90"/>
      <c r="E14" s="90"/>
      <c r="F14" s="90"/>
      <c r="G14" s="90"/>
      <c r="H14" s="13">
        <v>4</v>
      </c>
      <c r="I14" s="13">
        <f t="shared" si="1"/>
        <v>67.5</v>
      </c>
      <c r="J14" s="10">
        <v>14</v>
      </c>
      <c r="K14" s="16">
        <f>SQRT(C45^2+C46^2)</f>
        <v>396.92900004534818</v>
      </c>
      <c r="L14" s="142">
        <f t="shared" si="2"/>
        <v>396.81</v>
      </c>
      <c r="M14" s="142">
        <f t="shared" si="2"/>
        <v>396.98999999999995</v>
      </c>
      <c r="N14" s="13"/>
      <c r="O14" s="13"/>
      <c r="P14" s="13">
        <f t="shared" si="0"/>
        <v>793.88300019775875</v>
      </c>
      <c r="Q14" s="13"/>
    </row>
    <row r="15" spans="1:17">
      <c r="A15" s="90" t="s">
        <v>412</v>
      </c>
      <c r="B15" s="90" t="s">
        <v>413</v>
      </c>
      <c r="C15" s="90">
        <v>396.92599999999999</v>
      </c>
      <c r="D15" s="90"/>
      <c r="E15" s="90"/>
      <c r="F15" s="90"/>
      <c r="G15" s="90"/>
      <c r="H15" s="13">
        <v>5</v>
      </c>
      <c r="I15" s="13">
        <f t="shared" si="1"/>
        <v>90</v>
      </c>
      <c r="J15" s="10">
        <v>13</v>
      </c>
      <c r="K15" s="16">
        <f>SQRT(C42^2+C43^2)</f>
        <v>396.916</v>
      </c>
      <c r="L15" s="142">
        <f t="shared" si="2"/>
        <v>396.81</v>
      </c>
      <c r="M15" s="142">
        <f t="shared" si="2"/>
        <v>396.98999999999995</v>
      </c>
      <c r="N15" s="13"/>
      <c r="O15" s="13"/>
      <c r="P15" s="13">
        <f t="shared" si="0"/>
        <v>793.85700000125962</v>
      </c>
      <c r="Q15" s="13"/>
    </row>
    <row r="16" spans="1:17">
      <c r="A16" s="90" t="s">
        <v>672</v>
      </c>
      <c r="B16" s="90" t="s">
        <v>415</v>
      </c>
      <c r="C16" s="90">
        <v>6.0000000000000001E-3</v>
      </c>
      <c r="D16" s="90"/>
      <c r="E16" s="90"/>
      <c r="F16" s="90"/>
      <c r="G16" s="90"/>
      <c r="H16" s="13">
        <v>6</v>
      </c>
      <c r="I16" s="13">
        <f t="shared" si="1"/>
        <v>112.5</v>
      </c>
      <c r="J16" s="10">
        <v>12</v>
      </c>
      <c r="K16" s="16">
        <f>SQRT(C39^2+C40^2)</f>
        <v>396.92500001133715</v>
      </c>
      <c r="L16" s="142">
        <f t="shared" si="2"/>
        <v>396.81</v>
      </c>
      <c r="M16" s="142">
        <f t="shared" si="2"/>
        <v>396.98999999999995</v>
      </c>
      <c r="N16" s="13"/>
      <c r="O16" s="13"/>
      <c r="P16" s="13">
        <f t="shared" si="0"/>
        <v>793.85100005668573</v>
      </c>
      <c r="Q16" s="13"/>
    </row>
    <row r="17" spans="1:43">
      <c r="A17" s="121" t="s">
        <v>673</v>
      </c>
      <c r="B17" s="90" t="s">
        <v>417</v>
      </c>
      <c r="C17" s="90">
        <v>-137.786</v>
      </c>
      <c r="D17" s="90"/>
      <c r="E17" s="90"/>
      <c r="F17" s="90"/>
      <c r="G17" s="90"/>
      <c r="H17" s="13">
        <v>7</v>
      </c>
      <c r="I17" s="13">
        <f t="shared" si="1"/>
        <v>135</v>
      </c>
      <c r="J17" s="10">
        <v>11</v>
      </c>
      <c r="K17" s="16">
        <f>SQRT(C36^2+C37^2)</f>
        <v>396.892</v>
      </c>
      <c r="L17" s="142">
        <f t="shared" si="2"/>
        <v>396.81</v>
      </c>
      <c r="M17" s="142">
        <f t="shared" si="2"/>
        <v>396.98999999999995</v>
      </c>
      <c r="N17" s="13"/>
      <c r="O17" s="13"/>
      <c r="P17" s="13">
        <f t="shared" si="0"/>
        <v>793.77500000125974</v>
      </c>
      <c r="Q17" s="13"/>
    </row>
    <row r="18" spans="1:43">
      <c r="A18" s="90" t="s">
        <v>412</v>
      </c>
      <c r="B18" s="90" t="s">
        <v>413</v>
      </c>
      <c r="C18" s="90">
        <v>396.94099999999997</v>
      </c>
      <c r="D18" s="90"/>
      <c r="E18" s="90"/>
      <c r="F18" s="90"/>
      <c r="G18" s="90"/>
      <c r="H18" s="13">
        <v>8</v>
      </c>
      <c r="I18" s="13">
        <f t="shared" si="1"/>
        <v>157.5</v>
      </c>
      <c r="J18" s="10">
        <v>10</v>
      </c>
      <c r="K18" s="16">
        <f>SQRT(C33^2+C34^2)</f>
        <v>396.88500003149528</v>
      </c>
      <c r="L18" s="142">
        <f t="shared" si="2"/>
        <v>396.81</v>
      </c>
      <c r="M18" s="142">
        <f t="shared" si="2"/>
        <v>396.98999999999995</v>
      </c>
      <c r="N18" s="13"/>
      <c r="O18" s="13"/>
      <c r="P18" s="13">
        <f t="shared" si="0"/>
        <v>793.75500004283401</v>
      </c>
    </row>
    <row r="19" spans="1:43">
      <c r="A19" s="90" t="s">
        <v>674</v>
      </c>
      <c r="B19" s="90" t="s">
        <v>415</v>
      </c>
      <c r="C19" s="90">
        <v>1E-3</v>
      </c>
      <c r="D19" s="90"/>
      <c r="E19" s="90"/>
      <c r="F19" s="90"/>
      <c r="G19" s="90"/>
      <c r="H19" s="13">
        <v>9</v>
      </c>
      <c r="I19" s="13">
        <f t="shared" si="1"/>
        <v>180</v>
      </c>
      <c r="J19" s="10">
        <v>9</v>
      </c>
      <c r="K19" s="16">
        <f>SQRT(C30^2+C31^2)</f>
        <v>396.87200000125989</v>
      </c>
      <c r="L19" s="142">
        <f t="shared" si="2"/>
        <v>396.81</v>
      </c>
      <c r="M19" s="142">
        <f t="shared" si="2"/>
        <v>396.98999999999995</v>
      </c>
      <c r="N19" s="13"/>
      <c r="O19" s="13"/>
      <c r="P19" s="13"/>
    </row>
    <row r="20" spans="1:43">
      <c r="A20" s="121" t="s">
        <v>675</v>
      </c>
      <c r="B20" s="90" t="s">
        <v>417</v>
      </c>
      <c r="C20" s="90">
        <v>-137.828</v>
      </c>
      <c r="D20" s="90"/>
      <c r="E20" s="90"/>
      <c r="F20" s="90"/>
      <c r="G20" s="90"/>
      <c r="H20" s="13">
        <v>10</v>
      </c>
      <c r="I20" s="13">
        <f t="shared" si="1"/>
        <v>202.5</v>
      </c>
      <c r="J20" s="10">
        <v>8</v>
      </c>
      <c r="K20" s="16">
        <f>SQRT(C27^2+C28^2)</f>
        <v>396.88700001133827</v>
      </c>
      <c r="L20" s="142">
        <f t="shared" si="2"/>
        <v>396.81</v>
      </c>
      <c r="M20" s="142">
        <f t="shared" si="2"/>
        <v>396.98999999999995</v>
      </c>
      <c r="N20" s="13"/>
      <c r="O20" s="13"/>
      <c r="P20" s="13">
        <f>MAX(P11:P18)</f>
        <v>793.88300019775875</v>
      </c>
      <c r="Q20" s="13" t="str">
        <f>IF(P20&gt;M6, CONCATENATE("O/Max ", TEXT(P20-M6, "0.000")), "-")</f>
        <v>O/Max 0.019</v>
      </c>
    </row>
    <row r="21" spans="1:43">
      <c r="A21" s="90" t="s">
        <v>412</v>
      </c>
      <c r="B21" s="90" t="s">
        <v>413</v>
      </c>
      <c r="C21" s="90">
        <v>396.95400000000001</v>
      </c>
      <c r="D21" s="90"/>
      <c r="E21" s="90"/>
      <c r="F21" s="90"/>
      <c r="G21" s="90"/>
      <c r="H21" s="13">
        <v>11</v>
      </c>
      <c r="I21" s="13">
        <f t="shared" si="1"/>
        <v>225</v>
      </c>
      <c r="J21" s="10">
        <v>7</v>
      </c>
      <c r="K21" s="16">
        <f>SQRT(C24^2+C25^2)</f>
        <v>396.89900000125976</v>
      </c>
      <c r="L21" s="142">
        <f t="shared" si="2"/>
        <v>396.81</v>
      </c>
      <c r="M21" s="142">
        <f t="shared" si="2"/>
        <v>396.98999999999995</v>
      </c>
      <c r="N21" s="13"/>
      <c r="O21" s="13"/>
      <c r="P21" s="13">
        <f>MIN(P11:P18)</f>
        <v>793.75500004283401</v>
      </c>
      <c r="Q21" s="13" t="str">
        <f>IF(P21&lt;M7, CONCATENATE("U/Min ", TEXT(M7-P21, "0.000")), "-")</f>
        <v>-</v>
      </c>
    </row>
    <row r="22" spans="1:43">
      <c r="A22" s="90" t="s">
        <v>676</v>
      </c>
      <c r="B22" s="90" t="s">
        <v>415</v>
      </c>
      <c r="C22" s="90">
        <v>-1.0999999999999999E-2</v>
      </c>
      <c r="D22" s="90"/>
      <c r="E22" s="90"/>
      <c r="F22" s="90"/>
      <c r="G22" s="90"/>
      <c r="H22" s="13">
        <v>12</v>
      </c>
      <c r="I22" s="13">
        <f t="shared" si="1"/>
        <v>247.5</v>
      </c>
      <c r="J22" s="10">
        <v>6</v>
      </c>
      <c r="K22" s="16">
        <f>SQRT(C21^2+C22^2)</f>
        <v>396.95400015241063</v>
      </c>
      <c r="L22" s="142">
        <f t="shared" si="2"/>
        <v>396.81</v>
      </c>
      <c r="M22" s="142">
        <f t="shared" si="2"/>
        <v>396.98999999999995</v>
      </c>
      <c r="N22" s="13"/>
      <c r="O22" s="13"/>
      <c r="P22" s="13"/>
      <c r="Q22" s="13"/>
    </row>
    <row r="23" spans="1:43">
      <c r="A23" s="121" t="s">
        <v>677</v>
      </c>
      <c r="B23" s="90" t="s">
        <v>417</v>
      </c>
      <c r="C23" s="90">
        <v>-137.827</v>
      </c>
      <c r="D23" s="90"/>
      <c r="E23" s="90"/>
      <c r="F23" s="90"/>
      <c r="G23" s="90"/>
      <c r="H23" s="13">
        <v>13</v>
      </c>
      <c r="I23" s="13">
        <f t="shared" si="1"/>
        <v>270</v>
      </c>
      <c r="J23" s="10">
        <v>5</v>
      </c>
      <c r="K23" s="16">
        <f>SQRT(C18^2+C19^2)</f>
        <v>396.94100000125962</v>
      </c>
      <c r="L23" s="142">
        <f t="shared" si="2"/>
        <v>396.81</v>
      </c>
      <c r="M23" s="142">
        <f t="shared" si="2"/>
        <v>396.98999999999995</v>
      </c>
      <c r="N23" s="13"/>
      <c r="O23" s="13"/>
      <c r="P23" s="13"/>
      <c r="Q23" s="13"/>
    </row>
    <row r="24" spans="1:43">
      <c r="A24" s="90" t="s">
        <v>412</v>
      </c>
      <c r="B24" s="90" t="s">
        <v>413</v>
      </c>
      <c r="C24" s="90">
        <v>396.899</v>
      </c>
      <c r="D24" s="90"/>
      <c r="E24" s="90"/>
      <c r="F24" s="90"/>
      <c r="G24" s="90"/>
      <c r="H24" s="13">
        <v>14</v>
      </c>
      <c r="I24" s="13">
        <f t="shared" si="1"/>
        <v>292.5</v>
      </c>
      <c r="J24" s="10">
        <v>4</v>
      </c>
      <c r="K24" s="16">
        <f>SQRT(C15^2+C16^2)</f>
        <v>396.92600004534853</v>
      </c>
      <c r="L24" s="142">
        <f t="shared" si="2"/>
        <v>396.81</v>
      </c>
      <c r="M24" s="142">
        <f t="shared" si="2"/>
        <v>396.98999999999995</v>
      </c>
      <c r="N24" s="13"/>
      <c r="O24" s="13"/>
      <c r="P24" s="13"/>
      <c r="Q24" s="13"/>
    </row>
    <row r="25" spans="1:43">
      <c r="A25" s="90" t="s">
        <v>678</v>
      </c>
      <c r="B25" s="90" t="s">
        <v>415</v>
      </c>
      <c r="C25" s="90">
        <v>1E-3</v>
      </c>
      <c r="D25" s="90"/>
      <c r="E25" s="90"/>
      <c r="F25" s="90"/>
      <c r="G25" s="90"/>
      <c r="H25" s="13">
        <v>15</v>
      </c>
      <c r="I25" s="13">
        <f t="shared" si="1"/>
        <v>315</v>
      </c>
      <c r="J25" s="10">
        <v>3</v>
      </c>
      <c r="K25" s="16">
        <f>SQRT(C12^2+C13^2)</f>
        <v>396.8830000012598</v>
      </c>
      <c r="L25" s="142">
        <f t="shared" si="2"/>
        <v>396.81</v>
      </c>
      <c r="M25" s="142">
        <f t="shared" si="2"/>
        <v>396.98999999999995</v>
      </c>
      <c r="N25" s="13"/>
      <c r="O25" s="13"/>
      <c r="P25" s="13"/>
    </row>
    <row r="26" spans="1:43">
      <c r="A26" s="121" t="s">
        <v>679</v>
      </c>
      <c r="B26" s="90" t="s">
        <v>417</v>
      </c>
      <c r="C26" s="90">
        <v>-137.798</v>
      </c>
      <c r="D26" s="90"/>
      <c r="E26" s="90"/>
      <c r="F26" s="90"/>
      <c r="G26" s="90"/>
      <c r="H26" s="13">
        <v>16</v>
      </c>
      <c r="I26" s="13">
        <f t="shared" si="1"/>
        <v>337.5</v>
      </c>
      <c r="J26" s="10">
        <v>2</v>
      </c>
      <c r="K26" s="16">
        <f>SQRT(C9^2+C10^2)</f>
        <v>396.87000001133873</v>
      </c>
      <c r="L26" s="142">
        <f t="shared" si="2"/>
        <v>396.81</v>
      </c>
      <c r="M26" s="142">
        <f t="shared" si="2"/>
        <v>396.98999999999995</v>
      </c>
      <c r="N26" s="13"/>
      <c r="O26" s="13"/>
      <c r="P26" s="13"/>
    </row>
    <row r="27" spans="1:43">
      <c r="A27" s="90" t="s">
        <v>412</v>
      </c>
      <c r="B27" s="90" t="s">
        <v>413</v>
      </c>
      <c r="C27" s="90">
        <v>396.887</v>
      </c>
      <c r="D27" s="90"/>
      <c r="E27" s="90"/>
      <c r="F27" s="90"/>
      <c r="G27" s="90"/>
      <c r="H27" s="13">
        <v>17</v>
      </c>
      <c r="I27" s="13">
        <v>360</v>
      </c>
      <c r="J27" s="10">
        <v>1</v>
      </c>
      <c r="K27" s="15">
        <f>K11</f>
        <v>396.88500000125981</v>
      </c>
      <c r="N27" s="13"/>
      <c r="P27" s="19" t="s">
        <v>271</v>
      </c>
      <c r="Q27" s="19" t="str">
        <f>M30</f>
        <v>-</v>
      </c>
      <c r="R27" s="19"/>
    </row>
    <row r="28" spans="1:43">
      <c r="A28" s="90" t="s">
        <v>680</v>
      </c>
      <c r="B28" s="90" t="s">
        <v>415</v>
      </c>
      <c r="C28" s="90">
        <v>3.0000000000000001E-3</v>
      </c>
      <c r="D28" s="90"/>
      <c r="E28" s="90"/>
      <c r="F28" s="90"/>
      <c r="G28" s="90"/>
      <c r="J28" s="10" t="s">
        <v>14</v>
      </c>
      <c r="K28" s="16">
        <f>MAX(K11:K26)</f>
        <v>396.95400015241063</v>
      </c>
      <c r="L28" s="15">
        <f>K28*2</f>
        <v>793.90800030482126</v>
      </c>
      <c r="M28" s="15" t="str">
        <f>IF(K28&gt;M26, "O/Max "&amp;TEXT(2*K28-2*M26, "0.000"), "-")</f>
        <v>-</v>
      </c>
      <c r="P28" s="19" t="s">
        <v>60</v>
      </c>
      <c r="Q28" s="19" t="str">
        <f>M28</f>
        <v>-</v>
      </c>
      <c r="R28" s="19"/>
    </row>
    <row r="29" spans="1:43">
      <c r="A29" s="121" t="s">
        <v>681</v>
      </c>
      <c r="B29" s="90" t="s">
        <v>417</v>
      </c>
      <c r="C29" s="90">
        <v>-137.797</v>
      </c>
      <c r="D29" s="90"/>
      <c r="E29" s="90"/>
      <c r="F29" s="90"/>
      <c r="G29" s="90"/>
      <c r="J29" s="10" t="s">
        <v>15</v>
      </c>
      <c r="K29" s="16">
        <f>MIN(K11:K26)</f>
        <v>396.87000001133873</v>
      </c>
      <c r="L29" s="15">
        <f>K29*2</f>
        <v>793.74000002267746</v>
      </c>
      <c r="M29" s="15" t="str">
        <f>IF(K29&lt;L26, "U/Min "&amp;TEXT(2*L26-2*K29, "0.000"), "-")</f>
        <v>-</v>
      </c>
      <c r="O29" s="5" t="s">
        <v>73</v>
      </c>
      <c r="P29" s="19" t="s">
        <v>62</v>
      </c>
      <c r="Q29" s="19" t="str">
        <f>M29</f>
        <v>-</v>
      </c>
      <c r="R29" s="19"/>
    </row>
    <row r="30" spans="1:43">
      <c r="A30" s="90" t="s">
        <v>412</v>
      </c>
      <c r="B30" s="90" t="s">
        <v>413</v>
      </c>
      <c r="C30" s="90">
        <v>396.87200000000001</v>
      </c>
      <c r="D30" s="90"/>
      <c r="E30" s="90"/>
      <c r="F30" s="90"/>
      <c r="G30" s="90"/>
      <c r="J30" s="10" t="s">
        <v>17</v>
      </c>
      <c r="K30" s="16">
        <f>AVERAGE(K11:K26)*2</f>
        <v>793.80962504015179</v>
      </c>
      <c r="L30" s="15"/>
      <c r="M30" s="15" t="str">
        <f>IF(K30&gt;M6, "O/Max "&amp;TEXT(K30-M6, "0.000"), IF(K30&lt;M7, "U/Min "&amp;TEXT(M7-K30, "0.000"), "-"))</f>
        <v>-</v>
      </c>
      <c r="O30" s="15" t="str">
        <f>IF(K30&gt;O6, CONCATENATE("O/Max ", TEXT(K30-O6, "0.###")), IF(K30&lt;O7, CONCATENATE("U/Min ", TEXT(O7-K30, "0.###")), "-"))</f>
        <v>-</v>
      </c>
      <c r="P30" s="19" t="s">
        <v>18</v>
      </c>
      <c r="Q30" s="19" t="str">
        <f>M31</f>
        <v>-</v>
      </c>
      <c r="R30" s="19"/>
    </row>
    <row r="31" spans="1:43">
      <c r="A31" s="90" t="s">
        <v>682</v>
      </c>
      <c r="B31" s="90" t="s">
        <v>415</v>
      </c>
      <c r="C31" s="90">
        <v>1E-3</v>
      </c>
      <c r="D31" s="90"/>
      <c r="E31" s="90"/>
      <c r="F31" s="90"/>
      <c r="G31" s="90"/>
      <c r="J31" s="10" t="s">
        <v>18</v>
      </c>
      <c r="K31" s="18">
        <f>K28-K29</f>
        <v>8.4000141071896905E-2</v>
      </c>
      <c r="L31" s="15"/>
      <c r="M31" s="15" t="str">
        <f>IF(K31&gt;0.13, "O/Max "&amp;TEXT(K31-0.13, "0.000"), "-")</f>
        <v>-</v>
      </c>
      <c r="N31" s="5" t="s">
        <v>20</v>
      </c>
    </row>
    <row r="32" spans="1:43">
      <c r="A32" s="121" t="s">
        <v>683</v>
      </c>
      <c r="B32" s="90" t="s">
        <v>417</v>
      </c>
      <c r="C32" s="90">
        <v>-137.80099999999999</v>
      </c>
      <c r="D32" s="90"/>
      <c r="E32" s="90"/>
      <c r="F32" s="90"/>
      <c r="G32" s="90"/>
      <c r="J32" s="13"/>
      <c r="K32" s="13"/>
      <c r="L32" s="13"/>
      <c r="M32" s="13"/>
      <c r="N32" s="13"/>
      <c r="O32" s="13"/>
      <c r="P32" s="13"/>
      <c r="Q32" s="13"/>
      <c r="R32" s="13"/>
      <c r="S32" s="19" t="s">
        <v>126</v>
      </c>
      <c r="T32" s="5"/>
      <c r="U32" s="5"/>
      <c r="V32" s="5"/>
      <c r="W32" s="5"/>
      <c r="X32" s="5"/>
      <c r="Y32" s="5"/>
      <c r="Z32" s="5"/>
      <c r="AA32" s="5"/>
      <c r="AB32" s="5"/>
      <c r="AC32" s="5"/>
      <c r="AD32" s="5"/>
      <c r="AE32" s="5"/>
      <c r="AF32" s="5"/>
      <c r="AG32" s="5"/>
      <c r="AH32" s="5"/>
      <c r="AI32" s="5"/>
      <c r="AJ32" s="5"/>
      <c r="AK32" s="5"/>
      <c r="AL32" s="5"/>
      <c r="AM32" s="5"/>
      <c r="AN32" s="5"/>
      <c r="AO32" s="5"/>
      <c r="AP32" s="5"/>
      <c r="AQ32" s="5"/>
    </row>
    <row r="33" spans="1:43">
      <c r="A33" s="90" t="s">
        <v>412</v>
      </c>
      <c r="B33" s="90" t="s">
        <v>413</v>
      </c>
      <c r="C33" s="90">
        <v>396.88499999999999</v>
      </c>
      <c r="D33" s="90"/>
      <c r="E33" s="90"/>
      <c r="F33" s="90"/>
      <c r="G33" s="90"/>
      <c r="J33" s="5" t="s">
        <v>127</v>
      </c>
      <c r="M33" s="5" t="s">
        <v>52</v>
      </c>
      <c r="N33" s="5">
        <f>360/23</f>
        <v>15.652173913043478</v>
      </c>
      <c r="O33" s="9" t="s">
        <v>24</v>
      </c>
      <c r="P33" s="5" t="s">
        <v>26</v>
      </c>
      <c r="Q33" s="5">
        <v>1.02</v>
      </c>
      <c r="R33" s="9" t="s">
        <v>24</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c r="AQ33" s="5"/>
    </row>
    <row r="34" spans="1:43">
      <c r="A34" s="90" t="s">
        <v>684</v>
      </c>
      <c r="B34" s="90" t="s">
        <v>415</v>
      </c>
      <c r="C34" s="90">
        <v>-5.0000000000000001E-3</v>
      </c>
      <c r="D34" s="90"/>
      <c r="E34" s="90"/>
      <c r="F34" s="90"/>
      <c r="G34" s="90"/>
      <c r="K34" s="9" t="s">
        <v>53</v>
      </c>
      <c r="M34" s="9" t="s">
        <v>29</v>
      </c>
      <c r="N34" s="9" t="s">
        <v>31</v>
      </c>
      <c r="O34" s="9" t="s">
        <v>33</v>
      </c>
      <c r="P34" s="9" t="s">
        <v>35</v>
      </c>
      <c r="Q34" s="9" t="s">
        <v>36</v>
      </c>
      <c r="R34" s="5"/>
      <c r="S34" s="20" t="str">
        <f ca="1">CONCATENATE($S$32, "#", OFFSET($J$35, S33, 0))</f>
        <v>Stg.3 Nozzle Fwd#1</v>
      </c>
      <c r="T34" s="20" t="str">
        <f t="shared" ref="T34:AO34" ca="1" si="3">CONCATENATE($S$32, "#", OFFSET($J$35, T33, 0))</f>
        <v>Stg.3 Nozzle Fwd#23</v>
      </c>
      <c r="U34" s="20" t="str">
        <f t="shared" ca="1" si="3"/>
        <v>Stg.3 Nozzle Fwd#22</v>
      </c>
      <c r="V34" s="20" t="str">
        <f t="shared" ca="1" si="3"/>
        <v>Stg.3 Nozzle Fwd#21</v>
      </c>
      <c r="W34" s="20" t="str">
        <f t="shared" ca="1" si="3"/>
        <v>Stg.3 Nozzle Fwd#20</v>
      </c>
      <c r="X34" s="20" t="str">
        <f t="shared" ca="1" si="3"/>
        <v>Stg.3 Nozzle Fwd#19</v>
      </c>
      <c r="Y34" s="20" t="str">
        <f t="shared" ca="1" si="3"/>
        <v>Stg.3 Nozzle Fwd#18</v>
      </c>
      <c r="Z34" s="20" t="str">
        <f t="shared" ca="1" si="3"/>
        <v>Stg.3 Nozzle Fwd#17</v>
      </c>
      <c r="AA34" s="20" t="str">
        <f t="shared" ca="1" si="3"/>
        <v>Stg.3 Nozzle Fwd#16</v>
      </c>
      <c r="AB34" s="20" t="str">
        <f t="shared" ca="1" si="3"/>
        <v>Stg.3 Nozzle Fwd#15</v>
      </c>
      <c r="AC34" s="20" t="str">
        <f t="shared" ca="1" si="3"/>
        <v>Stg.3 Nozzle Fwd#14</v>
      </c>
      <c r="AD34" s="20" t="str">
        <f t="shared" ca="1" si="3"/>
        <v>Stg.3 Nozzle Fwd#13</v>
      </c>
      <c r="AE34" s="20" t="str">
        <f t="shared" ca="1" si="3"/>
        <v>Stg.3 Nozzle Fwd#12</v>
      </c>
      <c r="AF34" s="20" t="str">
        <f t="shared" ca="1" si="3"/>
        <v>Stg.3 Nozzle Fwd#11</v>
      </c>
      <c r="AG34" s="20" t="str">
        <f t="shared" ca="1" si="3"/>
        <v>Stg.3 Nozzle Fwd#10</v>
      </c>
      <c r="AH34" s="20" t="str">
        <f t="shared" ca="1" si="3"/>
        <v>Stg.3 Nozzle Fwd#9</v>
      </c>
      <c r="AI34" s="20" t="str">
        <f t="shared" ca="1" si="3"/>
        <v>Stg.3 Nozzle Fwd#8</v>
      </c>
      <c r="AJ34" s="20" t="str">
        <f t="shared" ca="1" si="3"/>
        <v>Stg.3 Nozzle Fwd#7</v>
      </c>
      <c r="AK34" s="20" t="str">
        <f t="shared" ca="1" si="3"/>
        <v>Stg.3 Nozzle Fwd#6</v>
      </c>
      <c r="AL34" s="20" t="str">
        <f t="shared" ca="1" si="3"/>
        <v>Stg.3 Nozzle Fwd#5</v>
      </c>
      <c r="AM34" s="20" t="str">
        <f t="shared" ca="1" si="3"/>
        <v>Stg.3 Nozzle Fwd#4</v>
      </c>
      <c r="AN34" s="20" t="str">
        <f t="shared" ca="1" si="3"/>
        <v>Stg.3 Nozzle Fwd#3</v>
      </c>
      <c r="AO34" s="20" t="str">
        <f t="shared" ca="1" si="3"/>
        <v>Stg.3 Nozzle Fwd#2</v>
      </c>
      <c r="AP34" s="20" t="s">
        <v>38</v>
      </c>
      <c r="AQ34" s="20" t="s">
        <v>40</v>
      </c>
    </row>
    <row r="35" spans="1:43">
      <c r="A35" s="121" t="s">
        <v>685</v>
      </c>
      <c r="B35" s="90" t="s">
        <v>417</v>
      </c>
      <c r="C35" s="90">
        <v>-137.80199999999999</v>
      </c>
      <c r="D35" s="90"/>
      <c r="E35" s="90"/>
      <c r="F35" s="90"/>
      <c r="G35" s="90"/>
      <c r="J35" s="9" t="s">
        <v>128</v>
      </c>
      <c r="K35" s="9" t="s">
        <v>129</v>
      </c>
      <c r="L35" s="9" t="s">
        <v>130</v>
      </c>
      <c r="M35" s="9" t="s">
        <v>131</v>
      </c>
      <c r="N35" s="9" t="s">
        <v>132</v>
      </c>
      <c r="O35" s="9" t="s">
        <v>129</v>
      </c>
      <c r="P35" s="9" t="s">
        <v>131</v>
      </c>
      <c r="Q35" s="9" t="s">
        <v>131</v>
      </c>
      <c r="R35" s="5"/>
      <c r="S35" s="15"/>
      <c r="T35" s="15"/>
      <c r="U35" s="15"/>
      <c r="V35" s="15"/>
      <c r="W35" s="15"/>
      <c r="X35" s="15"/>
      <c r="Y35" s="15"/>
      <c r="Z35" s="15"/>
      <c r="AA35" s="15"/>
      <c r="AB35" s="15"/>
      <c r="AC35" s="15"/>
      <c r="AD35" s="15"/>
      <c r="AE35" s="15"/>
      <c r="AF35" s="15"/>
      <c r="AG35" s="15"/>
      <c r="AH35" s="15"/>
      <c r="AI35" s="15"/>
      <c r="AJ35" s="48"/>
      <c r="AK35" s="15"/>
      <c r="AL35" s="15"/>
      <c r="AM35" s="15"/>
      <c r="AN35" s="15"/>
      <c r="AO35" s="15"/>
      <c r="AP35" s="22" t="s">
        <v>131</v>
      </c>
      <c r="AQ35" s="22" t="s">
        <v>131</v>
      </c>
    </row>
    <row r="36" spans="1:43">
      <c r="A36" s="90" t="s">
        <v>412</v>
      </c>
      <c r="B36" s="90" t="s">
        <v>413</v>
      </c>
      <c r="C36" s="90">
        <v>396.892</v>
      </c>
      <c r="D36" s="90"/>
      <c r="E36" s="90"/>
      <c r="F36" s="90"/>
      <c r="G36" s="90"/>
      <c r="J36" s="5">
        <v>1</v>
      </c>
      <c r="K36" s="23">
        <f>IF(Q33&lt;0, 360+$Q$33, $Q$33)</f>
        <v>1.02</v>
      </c>
      <c r="L36" s="24">
        <f>MATCH($K36, $I$11:$I$27, 1)</f>
        <v>1</v>
      </c>
      <c r="M36" s="5">
        <f>VLOOKUP(L36, $H$11:$K$27, 4, FALSE)</f>
        <v>396.88500000125981</v>
      </c>
      <c r="N36" s="25">
        <f>(VLOOKUP(L36+1, $H$11:$K$27, 4, FALSE) - VLOOKUP(L36, $H$11:$K$27, 4, FALSE))/(VLOOKUP(L36+1, $H$11:$K$27, 2, FALSE) - VLOOKUP(L36, $H$11:$K$27, 2, FALSE))</f>
        <v>8.4444461240814738E-4</v>
      </c>
      <c r="O36" s="26">
        <f>K36-VLOOKUP(L36, $H$11:$I$27, 2, FALSE)</f>
        <v>1.02</v>
      </c>
      <c r="P36" s="27">
        <f>M36+N36*O36</f>
        <v>396.88586133476446</v>
      </c>
      <c r="Q36" s="27">
        <f>(P36+P58)/2</f>
        <v>396.88055327998507</v>
      </c>
      <c r="R36" s="5"/>
      <c r="S36" s="30">
        <f>Q36</f>
        <v>396.88055327998507</v>
      </c>
      <c r="T36" s="21"/>
      <c r="U36" s="21"/>
      <c r="V36" s="21"/>
      <c r="W36" s="21"/>
      <c r="X36" s="21"/>
      <c r="Y36" s="21"/>
      <c r="Z36" s="21"/>
      <c r="AA36" s="21"/>
      <c r="AB36" s="21"/>
      <c r="AC36" s="21"/>
      <c r="AD36" s="21"/>
      <c r="AE36" s="21"/>
      <c r="AF36" s="21"/>
      <c r="AG36" s="21"/>
      <c r="AH36" s="21"/>
      <c r="AI36" s="21"/>
      <c r="AJ36" s="21"/>
      <c r="AK36" s="21"/>
      <c r="AL36" s="21"/>
      <c r="AM36" s="21"/>
      <c r="AN36" s="21"/>
      <c r="AO36" s="30">
        <f>AO58</f>
        <v>396.8748714281229</v>
      </c>
      <c r="AP36" s="29">
        <f t="shared" ref="AP36:AP58" si="4">M$7/2</f>
        <v>396.86799999999999</v>
      </c>
      <c r="AQ36" s="29">
        <f t="shared" ref="AQ36:AQ58" si="5">M$6/2</f>
        <v>396.93199999999996</v>
      </c>
    </row>
    <row r="37" spans="1:43">
      <c r="A37" s="90" t="s">
        <v>686</v>
      </c>
      <c r="B37" s="90" t="s">
        <v>415</v>
      </c>
      <c r="C37" s="90">
        <v>0</v>
      </c>
      <c r="D37" s="90"/>
      <c r="E37" s="90"/>
      <c r="F37" s="90"/>
      <c r="G37" s="90"/>
      <c r="J37" s="5">
        <v>23</v>
      </c>
      <c r="K37" s="23">
        <f>IF(K36+$N$33&gt;360, K36+$N$33-360, K36+$N$33)</f>
        <v>16.67217391304348</v>
      </c>
      <c r="L37" s="24">
        <f t="shared" ref="L37:L58" si="6">MATCH($K37, $I$11:$I$27, 1)</f>
        <v>1</v>
      </c>
      <c r="M37" s="5">
        <f t="shared" ref="M37:M58" si="7">VLOOKUP(L37, $H$11:$K$27, 4, FALSE)</f>
        <v>396.88500000125981</v>
      </c>
      <c r="N37" s="25">
        <f t="shared" ref="N37:N58" si="8">(VLOOKUP(L37+1, $H$11:$K$27, 4, FALSE) - VLOOKUP(L37, $H$11:$K$27, 4, FALSE))/(VLOOKUP(L37+1, $H$11:$K$27, 2, FALSE) - VLOOKUP(L37, $H$11:$K$27, 2, FALSE))</f>
        <v>8.4444461240814738E-4</v>
      </c>
      <c r="O37" s="26">
        <f t="shared" ref="O37:O58" si="9">K37-VLOOKUP(L37, $H$11:$I$27, 2, FALSE)</f>
        <v>16.67217391304348</v>
      </c>
      <c r="P37" s="27">
        <f t="shared" ref="P37:P58" si="10">M37+N37*O37</f>
        <v>396.89907872869782</v>
      </c>
      <c r="Q37" s="27">
        <f>(P36+P37)/2</f>
        <v>396.89247003173114</v>
      </c>
      <c r="R37" s="5"/>
      <c r="S37" s="30">
        <f>S36</f>
        <v>396.88055327998507</v>
      </c>
      <c r="T37" s="30">
        <f>Q37</f>
        <v>396.89247003173114</v>
      </c>
      <c r="U37" s="21"/>
      <c r="V37" s="21"/>
      <c r="W37" s="21"/>
      <c r="X37" s="21"/>
      <c r="Y37" s="21"/>
      <c r="Z37" s="21"/>
      <c r="AA37" s="21"/>
      <c r="AB37" s="21"/>
      <c r="AC37" s="21"/>
      <c r="AD37" s="21"/>
      <c r="AE37" s="21"/>
      <c r="AF37" s="21"/>
      <c r="AG37" s="21"/>
      <c r="AH37" s="21"/>
      <c r="AI37" s="21"/>
      <c r="AJ37" s="21"/>
      <c r="AK37" s="21"/>
      <c r="AL37" s="21"/>
      <c r="AM37" s="21"/>
      <c r="AN37" s="21"/>
      <c r="AO37" s="21"/>
      <c r="AP37" s="21">
        <f t="shared" si="4"/>
        <v>396.86799999999999</v>
      </c>
      <c r="AQ37" s="21">
        <f t="shared" si="5"/>
        <v>396.93199999999996</v>
      </c>
    </row>
    <row r="38" spans="1:43">
      <c r="A38" s="121" t="s">
        <v>687</v>
      </c>
      <c r="B38" s="90" t="s">
        <v>417</v>
      </c>
      <c r="C38" s="90">
        <v>-137.81700000000001</v>
      </c>
      <c r="D38" s="90"/>
      <c r="E38" s="90"/>
      <c r="F38" s="90"/>
      <c r="G38" s="90"/>
      <c r="J38" s="5">
        <v>22</v>
      </c>
      <c r="K38" s="23">
        <f>IF(K37+$N$33&gt;360, K37+$N$33-360, K37+$N$33)</f>
        <v>32.324347826086957</v>
      </c>
      <c r="L38" s="24">
        <f t="shared" si="6"/>
        <v>2</v>
      </c>
      <c r="M38" s="5">
        <f t="shared" si="7"/>
        <v>396.90400000503899</v>
      </c>
      <c r="N38" s="25">
        <f t="shared" si="8"/>
        <v>2.2222205425603332E-4</v>
      </c>
      <c r="O38" s="26">
        <f t="shared" si="9"/>
        <v>9.8243478260869566</v>
      </c>
      <c r="P38" s="27">
        <f t="shared" si="10"/>
        <v>396.90618319179464</v>
      </c>
      <c r="Q38" s="27">
        <f t="shared" ref="Q38:Q58" si="11">(P37+P38)/2</f>
        <v>396.90263096024626</v>
      </c>
      <c r="R38" s="5"/>
      <c r="S38" s="21"/>
      <c r="T38" s="30">
        <f>T37</f>
        <v>396.89247003173114</v>
      </c>
      <c r="U38" s="30">
        <f>Q38</f>
        <v>396.90263096024626</v>
      </c>
      <c r="V38" s="21"/>
      <c r="W38" s="21"/>
      <c r="X38" s="21"/>
      <c r="Y38" s="21"/>
      <c r="Z38" s="21"/>
      <c r="AA38" s="21"/>
      <c r="AB38" s="21"/>
      <c r="AC38" s="21"/>
      <c r="AD38" s="21"/>
      <c r="AE38" s="21"/>
      <c r="AF38" s="21"/>
      <c r="AG38" s="21"/>
      <c r="AH38" s="21"/>
      <c r="AI38" s="21"/>
      <c r="AJ38" s="21"/>
      <c r="AK38" s="21"/>
      <c r="AL38" s="21"/>
      <c r="AM38" s="21"/>
      <c r="AN38" s="21"/>
      <c r="AO38" s="21"/>
      <c r="AP38" s="21">
        <f t="shared" si="4"/>
        <v>396.86799999999999</v>
      </c>
      <c r="AQ38" s="21">
        <f t="shared" si="5"/>
        <v>396.93199999999996</v>
      </c>
    </row>
    <row r="39" spans="1:43">
      <c r="A39" s="90" t="s">
        <v>412</v>
      </c>
      <c r="B39" s="90" t="s">
        <v>413</v>
      </c>
      <c r="C39" s="90">
        <v>396.92500000000001</v>
      </c>
      <c r="D39" s="90"/>
      <c r="E39" s="90"/>
      <c r="F39" s="90"/>
      <c r="G39" s="90"/>
      <c r="J39" s="5">
        <v>21</v>
      </c>
      <c r="K39" s="23">
        <f t="shared" ref="K39:K58" si="12">IF(K38+$N$33&gt;360, K38+$N$33-360, K38+$N$33)</f>
        <v>47.976521739130433</v>
      </c>
      <c r="L39" s="24">
        <f t="shared" si="6"/>
        <v>3</v>
      </c>
      <c r="M39" s="5">
        <f t="shared" si="7"/>
        <v>396.90900000125976</v>
      </c>
      <c r="N39" s="25">
        <f t="shared" si="8"/>
        <v>8.8889084837420447E-4</v>
      </c>
      <c r="O39" s="26">
        <f t="shared" si="9"/>
        <v>2.9765217391304333</v>
      </c>
      <c r="P39" s="27">
        <f t="shared" si="10"/>
        <v>396.91164580419365</v>
      </c>
      <c r="Q39" s="27">
        <f t="shared" si="11"/>
        <v>396.90891449799415</v>
      </c>
      <c r="R39" s="5"/>
      <c r="S39" s="21"/>
      <c r="T39" s="21"/>
      <c r="U39" s="30">
        <f>U38</f>
        <v>396.90263096024626</v>
      </c>
      <c r="V39" s="30">
        <f>Q39</f>
        <v>396.90891449799415</v>
      </c>
      <c r="W39" s="21"/>
      <c r="X39" s="21"/>
      <c r="Y39" s="21"/>
      <c r="Z39" s="21"/>
      <c r="AA39" s="21"/>
      <c r="AB39" s="21"/>
      <c r="AC39" s="21"/>
      <c r="AD39" s="21"/>
      <c r="AE39" s="21"/>
      <c r="AF39" s="21"/>
      <c r="AG39" s="21"/>
      <c r="AH39" s="21"/>
      <c r="AI39" s="21"/>
      <c r="AJ39" s="21"/>
      <c r="AK39" s="21"/>
      <c r="AL39" s="21"/>
      <c r="AM39" s="21"/>
      <c r="AN39" s="21"/>
      <c r="AO39" s="21"/>
      <c r="AP39" s="21">
        <f t="shared" si="4"/>
        <v>396.86799999999999</v>
      </c>
      <c r="AQ39" s="21">
        <f t="shared" si="5"/>
        <v>396.93199999999996</v>
      </c>
    </row>
    <row r="40" spans="1:43">
      <c r="A40" s="90" t="s">
        <v>688</v>
      </c>
      <c r="B40" s="90" t="s">
        <v>415</v>
      </c>
      <c r="C40" s="90">
        <v>3.0000000000000001E-3</v>
      </c>
      <c r="D40" s="90"/>
      <c r="E40" s="90"/>
      <c r="F40" s="90"/>
      <c r="G40" s="90"/>
      <c r="J40" s="5">
        <v>20</v>
      </c>
      <c r="K40" s="23">
        <f t="shared" si="12"/>
        <v>63.62869565217391</v>
      </c>
      <c r="L40" s="24">
        <f t="shared" si="6"/>
        <v>3</v>
      </c>
      <c r="M40" s="5">
        <f t="shared" si="7"/>
        <v>396.90900000125976</v>
      </c>
      <c r="N40" s="25">
        <f t="shared" si="8"/>
        <v>8.8889084837420447E-4</v>
      </c>
      <c r="O40" s="26">
        <f t="shared" si="9"/>
        <v>18.62869565217391</v>
      </c>
      <c r="P40" s="27">
        <f t="shared" si="10"/>
        <v>396.92555887834214</v>
      </c>
      <c r="Q40" s="27">
        <f t="shared" si="11"/>
        <v>396.9186023412679</v>
      </c>
      <c r="R40" s="5"/>
      <c r="S40" s="21"/>
      <c r="T40" s="21"/>
      <c r="U40" s="21"/>
      <c r="V40" s="30">
        <f>V39</f>
        <v>396.90891449799415</v>
      </c>
      <c r="W40" s="30">
        <f>Q40</f>
        <v>396.9186023412679</v>
      </c>
      <c r="X40" s="21"/>
      <c r="Y40" s="21"/>
      <c r="Z40" s="21"/>
      <c r="AA40" s="21"/>
      <c r="AB40" s="21"/>
      <c r="AC40" s="21"/>
      <c r="AD40" s="21"/>
      <c r="AE40" s="21"/>
      <c r="AF40" s="21"/>
      <c r="AG40" s="21"/>
      <c r="AH40" s="21"/>
      <c r="AI40" s="21"/>
      <c r="AJ40" s="21"/>
      <c r="AK40" s="21"/>
      <c r="AL40" s="21"/>
      <c r="AM40" s="21"/>
      <c r="AN40" s="21"/>
      <c r="AO40" s="21"/>
      <c r="AP40" s="21">
        <f t="shared" si="4"/>
        <v>396.86799999999999</v>
      </c>
      <c r="AQ40" s="21">
        <f t="shared" si="5"/>
        <v>396.93199999999996</v>
      </c>
    </row>
    <row r="41" spans="1:43">
      <c r="A41" s="121" t="s">
        <v>689</v>
      </c>
      <c r="B41" s="90" t="s">
        <v>417</v>
      </c>
      <c r="C41" s="90">
        <v>-137.81700000000001</v>
      </c>
      <c r="D41" s="90"/>
      <c r="E41" s="90"/>
      <c r="F41" s="90"/>
      <c r="G41" s="90"/>
      <c r="J41" s="5">
        <v>19</v>
      </c>
      <c r="K41" s="23">
        <f t="shared" si="12"/>
        <v>79.280869565217387</v>
      </c>
      <c r="L41" s="24">
        <f t="shared" si="6"/>
        <v>4</v>
      </c>
      <c r="M41" s="5">
        <f t="shared" si="7"/>
        <v>396.92900004534818</v>
      </c>
      <c r="N41" s="25">
        <f t="shared" si="8"/>
        <v>-5.7777979325237541E-4</v>
      </c>
      <c r="O41" s="26">
        <f t="shared" si="9"/>
        <v>11.780869565217387</v>
      </c>
      <c r="P41" s="27">
        <f t="shared" si="10"/>
        <v>396.92219329696644</v>
      </c>
      <c r="Q41" s="27">
        <f t="shared" si="11"/>
        <v>396.92387608765432</v>
      </c>
      <c r="R41" s="5"/>
      <c r="S41" s="21"/>
      <c r="T41" s="21"/>
      <c r="U41" s="21"/>
      <c r="V41" s="21"/>
      <c r="W41" s="30">
        <f>W40</f>
        <v>396.9186023412679</v>
      </c>
      <c r="X41" s="30">
        <f>Q41</f>
        <v>396.92387608765432</v>
      </c>
      <c r="Y41" s="21"/>
      <c r="Z41" s="21"/>
      <c r="AA41" s="21"/>
      <c r="AB41" s="21"/>
      <c r="AC41" s="21"/>
      <c r="AD41" s="21"/>
      <c r="AE41" s="21"/>
      <c r="AF41" s="21"/>
      <c r="AG41" s="21"/>
      <c r="AH41" s="21"/>
      <c r="AI41" s="21"/>
      <c r="AJ41" s="21"/>
      <c r="AK41" s="21"/>
      <c r="AL41" s="21"/>
      <c r="AM41" s="21"/>
      <c r="AN41" s="21"/>
      <c r="AO41" s="21"/>
      <c r="AP41" s="21">
        <f t="shared" si="4"/>
        <v>396.86799999999999</v>
      </c>
      <c r="AQ41" s="21">
        <f t="shared" si="5"/>
        <v>396.93199999999996</v>
      </c>
    </row>
    <row r="42" spans="1:43">
      <c r="A42" s="90" t="s">
        <v>412</v>
      </c>
      <c r="B42" s="90" t="s">
        <v>413</v>
      </c>
      <c r="C42" s="90">
        <v>396.916</v>
      </c>
      <c r="D42" s="90"/>
      <c r="E42" s="90"/>
      <c r="F42" s="90"/>
      <c r="G42" s="90"/>
      <c r="J42" s="5">
        <v>18</v>
      </c>
      <c r="K42" s="23">
        <f t="shared" si="12"/>
        <v>94.933043478260871</v>
      </c>
      <c r="L42" s="24">
        <f t="shared" si="6"/>
        <v>5</v>
      </c>
      <c r="M42" s="5">
        <f t="shared" si="7"/>
        <v>396.916</v>
      </c>
      <c r="N42" s="25">
        <f t="shared" si="8"/>
        <v>4.000005038733434E-4</v>
      </c>
      <c r="O42" s="26">
        <f t="shared" si="9"/>
        <v>4.9330434782608705</v>
      </c>
      <c r="P42" s="27">
        <f t="shared" si="10"/>
        <v>396.91797321987696</v>
      </c>
      <c r="Q42" s="27">
        <f t="shared" si="11"/>
        <v>396.9200832584217</v>
      </c>
      <c r="R42" s="5"/>
      <c r="S42" s="21"/>
      <c r="T42" s="21"/>
      <c r="U42" s="21"/>
      <c r="V42" s="21"/>
      <c r="W42" s="21"/>
      <c r="X42" s="30">
        <f>X41</f>
        <v>396.92387608765432</v>
      </c>
      <c r="Y42" s="30">
        <f>Q42</f>
        <v>396.9200832584217</v>
      </c>
      <c r="Z42" s="21"/>
      <c r="AA42" s="21"/>
      <c r="AB42" s="21"/>
      <c r="AC42" s="21"/>
      <c r="AD42" s="21"/>
      <c r="AE42" s="21"/>
      <c r="AF42" s="21"/>
      <c r="AG42" s="21"/>
      <c r="AH42" s="21"/>
      <c r="AI42" s="21"/>
      <c r="AJ42" s="21"/>
      <c r="AK42" s="21"/>
      <c r="AL42" s="21"/>
      <c r="AM42" s="21"/>
      <c r="AN42" s="21"/>
      <c r="AO42" s="21"/>
      <c r="AP42" s="21">
        <f t="shared" si="4"/>
        <v>396.86799999999999</v>
      </c>
      <c r="AQ42" s="21">
        <f t="shared" si="5"/>
        <v>396.93199999999996</v>
      </c>
    </row>
    <row r="43" spans="1:43">
      <c r="A43" s="90" t="s">
        <v>690</v>
      </c>
      <c r="B43" s="90" t="s">
        <v>415</v>
      </c>
      <c r="C43" s="90">
        <v>0</v>
      </c>
      <c r="D43" s="90"/>
      <c r="E43" s="90"/>
      <c r="F43" s="90"/>
      <c r="G43" s="90"/>
      <c r="J43" s="5">
        <v>17</v>
      </c>
      <c r="K43" s="23">
        <f t="shared" si="12"/>
        <v>110.58521739130435</v>
      </c>
      <c r="L43" s="24">
        <f t="shared" si="6"/>
        <v>5</v>
      </c>
      <c r="M43" s="5">
        <f t="shared" si="7"/>
        <v>396.916</v>
      </c>
      <c r="N43" s="25">
        <f t="shared" si="8"/>
        <v>4.000005038733434E-4</v>
      </c>
      <c r="O43" s="26">
        <f t="shared" si="9"/>
        <v>20.585217391304354</v>
      </c>
      <c r="P43" s="27">
        <f t="shared" si="10"/>
        <v>396.92423409732885</v>
      </c>
      <c r="Q43" s="27">
        <f t="shared" si="11"/>
        <v>396.92110365860287</v>
      </c>
      <c r="R43" s="5"/>
      <c r="S43" s="21"/>
      <c r="T43" s="21"/>
      <c r="U43" s="21"/>
      <c r="V43" s="21"/>
      <c r="W43" s="21"/>
      <c r="X43" s="21"/>
      <c r="Y43" s="30">
        <f>Y42</f>
        <v>396.9200832584217</v>
      </c>
      <c r="Z43" s="30">
        <f>Q43</f>
        <v>396.92110365860287</v>
      </c>
      <c r="AA43" s="21"/>
      <c r="AB43" s="21"/>
      <c r="AC43" s="21"/>
      <c r="AD43" s="21"/>
      <c r="AE43" s="21"/>
      <c r="AF43" s="21"/>
      <c r="AG43" s="21"/>
      <c r="AH43" s="21"/>
      <c r="AI43" s="21"/>
      <c r="AJ43" s="21"/>
      <c r="AK43" s="21"/>
      <c r="AL43" s="21"/>
      <c r="AM43" s="21"/>
      <c r="AN43" s="21"/>
      <c r="AO43" s="21"/>
      <c r="AP43" s="21">
        <f t="shared" si="4"/>
        <v>396.86799999999999</v>
      </c>
      <c r="AQ43" s="21">
        <f t="shared" si="5"/>
        <v>396.93199999999996</v>
      </c>
    </row>
    <row r="44" spans="1:43">
      <c r="A44" s="121" t="s">
        <v>691</v>
      </c>
      <c r="B44" s="90" t="s">
        <v>417</v>
      </c>
      <c r="C44" s="90">
        <v>-137.81299999999999</v>
      </c>
      <c r="D44" s="90"/>
      <c r="E44" s="90"/>
      <c r="F44" s="90"/>
      <c r="G44" s="90"/>
      <c r="J44" s="5">
        <v>16</v>
      </c>
      <c r="K44" s="23">
        <f t="shared" si="12"/>
        <v>126.23739130434784</v>
      </c>
      <c r="L44" s="24">
        <f t="shared" si="6"/>
        <v>6</v>
      </c>
      <c r="M44" s="5">
        <f t="shared" si="7"/>
        <v>396.92500001133715</v>
      </c>
      <c r="N44" s="25">
        <f t="shared" si="8"/>
        <v>-1.4666671705400505E-3</v>
      </c>
      <c r="O44" s="26">
        <f t="shared" si="9"/>
        <v>13.737391304347838</v>
      </c>
      <c r="P44" s="27">
        <f t="shared" si="10"/>
        <v>396.9048518305022</v>
      </c>
      <c r="Q44" s="27">
        <f t="shared" si="11"/>
        <v>396.91454296391555</v>
      </c>
      <c r="R44" s="5"/>
      <c r="S44" s="21"/>
      <c r="T44" s="21"/>
      <c r="U44" s="21"/>
      <c r="V44" s="21"/>
      <c r="W44" s="21"/>
      <c r="X44" s="21"/>
      <c r="Y44" s="21"/>
      <c r="Z44" s="30">
        <f>Z43</f>
        <v>396.92110365860287</v>
      </c>
      <c r="AA44" s="30">
        <f>Q44</f>
        <v>396.91454296391555</v>
      </c>
      <c r="AB44" s="21"/>
      <c r="AC44" s="21"/>
      <c r="AD44" s="21"/>
      <c r="AE44" s="21"/>
      <c r="AF44" s="21"/>
      <c r="AG44" s="21"/>
      <c r="AH44" s="21"/>
      <c r="AI44" s="21"/>
      <c r="AJ44" s="21"/>
      <c r="AK44" s="21"/>
      <c r="AL44" s="21"/>
      <c r="AM44" s="21"/>
      <c r="AN44" s="21"/>
      <c r="AO44" s="21"/>
      <c r="AP44" s="21">
        <f t="shared" si="4"/>
        <v>396.86799999999999</v>
      </c>
      <c r="AQ44" s="21">
        <f t="shared" si="5"/>
        <v>396.93199999999996</v>
      </c>
    </row>
    <row r="45" spans="1:43">
      <c r="A45" s="90" t="s">
        <v>412</v>
      </c>
      <c r="B45" s="90" t="s">
        <v>413</v>
      </c>
      <c r="C45" s="90">
        <v>396.92899999999997</v>
      </c>
      <c r="D45" s="90"/>
      <c r="E45" s="90"/>
      <c r="F45" s="90"/>
      <c r="G45" s="90"/>
      <c r="J45" s="5">
        <v>15</v>
      </c>
      <c r="K45" s="23">
        <f t="shared" si="12"/>
        <v>141.88956521739132</v>
      </c>
      <c r="L45" s="24">
        <f t="shared" si="6"/>
        <v>7</v>
      </c>
      <c r="M45" s="5">
        <f t="shared" si="7"/>
        <v>396.892</v>
      </c>
      <c r="N45" s="25">
        <f t="shared" si="8"/>
        <v>-3.111097113206698E-4</v>
      </c>
      <c r="O45" s="26">
        <f t="shared" si="9"/>
        <v>6.889565217391322</v>
      </c>
      <c r="P45" s="27">
        <f t="shared" si="10"/>
        <v>396.88985658935411</v>
      </c>
      <c r="Q45" s="27">
        <f t="shared" si="11"/>
        <v>396.89735420992815</v>
      </c>
      <c r="R45" s="5"/>
      <c r="S45" s="21"/>
      <c r="T45" s="21"/>
      <c r="U45" s="21"/>
      <c r="V45" s="21"/>
      <c r="W45" s="21"/>
      <c r="X45" s="21"/>
      <c r="Y45" s="21"/>
      <c r="Z45" s="21"/>
      <c r="AA45" s="30">
        <f>AA44</f>
        <v>396.91454296391555</v>
      </c>
      <c r="AB45" s="30">
        <f>Q45</f>
        <v>396.89735420992815</v>
      </c>
      <c r="AC45" s="21"/>
      <c r="AD45" s="21"/>
      <c r="AE45" s="21"/>
      <c r="AF45" s="21"/>
      <c r="AG45" s="21"/>
      <c r="AH45" s="21"/>
      <c r="AI45" s="21"/>
      <c r="AJ45" s="21"/>
      <c r="AK45" s="21"/>
      <c r="AL45" s="21"/>
      <c r="AM45" s="21"/>
      <c r="AN45" s="21"/>
      <c r="AO45" s="21"/>
      <c r="AP45" s="21">
        <f t="shared" si="4"/>
        <v>396.86799999999999</v>
      </c>
      <c r="AQ45" s="21">
        <f t="shared" si="5"/>
        <v>396.93199999999996</v>
      </c>
    </row>
    <row r="46" spans="1:43">
      <c r="A46" s="90" t="s">
        <v>692</v>
      </c>
      <c r="B46" s="90" t="s">
        <v>415</v>
      </c>
      <c r="C46" s="90">
        <v>-6.0000000000000001E-3</v>
      </c>
      <c r="D46" s="90"/>
      <c r="E46" s="90"/>
      <c r="F46" s="90"/>
      <c r="G46" s="90"/>
      <c r="J46" s="5">
        <v>14</v>
      </c>
      <c r="K46" s="23">
        <f t="shared" si="12"/>
        <v>157.54173913043479</v>
      </c>
      <c r="L46" s="24">
        <f t="shared" si="6"/>
        <v>8</v>
      </c>
      <c r="M46" s="5">
        <f t="shared" si="7"/>
        <v>396.88500003149528</v>
      </c>
      <c r="N46" s="25">
        <f t="shared" si="8"/>
        <v>-5.7777912157285351E-4</v>
      </c>
      <c r="O46" s="26">
        <f t="shared" si="9"/>
        <v>4.1739130434791605E-2</v>
      </c>
      <c r="P46" s="27">
        <f t="shared" si="10"/>
        <v>396.88497591549714</v>
      </c>
      <c r="Q46" s="27">
        <f t="shared" si="11"/>
        <v>396.88741625242562</v>
      </c>
      <c r="R46" s="5"/>
      <c r="S46" s="21"/>
      <c r="T46" s="21"/>
      <c r="U46" s="21"/>
      <c r="V46" s="21"/>
      <c r="W46" s="21"/>
      <c r="X46" s="21"/>
      <c r="Y46" s="21"/>
      <c r="Z46" s="21"/>
      <c r="AA46" s="21"/>
      <c r="AB46" s="30">
        <f>AB45</f>
        <v>396.89735420992815</v>
      </c>
      <c r="AC46" s="30">
        <f>Q46</f>
        <v>396.88741625242562</v>
      </c>
      <c r="AD46" s="21"/>
      <c r="AE46" s="21"/>
      <c r="AF46" s="21"/>
      <c r="AG46" s="21"/>
      <c r="AH46" s="21"/>
      <c r="AI46" s="21"/>
      <c r="AJ46" s="21"/>
      <c r="AK46" s="21"/>
      <c r="AL46" s="21"/>
      <c r="AM46" s="21"/>
      <c r="AN46" s="21"/>
      <c r="AO46" s="21"/>
      <c r="AP46" s="21">
        <f t="shared" si="4"/>
        <v>396.86799999999999</v>
      </c>
      <c r="AQ46" s="21">
        <f t="shared" si="5"/>
        <v>396.93199999999996</v>
      </c>
    </row>
    <row r="47" spans="1:43">
      <c r="A47" s="121" t="s">
        <v>693</v>
      </c>
      <c r="B47" s="90" t="s">
        <v>417</v>
      </c>
      <c r="C47" s="90">
        <v>-137.81200000000001</v>
      </c>
      <c r="D47" s="90"/>
      <c r="E47" s="90"/>
      <c r="F47" s="90"/>
      <c r="G47" s="90"/>
      <c r="J47" s="5">
        <v>13</v>
      </c>
      <c r="K47" s="23">
        <f t="shared" si="12"/>
        <v>173.19391304347826</v>
      </c>
      <c r="L47" s="24">
        <f t="shared" si="6"/>
        <v>8</v>
      </c>
      <c r="M47" s="5">
        <f t="shared" si="7"/>
        <v>396.88500003149528</v>
      </c>
      <c r="N47" s="25">
        <f t="shared" si="8"/>
        <v>-5.7777912157285351E-4</v>
      </c>
      <c r="O47" s="26">
        <f t="shared" si="9"/>
        <v>15.693913043478261</v>
      </c>
      <c r="P47" s="27">
        <f t="shared" si="10"/>
        <v>396.875932416203</v>
      </c>
      <c r="Q47" s="27">
        <f t="shared" si="11"/>
        <v>396.8804541658501</v>
      </c>
      <c r="R47" s="5"/>
      <c r="S47" s="21"/>
      <c r="T47" s="21"/>
      <c r="U47" s="21"/>
      <c r="V47" s="21"/>
      <c r="W47" s="21"/>
      <c r="X47" s="21"/>
      <c r="Y47" s="21"/>
      <c r="Z47" s="21"/>
      <c r="AA47" s="21"/>
      <c r="AB47" s="21"/>
      <c r="AC47" s="30">
        <f>AC46</f>
        <v>396.88741625242562</v>
      </c>
      <c r="AD47" s="30">
        <f>Q47</f>
        <v>396.8804541658501</v>
      </c>
      <c r="AE47" s="21"/>
      <c r="AF47" s="21"/>
      <c r="AG47" s="21"/>
      <c r="AH47" s="21"/>
      <c r="AI47" s="21"/>
      <c r="AJ47" s="21"/>
      <c r="AK47" s="21"/>
      <c r="AL47" s="21"/>
      <c r="AM47" s="21"/>
      <c r="AN47" s="21"/>
      <c r="AO47" s="21"/>
      <c r="AP47" s="21">
        <f t="shared" si="4"/>
        <v>396.86799999999999</v>
      </c>
      <c r="AQ47" s="21">
        <f t="shared" si="5"/>
        <v>396.93199999999996</v>
      </c>
    </row>
    <row r="48" spans="1:43">
      <c r="A48" s="90" t="s">
        <v>412</v>
      </c>
      <c r="B48" s="90" t="s">
        <v>413</v>
      </c>
      <c r="C48" s="90">
        <v>396.90899999999999</v>
      </c>
      <c r="D48" s="90"/>
      <c r="E48" s="90"/>
      <c r="F48" s="90"/>
      <c r="G48" s="90"/>
      <c r="J48" s="5">
        <v>12</v>
      </c>
      <c r="K48" s="23">
        <f t="shared" si="12"/>
        <v>188.84608695652173</v>
      </c>
      <c r="L48" s="24">
        <f t="shared" si="6"/>
        <v>9</v>
      </c>
      <c r="M48" s="5">
        <f t="shared" si="7"/>
        <v>396.87200000125989</v>
      </c>
      <c r="N48" s="25">
        <f t="shared" si="8"/>
        <v>6.6666711459472728E-4</v>
      </c>
      <c r="O48" s="26">
        <f t="shared" si="9"/>
        <v>8.8460869565217308</v>
      </c>
      <c r="P48" s="27">
        <f t="shared" si="10"/>
        <v>396.87789739652663</v>
      </c>
      <c r="Q48" s="27">
        <f t="shared" si="11"/>
        <v>396.87691490636485</v>
      </c>
      <c r="R48" s="5"/>
      <c r="S48" s="21"/>
      <c r="T48" s="21"/>
      <c r="U48" s="21"/>
      <c r="V48" s="21"/>
      <c r="W48" s="21"/>
      <c r="X48" s="21"/>
      <c r="Y48" s="21"/>
      <c r="Z48" s="21"/>
      <c r="AA48" s="21"/>
      <c r="AB48" s="21"/>
      <c r="AC48" s="21"/>
      <c r="AD48" s="30">
        <f>AD47</f>
        <v>396.8804541658501</v>
      </c>
      <c r="AE48" s="30">
        <f>Q48</f>
        <v>396.87691490636485</v>
      </c>
      <c r="AF48" s="21"/>
      <c r="AG48" s="21"/>
      <c r="AH48" s="21"/>
      <c r="AI48" s="21"/>
      <c r="AJ48" s="21"/>
      <c r="AK48" s="21"/>
      <c r="AL48" s="21"/>
      <c r="AM48" s="21"/>
      <c r="AN48" s="21"/>
      <c r="AO48" s="21"/>
      <c r="AP48" s="21">
        <f t="shared" si="4"/>
        <v>396.86799999999999</v>
      </c>
      <c r="AQ48" s="21">
        <f t="shared" si="5"/>
        <v>396.93199999999996</v>
      </c>
    </row>
    <row r="49" spans="1:43">
      <c r="A49" s="90" t="s">
        <v>694</v>
      </c>
      <c r="B49" s="90" t="s">
        <v>415</v>
      </c>
      <c r="C49" s="90">
        <v>1E-3</v>
      </c>
      <c r="D49" s="90"/>
      <c r="E49" s="90"/>
      <c r="F49" s="90"/>
      <c r="G49" s="90"/>
      <c r="J49" s="5">
        <v>11</v>
      </c>
      <c r="K49" s="23">
        <f t="shared" si="12"/>
        <v>204.4982608695652</v>
      </c>
      <c r="L49" s="24">
        <f t="shared" si="6"/>
        <v>10</v>
      </c>
      <c r="M49" s="5">
        <f t="shared" si="7"/>
        <v>396.88700001133827</v>
      </c>
      <c r="N49" s="25">
        <f t="shared" si="8"/>
        <v>5.3333288539963379E-4</v>
      </c>
      <c r="O49" s="26">
        <f t="shared" si="9"/>
        <v>1.9982608695652004</v>
      </c>
      <c r="P49" s="27">
        <f t="shared" si="10"/>
        <v>396.88806574957363</v>
      </c>
      <c r="Q49" s="27">
        <f t="shared" si="11"/>
        <v>396.88298157305013</v>
      </c>
      <c r="R49" s="5"/>
      <c r="S49" s="21"/>
      <c r="T49" s="21"/>
      <c r="U49" s="21"/>
      <c r="V49" s="21"/>
      <c r="W49" s="21"/>
      <c r="X49" s="21"/>
      <c r="Y49" s="21"/>
      <c r="Z49" s="21"/>
      <c r="AA49" s="21"/>
      <c r="AB49" s="21"/>
      <c r="AC49" s="21"/>
      <c r="AD49" s="21"/>
      <c r="AE49" s="30">
        <f>AE48</f>
        <v>396.87691490636485</v>
      </c>
      <c r="AF49" s="30">
        <f>Q49</f>
        <v>396.88298157305013</v>
      </c>
      <c r="AG49" s="21"/>
      <c r="AH49" s="21"/>
      <c r="AI49" s="21"/>
      <c r="AJ49" s="21"/>
      <c r="AK49" s="21"/>
      <c r="AL49" s="21"/>
      <c r="AM49" s="21"/>
      <c r="AN49" s="21"/>
      <c r="AO49" s="21"/>
      <c r="AP49" s="21">
        <f t="shared" si="4"/>
        <v>396.86799999999999</v>
      </c>
      <c r="AQ49" s="21">
        <f t="shared" si="5"/>
        <v>396.93199999999996</v>
      </c>
    </row>
    <row r="50" spans="1:43">
      <c r="A50" s="121" t="s">
        <v>695</v>
      </c>
      <c r="B50" s="90" t="s">
        <v>417</v>
      </c>
      <c r="C50" s="90">
        <v>-137.83099999999999</v>
      </c>
      <c r="D50" s="90"/>
      <c r="E50" s="90"/>
      <c r="F50" s="90"/>
      <c r="G50" s="90"/>
      <c r="J50" s="5">
        <v>10</v>
      </c>
      <c r="K50" s="23">
        <f t="shared" si="12"/>
        <v>220.15043478260867</v>
      </c>
      <c r="L50" s="24">
        <f t="shared" si="6"/>
        <v>10</v>
      </c>
      <c r="M50" s="5">
        <f t="shared" si="7"/>
        <v>396.88700001133827</v>
      </c>
      <c r="N50" s="25">
        <f t="shared" si="8"/>
        <v>5.3333288539963379E-4</v>
      </c>
      <c r="O50" s="26">
        <f t="shared" si="9"/>
        <v>17.65043478260867</v>
      </c>
      <c r="P50" s="27">
        <f t="shared" si="10"/>
        <v>396.89641356864945</v>
      </c>
      <c r="Q50" s="27">
        <f t="shared" si="11"/>
        <v>396.89223965911151</v>
      </c>
      <c r="R50" s="5"/>
      <c r="S50" s="21"/>
      <c r="T50" s="21"/>
      <c r="U50" s="21"/>
      <c r="V50" s="21"/>
      <c r="W50" s="21"/>
      <c r="X50" s="21"/>
      <c r="Y50" s="21"/>
      <c r="Z50" s="21"/>
      <c r="AA50" s="21"/>
      <c r="AB50" s="21"/>
      <c r="AC50" s="21"/>
      <c r="AD50" s="21"/>
      <c r="AE50" s="21"/>
      <c r="AF50" s="30">
        <f>AF49</f>
        <v>396.88298157305013</v>
      </c>
      <c r="AG50" s="30">
        <f>Q50</f>
        <v>396.89223965911151</v>
      </c>
      <c r="AH50" s="21"/>
      <c r="AI50" s="21"/>
      <c r="AJ50" s="21"/>
      <c r="AK50" s="21"/>
      <c r="AL50" s="21"/>
      <c r="AM50" s="21"/>
      <c r="AN50" s="21"/>
      <c r="AO50" s="21"/>
      <c r="AP50" s="21">
        <f t="shared" si="4"/>
        <v>396.86799999999999</v>
      </c>
      <c r="AQ50" s="21">
        <f t="shared" si="5"/>
        <v>396.93199999999996</v>
      </c>
    </row>
    <row r="51" spans="1:43">
      <c r="A51" s="90" t="s">
        <v>412</v>
      </c>
      <c r="B51" s="90" t="s">
        <v>413</v>
      </c>
      <c r="C51" s="90">
        <v>396.904</v>
      </c>
      <c r="D51" s="90"/>
      <c r="E51" s="90"/>
      <c r="F51" s="90"/>
      <c r="G51" s="90"/>
      <c r="J51" s="5">
        <v>9</v>
      </c>
      <c r="K51" s="23">
        <f t="shared" si="12"/>
        <v>235.80260869565214</v>
      </c>
      <c r="L51" s="24">
        <f t="shared" si="6"/>
        <v>11</v>
      </c>
      <c r="M51" s="5">
        <f t="shared" si="7"/>
        <v>396.89900000125976</v>
      </c>
      <c r="N51" s="25">
        <f t="shared" si="8"/>
        <v>2.4444511622606214E-3</v>
      </c>
      <c r="O51" s="26">
        <f t="shared" si="9"/>
        <v>10.80260869565214</v>
      </c>
      <c r="P51" s="27">
        <f t="shared" si="10"/>
        <v>396.92540645064128</v>
      </c>
      <c r="Q51" s="27">
        <f t="shared" si="11"/>
        <v>396.91091000964536</v>
      </c>
      <c r="R51" s="5"/>
      <c r="S51" s="21"/>
      <c r="T51" s="21"/>
      <c r="U51" s="21"/>
      <c r="V51" s="21"/>
      <c r="W51" s="21"/>
      <c r="X51" s="21"/>
      <c r="Y51" s="21"/>
      <c r="Z51" s="21"/>
      <c r="AA51" s="21"/>
      <c r="AB51" s="21"/>
      <c r="AC51" s="21"/>
      <c r="AD51" s="21"/>
      <c r="AE51" s="21"/>
      <c r="AF51" s="21"/>
      <c r="AG51" s="30">
        <f>AG50</f>
        <v>396.89223965911151</v>
      </c>
      <c r="AH51" s="30">
        <f>Q51</f>
        <v>396.91091000964536</v>
      </c>
      <c r="AI51" s="21"/>
      <c r="AJ51" s="21"/>
      <c r="AK51" s="21"/>
      <c r="AL51" s="21"/>
      <c r="AM51" s="21"/>
      <c r="AN51" s="21"/>
      <c r="AO51" s="21"/>
      <c r="AP51" s="21">
        <f t="shared" si="4"/>
        <v>396.86799999999999</v>
      </c>
      <c r="AQ51" s="21">
        <f t="shared" si="5"/>
        <v>396.93199999999996</v>
      </c>
    </row>
    <row r="52" spans="1:43">
      <c r="A52" s="90" t="s">
        <v>696</v>
      </c>
      <c r="B52" s="90" t="s">
        <v>415</v>
      </c>
      <c r="C52" s="90">
        <v>2E-3</v>
      </c>
      <c r="D52" s="90"/>
      <c r="E52" s="90"/>
      <c r="F52" s="90"/>
      <c r="G52" s="90"/>
      <c r="J52" s="5">
        <v>8</v>
      </c>
      <c r="K52" s="23">
        <f t="shared" si="12"/>
        <v>251.45478260869561</v>
      </c>
      <c r="L52" s="24">
        <f t="shared" si="6"/>
        <v>12</v>
      </c>
      <c r="M52" s="5">
        <f t="shared" si="7"/>
        <v>396.95400015241063</v>
      </c>
      <c r="N52" s="25">
        <f t="shared" si="8"/>
        <v>-5.7778449560020012E-4</v>
      </c>
      <c r="O52" s="26">
        <f t="shared" si="9"/>
        <v>3.9547826086956093</v>
      </c>
      <c r="P52" s="27">
        <f t="shared" si="10"/>
        <v>396.95171514033586</v>
      </c>
      <c r="Q52" s="27">
        <f t="shared" si="11"/>
        <v>396.93856079548857</v>
      </c>
      <c r="R52" s="5"/>
      <c r="S52" s="21"/>
      <c r="T52" s="21"/>
      <c r="U52" s="21"/>
      <c r="V52" s="21"/>
      <c r="W52" s="21"/>
      <c r="X52" s="21"/>
      <c r="Y52" s="21"/>
      <c r="Z52" s="21"/>
      <c r="AA52" s="21"/>
      <c r="AB52" s="21"/>
      <c r="AC52" s="21"/>
      <c r="AD52" s="21"/>
      <c r="AE52" s="21"/>
      <c r="AF52" s="21"/>
      <c r="AG52" s="21"/>
      <c r="AH52" s="30">
        <f>AH51</f>
        <v>396.91091000964536</v>
      </c>
      <c r="AI52" s="30">
        <f>Q52</f>
        <v>396.93856079548857</v>
      </c>
      <c r="AJ52" s="21"/>
      <c r="AK52" s="21"/>
      <c r="AL52" s="21"/>
      <c r="AM52" s="21"/>
      <c r="AN52" s="21"/>
      <c r="AO52" s="21"/>
      <c r="AP52" s="21">
        <f t="shared" si="4"/>
        <v>396.86799999999999</v>
      </c>
      <c r="AQ52" s="21">
        <f t="shared" si="5"/>
        <v>396.93199999999996</v>
      </c>
    </row>
    <row r="53" spans="1:43">
      <c r="A53" s="121" t="s">
        <v>697</v>
      </c>
      <c r="B53" s="90" t="s">
        <v>417</v>
      </c>
      <c r="C53" s="90">
        <v>-137.83099999999999</v>
      </c>
      <c r="D53" s="90"/>
      <c r="E53" s="90"/>
      <c r="F53" s="90"/>
      <c r="G53" s="90"/>
      <c r="J53" s="5">
        <v>7</v>
      </c>
      <c r="K53" s="23">
        <f t="shared" si="12"/>
        <v>267.10695652173911</v>
      </c>
      <c r="L53" s="24">
        <f t="shared" si="6"/>
        <v>12</v>
      </c>
      <c r="M53" s="5">
        <f t="shared" si="7"/>
        <v>396.95400015241063</v>
      </c>
      <c r="N53" s="25">
        <f t="shared" si="8"/>
        <v>-5.7778449560020012E-4</v>
      </c>
      <c r="O53" s="26">
        <f t="shared" si="9"/>
        <v>19.606956521739107</v>
      </c>
      <c r="P53" s="27">
        <f t="shared" si="10"/>
        <v>396.94267155692648</v>
      </c>
      <c r="Q53" s="27">
        <f t="shared" si="11"/>
        <v>396.94719334863117</v>
      </c>
      <c r="R53" s="5"/>
      <c r="S53" s="21"/>
      <c r="T53" s="21"/>
      <c r="U53" s="21"/>
      <c r="V53" s="21"/>
      <c r="W53" s="21"/>
      <c r="X53" s="21"/>
      <c r="Y53" s="21"/>
      <c r="Z53" s="21"/>
      <c r="AA53" s="21"/>
      <c r="AB53" s="21"/>
      <c r="AC53" s="21"/>
      <c r="AD53" s="21"/>
      <c r="AE53" s="21"/>
      <c r="AF53" s="21"/>
      <c r="AG53" s="21"/>
      <c r="AH53" s="21"/>
      <c r="AI53" s="30">
        <f>AI52</f>
        <v>396.93856079548857</v>
      </c>
      <c r="AJ53" s="30">
        <f>Q53</f>
        <v>396.94719334863117</v>
      </c>
      <c r="AK53" s="21"/>
      <c r="AL53" s="21"/>
      <c r="AM53" s="21"/>
      <c r="AN53" s="21"/>
      <c r="AO53" s="21"/>
      <c r="AP53" s="21">
        <f t="shared" si="4"/>
        <v>396.86799999999999</v>
      </c>
      <c r="AQ53" s="21">
        <f t="shared" si="5"/>
        <v>396.93199999999996</v>
      </c>
    </row>
    <row r="54" spans="1:43">
      <c r="A54" s="90"/>
      <c r="B54" s="90"/>
      <c r="C54" s="90"/>
      <c r="D54" s="90"/>
      <c r="E54" s="90"/>
      <c r="F54" s="90"/>
      <c r="G54" s="90"/>
      <c r="J54" s="5">
        <v>6</v>
      </c>
      <c r="K54" s="23">
        <f t="shared" si="12"/>
        <v>282.75913043478261</v>
      </c>
      <c r="L54" s="24">
        <f t="shared" si="6"/>
        <v>13</v>
      </c>
      <c r="M54" s="5">
        <f t="shared" si="7"/>
        <v>396.94100000125962</v>
      </c>
      <c r="N54" s="25">
        <f t="shared" si="8"/>
        <v>-6.6666470715972539E-4</v>
      </c>
      <c r="O54" s="26">
        <f t="shared" si="9"/>
        <v>12.759130434782605</v>
      </c>
      <c r="P54" s="27">
        <f t="shared" si="10"/>
        <v>396.93249393930472</v>
      </c>
      <c r="Q54" s="27">
        <f t="shared" si="11"/>
        <v>396.93758274811557</v>
      </c>
      <c r="R54" s="5"/>
      <c r="S54" s="21"/>
      <c r="T54" s="21"/>
      <c r="U54" s="21"/>
      <c r="V54" s="21"/>
      <c r="W54" s="21"/>
      <c r="X54" s="21"/>
      <c r="Y54" s="21"/>
      <c r="Z54" s="21"/>
      <c r="AA54" s="21"/>
      <c r="AB54" s="21"/>
      <c r="AC54" s="21"/>
      <c r="AD54" s="21"/>
      <c r="AE54" s="21"/>
      <c r="AF54" s="21"/>
      <c r="AG54" s="21"/>
      <c r="AH54" s="21"/>
      <c r="AI54" s="21"/>
      <c r="AJ54" s="30">
        <f>AJ53</f>
        <v>396.94719334863117</v>
      </c>
      <c r="AK54" s="30">
        <f>Q54</f>
        <v>396.93758274811557</v>
      </c>
      <c r="AL54" s="21"/>
      <c r="AM54" s="21"/>
      <c r="AN54" s="21"/>
      <c r="AO54" s="21"/>
      <c r="AP54" s="21">
        <f t="shared" si="4"/>
        <v>396.86799999999999</v>
      </c>
      <c r="AQ54" s="21">
        <f t="shared" si="5"/>
        <v>396.93199999999996</v>
      </c>
    </row>
    <row r="55" spans="1:43">
      <c r="A55" s="90"/>
      <c r="B55" s="90"/>
      <c r="C55" s="90"/>
      <c r="D55" s="90"/>
      <c r="E55" s="90"/>
      <c r="F55" s="90"/>
      <c r="G55" s="90"/>
      <c r="J55" s="5">
        <v>5</v>
      </c>
      <c r="K55" s="23">
        <f t="shared" si="12"/>
        <v>298.4113043478261</v>
      </c>
      <c r="L55" s="24">
        <f t="shared" si="6"/>
        <v>14</v>
      </c>
      <c r="M55" s="5">
        <f t="shared" si="7"/>
        <v>396.92600004534853</v>
      </c>
      <c r="N55" s="25">
        <f t="shared" si="8"/>
        <v>-1.91111307061015E-3</v>
      </c>
      <c r="O55" s="26">
        <f t="shared" si="9"/>
        <v>5.9113043478261034</v>
      </c>
      <c r="P55" s="27">
        <f t="shared" si="10"/>
        <v>396.91470287434504</v>
      </c>
      <c r="Q55" s="27">
        <f t="shared" si="11"/>
        <v>396.92359840682491</v>
      </c>
      <c r="R55" s="5"/>
      <c r="S55" s="21"/>
      <c r="T55" s="21"/>
      <c r="U55" s="21"/>
      <c r="V55" s="21"/>
      <c r="W55" s="21"/>
      <c r="X55" s="21"/>
      <c r="Y55" s="21"/>
      <c r="Z55" s="21"/>
      <c r="AA55" s="21"/>
      <c r="AB55" s="21"/>
      <c r="AC55" s="21"/>
      <c r="AD55" s="21"/>
      <c r="AE55" s="21"/>
      <c r="AF55" s="21"/>
      <c r="AG55" s="21"/>
      <c r="AH55" s="21"/>
      <c r="AI55" s="21"/>
      <c r="AJ55" s="21"/>
      <c r="AK55" s="30">
        <f>AK54</f>
        <v>396.93758274811557</v>
      </c>
      <c r="AL55" s="30">
        <f>Q55</f>
        <v>396.92359840682491</v>
      </c>
      <c r="AM55" s="21"/>
      <c r="AN55" s="21"/>
      <c r="AO55" s="21"/>
      <c r="AP55" s="21">
        <f t="shared" si="4"/>
        <v>396.86799999999999</v>
      </c>
      <c r="AQ55" s="21">
        <f t="shared" si="5"/>
        <v>396.93199999999996</v>
      </c>
    </row>
    <row r="56" spans="1:43">
      <c r="A56" s="90"/>
      <c r="B56" s="90"/>
      <c r="C56" s="90"/>
      <c r="D56" s="90"/>
      <c r="E56" s="90"/>
      <c r="F56" s="90"/>
      <c r="G56" s="90"/>
      <c r="J56" s="5">
        <v>4</v>
      </c>
      <c r="K56" s="23">
        <f t="shared" si="12"/>
        <v>314.0634782608696</v>
      </c>
      <c r="L56" s="24">
        <f t="shared" si="6"/>
        <v>14</v>
      </c>
      <c r="M56" s="5">
        <f t="shared" si="7"/>
        <v>396.92600004534853</v>
      </c>
      <c r="N56" s="25">
        <f t="shared" si="8"/>
        <v>-1.91111307061015E-3</v>
      </c>
      <c r="O56" s="26">
        <f t="shared" si="9"/>
        <v>21.563478260869601</v>
      </c>
      <c r="P56" s="27">
        <f t="shared" si="10"/>
        <v>396.88478980019636</v>
      </c>
      <c r="Q56" s="27">
        <f t="shared" si="11"/>
        <v>396.8997463372707</v>
      </c>
      <c r="R56" s="5"/>
      <c r="S56" s="21"/>
      <c r="T56" s="21"/>
      <c r="U56" s="21"/>
      <c r="V56" s="21"/>
      <c r="W56" s="21"/>
      <c r="X56" s="21"/>
      <c r="Y56" s="21"/>
      <c r="Z56" s="21"/>
      <c r="AA56" s="21"/>
      <c r="AB56" s="21"/>
      <c r="AC56" s="21"/>
      <c r="AD56" s="21"/>
      <c r="AE56" s="21"/>
      <c r="AF56" s="21"/>
      <c r="AG56" s="21"/>
      <c r="AH56" s="21"/>
      <c r="AI56" s="21"/>
      <c r="AJ56" s="21"/>
      <c r="AK56" s="21"/>
      <c r="AL56" s="30">
        <f>AL55</f>
        <v>396.92359840682491</v>
      </c>
      <c r="AM56" s="30">
        <f>Q56</f>
        <v>396.8997463372707</v>
      </c>
      <c r="AN56" s="21"/>
      <c r="AO56" s="21"/>
      <c r="AP56" s="21">
        <f t="shared" si="4"/>
        <v>396.86799999999999</v>
      </c>
      <c r="AQ56" s="21">
        <f t="shared" si="5"/>
        <v>396.93199999999996</v>
      </c>
    </row>
    <row r="57" spans="1:43">
      <c r="A57" s="90"/>
      <c r="B57" s="90"/>
      <c r="C57" s="90"/>
      <c r="D57" s="90"/>
      <c r="E57" s="90"/>
      <c r="F57" s="90"/>
      <c r="G57" s="90"/>
      <c r="J57" s="5">
        <v>3</v>
      </c>
      <c r="K57" s="23">
        <f t="shared" si="12"/>
        <v>329.7156521739131</v>
      </c>
      <c r="L57" s="24">
        <f t="shared" si="6"/>
        <v>15</v>
      </c>
      <c r="M57" s="5">
        <f t="shared" si="7"/>
        <v>396.8830000012598</v>
      </c>
      <c r="N57" s="25">
        <f t="shared" si="8"/>
        <v>-5.7777732982534262E-4</v>
      </c>
      <c r="O57" s="26">
        <f t="shared" si="9"/>
        <v>14.715652173913099</v>
      </c>
      <c r="P57" s="27">
        <f t="shared" si="10"/>
        <v>396.87449763104013</v>
      </c>
      <c r="Q57" s="27">
        <f t="shared" si="11"/>
        <v>396.87964371561827</v>
      </c>
      <c r="R57" s="5"/>
      <c r="S57" s="21"/>
      <c r="T57" s="21"/>
      <c r="U57" s="21"/>
      <c r="V57" s="21"/>
      <c r="W57" s="21"/>
      <c r="X57" s="21"/>
      <c r="Y57" s="21"/>
      <c r="Z57" s="21"/>
      <c r="AA57" s="21"/>
      <c r="AB57" s="21"/>
      <c r="AC57" s="21"/>
      <c r="AD57" s="21"/>
      <c r="AE57" s="21"/>
      <c r="AF57" s="21"/>
      <c r="AG57" s="21"/>
      <c r="AH57" s="21"/>
      <c r="AI57" s="21"/>
      <c r="AJ57" s="21"/>
      <c r="AK57" s="21"/>
      <c r="AL57" s="21"/>
      <c r="AM57" s="30">
        <f>AM56</f>
        <v>396.8997463372707</v>
      </c>
      <c r="AN57" s="30">
        <f>Q57</f>
        <v>396.87964371561827</v>
      </c>
      <c r="AO57" s="21"/>
      <c r="AP57" s="21">
        <f t="shared" si="4"/>
        <v>396.86799999999999</v>
      </c>
      <c r="AQ57" s="21">
        <f t="shared" si="5"/>
        <v>396.93199999999996</v>
      </c>
    </row>
    <row r="58" spans="1:43">
      <c r="A58" s="90"/>
      <c r="B58" s="90"/>
      <c r="C58" s="90"/>
      <c r="D58" s="90"/>
      <c r="E58" s="90"/>
      <c r="F58" s="90"/>
      <c r="G58" s="90"/>
      <c r="J58" s="5">
        <v>2</v>
      </c>
      <c r="K58" s="23">
        <f t="shared" si="12"/>
        <v>345.3678260869566</v>
      </c>
      <c r="L58" s="24">
        <f t="shared" si="6"/>
        <v>16</v>
      </c>
      <c r="M58" s="5">
        <f t="shared" si="7"/>
        <v>396.87000001133873</v>
      </c>
      <c r="N58" s="25">
        <f t="shared" si="8"/>
        <v>6.6666621871465598E-4</v>
      </c>
      <c r="O58" s="26">
        <f t="shared" si="9"/>
        <v>7.8678260869565975</v>
      </c>
      <c r="P58" s="27">
        <f t="shared" si="10"/>
        <v>396.87524522520562</v>
      </c>
      <c r="Q58" s="27">
        <f t="shared" si="11"/>
        <v>396.8748714281229</v>
      </c>
      <c r="R58" s="5"/>
      <c r="S58" s="31"/>
      <c r="T58" s="31"/>
      <c r="U58" s="31"/>
      <c r="V58" s="31"/>
      <c r="W58" s="31"/>
      <c r="X58" s="31"/>
      <c r="Y58" s="31"/>
      <c r="Z58" s="31"/>
      <c r="AA58" s="31"/>
      <c r="AB58" s="31"/>
      <c r="AC58" s="31"/>
      <c r="AD58" s="31"/>
      <c r="AE58" s="31"/>
      <c r="AF58" s="31"/>
      <c r="AG58" s="31"/>
      <c r="AH58" s="31"/>
      <c r="AI58" s="31"/>
      <c r="AJ58" s="31"/>
      <c r="AK58" s="31"/>
      <c r="AL58" s="31"/>
      <c r="AM58" s="31"/>
      <c r="AN58" s="32">
        <f>AN57</f>
        <v>396.87964371561827</v>
      </c>
      <c r="AO58" s="32">
        <f>Q58</f>
        <v>396.8748714281229</v>
      </c>
      <c r="AP58" s="31">
        <f t="shared" si="4"/>
        <v>396.86799999999999</v>
      </c>
      <c r="AQ58" s="31">
        <f t="shared" si="5"/>
        <v>396.93199999999996</v>
      </c>
    </row>
    <row r="61" spans="1:43">
      <c r="I61" s="33"/>
      <c r="J61" s="33"/>
      <c r="K61" s="33"/>
      <c r="L61" s="33"/>
      <c r="M61" s="33"/>
      <c r="N61" s="33"/>
      <c r="O61" s="33"/>
      <c r="P61" s="33"/>
      <c r="Q61" s="33"/>
      <c r="R61" s="33"/>
      <c r="S61" s="33"/>
      <c r="T61" s="33"/>
      <c r="U61" s="33"/>
      <c r="V61" s="33"/>
      <c r="W61" s="49"/>
      <c r="X61" s="33"/>
      <c r="Y61" s="33"/>
      <c r="Z61" s="33"/>
      <c r="AA61" s="33"/>
      <c r="AB61" s="33"/>
      <c r="AC61" s="33"/>
      <c r="AD61" s="33"/>
      <c r="AE61" s="33"/>
      <c r="AF61" s="33"/>
      <c r="AG61" s="33"/>
      <c r="AH61" s="33"/>
      <c r="AI61" s="33"/>
      <c r="AJ61" s="33"/>
      <c r="AK61" s="33"/>
      <c r="AL61" s="33"/>
    </row>
    <row r="62" spans="1:43">
      <c r="I62" s="33"/>
      <c r="J62" s="33"/>
      <c r="K62" s="33"/>
      <c r="L62" s="33"/>
      <c r="M62" s="33"/>
      <c r="N62" s="33"/>
      <c r="O62" s="33"/>
      <c r="P62" s="33"/>
      <c r="Q62" s="33"/>
      <c r="R62" s="33"/>
      <c r="S62" s="33"/>
      <c r="T62" s="33"/>
      <c r="U62" s="33"/>
      <c r="V62" s="33"/>
      <c r="W62" s="49"/>
      <c r="X62" s="33"/>
      <c r="Y62" s="33"/>
      <c r="Z62" s="33"/>
      <c r="AA62" s="33"/>
      <c r="AB62" s="33"/>
      <c r="AC62" s="33"/>
      <c r="AD62" s="33"/>
      <c r="AE62" s="33"/>
      <c r="AF62" s="33"/>
      <c r="AG62" s="33"/>
      <c r="AH62" s="33"/>
      <c r="AI62" s="33"/>
      <c r="AJ62" s="33"/>
      <c r="AK62" s="33"/>
      <c r="AL62" s="33"/>
    </row>
    <row r="63" spans="1:43">
      <c r="I63" s="33"/>
      <c r="J63" s="33"/>
      <c r="K63" s="33"/>
      <c r="L63" s="33"/>
      <c r="M63" s="33"/>
      <c r="N63" s="33"/>
      <c r="O63" s="33"/>
      <c r="P63" s="33"/>
      <c r="Q63" s="33"/>
      <c r="R63" s="33"/>
      <c r="S63" s="33"/>
      <c r="T63" s="33"/>
      <c r="U63" s="33"/>
      <c r="V63" s="33"/>
      <c r="W63" s="49"/>
      <c r="X63" s="33"/>
      <c r="Y63" s="33"/>
      <c r="Z63" s="33"/>
      <c r="AA63" s="33"/>
      <c r="AB63" s="33"/>
      <c r="AC63" s="33"/>
      <c r="AD63" s="33"/>
      <c r="AE63" s="33"/>
      <c r="AF63" s="33"/>
      <c r="AG63" s="33"/>
      <c r="AH63" s="33"/>
      <c r="AI63" s="33"/>
      <c r="AJ63" s="33"/>
      <c r="AK63" s="33"/>
      <c r="AL63" s="33"/>
    </row>
    <row r="64" spans="1:43">
      <c r="I64" s="33"/>
      <c r="J64" s="33"/>
      <c r="K64" s="33"/>
      <c r="L64" s="33"/>
      <c r="M64" s="33"/>
      <c r="N64" s="33"/>
      <c r="O64" s="33"/>
      <c r="P64" s="33"/>
      <c r="Q64" s="33"/>
      <c r="R64" s="33"/>
      <c r="S64" s="33"/>
      <c r="T64" s="33"/>
      <c r="U64" s="33"/>
      <c r="V64" s="33"/>
      <c r="W64" s="49"/>
      <c r="X64" s="33"/>
      <c r="Y64" s="33"/>
      <c r="Z64" s="33"/>
      <c r="AA64" s="33"/>
      <c r="AB64" s="33"/>
      <c r="AC64" s="33"/>
      <c r="AD64" s="33"/>
      <c r="AE64" s="33"/>
      <c r="AF64" s="33"/>
      <c r="AG64" s="33"/>
      <c r="AH64" s="33"/>
      <c r="AI64" s="33"/>
      <c r="AJ64" s="33"/>
      <c r="AK64" s="33"/>
      <c r="AL64" s="33"/>
    </row>
    <row r="65" spans="9:38">
      <c r="I65" s="33"/>
      <c r="J65" s="33"/>
      <c r="K65" s="33"/>
      <c r="L65" s="33"/>
      <c r="M65" s="33"/>
      <c r="N65" s="33"/>
      <c r="O65" s="33"/>
      <c r="P65" s="33"/>
      <c r="Q65" s="33"/>
      <c r="R65" s="33"/>
      <c r="S65" s="33"/>
      <c r="T65" s="33"/>
      <c r="U65" s="33"/>
      <c r="V65" s="33"/>
      <c r="W65" s="49"/>
      <c r="X65" s="33"/>
      <c r="Y65" s="33"/>
      <c r="Z65" s="33"/>
      <c r="AA65" s="33"/>
      <c r="AB65" s="33"/>
      <c r="AC65" s="33"/>
      <c r="AD65" s="33"/>
      <c r="AE65" s="33"/>
      <c r="AF65" s="33"/>
      <c r="AG65" s="33"/>
      <c r="AH65" s="33"/>
      <c r="AI65" s="33"/>
      <c r="AJ65" s="33"/>
      <c r="AK65" s="33"/>
      <c r="AL65" s="33"/>
    </row>
    <row r="66" spans="9:38">
      <c r="I66" s="33"/>
      <c r="J66" s="33"/>
      <c r="K66" s="33"/>
      <c r="L66" s="33"/>
      <c r="M66" s="33"/>
      <c r="N66" s="33"/>
      <c r="O66" s="33"/>
      <c r="P66" s="33"/>
      <c r="Q66" s="33"/>
      <c r="R66" s="33"/>
      <c r="S66" s="33"/>
      <c r="T66" s="33"/>
      <c r="U66" s="33"/>
      <c r="V66" s="33"/>
      <c r="W66" s="49"/>
      <c r="X66" s="33"/>
      <c r="Y66" s="33"/>
      <c r="Z66" s="33"/>
      <c r="AA66" s="33"/>
      <c r="AB66" s="33"/>
      <c r="AC66" s="33"/>
      <c r="AD66" s="33"/>
      <c r="AE66" s="33"/>
      <c r="AF66" s="33"/>
      <c r="AG66" s="33"/>
      <c r="AH66" s="33"/>
      <c r="AI66" s="33"/>
      <c r="AJ66" s="33"/>
      <c r="AK66" s="33"/>
      <c r="AL66" s="33"/>
    </row>
    <row r="67" spans="9:38">
      <c r="I67" s="33"/>
      <c r="J67" s="33"/>
      <c r="K67" s="33"/>
      <c r="L67" s="33"/>
      <c r="M67" s="33"/>
      <c r="N67" s="33"/>
      <c r="O67" s="33"/>
      <c r="P67" s="33"/>
      <c r="Q67" s="33"/>
      <c r="R67" s="33"/>
      <c r="S67" s="33"/>
      <c r="T67" s="33"/>
      <c r="U67" s="33"/>
      <c r="V67" s="33"/>
      <c r="W67" s="49"/>
      <c r="X67" s="33"/>
      <c r="Y67" s="33"/>
      <c r="Z67" s="33"/>
      <c r="AA67" s="33"/>
      <c r="AB67" s="33"/>
      <c r="AC67" s="33"/>
      <c r="AD67" s="33"/>
      <c r="AE67" s="33"/>
      <c r="AF67" s="33"/>
      <c r="AG67" s="33"/>
      <c r="AH67" s="33"/>
      <c r="AI67" s="33"/>
      <c r="AJ67" s="33"/>
      <c r="AK67" s="33"/>
      <c r="AL67" s="33"/>
    </row>
    <row r="68" spans="9:38">
      <c r="I68" s="33"/>
      <c r="J68" s="33"/>
      <c r="K68" s="33"/>
      <c r="L68" s="33"/>
      <c r="M68" s="33"/>
      <c r="N68" s="33"/>
      <c r="O68" s="33"/>
      <c r="P68" s="33"/>
      <c r="Q68" s="33"/>
      <c r="R68" s="33"/>
      <c r="S68" s="33"/>
      <c r="T68" s="33"/>
      <c r="U68" s="33"/>
      <c r="V68" s="33"/>
      <c r="W68" s="49"/>
      <c r="X68" s="33"/>
      <c r="Y68" s="33"/>
      <c r="Z68" s="33"/>
      <c r="AA68" s="33"/>
      <c r="AB68" s="33"/>
      <c r="AC68" s="33"/>
      <c r="AD68" s="33"/>
      <c r="AE68" s="33"/>
      <c r="AF68" s="33"/>
      <c r="AG68" s="33"/>
      <c r="AH68" s="33"/>
      <c r="AI68" s="33"/>
      <c r="AJ68" s="33"/>
      <c r="AK68" s="33"/>
      <c r="AL68" s="33"/>
    </row>
    <row r="69" spans="9:38">
      <c r="I69" s="33"/>
      <c r="J69" s="33"/>
      <c r="K69" s="33"/>
      <c r="L69" s="33"/>
      <c r="M69" s="33"/>
      <c r="N69" s="33"/>
      <c r="O69" s="33"/>
      <c r="P69" s="33"/>
      <c r="Q69" s="33"/>
      <c r="R69" s="33"/>
      <c r="S69" s="33"/>
      <c r="T69" s="33"/>
      <c r="U69" s="33"/>
      <c r="V69" s="33"/>
      <c r="W69" s="49"/>
      <c r="X69" s="33"/>
      <c r="Y69" s="33"/>
      <c r="Z69" s="33"/>
      <c r="AA69" s="33"/>
      <c r="AB69" s="33"/>
      <c r="AC69" s="33"/>
      <c r="AD69" s="33"/>
      <c r="AE69" s="33"/>
      <c r="AF69" s="33"/>
      <c r="AG69" s="33"/>
      <c r="AH69" s="33"/>
      <c r="AI69" s="33"/>
      <c r="AJ69" s="33"/>
      <c r="AK69" s="33"/>
      <c r="AL69" s="33"/>
    </row>
    <row r="70" spans="9:38">
      <c r="I70" s="33"/>
      <c r="J70" s="33"/>
      <c r="K70" s="33"/>
      <c r="L70" s="33"/>
      <c r="M70" s="33"/>
      <c r="N70" s="33"/>
      <c r="O70" s="33"/>
      <c r="P70" s="33"/>
      <c r="Q70" s="33"/>
      <c r="R70" s="33"/>
      <c r="S70" s="33"/>
      <c r="T70" s="33"/>
      <c r="U70" s="33"/>
      <c r="V70" s="33"/>
      <c r="W70" s="49"/>
      <c r="X70" s="33"/>
      <c r="Y70" s="33"/>
      <c r="Z70" s="33"/>
      <c r="AA70" s="33"/>
      <c r="AB70" s="33"/>
      <c r="AC70" s="33"/>
      <c r="AD70" s="33"/>
      <c r="AE70" s="33"/>
      <c r="AF70" s="33"/>
      <c r="AG70" s="33"/>
      <c r="AH70" s="33"/>
      <c r="AI70" s="33"/>
      <c r="AJ70" s="33"/>
      <c r="AK70" s="33"/>
      <c r="AL70" s="33"/>
    </row>
    <row r="71" spans="9:38">
      <c r="I71" s="33"/>
      <c r="J71" s="33"/>
      <c r="K71" s="33"/>
      <c r="L71" s="33"/>
      <c r="M71" s="33"/>
      <c r="N71" s="33"/>
      <c r="O71" s="33"/>
      <c r="P71" s="33"/>
      <c r="Q71" s="33"/>
      <c r="R71" s="33"/>
      <c r="S71" s="33"/>
      <c r="T71" s="33"/>
      <c r="U71" s="33"/>
      <c r="V71" s="33"/>
      <c r="W71" s="49"/>
      <c r="X71" s="33"/>
      <c r="Y71" s="33"/>
      <c r="Z71" s="33"/>
      <c r="AA71" s="33"/>
      <c r="AB71" s="33"/>
      <c r="AC71" s="33"/>
      <c r="AD71" s="33"/>
      <c r="AE71" s="33"/>
      <c r="AF71" s="33"/>
      <c r="AG71" s="33"/>
      <c r="AH71" s="33"/>
      <c r="AI71" s="33"/>
      <c r="AJ71" s="33"/>
      <c r="AK71" s="33"/>
      <c r="AL71" s="33"/>
    </row>
    <row r="72" spans="9:38">
      <c r="I72" s="33"/>
      <c r="J72" s="33"/>
      <c r="K72" s="33"/>
      <c r="L72" s="33"/>
      <c r="M72" s="33"/>
      <c r="N72" s="33"/>
      <c r="O72" s="33"/>
      <c r="P72" s="33"/>
      <c r="Q72" s="33"/>
      <c r="R72" s="33"/>
      <c r="S72" s="33"/>
      <c r="T72" s="33"/>
      <c r="U72" s="33"/>
      <c r="V72" s="33"/>
      <c r="W72" s="49"/>
      <c r="X72" s="33"/>
      <c r="Y72" s="33"/>
      <c r="Z72" s="33"/>
      <c r="AA72" s="33"/>
      <c r="AB72" s="33"/>
      <c r="AC72" s="33"/>
      <c r="AD72" s="33"/>
      <c r="AE72" s="33"/>
      <c r="AF72" s="33"/>
      <c r="AG72" s="33"/>
      <c r="AH72" s="33"/>
      <c r="AI72" s="33"/>
      <c r="AJ72" s="33"/>
      <c r="AK72" s="33"/>
      <c r="AL72" s="33"/>
    </row>
    <row r="73" spans="9:38">
      <c r="I73" s="33"/>
      <c r="J73" s="33"/>
      <c r="K73" s="33"/>
      <c r="L73" s="33"/>
      <c r="M73" s="33"/>
      <c r="N73" s="33"/>
      <c r="O73" s="33"/>
      <c r="P73" s="33"/>
      <c r="Q73" s="33"/>
      <c r="R73" s="33"/>
      <c r="S73" s="33"/>
      <c r="T73" s="33"/>
      <c r="U73" s="33"/>
      <c r="V73" s="33"/>
      <c r="W73" s="49"/>
      <c r="X73" s="33"/>
      <c r="Y73" s="33"/>
      <c r="Z73" s="33"/>
      <c r="AA73" s="33"/>
      <c r="AB73" s="33"/>
      <c r="AC73" s="33"/>
      <c r="AD73" s="33"/>
      <c r="AE73" s="33"/>
      <c r="AF73" s="33"/>
      <c r="AG73" s="33"/>
      <c r="AH73" s="33"/>
      <c r="AI73" s="33"/>
      <c r="AJ73" s="33"/>
      <c r="AK73" s="33"/>
      <c r="AL73" s="33"/>
    </row>
    <row r="74" spans="9:38">
      <c r="I74" s="33"/>
      <c r="J74" s="33"/>
      <c r="K74" s="33"/>
      <c r="L74" s="33"/>
      <c r="M74" s="33"/>
      <c r="N74" s="33"/>
      <c r="O74" s="33"/>
      <c r="P74" s="33"/>
      <c r="Q74" s="33"/>
      <c r="R74" s="33"/>
      <c r="S74" s="33"/>
      <c r="T74" s="33"/>
      <c r="U74" s="33"/>
      <c r="V74" s="33"/>
      <c r="W74" s="49"/>
      <c r="X74" s="33"/>
      <c r="Y74" s="33"/>
      <c r="Z74" s="33"/>
      <c r="AA74" s="33"/>
      <c r="AB74" s="33"/>
      <c r="AC74" s="33"/>
      <c r="AD74" s="33"/>
      <c r="AE74" s="33"/>
      <c r="AF74" s="33"/>
      <c r="AG74" s="33"/>
      <c r="AH74" s="33"/>
      <c r="AI74" s="33"/>
      <c r="AJ74" s="33"/>
      <c r="AK74" s="33"/>
      <c r="AL74" s="33"/>
    </row>
    <row r="75" spans="9:38">
      <c r="I75" s="33"/>
      <c r="J75" s="33"/>
      <c r="K75" s="33"/>
      <c r="L75" s="33"/>
      <c r="M75" s="33"/>
      <c r="N75" s="33"/>
      <c r="O75" s="33"/>
      <c r="P75" s="33"/>
      <c r="Q75" s="33"/>
      <c r="R75" s="33"/>
      <c r="S75" s="33"/>
      <c r="T75" s="33"/>
      <c r="U75" s="33"/>
      <c r="V75" s="33"/>
      <c r="W75" s="49"/>
      <c r="X75" s="33"/>
      <c r="Y75" s="33"/>
      <c r="Z75" s="33"/>
      <c r="AA75" s="33"/>
      <c r="AB75" s="33"/>
      <c r="AC75" s="33"/>
      <c r="AD75" s="33"/>
      <c r="AE75" s="33"/>
      <c r="AF75" s="33"/>
      <c r="AG75" s="33"/>
      <c r="AH75" s="33"/>
      <c r="AI75" s="33"/>
      <c r="AJ75" s="33"/>
      <c r="AK75" s="33"/>
      <c r="AL75" s="33"/>
    </row>
    <row r="76" spans="9:38">
      <c r="I76" s="33"/>
      <c r="J76" s="33"/>
      <c r="K76" s="33"/>
      <c r="L76" s="33"/>
      <c r="M76" s="33"/>
      <c r="N76" s="33"/>
      <c r="O76" s="33"/>
      <c r="P76" s="33"/>
      <c r="Q76" s="33"/>
      <c r="R76" s="33"/>
      <c r="S76" s="33"/>
      <c r="T76" s="33"/>
      <c r="U76" s="33"/>
      <c r="V76" s="33"/>
      <c r="W76" s="49"/>
      <c r="X76" s="33"/>
      <c r="Y76" s="33"/>
      <c r="Z76" s="33"/>
      <c r="AA76" s="33"/>
      <c r="AB76" s="33"/>
      <c r="AC76" s="33"/>
      <c r="AD76" s="33"/>
      <c r="AE76" s="33"/>
      <c r="AF76" s="33"/>
      <c r="AG76" s="33"/>
      <c r="AH76" s="33"/>
      <c r="AI76" s="33"/>
      <c r="AJ76" s="33"/>
      <c r="AK76" s="33"/>
      <c r="AL76" s="33"/>
    </row>
    <row r="77" spans="9:38">
      <c r="I77" s="33"/>
      <c r="J77" s="33"/>
      <c r="K77" s="33"/>
      <c r="L77" s="33"/>
      <c r="M77" s="33"/>
      <c r="N77" s="33"/>
      <c r="O77" s="33"/>
      <c r="P77" s="33"/>
      <c r="Q77" s="33"/>
      <c r="R77" s="33"/>
      <c r="S77" s="33"/>
      <c r="T77" s="33"/>
      <c r="U77" s="33"/>
      <c r="V77" s="33"/>
      <c r="W77" s="49"/>
      <c r="X77" s="33"/>
      <c r="Y77" s="33"/>
      <c r="Z77" s="33"/>
      <c r="AA77" s="33"/>
      <c r="AB77" s="33"/>
      <c r="AC77" s="33"/>
      <c r="AD77" s="33"/>
      <c r="AE77" s="33"/>
      <c r="AF77" s="33"/>
      <c r="AG77" s="33"/>
      <c r="AH77" s="33"/>
      <c r="AI77" s="33"/>
      <c r="AJ77" s="33"/>
      <c r="AK77" s="33"/>
      <c r="AL77" s="33"/>
    </row>
    <row r="78" spans="9:38">
      <c r="I78" s="33"/>
      <c r="J78" s="33"/>
      <c r="K78" s="33"/>
      <c r="L78" s="33"/>
      <c r="M78" s="33"/>
      <c r="N78" s="33"/>
      <c r="O78" s="33"/>
      <c r="P78" s="33"/>
      <c r="Q78" s="33"/>
      <c r="R78" s="33"/>
      <c r="S78" s="33"/>
      <c r="T78" s="33"/>
      <c r="U78" s="33"/>
      <c r="V78" s="33"/>
      <c r="W78" s="49"/>
      <c r="X78" s="33"/>
      <c r="Y78" s="33"/>
      <c r="Z78" s="33"/>
      <c r="AA78" s="33"/>
      <c r="AB78" s="33"/>
      <c r="AC78" s="33"/>
      <c r="AD78" s="33"/>
      <c r="AE78" s="33"/>
      <c r="AF78" s="33"/>
      <c r="AG78" s="33"/>
      <c r="AH78" s="33"/>
      <c r="AI78" s="33"/>
      <c r="AJ78" s="33"/>
      <c r="AK78" s="33"/>
      <c r="AL78" s="33"/>
    </row>
    <row r="79" spans="9:38">
      <c r="I79" s="33"/>
      <c r="J79" s="33"/>
      <c r="K79" s="33"/>
      <c r="L79" s="33"/>
      <c r="M79" s="33"/>
      <c r="N79" s="33"/>
      <c r="O79" s="33"/>
      <c r="P79" s="33"/>
      <c r="Q79" s="33"/>
      <c r="R79" s="33"/>
      <c r="S79" s="33"/>
      <c r="T79" s="33"/>
      <c r="U79" s="33"/>
      <c r="V79" s="33"/>
      <c r="W79" s="49"/>
      <c r="X79" s="33"/>
      <c r="Y79" s="33"/>
      <c r="Z79" s="33"/>
      <c r="AA79" s="33"/>
      <c r="AB79" s="33"/>
      <c r="AC79" s="33"/>
      <c r="AD79" s="33"/>
      <c r="AE79" s="33"/>
      <c r="AF79" s="33"/>
      <c r="AG79" s="33"/>
      <c r="AH79" s="33"/>
      <c r="AI79" s="33"/>
      <c r="AJ79" s="33"/>
      <c r="AK79" s="33"/>
      <c r="AL79" s="33"/>
    </row>
    <row r="80" spans="9:38">
      <c r="I80" s="33"/>
      <c r="J80" s="33"/>
      <c r="K80" s="33"/>
      <c r="L80" s="33"/>
      <c r="M80" s="33"/>
      <c r="N80" s="33"/>
      <c r="O80" s="33"/>
      <c r="P80" s="33"/>
      <c r="Q80" s="33"/>
      <c r="R80" s="33"/>
      <c r="S80" s="33"/>
      <c r="T80" s="33"/>
      <c r="U80" s="33"/>
      <c r="V80" s="33"/>
      <c r="W80" s="49"/>
      <c r="X80" s="33"/>
      <c r="Y80" s="33"/>
      <c r="Z80" s="33"/>
      <c r="AA80" s="33"/>
      <c r="AB80" s="33"/>
      <c r="AC80" s="33"/>
      <c r="AD80" s="33"/>
      <c r="AE80" s="33"/>
      <c r="AF80" s="33"/>
      <c r="AG80" s="33"/>
      <c r="AH80" s="33"/>
      <c r="AI80" s="33"/>
      <c r="AJ80" s="33"/>
      <c r="AK80" s="33"/>
      <c r="AL80" s="33"/>
    </row>
    <row r="81" spans="9:38">
      <c r="I81" s="33"/>
      <c r="J81" s="33"/>
      <c r="K81" s="33"/>
      <c r="L81" s="33"/>
      <c r="M81" s="33"/>
      <c r="N81" s="33"/>
      <c r="O81" s="33"/>
      <c r="P81" s="33"/>
      <c r="Q81" s="33"/>
      <c r="R81" s="33"/>
      <c r="S81" s="33"/>
      <c r="T81" s="33"/>
      <c r="U81" s="33"/>
      <c r="V81" s="33"/>
      <c r="W81" s="49"/>
      <c r="X81" s="33"/>
      <c r="Y81" s="33"/>
      <c r="Z81" s="33"/>
      <c r="AA81" s="33"/>
      <c r="AB81" s="33"/>
      <c r="AC81" s="33"/>
      <c r="AD81" s="33"/>
      <c r="AE81" s="33"/>
      <c r="AF81" s="33"/>
      <c r="AG81" s="33"/>
      <c r="AH81" s="33"/>
      <c r="AI81" s="33"/>
      <c r="AJ81" s="33"/>
      <c r="AK81" s="33"/>
      <c r="AL81" s="33"/>
    </row>
    <row r="82" spans="9:38">
      <c r="I82" s="33"/>
      <c r="J82" s="33"/>
      <c r="K82" s="33"/>
      <c r="L82" s="33"/>
      <c r="M82" s="33"/>
      <c r="N82" s="33"/>
      <c r="O82" s="33"/>
      <c r="P82" s="33"/>
      <c r="Q82" s="33"/>
      <c r="R82" s="33"/>
      <c r="S82" s="33"/>
      <c r="T82" s="33"/>
      <c r="U82" s="33"/>
      <c r="V82" s="33"/>
      <c r="W82" s="49"/>
      <c r="X82" s="33"/>
      <c r="Y82" s="33"/>
      <c r="Z82" s="33"/>
      <c r="AA82" s="33"/>
      <c r="AB82" s="33"/>
      <c r="AC82" s="33"/>
      <c r="AD82" s="33"/>
      <c r="AE82" s="33"/>
      <c r="AF82" s="33"/>
      <c r="AG82" s="33"/>
      <c r="AH82" s="33"/>
      <c r="AI82" s="33"/>
      <c r="AJ82" s="33"/>
      <c r="AK82" s="33"/>
      <c r="AL82" s="33"/>
    </row>
    <row r="83" spans="9:38">
      <c r="I83" s="33"/>
      <c r="J83" s="33"/>
      <c r="K83" s="33"/>
      <c r="L83" s="33"/>
      <c r="M83" s="33"/>
      <c r="N83" s="33"/>
      <c r="O83" s="33"/>
      <c r="P83" s="33"/>
      <c r="Q83" s="33"/>
      <c r="R83" s="33"/>
      <c r="S83" s="33"/>
      <c r="T83" s="33"/>
      <c r="U83" s="33"/>
      <c r="V83" s="33"/>
      <c r="W83" s="49"/>
      <c r="X83" s="33"/>
      <c r="Y83" s="33"/>
      <c r="Z83" s="33"/>
      <c r="AA83" s="33"/>
      <c r="AB83" s="33"/>
      <c r="AC83" s="33"/>
      <c r="AD83" s="33"/>
      <c r="AE83" s="33"/>
      <c r="AF83" s="33"/>
      <c r="AG83" s="33"/>
      <c r="AH83" s="33"/>
      <c r="AI83" s="33"/>
      <c r="AJ83" s="33"/>
      <c r="AK83" s="33"/>
      <c r="AL83" s="33"/>
    </row>
    <row r="84" spans="9:38">
      <c r="I84" s="33"/>
      <c r="J84" s="33"/>
      <c r="K84" s="33"/>
      <c r="L84" s="33"/>
      <c r="M84" s="33"/>
      <c r="N84" s="33"/>
      <c r="O84" s="33"/>
      <c r="P84" s="33"/>
      <c r="Q84" s="33"/>
      <c r="R84" s="33"/>
      <c r="S84" s="33"/>
      <c r="T84" s="33"/>
      <c r="U84" s="33"/>
      <c r="V84" s="33"/>
      <c r="W84" s="49"/>
      <c r="X84" s="33"/>
      <c r="Y84" s="33"/>
      <c r="Z84" s="33"/>
      <c r="AA84" s="33"/>
      <c r="AB84" s="33"/>
      <c r="AC84" s="33"/>
      <c r="AD84" s="33"/>
      <c r="AE84" s="33"/>
      <c r="AF84" s="33"/>
      <c r="AG84" s="33"/>
      <c r="AH84" s="33"/>
      <c r="AI84" s="33"/>
      <c r="AJ84" s="33"/>
      <c r="AK84" s="33"/>
      <c r="AL84" s="33"/>
    </row>
    <row r="85" spans="9:38">
      <c r="I85" s="33"/>
      <c r="J85" s="33"/>
      <c r="K85" s="33"/>
      <c r="L85" s="33"/>
      <c r="M85" s="33"/>
      <c r="N85" s="33"/>
      <c r="O85" s="33"/>
      <c r="P85" s="33"/>
      <c r="Q85" s="33"/>
      <c r="R85" s="33"/>
      <c r="S85" s="33"/>
      <c r="T85" s="33"/>
      <c r="U85" s="33"/>
      <c r="V85" s="33"/>
      <c r="W85" s="49"/>
      <c r="X85" s="33"/>
      <c r="Y85" s="33"/>
      <c r="Z85" s="33"/>
      <c r="AA85" s="33"/>
      <c r="AB85" s="33"/>
      <c r="AC85" s="33"/>
      <c r="AD85" s="33"/>
      <c r="AE85" s="33"/>
      <c r="AF85" s="33"/>
      <c r="AG85" s="33"/>
      <c r="AH85" s="33"/>
      <c r="AI85" s="33"/>
      <c r="AJ85" s="33"/>
      <c r="AK85" s="33"/>
      <c r="AL85" s="33"/>
    </row>
    <row r="86" spans="9:38">
      <c r="I86" s="33"/>
      <c r="J86" s="33"/>
      <c r="K86" s="33"/>
      <c r="L86" s="33"/>
      <c r="M86" s="33"/>
      <c r="N86" s="33"/>
      <c r="O86" s="33"/>
      <c r="P86" s="33"/>
      <c r="Q86" s="33"/>
      <c r="R86" s="33"/>
      <c r="S86" s="33"/>
      <c r="T86" s="33"/>
      <c r="U86" s="33"/>
      <c r="V86" s="33"/>
      <c r="W86" s="49"/>
      <c r="X86" s="33"/>
      <c r="Y86" s="33"/>
      <c r="Z86" s="33"/>
      <c r="AA86" s="33"/>
      <c r="AB86" s="33"/>
      <c r="AC86" s="33"/>
      <c r="AD86" s="33"/>
      <c r="AE86" s="33"/>
      <c r="AF86" s="33"/>
      <c r="AG86" s="33"/>
      <c r="AH86" s="33"/>
      <c r="AI86" s="33"/>
      <c r="AJ86" s="33"/>
      <c r="AK86" s="33"/>
      <c r="AL86" s="33"/>
    </row>
    <row r="87" spans="9:38">
      <c r="I87" s="33"/>
      <c r="J87" s="33"/>
      <c r="K87" s="33"/>
      <c r="L87" s="33"/>
      <c r="M87" s="33"/>
      <c r="N87" s="33"/>
      <c r="O87" s="33"/>
      <c r="P87" s="33"/>
      <c r="Q87" s="33"/>
      <c r="R87" s="33"/>
      <c r="S87" s="33"/>
      <c r="T87" s="33"/>
      <c r="U87" s="33"/>
      <c r="V87" s="33"/>
      <c r="W87" s="49"/>
      <c r="X87" s="33"/>
      <c r="Y87" s="33"/>
      <c r="Z87" s="33"/>
      <c r="AA87" s="33"/>
      <c r="AB87" s="33"/>
      <c r="AC87" s="33"/>
      <c r="AD87" s="33"/>
      <c r="AE87" s="33"/>
      <c r="AF87" s="33"/>
      <c r="AG87" s="33"/>
      <c r="AH87" s="33"/>
      <c r="AI87" s="33"/>
      <c r="AJ87" s="33"/>
      <c r="AK87" s="33"/>
      <c r="AL87" s="33"/>
    </row>
    <row r="88" spans="9:38">
      <c r="I88" s="33"/>
      <c r="J88" s="33"/>
      <c r="K88" s="33"/>
      <c r="L88" s="33"/>
      <c r="M88" s="33"/>
      <c r="N88" s="33"/>
      <c r="O88" s="33"/>
      <c r="P88" s="33"/>
      <c r="Q88" s="33"/>
      <c r="R88" s="33"/>
      <c r="S88" s="33"/>
      <c r="T88" s="33"/>
      <c r="U88" s="33"/>
      <c r="V88" s="33"/>
      <c r="W88" s="49"/>
      <c r="X88" s="33"/>
      <c r="Y88" s="33"/>
      <c r="Z88" s="33"/>
      <c r="AA88" s="33"/>
      <c r="AB88" s="33"/>
      <c r="AC88" s="33"/>
      <c r="AD88" s="33"/>
      <c r="AE88" s="33"/>
      <c r="AF88" s="33"/>
      <c r="AG88" s="33"/>
      <c r="AH88" s="33"/>
      <c r="AI88" s="33"/>
      <c r="AJ88" s="33"/>
      <c r="AK88" s="33"/>
      <c r="AL88" s="33"/>
    </row>
    <row r="89" spans="9:38">
      <c r="I89" s="33"/>
      <c r="J89" s="33"/>
      <c r="K89" s="33"/>
      <c r="L89" s="33"/>
      <c r="M89" s="33"/>
      <c r="N89" s="33"/>
      <c r="O89" s="33"/>
      <c r="P89" s="33"/>
      <c r="Q89" s="33"/>
      <c r="R89" s="33"/>
      <c r="S89" s="33"/>
      <c r="T89" s="33"/>
      <c r="U89" s="33"/>
      <c r="V89" s="33"/>
      <c r="W89" s="49"/>
      <c r="X89" s="33"/>
      <c r="Y89" s="33"/>
      <c r="Z89" s="33"/>
      <c r="AA89" s="33"/>
      <c r="AB89" s="33"/>
      <c r="AC89" s="33"/>
      <c r="AD89" s="33"/>
      <c r="AE89" s="33"/>
      <c r="AF89" s="33"/>
      <c r="AG89" s="33"/>
      <c r="AH89" s="33"/>
      <c r="AI89" s="33"/>
      <c r="AJ89" s="33"/>
      <c r="AK89" s="33"/>
      <c r="AL89" s="33"/>
    </row>
    <row r="90" spans="9:38">
      <c r="I90" s="33"/>
      <c r="J90" s="33"/>
      <c r="K90" s="33"/>
      <c r="L90" s="33"/>
      <c r="M90" s="33"/>
      <c r="N90" s="33"/>
      <c r="O90" s="33"/>
      <c r="P90" s="33"/>
      <c r="Q90" s="33"/>
      <c r="R90" s="33"/>
      <c r="S90" s="33"/>
      <c r="T90" s="33"/>
      <c r="U90" s="33"/>
      <c r="V90" s="33"/>
      <c r="W90" s="5"/>
      <c r="X90" s="33"/>
      <c r="Y90" s="33"/>
      <c r="Z90" s="33"/>
      <c r="AA90" s="33"/>
      <c r="AB90" s="33"/>
      <c r="AC90" s="33"/>
      <c r="AD90" s="33"/>
      <c r="AE90" s="33"/>
      <c r="AF90" s="33"/>
      <c r="AG90" s="33"/>
      <c r="AH90" s="33"/>
      <c r="AI90" s="33"/>
      <c r="AJ90" s="33"/>
      <c r="AK90" s="33"/>
      <c r="AL90" s="33"/>
    </row>
    <row r="91" spans="9:38">
      <c r="I91" s="33"/>
      <c r="J91" s="33"/>
      <c r="K91" s="33"/>
      <c r="L91" s="33"/>
      <c r="M91" s="33"/>
      <c r="N91" s="33"/>
      <c r="O91" s="33"/>
      <c r="P91" s="33"/>
      <c r="Q91" s="33"/>
      <c r="R91" s="33"/>
      <c r="S91" s="33"/>
      <c r="T91" s="33"/>
      <c r="U91" s="33"/>
      <c r="V91" s="33"/>
      <c r="W91" s="5"/>
      <c r="X91" s="33"/>
      <c r="Y91" s="33"/>
      <c r="Z91" s="33"/>
      <c r="AA91" s="33"/>
      <c r="AB91" s="33"/>
      <c r="AC91" s="33"/>
      <c r="AD91" s="33"/>
      <c r="AE91" s="33"/>
      <c r="AF91" s="33"/>
      <c r="AG91" s="33"/>
      <c r="AH91" s="33"/>
      <c r="AI91" s="33"/>
      <c r="AJ91" s="33"/>
      <c r="AK91" s="33"/>
      <c r="AL91" s="33"/>
    </row>
    <row r="92" spans="9:38">
      <c r="I92" s="33"/>
      <c r="J92" s="33"/>
      <c r="K92" s="33"/>
      <c r="L92" s="33"/>
      <c r="M92" s="33"/>
      <c r="N92" s="33"/>
      <c r="O92" s="33"/>
      <c r="P92" s="33"/>
      <c r="Q92" s="33"/>
      <c r="R92" s="33"/>
      <c r="S92" s="33"/>
      <c r="T92" s="33"/>
      <c r="U92" s="33"/>
      <c r="V92" s="33"/>
      <c r="W92" s="5"/>
      <c r="X92" s="33"/>
      <c r="Y92" s="33"/>
      <c r="Z92" s="33"/>
      <c r="AA92" s="33"/>
      <c r="AB92" s="33"/>
      <c r="AC92" s="33"/>
      <c r="AD92" s="33"/>
      <c r="AE92" s="33"/>
      <c r="AF92" s="33"/>
      <c r="AG92" s="33"/>
      <c r="AH92" s="33"/>
      <c r="AI92" s="33"/>
      <c r="AJ92" s="33"/>
      <c r="AK92" s="33"/>
      <c r="AL92" s="33"/>
    </row>
    <row r="93" spans="9:38">
      <c r="I93" s="33"/>
      <c r="J93" s="33"/>
      <c r="K93" s="33"/>
      <c r="L93" s="33"/>
      <c r="M93" s="33"/>
      <c r="N93" s="33"/>
      <c r="O93" s="33"/>
      <c r="P93" s="33"/>
      <c r="Q93" s="33"/>
      <c r="R93" s="33"/>
      <c r="S93" s="33"/>
      <c r="T93" s="33"/>
      <c r="U93" s="33"/>
      <c r="V93" s="33"/>
      <c r="W93" s="5"/>
      <c r="X93" s="33"/>
      <c r="Y93" s="33"/>
      <c r="Z93" s="33"/>
      <c r="AA93" s="33"/>
      <c r="AB93" s="33"/>
      <c r="AC93" s="33"/>
      <c r="AD93" s="33"/>
      <c r="AE93" s="33"/>
      <c r="AF93" s="33"/>
      <c r="AG93" s="33"/>
      <c r="AH93" s="33"/>
      <c r="AI93" s="33"/>
      <c r="AJ93" s="33"/>
      <c r="AK93" s="33"/>
      <c r="AL93" s="33"/>
    </row>
    <row r="94" spans="9:38">
      <c r="I94" s="33"/>
      <c r="J94" s="33"/>
      <c r="K94" s="33"/>
      <c r="L94" s="33"/>
      <c r="M94" s="33"/>
      <c r="N94" s="33"/>
      <c r="O94" s="33"/>
      <c r="P94" s="33"/>
      <c r="Q94" s="33"/>
      <c r="R94" s="33"/>
      <c r="S94" s="33"/>
      <c r="T94" s="33"/>
      <c r="U94" s="33"/>
      <c r="V94" s="33"/>
      <c r="W94" s="5"/>
      <c r="X94" s="33"/>
      <c r="Y94" s="33"/>
      <c r="Z94" s="33"/>
      <c r="AA94" s="33"/>
      <c r="AB94" s="33"/>
      <c r="AC94" s="33"/>
      <c r="AD94" s="33"/>
      <c r="AE94" s="33"/>
      <c r="AF94" s="33"/>
      <c r="AG94" s="33"/>
      <c r="AH94" s="33"/>
      <c r="AI94" s="33"/>
      <c r="AJ94" s="33"/>
      <c r="AK94" s="33"/>
      <c r="AL94" s="33"/>
    </row>
    <row r="95" spans="9:38">
      <c r="I95" s="33"/>
      <c r="J95" s="33"/>
      <c r="K95" s="33"/>
      <c r="L95" s="33"/>
      <c r="M95" s="33"/>
      <c r="N95" s="33"/>
      <c r="O95" s="33"/>
      <c r="P95" s="33"/>
      <c r="Q95" s="33"/>
      <c r="R95" s="33"/>
      <c r="S95" s="33"/>
      <c r="T95" s="33"/>
      <c r="U95" s="33"/>
      <c r="V95" s="33"/>
      <c r="W95" s="5"/>
      <c r="X95" s="33"/>
      <c r="Y95" s="33"/>
      <c r="Z95" s="33"/>
      <c r="AA95" s="33"/>
      <c r="AB95" s="33"/>
      <c r="AC95" s="33"/>
      <c r="AD95" s="33"/>
      <c r="AE95" s="33"/>
      <c r="AF95" s="33"/>
      <c r="AG95" s="33"/>
      <c r="AH95" s="33"/>
      <c r="AI95" s="33"/>
      <c r="AJ95" s="33"/>
      <c r="AK95" s="33"/>
      <c r="AL95" s="33"/>
    </row>
    <row r="96" spans="9:38">
      <c r="I96" s="33"/>
      <c r="J96" s="33"/>
      <c r="K96" s="33"/>
      <c r="L96" s="33"/>
      <c r="M96" s="33"/>
      <c r="N96" s="33"/>
      <c r="O96" s="33"/>
      <c r="P96" s="33"/>
      <c r="Q96" s="33"/>
      <c r="R96" s="33"/>
      <c r="S96" s="33"/>
      <c r="T96" s="33"/>
      <c r="U96" s="33"/>
      <c r="V96" s="33"/>
      <c r="W96" s="5"/>
      <c r="X96" s="33"/>
      <c r="Y96" s="33"/>
      <c r="Z96" s="33"/>
      <c r="AA96" s="33"/>
      <c r="AB96" s="33"/>
      <c r="AC96" s="33"/>
      <c r="AD96" s="33"/>
      <c r="AE96" s="33"/>
      <c r="AF96" s="33"/>
      <c r="AG96" s="33"/>
      <c r="AH96" s="33"/>
      <c r="AI96" s="33"/>
      <c r="AJ96" s="33"/>
      <c r="AK96" s="33"/>
      <c r="AL96" s="33"/>
    </row>
    <row r="97" spans="9:38">
      <c r="I97" s="33"/>
      <c r="J97" s="33"/>
      <c r="K97" s="33"/>
      <c r="L97" s="33"/>
      <c r="M97" s="33"/>
      <c r="N97" s="33"/>
      <c r="O97" s="33"/>
      <c r="P97" s="33"/>
      <c r="Q97" s="33"/>
      <c r="R97" s="33"/>
      <c r="S97" s="33"/>
      <c r="T97" s="33"/>
      <c r="U97" s="33"/>
      <c r="V97" s="33"/>
      <c r="W97" s="5"/>
      <c r="X97" s="33"/>
      <c r="Y97" s="33"/>
      <c r="Z97" s="33"/>
      <c r="AA97" s="33"/>
      <c r="AB97" s="33"/>
      <c r="AC97" s="33"/>
      <c r="AD97" s="33"/>
      <c r="AE97" s="33"/>
      <c r="AF97" s="33"/>
      <c r="AG97" s="33"/>
      <c r="AH97" s="33"/>
      <c r="AI97" s="33"/>
      <c r="AJ97" s="33"/>
      <c r="AK97" s="33"/>
      <c r="AL97" s="33"/>
    </row>
    <row r="98" spans="9:38">
      <c r="I98" s="33"/>
      <c r="J98" s="33"/>
      <c r="K98" s="33"/>
      <c r="L98" s="33"/>
      <c r="M98" s="33"/>
      <c r="N98" s="33"/>
      <c r="O98" s="33"/>
      <c r="P98" s="33"/>
      <c r="Q98" s="33"/>
      <c r="R98" s="33"/>
      <c r="S98" s="33"/>
      <c r="T98" s="33"/>
      <c r="U98" s="33"/>
      <c r="V98" s="33"/>
      <c r="W98" s="5"/>
      <c r="X98" s="33"/>
      <c r="Y98" s="33"/>
      <c r="Z98" s="33"/>
      <c r="AA98" s="33"/>
      <c r="AB98" s="33"/>
      <c r="AC98" s="33"/>
      <c r="AD98" s="33"/>
      <c r="AE98" s="33"/>
      <c r="AF98" s="33"/>
      <c r="AG98" s="33"/>
      <c r="AH98" s="33"/>
      <c r="AI98" s="33"/>
      <c r="AJ98" s="33"/>
      <c r="AK98" s="33"/>
      <c r="AL98" s="33"/>
    </row>
    <row r="99" spans="9:38">
      <c r="I99" s="33"/>
      <c r="J99" s="33"/>
      <c r="K99" s="33"/>
      <c r="L99" s="33"/>
      <c r="M99" s="33"/>
      <c r="N99" s="33"/>
      <c r="O99" s="33"/>
      <c r="P99" s="33"/>
      <c r="Q99" s="33"/>
      <c r="R99" s="33"/>
      <c r="S99" s="33"/>
      <c r="T99" s="33"/>
      <c r="U99" s="33"/>
      <c r="V99" s="33"/>
      <c r="W99" s="5"/>
      <c r="X99" s="33"/>
      <c r="Y99" s="33"/>
      <c r="Z99" s="33"/>
      <c r="AA99" s="33"/>
      <c r="AB99" s="33"/>
      <c r="AC99" s="33"/>
      <c r="AD99" s="33"/>
      <c r="AE99" s="33"/>
      <c r="AF99" s="33"/>
      <c r="AG99" s="33"/>
      <c r="AH99" s="33"/>
      <c r="AI99" s="33"/>
      <c r="AJ99" s="33"/>
      <c r="AK99" s="33"/>
      <c r="AL99" s="33"/>
    </row>
    <row r="100" spans="9:38">
      <c r="I100" s="33"/>
      <c r="J100" s="33"/>
      <c r="K100" s="33"/>
      <c r="L100" s="33"/>
      <c r="M100" s="33"/>
      <c r="N100" s="33"/>
      <c r="O100" s="33"/>
      <c r="P100" s="33"/>
      <c r="Q100" s="33"/>
      <c r="R100" s="33"/>
      <c r="S100" s="33"/>
      <c r="T100" s="33"/>
      <c r="U100" s="33"/>
      <c r="V100" s="33"/>
      <c r="W100" s="5"/>
      <c r="X100" s="33"/>
      <c r="Y100" s="33"/>
      <c r="Z100" s="33"/>
      <c r="AA100" s="33"/>
      <c r="AB100" s="33"/>
      <c r="AC100" s="33"/>
      <c r="AD100" s="33"/>
      <c r="AE100" s="33"/>
      <c r="AF100" s="33"/>
      <c r="AG100" s="33"/>
      <c r="AH100" s="33"/>
      <c r="AI100" s="33"/>
      <c r="AJ100" s="33"/>
      <c r="AK100" s="33"/>
      <c r="AL100" s="33"/>
    </row>
    <row r="101" spans="9:38">
      <c r="I101" s="33"/>
      <c r="J101" s="33"/>
      <c r="K101" s="33"/>
      <c r="L101" s="33"/>
      <c r="M101" s="33"/>
      <c r="N101" s="33"/>
      <c r="O101" s="33"/>
      <c r="P101" s="33"/>
      <c r="Q101" s="33"/>
      <c r="R101" s="33"/>
      <c r="S101" s="33"/>
      <c r="T101" s="33"/>
      <c r="U101" s="33"/>
      <c r="V101" s="33"/>
      <c r="W101" s="5"/>
      <c r="X101" s="33"/>
      <c r="Y101" s="33"/>
      <c r="Z101" s="33"/>
      <c r="AA101" s="33"/>
      <c r="AB101" s="33"/>
      <c r="AC101" s="33"/>
      <c r="AD101" s="33"/>
      <c r="AE101" s="33"/>
      <c r="AF101" s="33"/>
      <c r="AG101" s="33"/>
      <c r="AH101" s="33"/>
      <c r="AI101" s="33"/>
      <c r="AJ101" s="33"/>
      <c r="AK101" s="33"/>
      <c r="AL101" s="33"/>
    </row>
    <row r="102" spans="9:38">
      <c r="I102" s="33"/>
      <c r="J102" s="33"/>
      <c r="K102" s="33"/>
      <c r="L102" s="33"/>
      <c r="M102" s="33"/>
      <c r="N102" s="33"/>
      <c r="O102" s="33"/>
      <c r="P102" s="33"/>
      <c r="Q102" s="33"/>
      <c r="R102" s="33"/>
      <c r="S102" s="33"/>
      <c r="T102" s="33"/>
      <c r="U102" s="33"/>
      <c r="V102" s="33"/>
      <c r="W102" s="5"/>
      <c r="X102" s="33"/>
      <c r="Y102" s="33"/>
      <c r="Z102" s="33"/>
      <c r="AA102" s="33"/>
      <c r="AB102" s="33"/>
      <c r="AC102" s="33"/>
      <c r="AD102" s="33"/>
      <c r="AE102" s="33"/>
      <c r="AF102" s="33"/>
      <c r="AG102" s="33"/>
      <c r="AH102" s="33"/>
      <c r="AI102" s="33"/>
      <c r="AJ102" s="33"/>
      <c r="AK102" s="33"/>
      <c r="AL102" s="33"/>
    </row>
    <row r="103" spans="9:38">
      <c r="I103" s="33"/>
      <c r="J103" s="33"/>
      <c r="K103" s="33"/>
      <c r="L103" s="33"/>
      <c r="M103" s="33"/>
      <c r="N103" s="33"/>
      <c r="O103" s="33"/>
      <c r="P103" s="33"/>
      <c r="Q103" s="33"/>
      <c r="R103" s="33"/>
      <c r="S103" s="33"/>
      <c r="T103" s="33"/>
      <c r="U103" s="33"/>
      <c r="V103" s="33"/>
      <c r="W103" s="5"/>
      <c r="X103" s="33"/>
      <c r="Y103" s="33"/>
      <c r="Z103" s="33"/>
      <c r="AA103" s="33"/>
      <c r="AB103" s="33"/>
      <c r="AC103" s="33"/>
      <c r="AD103" s="33"/>
      <c r="AE103" s="33"/>
      <c r="AF103" s="33"/>
      <c r="AG103" s="33"/>
      <c r="AH103" s="33"/>
      <c r="AI103" s="33"/>
      <c r="AJ103" s="33"/>
      <c r="AK103" s="33"/>
      <c r="AL103" s="33"/>
    </row>
  </sheetData>
  <mergeCells count="1">
    <mergeCell ref="J9:J10"/>
  </mergeCells>
  <phoneticPr fontId="2"/>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Q161"/>
  <sheetViews>
    <sheetView zoomScale="70" zoomScaleNormal="70" workbookViewId="0">
      <selection activeCell="M11" sqref="M11"/>
    </sheetView>
  </sheetViews>
  <sheetFormatPr defaultRowHeight="15"/>
  <cols>
    <col min="1" max="1" width="24.42578125" customWidth="1"/>
    <col min="3" max="9" width="9" customWidth="1"/>
    <col min="10" max="10" width="9" style="5"/>
    <col min="11" max="11" width="9.42578125" style="5" bestFit="1" customWidth="1"/>
    <col min="12" max="14" width="9" style="5"/>
  </cols>
  <sheetData>
    <row r="1" spans="1:24">
      <c r="A1" s="90" t="s">
        <v>698</v>
      </c>
      <c r="B1" s="90"/>
      <c r="C1" s="90"/>
      <c r="D1" s="90"/>
      <c r="E1" s="90"/>
      <c r="F1" s="90"/>
      <c r="G1" s="90"/>
    </row>
    <row r="2" spans="1:24">
      <c r="A2" s="90" t="s">
        <v>449</v>
      </c>
      <c r="B2" s="90" t="s">
        <v>450</v>
      </c>
      <c r="C2" s="90">
        <v>811.00699999999995</v>
      </c>
      <c r="D2" s="90" t="s">
        <v>451</v>
      </c>
      <c r="E2" s="90">
        <v>811</v>
      </c>
      <c r="F2" s="90"/>
      <c r="G2" s="90"/>
    </row>
    <row r="3" spans="1:24">
      <c r="A3" s="90" t="s">
        <v>699</v>
      </c>
      <c r="B3" s="90" t="s">
        <v>408</v>
      </c>
      <c r="C3" s="90">
        <v>7.0000000000000001E-3</v>
      </c>
      <c r="D3" s="90" t="s">
        <v>453</v>
      </c>
      <c r="E3" s="90">
        <v>6.4000000000000001E-2</v>
      </c>
      <c r="F3" s="90" t="s">
        <v>406</v>
      </c>
      <c r="G3" s="90"/>
    </row>
    <row r="4" spans="1:24">
      <c r="A4" s="121" t="s">
        <v>700</v>
      </c>
      <c r="B4" s="90" t="s">
        <v>455</v>
      </c>
      <c r="C4" s="90">
        <v>-6.4000000000000001E-2</v>
      </c>
      <c r="D4" s="90"/>
      <c r="E4" s="90"/>
      <c r="F4" s="90"/>
      <c r="G4" s="90"/>
      <c r="J4" s="5" t="s">
        <v>133</v>
      </c>
    </row>
    <row r="5" spans="1:24">
      <c r="A5" s="90"/>
      <c r="B5" s="90"/>
      <c r="C5" s="90"/>
      <c r="D5" s="90"/>
      <c r="E5" s="90"/>
      <c r="F5" s="90"/>
      <c r="G5" s="90"/>
      <c r="L5" s="6" t="s">
        <v>1</v>
      </c>
      <c r="M5" s="6">
        <v>811</v>
      </c>
    </row>
    <row r="6" spans="1:24">
      <c r="A6" s="90" t="s">
        <v>733</v>
      </c>
      <c r="B6" s="90"/>
      <c r="C6" s="90"/>
      <c r="D6" s="90"/>
      <c r="E6" s="90"/>
      <c r="F6" s="90"/>
      <c r="G6" s="90"/>
      <c r="J6" s="132" t="s">
        <v>376</v>
      </c>
      <c r="L6" s="6" t="s">
        <v>2</v>
      </c>
      <c r="M6" s="13">
        <f>M5+0.064</f>
        <v>811.06399999999996</v>
      </c>
    </row>
    <row r="7" spans="1:24">
      <c r="A7" s="90" t="s">
        <v>449</v>
      </c>
      <c r="B7" s="90" t="s">
        <v>450</v>
      </c>
      <c r="C7" s="90">
        <v>811.02499999999998</v>
      </c>
      <c r="D7" s="90" t="s">
        <v>451</v>
      </c>
      <c r="E7" s="90">
        <v>811</v>
      </c>
      <c r="F7" s="90"/>
      <c r="G7" s="90"/>
      <c r="J7" s="33" t="s">
        <v>307</v>
      </c>
      <c r="L7" s="6" t="s">
        <v>3</v>
      </c>
      <c r="M7" s="13">
        <f>M5-0.064</f>
        <v>810.93600000000004</v>
      </c>
    </row>
    <row r="8" spans="1:24">
      <c r="A8" s="90" t="s">
        <v>734</v>
      </c>
      <c r="B8" s="90" t="s">
        <v>408</v>
      </c>
      <c r="C8" s="90">
        <v>2.5000000000000001E-2</v>
      </c>
      <c r="D8" s="90" t="s">
        <v>453</v>
      </c>
      <c r="E8" s="90">
        <v>6.4000000000000001E-2</v>
      </c>
      <c r="F8" s="90" t="s">
        <v>406</v>
      </c>
      <c r="G8" s="90"/>
      <c r="J8" s="5">
        <f>IF(J7="Front", 0, 49)</f>
        <v>49</v>
      </c>
    </row>
    <row r="9" spans="1:24">
      <c r="A9" s="121" t="s">
        <v>735</v>
      </c>
      <c r="B9" s="90" t="s">
        <v>455</v>
      </c>
      <c r="C9" s="90">
        <v>-6.4000000000000001E-2</v>
      </c>
      <c r="D9" s="90"/>
      <c r="E9" s="90"/>
      <c r="F9" s="90"/>
      <c r="G9" s="90"/>
      <c r="H9" s="5"/>
      <c r="I9" s="9" t="s">
        <v>4</v>
      </c>
      <c r="J9" s="144" t="s">
        <v>134</v>
      </c>
      <c r="K9" s="131" t="str">
        <f>"CMM - "&amp;J7</f>
        <v>CMM - Rear</v>
      </c>
      <c r="L9" s="10" t="s">
        <v>7</v>
      </c>
      <c r="M9" s="10" t="s">
        <v>8</v>
      </c>
      <c r="P9" s="11" t="s">
        <v>9</v>
      </c>
      <c r="Q9" s="2"/>
      <c r="S9" s="5"/>
      <c r="T9" s="9" t="str">
        <f t="shared" ref="T9:V27" si="0">I9</f>
        <v>Angle</v>
      </c>
      <c r="U9" s="144" t="str">
        <f t="shared" si="0"/>
        <v>242
Position</v>
      </c>
      <c r="V9" s="12" t="s">
        <v>303</v>
      </c>
      <c r="W9" s="12" t="s">
        <v>307</v>
      </c>
      <c r="X9" s="12" t="s">
        <v>308</v>
      </c>
    </row>
    <row r="10" spans="1:24">
      <c r="A10" s="90" t="s">
        <v>1034</v>
      </c>
      <c r="B10" s="90"/>
      <c r="C10" s="90" t="s">
        <v>411</v>
      </c>
      <c r="D10" s="90"/>
      <c r="E10" s="90"/>
      <c r="F10" s="90"/>
      <c r="G10" s="90"/>
      <c r="H10" s="9" t="s">
        <v>10</v>
      </c>
      <c r="I10" s="9" t="s">
        <v>11</v>
      </c>
      <c r="J10" s="145"/>
      <c r="K10" s="10" t="s">
        <v>12</v>
      </c>
      <c r="L10" s="10" t="s">
        <v>12</v>
      </c>
      <c r="M10" s="10" t="s">
        <v>12</v>
      </c>
      <c r="P10" s="11" t="s">
        <v>13</v>
      </c>
      <c r="Q10" s="2"/>
      <c r="S10" s="9" t="str">
        <f t="shared" ref="S10:S27" si="1">H10</f>
        <v>Area#</v>
      </c>
      <c r="T10" s="9" t="str">
        <f t="shared" si="0"/>
        <v>[deg]</v>
      </c>
      <c r="U10" s="145">
        <f t="shared" si="0"/>
        <v>0</v>
      </c>
      <c r="V10" s="12" t="str">
        <f t="shared" si="0"/>
        <v>[mm]</v>
      </c>
      <c r="W10" s="12" t="str">
        <f t="shared" ref="W10:X10" si="2">K10</f>
        <v>[mm]</v>
      </c>
      <c r="X10" s="12" t="str">
        <f t="shared" si="2"/>
        <v>[mm]</v>
      </c>
    </row>
    <row r="11" spans="1:24">
      <c r="A11" s="90" t="s">
        <v>412</v>
      </c>
      <c r="B11" s="90" t="s">
        <v>413</v>
      </c>
      <c r="C11" s="90">
        <v>405.483</v>
      </c>
      <c r="D11" s="90"/>
      <c r="E11" s="90"/>
      <c r="F11" s="90"/>
      <c r="G11" s="90"/>
      <c r="H11" s="13">
        <v>1</v>
      </c>
      <c r="I11" s="13">
        <v>0</v>
      </c>
      <c r="J11" s="10">
        <v>1</v>
      </c>
      <c r="K11" s="14">
        <f ca="1">SQRT(OFFSET($C11, $J$8, 0)^2+OFFSET($C12, $J$8, 0)^2)</f>
        <v>405.48900000123308</v>
      </c>
      <c r="L11" s="142">
        <f>M$7/2-0.116/2</f>
        <v>405.41</v>
      </c>
      <c r="M11" s="142">
        <f>M$6/2+0.116/2</f>
        <v>405.59</v>
      </c>
      <c r="P11" s="13">
        <f ca="1">K11+K19</f>
        <v>810.96700000246619</v>
      </c>
      <c r="Q11" s="2"/>
      <c r="S11" s="13">
        <f t="shared" si="1"/>
        <v>1</v>
      </c>
      <c r="T11" s="13">
        <f t="shared" si="0"/>
        <v>0</v>
      </c>
      <c r="U11" s="12">
        <f t="shared" si="0"/>
        <v>1</v>
      </c>
      <c r="V11" s="14">
        <f>SQRT($C11^2+$C12^2)</f>
        <v>405.48300000123311</v>
      </c>
      <c r="W11" s="14">
        <f>SQRT(C60^2+C61^2)</f>
        <v>405.48900000123308</v>
      </c>
      <c r="X11" s="14">
        <f>W11-V11</f>
        <v>5.9999999999718057E-3</v>
      </c>
    </row>
    <row r="12" spans="1:24">
      <c r="A12" s="90" t="s">
        <v>701</v>
      </c>
      <c r="B12" s="90" t="s">
        <v>415</v>
      </c>
      <c r="C12" s="90">
        <v>-1E-3</v>
      </c>
      <c r="D12" s="90"/>
      <c r="E12" s="90"/>
      <c r="F12" s="90"/>
      <c r="G12" s="90"/>
      <c r="H12" s="13">
        <v>2</v>
      </c>
      <c r="I12" s="13">
        <f>I11+360/16</f>
        <v>22.5</v>
      </c>
      <c r="J12" s="10">
        <v>16</v>
      </c>
      <c r="K12" s="16">
        <f ca="1">SQRT(OFFSET($C56, $J$8, 0)^2+OFFSET($C57, $J$8, 0)^2)</f>
        <v>405.51700001109697</v>
      </c>
      <c r="L12" s="142">
        <f>L$11</f>
        <v>405.41</v>
      </c>
      <c r="M12" s="142">
        <f>M$11</f>
        <v>405.59</v>
      </c>
      <c r="P12" s="13">
        <f t="shared" ref="P12:P18" ca="1" si="3">K12+K20</f>
        <v>811.00300004192422</v>
      </c>
      <c r="Q12" s="2"/>
      <c r="S12" s="13">
        <f t="shared" si="1"/>
        <v>2</v>
      </c>
      <c r="T12" s="13">
        <f t="shared" si="0"/>
        <v>22.5</v>
      </c>
      <c r="U12" s="12">
        <f t="shared" si="0"/>
        <v>16</v>
      </c>
      <c r="V12" s="16">
        <f>SQRT($C56^2+$C57^2)</f>
        <v>405.51000001109713</v>
      </c>
      <c r="W12" s="16">
        <f>SQRT(C105^2+C106^2)</f>
        <v>405.51700001109697</v>
      </c>
      <c r="X12" s="14">
        <f t="shared" ref="X12:X26" si="4">W12-V12</f>
        <v>6.999999999834472E-3</v>
      </c>
    </row>
    <row r="13" spans="1:24">
      <c r="A13" s="121" t="s">
        <v>702</v>
      </c>
      <c r="B13" s="90" t="s">
        <v>417</v>
      </c>
      <c r="C13" s="90">
        <v>-117.057</v>
      </c>
      <c r="D13" s="90"/>
      <c r="E13" s="90"/>
      <c r="F13" s="90"/>
      <c r="G13" s="90"/>
      <c r="H13" s="13">
        <v>3</v>
      </c>
      <c r="I13" s="13">
        <f t="shared" ref="I13:I26" si="5">I12+360/16</f>
        <v>45</v>
      </c>
      <c r="J13" s="10">
        <v>15</v>
      </c>
      <c r="K13" s="16">
        <f ca="1">SQRT(OFFSET($C53, $J$8, 0)^2+OFFSET($C54, $J$8, 0)^2)</f>
        <v>405.52699999999999</v>
      </c>
      <c r="L13" s="142">
        <f t="shared" ref="L13:M26" si="6">L$11</f>
        <v>405.41</v>
      </c>
      <c r="M13" s="142">
        <f t="shared" si="6"/>
        <v>405.59</v>
      </c>
      <c r="P13" s="13">
        <f t="shared" ca="1" si="3"/>
        <v>811.03800000493209</v>
      </c>
      <c r="Q13" s="2"/>
      <c r="S13" s="13">
        <f t="shared" si="1"/>
        <v>3</v>
      </c>
      <c r="T13" s="13">
        <f t="shared" si="0"/>
        <v>45</v>
      </c>
      <c r="U13" s="12">
        <f t="shared" si="0"/>
        <v>15</v>
      </c>
      <c r="V13" s="16">
        <f>SQRT($C53^2+$C54^2)</f>
        <v>405.51600000000002</v>
      </c>
      <c r="W13" s="16">
        <f>SQRT(C102^2+C103^2)</f>
        <v>405.52699999999999</v>
      </c>
      <c r="X13" s="14">
        <f t="shared" si="4"/>
        <v>1.0999999999967258E-2</v>
      </c>
    </row>
    <row r="14" spans="1:24">
      <c r="A14" s="90" t="s">
        <v>412</v>
      </c>
      <c r="B14" s="90" t="s">
        <v>413</v>
      </c>
      <c r="C14" s="90">
        <v>405.46800000000002</v>
      </c>
      <c r="D14" s="90"/>
      <c r="E14" s="90"/>
      <c r="F14" s="90"/>
      <c r="G14" s="90"/>
      <c r="H14" s="13">
        <v>4</v>
      </c>
      <c r="I14" s="13">
        <f t="shared" si="5"/>
        <v>67.5</v>
      </c>
      <c r="J14" s="10">
        <v>14</v>
      </c>
      <c r="K14" s="16">
        <f ca="1">SQRT(OFFSET($C50, $J$8, 0)^2+OFFSET($C51, $J$8, 0)^2)</f>
        <v>405.53000004438633</v>
      </c>
      <c r="L14" s="142">
        <f t="shared" si="6"/>
        <v>405.41</v>
      </c>
      <c r="M14" s="142">
        <f t="shared" si="6"/>
        <v>405.59</v>
      </c>
      <c r="P14" s="13">
        <f t="shared" ca="1" si="3"/>
        <v>811.08700004438629</v>
      </c>
      <c r="Q14" s="2"/>
      <c r="S14" s="13">
        <f t="shared" si="1"/>
        <v>4</v>
      </c>
      <c r="T14" s="13">
        <f t="shared" si="0"/>
        <v>67.5</v>
      </c>
      <c r="U14" s="12">
        <f t="shared" si="0"/>
        <v>14</v>
      </c>
      <c r="V14" s="16">
        <f>SQRT($C50^2+$C51^2)</f>
        <v>405.52600000000001</v>
      </c>
      <c r="W14" s="16">
        <f>SQRT(C99^2+C100^2)</f>
        <v>405.53000004438633</v>
      </c>
      <c r="X14" s="14">
        <f t="shared" si="4"/>
        <v>4.0000443863164037E-3</v>
      </c>
    </row>
    <row r="15" spans="1:24">
      <c r="A15" s="90" t="s">
        <v>703</v>
      </c>
      <c r="B15" s="90" t="s">
        <v>415</v>
      </c>
      <c r="C15" s="90">
        <v>2E-3</v>
      </c>
      <c r="D15" s="90"/>
      <c r="E15" s="90"/>
      <c r="F15" s="90"/>
      <c r="G15" s="90"/>
      <c r="H15" s="13">
        <v>5</v>
      </c>
      <c r="I15" s="13">
        <f t="shared" si="5"/>
        <v>90</v>
      </c>
      <c r="J15" s="10">
        <v>13</v>
      </c>
      <c r="K15" s="16">
        <f ca="1">SQRT(OFFSET($C47, $J$8, 0)^2+OFFSET($C48, $J$8, 0)^2)</f>
        <v>405.52700000123298</v>
      </c>
      <c r="L15" s="142">
        <f t="shared" si="6"/>
        <v>405.41</v>
      </c>
      <c r="M15" s="142">
        <f t="shared" si="6"/>
        <v>405.59</v>
      </c>
      <c r="P15" s="13">
        <f t="shared" ca="1" si="3"/>
        <v>811.0850000024659</v>
      </c>
      <c r="Q15" s="2"/>
      <c r="S15" s="13">
        <f t="shared" si="1"/>
        <v>5</v>
      </c>
      <c r="T15" s="13">
        <f t="shared" si="0"/>
        <v>90</v>
      </c>
      <c r="U15" s="12">
        <f t="shared" si="0"/>
        <v>13</v>
      </c>
      <c r="V15" s="16">
        <f>SQRT($C47^2+$C48^2)</f>
        <v>405.51600000123301</v>
      </c>
      <c r="W15" s="16">
        <f>SQRT(C96^2+C97^2)</f>
        <v>405.52700000123298</v>
      </c>
      <c r="X15" s="14">
        <f t="shared" si="4"/>
        <v>1.0999999999967258E-2</v>
      </c>
    </row>
    <row r="16" spans="1:24">
      <c r="A16" s="121" t="s">
        <v>704</v>
      </c>
      <c r="B16" s="90" t="s">
        <v>417</v>
      </c>
      <c r="C16" s="90">
        <v>-117.039</v>
      </c>
      <c r="D16" s="90"/>
      <c r="E16" s="90"/>
      <c r="F16" s="90"/>
      <c r="G16" s="90"/>
      <c r="H16" s="13">
        <v>6</v>
      </c>
      <c r="I16" s="13">
        <f t="shared" si="5"/>
        <v>112.5</v>
      </c>
      <c r="J16" s="10">
        <v>12</v>
      </c>
      <c r="K16" s="16">
        <f ca="1">SQRT(OFFSET($C44, $J$8, 0)^2+OFFSET($C45, $J$8, 0)^2)</f>
        <v>405.52700000493184</v>
      </c>
      <c r="L16" s="142">
        <f t="shared" si="6"/>
        <v>405.41</v>
      </c>
      <c r="M16" s="142">
        <f t="shared" si="6"/>
        <v>405.59</v>
      </c>
      <c r="P16" s="13">
        <f t="shared" ca="1" si="3"/>
        <v>811.05500001602854</v>
      </c>
      <c r="Q16" s="2"/>
      <c r="S16" s="13">
        <f t="shared" si="1"/>
        <v>6</v>
      </c>
      <c r="T16" s="13">
        <f t="shared" si="0"/>
        <v>112.5</v>
      </c>
      <c r="U16" s="12">
        <f t="shared" si="0"/>
        <v>12</v>
      </c>
      <c r="V16" s="16">
        <f>SQRT($C44^2+$C45^2)</f>
        <v>405.51700000123299</v>
      </c>
      <c r="W16" s="16">
        <f>SQRT(C93^2+C94^2)</f>
        <v>405.52700000493184</v>
      </c>
      <c r="X16" s="14">
        <f t="shared" si="4"/>
        <v>1.0000003698849014E-2</v>
      </c>
    </row>
    <row r="17" spans="1:25">
      <c r="A17" s="90" t="s">
        <v>412</v>
      </c>
      <c r="B17" s="90" t="s">
        <v>413</v>
      </c>
      <c r="C17" s="90">
        <v>405.47699999999998</v>
      </c>
      <c r="D17" s="90"/>
      <c r="E17" s="90"/>
      <c r="F17" s="90"/>
      <c r="G17" s="90"/>
      <c r="H17" s="13">
        <v>7</v>
      </c>
      <c r="I17" s="13">
        <f t="shared" si="5"/>
        <v>135</v>
      </c>
      <c r="J17" s="10">
        <v>11</v>
      </c>
      <c r="K17" s="16">
        <f ca="1">SQRT(OFFSET($C41, $J$8, 0)^2+OFFSET($C42, $J$8, 0)^2)</f>
        <v>405.51000000123304</v>
      </c>
      <c r="L17" s="142">
        <f t="shared" si="6"/>
        <v>405.41</v>
      </c>
      <c r="M17" s="142">
        <f t="shared" si="6"/>
        <v>405.59</v>
      </c>
      <c r="P17" s="13">
        <f t="shared" ca="1" si="3"/>
        <v>810.9890000061655</v>
      </c>
      <c r="Q17" s="2"/>
      <c r="S17" s="13">
        <f t="shared" si="1"/>
        <v>7</v>
      </c>
      <c r="T17" s="13">
        <f t="shared" si="0"/>
        <v>135</v>
      </c>
      <c r="U17" s="12">
        <f t="shared" si="0"/>
        <v>11</v>
      </c>
      <c r="V17" s="16">
        <f>SQRT($C41^2+$C42^2)</f>
        <v>405.49299999999999</v>
      </c>
      <c r="W17" s="16">
        <f>SQRT(C90^2+C91^2)</f>
        <v>405.51000000123304</v>
      </c>
      <c r="X17" s="14">
        <f t="shared" si="4"/>
        <v>1.7000001233043349E-2</v>
      </c>
    </row>
    <row r="18" spans="1:25">
      <c r="A18" s="90" t="s">
        <v>705</v>
      </c>
      <c r="B18" s="90" t="s">
        <v>415</v>
      </c>
      <c r="C18" s="90">
        <v>2E-3</v>
      </c>
      <c r="D18" s="90"/>
      <c r="E18" s="90"/>
      <c r="F18" s="90"/>
      <c r="G18" s="90"/>
      <c r="H18" s="13">
        <v>8</v>
      </c>
      <c r="I18" s="13">
        <f t="shared" si="5"/>
        <v>157.5</v>
      </c>
      <c r="J18" s="10">
        <v>10</v>
      </c>
      <c r="K18" s="16">
        <f ca="1">SQRT(OFFSET($C38, $J$8, 0)^2+OFFSET($C39, $J$8, 0)^2)</f>
        <v>405.50100000493217</v>
      </c>
      <c r="L18" s="142">
        <f t="shared" si="6"/>
        <v>405.41</v>
      </c>
      <c r="M18" s="142">
        <f t="shared" si="6"/>
        <v>405.59</v>
      </c>
      <c r="P18" s="13">
        <f t="shared" ca="1" si="3"/>
        <v>810.97400001603035</v>
      </c>
      <c r="Q18" s="2"/>
      <c r="S18" s="13">
        <f t="shared" si="1"/>
        <v>8</v>
      </c>
      <c r="T18" s="13">
        <f t="shared" si="0"/>
        <v>157.5</v>
      </c>
      <c r="U18" s="12">
        <f t="shared" si="0"/>
        <v>10</v>
      </c>
      <c r="V18" s="16">
        <f>SQRT($C38^2+$C39^2)</f>
        <v>405.48300003082744</v>
      </c>
      <c r="W18" s="16">
        <f>SQRT(C87^2+C88^2)</f>
        <v>405.50100000493217</v>
      </c>
      <c r="X18" s="14">
        <f t="shared" si="4"/>
        <v>1.7999974104725425E-2</v>
      </c>
    </row>
    <row r="19" spans="1:25" ht="14.25" customHeight="1">
      <c r="A19" s="121" t="s">
        <v>706</v>
      </c>
      <c r="B19" s="90" t="s">
        <v>417</v>
      </c>
      <c r="C19" s="90">
        <v>-117.036</v>
      </c>
      <c r="D19" s="90"/>
      <c r="E19" s="90"/>
      <c r="F19" s="90"/>
      <c r="G19" s="90"/>
      <c r="H19" s="13">
        <v>9</v>
      </c>
      <c r="I19" s="13">
        <f t="shared" si="5"/>
        <v>180</v>
      </c>
      <c r="J19" s="10">
        <v>9</v>
      </c>
      <c r="K19" s="16">
        <f ca="1">SQRT(OFFSET($C35, $J$8, 0)^2+OFFSET($C36, $J$8, 0)^2)</f>
        <v>405.47800000123311</v>
      </c>
      <c r="L19" s="142">
        <f t="shared" si="6"/>
        <v>405.41</v>
      </c>
      <c r="M19" s="142">
        <f t="shared" si="6"/>
        <v>405.59</v>
      </c>
      <c r="P19" s="13"/>
      <c r="Q19" s="2"/>
      <c r="S19" s="13">
        <f t="shared" si="1"/>
        <v>9</v>
      </c>
      <c r="T19" s="13">
        <f t="shared" si="0"/>
        <v>180</v>
      </c>
      <c r="U19" s="12">
        <f t="shared" si="0"/>
        <v>9</v>
      </c>
      <c r="V19" s="16">
        <f>SQRT($C35^2+$C36^2)</f>
        <v>405.47000000493256</v>
      </c>
      <c r="W19" s="16">
        <f>SQRT(C84^2+C85^2)</f>
        <v>405.47800000123311</v>
      </c>
      <c r="X19" s="14">
        <f t="shared" si="4"/>
        <v>7.9999963005548125E-3</v>
      </c>
    </row>
    <row r="20" spans="1:25">
      <c r="A20" s="90" t="s">
        <v>412</v>
      </c>
      <c r="B20" s="90" t="s">
        <v>413</v>
      </c>
      <c r="C20" s="90">
        <v>405.52199999999999</v>
      </c>
      <c r="D20" s="90"/>
      <c r="E20" s="90"/>
      <c r="F20" s="90"/>
      <c r="G20" s="90"/>
      <c r="H20" s="13">
        <v>10</v>
      </c>
      <c r="I20" s="13">
        <f t="shared" si="5"/>
        <v>202.5</v>
      </c>
      <c r="J20" s="10">
        <v>8</v>
      </c>
      <c r="K20" s="16">
        <f ca="1">SQRT(OFFSET($C32, $J$8, 0)^2+OFFSET($C33, $J$8, 0)^2)</f>
        <v>405.4860000308272</v>
      </c>
      <c r="L20" s="142">
        <f t="shared" si="6"/>
        <v>405.41</v>
      </c>
      <c r="M20" s="142">
        <f t="shared" si="6"/>
        <v>405.59</v>
      </c>
      <c r="P20" s="13">
        <f ca="1">MAX(P11:P18)</f>
        <v>811.08700004438629</v>
      </c>
      <c r="Q20" s="13" t="str">
        <f ca="1">IF(P20&gt;M6, CONCATENATE("O/Max ", TEXT(P20-M6, "0.000")), "-")</f>
        <v>O/Max 0.023</v>
      </c>
      <c r="S20" s="13">
        <f t="shared" si="1"/>
        <v>10</v>
      </c>
      <c r="T20" s="13">
        <f t="shared" si="0"/>
        <v>202.5</v>
      </c>
      <c r="U20" s="12">
        <f t="shared" si="0"/>
        <v>8</v>
      </c>
      <c r="V20" s="16">
        <f>SQRT($C32^2+$C33^2)</f>
        <v>405.48300003082744</v>
      </c>
      <c r="W20" s="16">
        <f>SQRT(C81^2+C82^2)</f>
        <v>405.4860000308272</v>
      </c>
      <c r="X20" s="14">
        <f t="shared" si="4"/>
        <v>2.9999999997585292E-3</v>
      </c>
    </row>
    <row r="21" spans="1:25">
      <c r="A21" s="90" t="s">
        <v>707</v>
      </c>
      <c r="B21" s="90" t="s">
        <v>415</v>
      </c>
      <c r="C21" s="90">
        <v>-1E-3</v>
      </c>
      <c r="D21" s="90"/>
      <c r="E21" s="90"/>
      <c r="F21" s="90"/>
      <c r="G21" s="90"/>
      <c r="H21" s="13">
        <v>11</v>
      </c>
      <c r="I21" s="13">
        <f t="shared" si="5"/>
        <v>225</v>
      </c>
      <c r="J21" s="10">
        <v>7</v>
      </c>
      <c r="K21" s="16">
        <f ca="1">SQRT(OFFSET($C29, $J$8, 0)^2+OFFSET($C30, $J$8, 0)^2)</f>
        <v>405.5110000049321</v>
      </c>
      <c r="L21" s="142">
        <f t="shared" si="6"/>
        <v>405.41</v>
      </c>
      <c r="M21" s="142">
        <f t="shared" si="6"/>
        <v>405.59</v>
      </c>
      <c r="P21" s="13">
        <f ca="1">MIN(P11:P18)</f>
        <v>810.96700000246619</v>
      </c>
      <c r="Q21" s="13" t="str">
        <f ca="1">IF(P21&lt;M7, CONCATENATE("U/Min ", TEXT(M7-P21, "0.000")), "-")</f>
        <v>-</v>
      </c>
      <c r="S21" s="13">
        <f t="shared" si="1"/>
        <v>11</v>
      </c>
      <c r="T21" s="13">
        <f t="shared" si="0"/>
        <v>225</v>
      </c>
      <c r="U21" s="12">
        <f t="shared" si="0"/>
        <v>7</v>
      </c>
      <c r="V21" s="16">
        <f>SQRT($C29^2+$C30^2)</f>
        <v>405.49800000123304</v>
      </c>
      <c r="W21" s="16">
        <f>SQRT(C78^2+C79^2)</f>
        <v>405.5110000049321</v>
      </c>
      <c r="X21" s="14">
        <f t="shared" si="4"/>
        <v>1.300000369906229E-2</v>
      </c>
    </row>
    <row r="22" spans="1:25">
      <c r="A22" s="121" t="s">
        <v>708</v>
      </c>
      <c r="B22" s="90" t="s">
        <v>417</v>
      </c>
      <c r="C22" s="90">
        <v>-117.05500000000001</v>
      </c>
      <c r="D22" s="90"/>
      <c r="E22" s="90"/>
      <c r="F22" s="90"/>
      <c r="G22" s="90"/>
      <c r="H22" s="13">
        <v>12</v>
      </c>
      <c r="I22" s="13">
        <f t="shared" si="5"/>
        <v>247.5</v>
      </c>
      <c r="J22" s="10">
        <v>6</v>
      </c>
      <c r="K22" s="16">
        <f ca="1">SQRT(OFFSET($C26, $J$8, 0)^2+OFFSET($C27, $J$8, 0)^2)</f>
        <v>405.55700000000002</v>
      </c>
      <c r="L22" s="142">
        <f t="shared" si="6"/>
        <v>405.41</v>
      </c>
      <c r="M22" s="142">
        <f t="shared" si="6"/>
        <v>405.59</v>
      </c>
      <c r="S22" s="13">
        <f t="shared" si="1"/>
        <v>12</v>
      </c>
      <c r="T22" s="13">
        <f t="shared" si="0"/>
        <v>247.5</v>
      </c>
      <c r="U22" s="12">
        <f t="shared" si="0"/>
        <v>6</v>
      </c>
      <c r="V22" s="16">
        <f>SQRT($C26^2+$C27^2)</f>
        <v>405.54700009986516</v>
      </c>
      <c r="W22" s="16">
        <f>SQRT(C75^2+C76^2)</f>
        <v>405.55700000000002</v>
      </c>
      <c r="X22" s="14">
        <f t="shared" si="4"/>
        <v>9.9999001348578531E-3</v>
      </c>
    </row>
    <row r="23" spans="1:25">
      <c r="A23" s="90" t="s">
        <v>412</v>
      </c>
      <c r="B23" s="90" t="s">
        <v>413</v>
      </c>
      <c r="C23" s="90">
        <v>405.54399999999998</v>
      </c>
      <c r="D23" s="90"/>
      <c r="E23" s="90"/>
      <c r="F23" s="90"/>
      <c r="G23" s="90"/>
      <c r="H23" s="13">
        <v>13</v>
      </c>
      <c r="I23" s="13">
        <f t="shared" si="5"/>
        <v>270</v>
      </c>
      <c r="J23" s="10">
        <v>5</v>
      </c>
      <c r="K23" s="16">
        <f ca="1">SQRT(OFFSET($C23, $J$8, 0)^2+OFFSET($C24, $J$8, 0)^2)</f>
        <v>405.55800000123287</v>
      </c>
      <c r="L23" s="142">
        <f t="shared" si="6"/>
        <v>405.41</v>
      </c>
      <c r="M23" s="142">
        <f t="shared" si="6"/>
        <v>405.59</v>
      </c>
      <c r="S23" s="13">
        <f t="shared" si="1"/>
        <v>13</v>
      </c>
      <c r="T23" s="13">
        <f t="shared" si="0"/>
        <v>270</v>
      </c>
      <c r="U23" s="12">
        <f t="shared" si="0"/>
        <v>5</v>
      </c>
      <c r="V23" s="16">
        <f>SQRT($C23^2+$C24^2)</f>
        <v>405.54400000123292</v>
      </c>
      <c r="W23" s="16">
        <f>SQRT(C72^2+C73^2)</f>
        <v>405.55800000123287</v>
      </c>
      <c r="X23" s="14">
        <f t="shared" si="4"/>
        <v>1.3999999999953161E-2</v>
      </c>
    </row>
    <row r="24" spans="1:25">
      <c r="A24" s="90" t="s">
        <v>709</v>
      </c>
      <c r="B24" s="90" t="s">
        <v>415</v>
      </c>
      <c r="C24" s="90">
        <v>-1E-3</v>
      </c>
      <c r="D24" s="90"/>
      <c r="E24" s="90"/>
      <c r="F24" s="90"/>
      <c r="G24" s="90"/>
      <c r="H24" s="13">
        <v>14</v>
      </c>
      <c r="I24" s="13">
        <f t="shared" si="5"/>
        <v>292.5</v>
      </c>
      <c r="J24" s="10">
        <v>4</v>
      </c>
      <c r="K24" s="16">
        <f ca="1">SQRT(OFFSET($C20, $J$8, 0)^2+OFFSET($C21, $J$8, 0)^2)</f>
        <v>405.52800001109665</v>
      </c>
      <c r="L24" s="142">
        <f t="shared" si="6"/>
        <v>405.41</v>
      </c>
      <c r="M24" s="142">
        <f t="shared" si="6"/>
        <v>405.59</v>
      </c>
      <c r="S24" s="13">
        <f t="shared" si="1"/>
        <v>14</v>
      </c>
      <c r="T24" s="13">
        <f t="shared" si="0"/>
        <v>292.5</v>
      </c>
      <c r="U24" s="12">
        <f t="shared" si="0"/>
        <v>4</v>
      </c>
      <c r="V24" s="16">
        <f>SQRT($C20^2+$C21^2)</f>
        <v>405.52200000123298</v>
      </c>
      <c r="W24" s="16">
        <f>SQRT(C69^2+C70^2)</f>
        <v>405.52800001109665</v>
      </c>
      <c r="X24" s="14">
        <f t="shared" si="4"/>
        <v>6.0000098636692201E-3</v>
      </c>
    </row>
    <row r="25" spans="1:25">
      <c r="A25" s="121" t="s">
        <v>710</v>
      </c>
      <c r="B25" s="90" t="s">
        <v>417</v>
      </c>
      <c r="C25" s="90">
        <v>-117.074</v>
      </c>
      <c r="D25" s="90"/>
      <c r="E25" s="90"/>
      <c r="F25" s="90"/>
      <c r="G25" s="90"/>
      <c r="H25" s="13">
        <v>15</v>
      </c>
      <c r="I25" s="13">
        <f t="shared" si="5"/>
        <v>315</v>
      </c>
      <c r="J25" s="10">
        <v>3</v>
      </c>
      <c r="K25" s="16">
        <f ca="1">SQRT(OFFSET($C17, $J$8, 0)^2+OFFSET($C18, $J$8, 0)^2)</f>
        <v>405.47900000493246</v>
      </c>
      <c r="L25" s="142">
        <f t="shared" si="6"/>
        <v>405.41</v>
      </c>
      <c r="M25" s="142">
        <f t="shared" si="6"/>
        <v>405.59</v>
      </c>
      <c r="S25" s="13">
        <f t="shared" si="1"/>
        <v>15</v>
      </c>
      <c r="T25" s="13">
        <f t="shared" si="0"/>
        <v>315</v>
      </c>
      <c r="U25" s="12">
        <f t="shared" si="0"/>
        <v>3</v>
      </c>
      <c r="V25" s="16">
        <f>SQRT($C17^2+$C18^2)</f>
        <v>405.47700000493245</v>
      </c>
      <c r="W25" s="16">
        <f>SQRT(C66^2+C67^2)</f>
        <v>405.47900000493246</v>
      </c>
      <c r="X25" s="14">
        <f t="shared" si="4"/>
        <v>2.0000000000095497E-3</v>
      </c>
    </row>
    <row r="26" spans="1:25">
      <c r="A26" s="90" t="s">
        <v>412</v>
      </c>
      <c r="B26" s="90" t="s">
        <v>413</v>
      </c>
      <c r="C26" s="90">
        <v>405.54700000000003</v>
      </c>
      <c r="D26" s="90"/>
      <c r="E26" s="90"/>
      <c r="F26" s="90"/>
      <c r="G26" s="90"/>
      <c r="H26" s="13">
        <v>16</v>
      </c>
      <c r="I26" s="13">
        <f t="shared" si="5"/>
        <v>337.5</v>
      </c>
      <c r="J26" s="10">
        <v>2</v>
      </c>
      <c r="K26" s="16">
        <f ca="1">SQRT(OFFSET($C14, $J$8, 0)^2+OFFSET($C15, $J$8, 0)^2)</f>
        <v>405.47300001109818</v>
      </c>
      <c r="L26" s="142">
        <f t="shared" si="6"/>
        <v>405.41</v>
      </c>
      <c r="M26" s="142">
        <f t="shared" si="6"/>
        <v>405.59</v>
      </c>
      <c r="S26" s="13">
        <f t="shared" si="1"/>
        <v>16</v>
      </c>
      <c r="T26" s="13">
        <f t="shared" si="0"/>
        <v>337.5</v>
      </c>
      <c r="U26" s="12">
        <f t="shared" si="0"/>
        <v>2</v>
      </c>
      <c r="V26" s="16">
        <f>SQRT($C14^2+$C15^2)</f>
        <v>405.46800000493261</v>
      </c>
      <c r="W26" s="16">
        <f>SQRT(C63^2+C64^2)</f>
        <v>405.47300001109818</v>
      </c>
      <c r="X26" s="14">
        <f t="shared" si="4"/>
        <v>5.0000061655737227E-3</v>
      </c>
    </row>
    <row r="27" spans="1:25">
      <c r="A27" s="90" t="s">
        <v>711</v>
      </c>
      <c r="B27" s="90" t="s">
        <v>415</v>
      </c>
      <c r="C27" s="90">
        <v>8.9999999999999993E-3</v>
      </c>
      <c r="D27" s="90"/>
      <c r="E27" s="90"/>
      <c r="F27" s="90"/>
      <c r="G27" s="90"/>
      <c r="H27" s="13">
        <v>17</v>
      </c>
      <c r="I27" s="13">
        <v>360</v>
      </c>
      <c r="J27" s="10">
        <v>1</v>
      </c>
      <c r="K27" s="15">
        <f ca="1">K11</f>
        <v>405.48900000123308</v>
      </c>
      <c r="P27" s="19" t="s">
        <v>271</v>
      </c>
      <c r="Q27" s="19" t="str">
        <f ca="1">M30</f>
        <v>-</v>
      </c>
      <c r="R27" s="19"/>
      <c r="S27" s="13">
        <f t="shared" si="1"/>
        <v>17</v>
      </c>
      <c r="T27" s="13">
        <f t="shared" si="0"/>
        <v>360</v>
      </c>
      <c r="U27" s="12">
        <f t="shared" si="0"/>
        <v>1</v>
      </c>
      <c r="V27" s="15"/>
      <c r="W27" s="15"/>
      <c r="X27" s="15"/>
    </row>
    <row r="28" spans="1:25">
      <c r="A28" s="121" t="s">
        <v>712</v>
      </c>
      <c r="B28" s="90" t="s">
        <v>417</v>
      </c>
      <c r="C28" s="90">
        <v>-117.074</v>
      </c>
      <c r="D28" s="90"/>
      <c r="E28" s="90"/>
      <c r="F28" s="90"/>
      <c r="G28" s="90"/>
      <c r="J28" s="10" t="s">
        <v>14</v>
      </c>
      <c r="K28" s="5">
        <f ca="1">MAX(K11:K26)</f>
        <v>405.55800000123287</v>
      </c>
      <c r="L28" s="15">
        <f ca="1">K28*2</f>
        <v>811.11600000246574</v>
      </c>
      <c r="M28" s="15" t="str">
        <f ca="1">IF(K28&gt;M26, "O/Max "&amp;TEXT(2*K28-2*M26, "0.000"), "-")</f>
        <v>-</v>
      </c>
      <c r="P28" s="19" t="s">
        <v>60</v>
      </c>
      <c r="Q28" s="19" t="str">
        <f ca="1">M28</f>
        <v>-</v>
      </c>
      <c r="R28" s="19"/>
      <c r="U28" s="12" t="s">
        <v>14</v>
      </c>
      <c r="V28" s="15">
        <f>MAX(V11:V26)</f>
        <v>405.54700009986516</v>
      </c>
      <c r="W28" s="15">
        <f>MAX(W11:W26)</f>
        <v>405.55800000123287</v>
      </c>
      <c r="X28" s="15">
        <f>MAX(X11:X26)</f>
        <v>1.7999974104725425E-2</v>
      </c>
      <c r="Y28">
        <f>INDEX(U$11:U$26,MATCH(X28,X$11:X$26,0))</f>
        <v>10</v>
      </c>
    </row>
    <row r="29" spans="1:25">
      <c r="A29" s="90" t="s">
        <v>412</v>
      </c>
      <c r="B29" s="90" t="s">
        <v>413</v>
      </c>
      <c r="C29" s="90">
        <v>405.49799999999999</v>
      </c>
      <c r="D29" s="90"/>
      <c r="E29" s="90"/>
      <c r="F29" s="90"/>
      <c r="G29" s="90"/>
      <c r="J29" s="10" t="s">
        <v>15</v>
      </c>
      <c r="K29" s="15">
        <f ca="1">MIN(K11:K26)</f>
        <v>405.47300001109818</v>
      </c>
      <c r="L29" s="15">
        <f ca="1">K29*2</f>
        <v>810.94600002219636</v>
      </c>
      <c r="M29" s="15" t="str">
        <f ca="1">IF(K29&lt;L26, "U/Min "&amp;TEXT(2*L26-2*K29, "0.000"), "-")</f>
        <v>-</v>
      </c>
      <c r="P29" s="19" t="s">
        <v>62</v>
      </c>
      <c r="Q29" s="19" t="str">
        <f ca="1">M29</f>
        <v>-</v>
      </c>
      <c r="R29" s="19"/>
      <c r="U29" s="12" t="s">
        <v>15</v>
      </c>
      <c r="V29" s="15">
        <f>MIN(V11:V26)</f>
        <v>405.46800000493261</v>
      </c>
      <c r="W29" s="15">
        <f>MIN(W11:W26)</f>
        <v>405.47300001109818</v>
      </c>
      <c r="X29" s="15">
        <f>MIN(X11:X26)</f>
        <v>2.0000000000095497E-3</v>
      </c>
      <c r="Y29">
        <f>INDEX(U$11:U$26,MATCH(X29,X$11:X$26,0))</f>
        <v>3</v>
      </c>
    </row>
    <row r="30" spans="1:25">
      <c r="A30" s="90" t="s">
        <v>713</v>
      </c>
      <c r="B30" s="90" t="s">
        <v>415</v>
      </c>
      <c r="C30" s="90">
        <v>-1E-3</v>
      </c>
      <c r="D30" s="90"/>
      <c r="E30" s="90"/>
      <c r="F30" s="90"/>
      <c r="G30" s="90"/>
      <c r="J30" s="17" t="s">
        <v>17</v>
      </c>
      <c r="K30" s="16">
        <f ca="1">AVERAGE(K11:K26)*2</f>
        <v>811.0247500168</v>
      </c>
      <c r="L30" s="15"/>
      <c r="M30" s="15" t="str">
        <f ca="1">IF(K30&gt;M6, "O/Max "&amp;TEXT(K30-M6, "0.000"), IF(K30&lt;M7, "U/Min "&amp;TEXT(M7-K30, "0.000"), "-"))</f>
        <v>-</v>
      </c>
      <c r="P30" s="19" t="s">
        <v>18</v>
      </c>
      <c r="Q30" s="19" t="str">
        <f ca="1">M31</f>
        <v>-</v>
      </c>
      <c r="R30" s="19"/>
    </row>
    <row r="31" spans="1:25">
      <c r="A31" s="121" t="s">
        <v>714</v>
      </c>
      <c r="B31" s="90" t="s">
        <v>417</v>
      </c>
      <c r="C31" s="90">
        <v>-117.047</v>
      </c>
      <c r="D31" s="90"/>
      <c r="E31" s="90"/>
      <c r="F31" s="90"/>
      <c r="G31" s="90"/>
      <c r="J31" s="10" t="s">
        <v>18</v>
      </c>
      <c r="K31" s="18">
        <f ca="1">K28-K29</f>
        <v>8.4999990134690506E-2</v>
      </c>
      <c r="L31" s="15"/>
      <c r="M31" s="15" t="str">
        <f ca="1">IF(K31&gt;0.13, "O/Max "&amp;TEXT(K31-0.13, "0.000"), "-")</f>
        <v>-</v>
      </c>
      <c r="N31" s="5" t="s">
        <v>20</v>
      </c>
    </row>
    <row r="32" spans="1:25">
      <c r="A32" s="90" t="s">
        <v>412</v>
      </c>
      <c r="B32" s="90" t="s">
        <v>413</v>
      </c>
      <c r="C32" s="90">
        <v>405.483</v>
      </c>
      <c r="D32" s="90"/>
      <c r="E32" s="90"/>
      <c r="F32" s="90"/>
      <c r="G32" s="90"/>
      <c r="S32" s="19" t="s">
        <v>135</v>
      </c>
    </row>
    <row r="33" spans="1:43">
      <c r="A33" s="90" t="s">
        <v>715</v>
      </c>
      <c r="B33" s="90" t="s">
        <v>415</v>
      </c>
      <c r="C33" s="90">
        <v>-5.0000000000000001E-3</v>
      </c>
      <c r="D33" s="90"/>
      <c r="E33" s="90"/>
      <c r="F33" s="90"/>
      <c r="G33" s="90"/>
      <c r="J33" s="5" t="s">
        <v>136</v>
      </c>
      <c r="M33" s="5" t="s">
        <v>137</v>
      </c>
      <c r="N33" s="5">
        <f>360/23</f>
        <v>15.652173913043478</v>
      </c>
      <c r="O33" s="9" t="s">
        <v>138</v>
      </c>
      <c r="P33" s="5" t="s">
        <v>27</v>
      </c>
      <c r="Q33" s="5">
        <v>-6.51</v>
      </c>
      <c r="R33" s="9" t="s">
        <v>24</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c r="AQ33" s="5"/>
    </row>
    <row r="34" spans="1:43">
      <c r="A34" s="121" t="s">
        <v>716</v>
      </c>
      <c r="B34" s="90" t="s">
        <v>417</v>
      </c>
      <c r="C34" s="90">
        <v>-117.038</v>
      </c>
      <c r="D34" s="90"/>
      <c r="E34" s="90"/>
      <c r="F34" s="90"/>
      <c r="G34" s="90"/>
      <c r="K34" s="9" t="s">
        <v>139</v>
      </c>
      <c r="M34" s="9" t="s">
        <v>29</v>
      </c>
      <c r="N34" s="9" t="s">
        <v>85</v>
      </c>
      <c r="O34" s="9" t="s">
        <v>86</v>
      </c>
      <c r="P34" s="9" t="s">
        <v>87</v>
      </c>
      <c r="Q34" s="9" t="s">
        <v>88</v>
      </c>
      <c r="R34" s="5"/>
      <c r="S34" s="20" t="str">
        <f ca="1">CONCATENATE($S$32, "#", OFFSET($J$35, S33, 0))</f>
        <v>Stg.3 Shroud Fwd#1</v>
      </c>
      <c r="T34" s="20" t="str">
        <f t="shared" ref="T34:AO34" ca="1" si="7">CONCATENATE($S$32, "#", OFFSET($J$35, T33, 0))</f>
        <v>Stg.3 Shroud Fwd#23</v>
      </c>
      <c r="U34" s="20" t="str">
        <f t="shared" ca="1" si="7"/>
        <v>Stg.3 Shroud Fwd#22</v>
      </c>
      <c r="V34" s="20" t="str">
        <f t="shared" ca="1" si="7"/>
        <v>Stg.3 Shroud Fwd#21</v>
      </c>
      <c r="W34" s="20" t="str">
        <f t="shared" ca="1" si="7"/>
        <v>Stg.3 Shroud Fwd#20</v>
      </c>
      <c r="X34" s="20" t="str">
        <f t="shared" ca="1" si="7"/>
        <v>Stg.3 Shroud Fwd#19</v>
      </c>
      <c r="Y34" s="20" t="str">
        <f t="shared" ca="1" si="7"/>
        <v>Stg.3 Shroud Fwd#18</v>
      </c>
      <c r="Z34" s="20" t="str">
        <f t="shared" ca="1" si="7"/>
        <v>Stg.3 Shroud Fwd#17</v>
      </c>
      <c r="AA34" s="20" t="str">
        <f t="shared" ca="1" si="7"/>
        <v>Stg.3 Shroud Fwd#16</v>
      </c>
      <c r="AB34" s="20" t="str">
        <f t="shared" ca="1" si="7"/>
        <v>Stg.3 Shroud Fwd#15</v>
      </c>
      <c r="AC34" s="20" t="str">
        <f t="shared" ca="1" si="7"/>
        <v>Stg.3 Shroud Fwd#14</v>
      </c>
      <c r="AD34" s="20" t="str">
        <f t="shared" ca="1" si="7"/>
        <v>Stg.3 Shroud Fwd#13</v>
      </c>
      <c r="AE34" s="20" t="str">
        <f t="shared" ca="1" si="7"/>
        <v>Stg.3 Shroud Fwd#12</v>
      </c>
      <c r="AF34" s="20" t="str">
        <f t="shared" ca="1" si="7"/>
        <v>Stg.3 Shroud Fwd#11</v>
      </c>
      <c r="AG34" s="20" t="str">
        <f t="shared" ca="1" si="7"/>
        <v>Stg.3 Shroud Fwd#10</v>
      </c>
      <c r="AH34" s="20" t="str">
        <f t="shared" ca="1" si="7"/>
        <v>Stg.3 Shroud Fwd#9</v>
      </c>
      <c r="AI34" s="20" t="str">
        <f t="shared" ca="1" si="7"/>
        <v>Stg.3 Shroud Fwd#8</v>
      </c>
      <c r="AJ34" s="20" t="str">
        <f t="shared" ca="1" si="7"/>
        <v>Stg.3 Shroud Fwd#7</v>
      </c>
      <c r="AK34" s="20" t="str">
        <f t="shared" ca="1" si="7"/>
        <v>Stg.3 Shroud Fwd#6</v>
      </c>
      <c r="AL34" s="20" t="str">
        <f t="shared" ca="1" si="7"/>
        <v>Stg.3 Shroud Fwd#5</v>
      </c>
      <c r="AM34" s="20" t="str">
        <f t="shared" ca="1" si="7"/>
        <v>Stg.3 Shroud Fwd#4</v>
      </c>
      <c r="AN34" s="20" t="str">
        <f t="shared" ca="1" si="7"/>
        <v>Stg.3 Shroud Fwd#3</v>
      </c>
      <c r="AO34" s="20" t="str">
        <f t="shared" ca="1" si="7"/>
        <v>Stg.3 Shroud Fwd#2</v>
      </c>
      <c r="AP34" s="20" t="s">
        <v>89</v>
      </c>
      <c r="AQ34" s="20" t="s">
        <v>140</v>
      </c>
    </row>
    <row r="35" spans="1:43">
      <c r="A35" s="90" t="s">
        <v>412</v>
      </c>
      <c r="B35" s="90" t="s">
        <v>413</v>
      </c>
      <c r="C35" s="90">
        <v>405.47</v>
      </c>
      <c r="D35" s="90"/>
      <c r="E35" s="90"/>
      <c r="F35" s="90"/>
      <c r="G35" s="90"/>
      <c r="J35" s="9" t="s">
        <v>141</v>
      </c>
      <c r="K35" s="9" t="s">
        <v>142</v>
      </c>
      <c r="L35" s="9" t="s">
        <v>143</v>
      </c>
      <c r="M35" s="9" t="s">
        <v>13</v>
      </c>
      <c r="N35" s="9" t="s">
        <v>144</v>
      </c>
      <c r="O35" s="9" t="s">
        <v>142</v>
      </c>
      <c r="P35" s="9" t="s">
        <v>13</v>
      </c>
      <c r="Q35" s="9" t="s">
        <v>13</v>
      </c>
      <c r="R35" s="5"/>
      <c r="S35" s="21"/>
      <c r="T35" s="21"/>
      <c r="U35" s="21"/>
      <c r="V35" s="21"/>
      <c r="W35" s="21"/>
      <c r="X35" s="21"/>
      <c r="Y35" s="21"/>
      <c r="Z35" s="21"/>
      <c r="AA35" s="21"/>
      <c r="AB35" s="21"/>
      <c r="AC35" s="21"/>
      <c r="AD35" s="21"/>
      <c r="AE35" s="21"/>
      <c r="AF35" s="21"/>
      <c r="AG35" s="21"/>
      <c r="AH35" s="21"/>
      <c r="AI35" s="21"/>
      <c r="AJ35" s="21"/>
      <c r="AK35" s="21"/>
      <c r="AL35" s="21"/>
      <c r="AM35" s="21"/>
      <c r="AN35" s="21"/>
      <c r="AO35" s="21"/>
      <c r="AP35" s="22" t="s">
        <v>13</v>
      </c>
      <c r="AQ35" s="22" t="s">
        <v>13</v>
      </c>
    </row>
    <row r="36" spans="1:43">
      <c r="A36" s="90" t="s">
        <v>717</v>
      </c>
      <c r="B36" s="90" t="s">
        <v>415</v>
      </c>
      <c r="C36" s="90">
        <v>-2E-3</v>
      </c>
      <c r="D36" s="90"/>
      <c r="E36" s="90"/>
      <c r="F36" s="90"/>
      <c r="G36" s="90"/>
      <c r="J36" s="5">
        <v>1</v>
      </c>
      <c r="K36" s="23">
        <f>IF(Q33&lt;0, 360+$Q$33, $Q$33)</f>
        <v>353.49</v>
      </c>
      <c r="L36" s="24">
        <f>MATCH($K36, $I$11:$I$27, 1)</f>
        <v>16</v>
      </c>
      <c r="M36" s="5">
        <f ca="1">VLOOKUP(L36, $H$11:$K$27, 4, FALSE)</f>
        <v>405.47300001109818</v>
      </c>
      <c r="N36" s="25">
        <f ca="1">(VLOOKUP(L36+1, $H$11:$K$27, 4, FALSE) - VLOOKUP(L36, $H$11:$K$27, 4, FALSE))/(VLOOKUP(L36+1, $H$11:$K$27, 2, FALSE) - VLOOKUP(L36, $H$11:$K$27, 2, FALSE))</f>
        <v>7.1111067266226903E-4</v>
      </c>
      <c r="O36" s="26">
        <f>K36-VLOOKUP(L36, $H$11:$I$27, 2, FALSE)</f>
        <v>15.990000000000009</v>
      </c>
      <c r="P36" s="27">
        <f ca="1">M36+N36*O36</f>
        <v>405.48437067075406</v>
      </c>
      <c r="Q36" s="27">
        <f ca="1">(P36+P58)/2</f>
        <v>405.47880545679408</v>
      </c>
      <c r="R36" s="5"/>
      <c r="S36" s="28">
        <f ca="1">Q36</f>
        <v>405.47880545679408</v>
      </c>
      <c r="T36" s="29"/>
      <c r="U36" s="29"/>
      <c r="V36" s="29"/>
      <c r="W36" s="29"/>
      <c r="X36" s="29"/>
      <c r="Y36" s="29"/>
      <c r="Z36" s="29"/>
      <c r="AA36" s="29"/>
      <c r="AB36" s="29"/>
      <c r="AC36" s="29"/>
      <c r="AD36" s="29"/>
      <c r="AE36" s="29"/>
      <c r="AF36" s="29"/>
      <c r="AG36" s="29"/>
      <c r="AH36" s="29"/>
      <c r="AI36" s="29"/>
      <c r="AJ36" s="28"/>
      <c r="AK36" s="28"/>
      <c r="AL36" s="28"/>
      <c r="AM36" s="28"/>
      <c r="AN36" s="28"/>
      <c r="AO36" s="28">
        <f ca="1">AO58</f>
        <v>405.47516203791133</v>
      </c>
      <c r="AP36" s="29">
        <f>M$7/2</f>
        <v>405.46800000000002</v>
      </c>
      <c r="AQ36" s="29">
        <f>M$6/2</f>
        <v>405.53199999999998</v>
      </c>
    </row>
    <row r="37" spans="1:43">
      <c r="A37" s="121" t="s">
        <v>718</v>
      </c>
      <c r="B37" s="90" t="s">
        <v>417</v>
      </c>
      <c r="C37" s="90">
        <v>-117.04300000000001</v>
      </c>
      <c r="D37" s="90"/>
      <c r="E37" s="90"/>
      <c r="F37" s="90"/>
      <c r="G37" s="90"/>
      <c r="J37" s="5">
        <v>23</v>
      </c>
      <c r="K37" s="23">
        <f>IF(K36+$N$33&gt;360, K36+$N$33-360, K36+$N$33)</f>
        <v>9.1421739130435071</v>
      </c>
      <c r="L37" s="24">
        <f t="shared" ref="L37:L58" si="8">MATCH($K37, $I$11:$I$27, 1)</f>
        <v>1</v>
      </c>
      <c r="M37" s="5">
        <f t="shared" ref="M37:M57" ca="1" si="9">VLOOKUP(L37, $H$11:$K$27, 4, FALSE)</f>
        <v>405.48900000123308</v>
      </c>
      <c r="N37" s="25">
        <f t="shared" ref="N37:N58" ca="1" si="10">(VLOOKUP(L37+1, $H$11:$K$27, 4, FALSE) - VLOOKUP(L37, $H$11:$K$27, 4, FALSE))/(VLOOKUP(L37+1, $H$11:$K$27, 2, FALSE) - VLOOKUP(L37, $H$11:$K$27, 2, FALSE))</f>
        <v>1.2444448828394647E-3</v>
      </c>
      <c r="O37" s="26">
        <f t="shared" ref="O37:O58" si="11">K37-VLOOKUP(L37, $H$11:$I$27, 2, FALSE)</f>
        <v>9.1421739130435071</v>
      </c>
      <c r="P37" s="27">
        <f t="shared" ref="P37:P58" ca="1" si="12">M37+N37*O37</f>
        <v>405.50037693277721</v>
      </c>
      <c r="Q37" s="27">
        <f ca="1">(P36+P37)/2</f>
        <v>405.49237380176567</v>
      </c>
      <c r="R37" s="5"/>
      <c r="S37" s="30">
        <f ca="1">S36</f>
        <v>405.47880545679408</v>
      </c>
      <c r="T37" s="30">
        <f ca="1">Q37</f>
        <v>405.49237380176567</v>
      </c>
      <c r="U37" s="21"/>
      <c r="V37" s="21"/>
      <c r="W37" s="21"/>
      <c r="X37" s="21"/>
      <c r="Y37" s="21"/>
      <c r="Z37" s="21"/>
      <c r="AA37" s="21"/>
      <c r="AB37" s="21"/>
      <c r="AC37" s="21"/>
      <c r="AD37" s="21"/>
      <c r="AE37" s="21"/>
      <c r="AF37" s="21"/>
      <c r="AG37" s="21"/>
      <c r="AH37" s="21"/>
      <c r="AI37" s="21"/>
      <c r="AJ37" s="21"/>
      <c r="AK37" s="21"/>
      <c r="AL37" s="21"/>
      <c r="AM37" s="21"/>
      <c r="AN37" s="21"/>
      <c r="AO37" s="21"/>
      <c r="AP37" s="21">
        <f t="shared" ref="AP37:AP58" si="13">M$7/2</f>
        <v>405.46800000000002</v>
      </c>
      <c r="AQ37" s="21">
        <f t="shared" ref="AQ37:AQ58" si="14">M$6/2</f>
        <v>405.53199999999998</v>
      </c>
    </row>
    <row r="38" spans="1:43">
      <c r="A38" s="90" t="s">
        <v>412</v>
      </c>
      <c r="B38" s="90" t="s">
        <v>413</v>
      </c>
      <c r="C38" s="90">
        <v>405.483</v>
      </c>
      <c r="D38" s="90"/>
      <c r="E38" s="90"/>
      <c r="F38" s="90"/>
      <c r="G38" s="90"/>
      <c r="J38" s="5">
        <v>22</v>
      </c>
      <c r="K38" s="23">
        <f t="shared" ref="K38:K58" si="15">IF(K37+$N$33&gt;360, K37+$N$33-360, K37+$N$33)</f>
        <v>24.794347826086984</v>
      </c>
      <c r="L38" s="24">
        <f t="shared" si="8"/>
        <v>2</v>
      </c>
      <c r="M38" s="5">
        <f t="shared" ca="1" si="9"/>
        <v>405.51700001109697</v>
      </c>
      <c r="N38" s="25">
        <f t="shared" ca="1" si="10"/>
        <v>4.4444395124527443E-4</v>
      </c>
      <c r="O38" s="26">
        <f t="shared" si="11"/>
        <v>2.2943478260869838</v>
      </c>
      <c r="P38" s="27">
        <f t="shared" ca="1" si="12"/>
        <v>405.51801972011032</v>
      </c>
      <c r="Q38" s="27">
        <f t="shared" ref="Q38:Q58" ca="1" si="16">(P37+P38)/2</f>
        <v>405.50919832644377</v>
      </c>
      <c r="R38" s="5"/>
      <c r="S38" s="21"/>
      <c r="T38" s="30">
        <f ca="1">T37</f>
        <v>405.49237380176567</v>
      </c>
      <c r="U38" s="30">
        <f ca="1">Q38</f>
        <v>405.50919832644377</v>
      </c>
      <c r="V38" s="21"/>
      <c r="W38" s="21"/>
      <c r="X38" s="21"/>
      <c r="Y38" s="21"/>
      <c r="Z38" s="21"/>
      <c r="AA38" s="21"/>
      <c r="AB38" s="21"/>
      <c r="AC38" s="21"/>
      <c r="AD38" s="21"/>
      <c r="AE38" s="21"/>
      <c r="AF38" s="21"/>
      <c r="AG38" s="21"/>
      <c r="AH38" s="21"/>
      <c r="AI38" s="21"/>
      <c r="AJ38" s="21"/>
      <c r="AK38" s="21"/>
      <c r="AL38" s="21"/>
      <c r="AM38" s="21"/>
      <c r="AN38" s="21"/>
      <c r="AO38" s="21"/>
      <c r="AP38" s="21">
        <f t="shared" si="13"/>
        <v>405.46800000000002</v>
      </c>
      <c r="AQ38" s="21">
        <f t="shared" si="14"/>
        <v>405.53199999999998</v>
      </c>
    </row>
    <row r="39" spans="1:43">
      <c r="A39" s="90" t="s">
        <v>719</v>
      </c>
      <c r="B39" s="90" t="s">
        <v>415</v>
      </c>
      <c r="C39" s="90">
        <v>5.0000000000000001E-3</v>
      </c>
      <c r="D39" s="90"/>
      <c r="E39" s="90"/>
      <c r="F39" s="90"/>
      <c r="G39" s="90"/>
      <c r="J39" s="5">
        <v>21</v>
      </c>
      <c r="K39" s="23">
        <f t="shared" si="15"/>
        <v>40.446521739130461</v>
      </c>
      <c r="L39" s="24">
        <f t="shared" si="8"/>
        <v>2</v>
      </c>
      <c r="M39" s="5">
        <f t="shared" ca="1" si="9"/>
        <v>405.51700001109697</v>
      </c>
      <c r="N39" s="25">
        <f t="shared" ca="1" si="10"/>
        <v>4.4444395124527443E-4</v>
      </c>
      <c r="O39" s="26">
        <f t="shared" si="11"/>
        <v>17.946521739130461</v>
      </c>
      <c r="P39" s="27">
        <f t="shared" ca="1" si="12"/>
        <v>405.52497623412984</v>
      </c>
      <c r="Q39" s="27">
        <f t="shared" ca="1" si="16"/>
        <v>405.52149797712008</v>
      </c>
      <c r="R39" s="5"/>
      <c r="S39" s="21"/>
      <c r="T39" s="21"/>
      <c r="U39" s="30">
        <f ca="1">U38</f>
        <v>405.50919832644377</v>
      </c>
      <c r="V39" s="30">
        <f ca="1">Q39</f>
        <v>405.52149797712008</v>
      </c>
      <c r="W39" s="21"/>
      <c r="X39" s="21"/>
      <c r="Y39" s="21"/>
      <c r="Z39" s="21"/>
      <c r="AA39" s="21"/>
      <c r="AB39" s="21"/>
      <c r="AC39" s="21"/>
      <c r="AD39" s="21"/>
      <c r="AE39" s="21"/>
      <c r="AF39" s="21"/>
      <c r="AG39" s="21"/>
      <c r="AH39" s="21"/>
      <c r="AI39" s="21"/>
      <c r="AJ39" s="21"/>
      <c r="AK39" s="21"/>
      <c r="AL39" s="21"/>
      <c r="AM39" s="21"/>
      <c r="AN39" s="21"/>
      <c r="AO39" s="21"/>
      <c r="AP39" s="21">
        <f t="shared" si="13"/>
        <v>405.46800000000002</v>
      </c>
      <c r="AQ39" s="21">
        <f t="shared" si="14"/>
        <v>405.53199999999998</v>
      </c>
    </row>
    <row r="40" spans="1:43">
      <c r="A40" s="121" t="s">
        <v>720</v>
      </c>
      <c r="B40" s="90" t="s">
        <v>417</v>
      </c>
      <c r="C40" s="90">
        <v>-117.05200000000001</v>
      </c>
      <c r="D40" s="90"/>
      <c r="E40" s="90"/>
      <c r="F40" s="90"/>
      <c r="G40" s="90"/>
      <c r="J40" s="5">
        <v>20</v>
      </c>
      <c r="K40" s="23">
        <f t="shared" si="15"/>
        <v>56.098695652173937</v>
      </c>
      <c r="L40" s="24">
        <f t="shared" si="8"/>
        <v>3</v>
      </c>
      <c r="M40" s="5">
        <f t="shared" ca="1" si="9"/>
        <v>405.52699999999999</v>
      </c>
      <c r="N40" s="25">
        <f t="shared" ca="1" si="10"/>
        <v>1.3333530605955779E-4</v>
      </c>
      <c r="O40" s="26">
        <f t="shared" si="11"/>
        <v>11.098695652173937</v>
      </c>
      <c r="P40" s="27">
        <f t="shared" ca="1" si="12"/>
        <v>405.52847984798166</v>
      </c>
      <c r="Q40" s="27">
        <f t="shared" ca="1" si="16"/>
        <v>405.52672804105578</v>
      </c>
      <c r="R40" s="5"/>
      <c r="S40" s="21"/>
      <c r="T40" s="21"/>
      <c r="U40" s="21"/>
      <c r="V40" s="30">
        <f ca="1">V39</f>
        <v>405.52149797712008</v>
      </c>
      <c r="W40" s="30">
        <f ca="1">Q40</f>
        <v>405.52672804105578</v>
      </c>
      <c r="X40" s="21"/>
      <c r="Y40" s="21"/>
      <c r="Z40" s="21"/>
      <c r="AA40" s="21"/>
      <c r="AB40" s="21"/>
      <c r="AC40" s="21"/>
      <c r="AD40" s="21"/>
      <c r="AE40" s="21"/>
      <c r="AF40" s="21"/>
      <c r="AG40" s="21"/>
      <c r="AH40" s="21"/>
      <c r="AI40" s="21"/>
      <c r="AJ40" s="21"/>
      <c r="AK40" s="21"/>
      <c r="AL40" s="21"/>
      <c r="AM40" s="21"/>
      <c r="AN40" s="21"/>
      <c r="AO40" s="21"/>
      <c r="AP40" s="21">
        <f t="shared" si="13"/>
        <v>405.46800000000002</v>
      </c>
      <c r="AQ40" s="21">
        <f t="shared" si="14"/>
        <v>405.53199999999998</v>
      </c>
    </row>
    <row r="41" spans="1:43">
      <c r="A41" s="90" t="s">
        <v>412</v>
      </c>
      <c r="B41" s="90" t="s">
        <v>413</v>
      </c>
      <c r="C41" s="90">
        <v>405.49299999999999</v>
      </c>
      <c r="D41" s="90"/>
      <c r="E41" s="90"/>
      <c r="F41" s="90"/>
      <c r="G41" s="90"/>
      <c r="J41" s="5">
        <v>19</v>
      </c>
      <c r="K41" s="23">
        <f t="shared" si="15"/>
        <v>71.750869565217414</v>
      </c>
      <c r="L41" s="24">
        <f t="shared" si="8"/>
        <v>4</v>
      </c>
      <c r="M41" s="5">
        <f t="shared" ca="1" si="9"/>
        <v>405.53000004438633</v>
      </c>
      <c r="N41" s="25">
        <f t="shared" ca="1" si="10"/>
        <v>-1.3333525125997566E-4</v>
      </c>
      <c r="O41" s="26">
        <f t="shared" si="11"/>
        <v>4.250869565217414</v>
      </c>
      <c r="P41" s="27">
        <f t="shared" ca="1" si="12"/>
        <v>405.5294332536248</v>
      </c>
      <c r="Q41" s="27">
        <f t="shared" ca="1" si="16"/>
        <v>405.52895655080323</v>
      </c>
      <c r="R41" s="5"/>
      <c r="S41" s="21"/>
      <c r="T41" s="21"/>
      <c r="U41" s="21"/>
      <c r="V41" s="21"/>
      <c r="W41" s="30">
        <f ca="1">W40</f>
        <v>405.52672804105578</v>
      </c>
      <c r="X41" s="30">
        <f ca="1">Q41</f>
        <v>405.52895655080323</v>
      </c>
      <c r="Y41" s="21"/>
      <c r="Z41" s="21"/>
      <c r="AA41" s="21"/>
      <c r="AB41" s="21"/>
      <c r="AC41" s="21"/>
      <c r="AD41" s="21"/>
      <c r="AE41" s="21"/>
      <c r="AF41" s="21"/>
      <c r="AG41" s="21"/>
      <c r="AH41" s="21"/>
      <c r="AI41" s="21"/>
      <c r="AJ41" s="21"/>
      <c r="AK41" s="21"/>
      <c r="AL41" s="21"/>
      <c r="AM41" s="21"/>
      <c r="AN41" s="21"/>
      <c r="AO41" s="21"/>
      <c r="AP41" s="21">
        <f t="shared" si="13"/>
        <v>405.46800000000002</v>
      </c>
      <c r="AQ41" s="21">
        <f t="shared" si="14"/>
        <v>405.53199999999998</v>
      </c>
    </row>
    <row r="42" spans="1:43">
      <c r="A42" s="90" t="s">
        <v>721</v>
      </c>
      <c r="B42" s="90" t="s">
        <v>415</v>
      </c>
      <c r="C42" s="90">
        <v>0</v>
      </c>
      <c r="D42" s="90"/>
      <c r="E42" s="90"/>
      <c r="F42" s="90"/>
      <c r="G42" s="90"/>
      <c r="J42" s="5">
        <v>18</v>
      </c>
      <c r="K42" s="23">
        <f t="shared" si="15"/>
        <v>87.403043478260898</v>
      </c>
      <c r="L42" s="24">
        <f t="shared" si="8"/>
        <v>4</v>
      </c>
      <c r="M42" s="5">
        <f t="shared" ca="1" si="9"/>
        <v>405.53000004438633</v>
      </c>
      <c r="N42" s="25">
        <f t="shared" ca="1" si="10"/>
        <v>-1.3333525125997566E-4</v>
      </c>
      <c r="O42" s="26">
        <f t="shared" si="11"/>
        <v>19.903043478260898</v>
      </c>
      <c r="P42" s="27">
        <f t="shared" ca="1" si="12"/>
        <v>405.52734626708332</v>
      </c>
      <c r="Q42" s="27">
        <f t="shared" ca="1" si="16"/>
        <v>405.52838976035406</v>
      </c>
      <c r="R42" s="5"/>
      <c r="S42" s="21"/>
      <c r="T42" s="21"/>
      <c r="U42" s="21"/>
      <c r="V42" s="21"/>
      <c r="W42" s="21"/>
      <c r="X42" s="30">
        <f ca="1">X41</f>
        <v>405.52895655080323</v>
      </c>
      <c r="Y42" s="30">
        <f ca="1">Q42</f>
        <v>405.52838976035406</v>
      </c>
      <c r="Z42" s="21"/>
      <c r="AA42" s="21"/>
      <c r="AB42" s="21"/>
      <c r="AC42" s="21"/>
      <c r="AD42" s="21"/>
      <c r="AE42" s="21"/>
      <c r="AF42" s="21"/>
      <c r="AG42" s="21"/>
      <c r="AH42" s="21"/>
      <c r="AI42" s="21"/>
      <c r="AJ42" s="21"/>
      <c r="AK42" s="21"/>
      <c r="AL42" s="21"/>
      <c r="AM42" s="21"/>
      <c r="AN42" s="21"/>
      <c r="AO42" s="21"/>
      <c r="AP42" s="21">
        <f t="shared" si="13"/>
        <v>405.46800000000002</v>
      </c>
      <c r="AQ42" s="21">
        <f t="shared" si="14"/>
        <v>405.53199999999998</v>
      </c>
    </row>
    <row r="43" spans="1:43">
      <c r="A43" s="121" t="s">
        <v>722</v>
      </c>
      <c r="B43" s="90" t="s">
        <v>417</v>
      </c>
      <c r="C43" s="90">
        <v>-117.057</v>
      </c>
      <c r="D43" s="90"/>
      <c r="E43" s="90"/>
      <c r="F43" s="90"/>
      <c r="G43" s="90"/>
      <c r="J43" s="5">
        <v>17</v>
      </c>
      <c r="K43" s="23">
        <f t="shared" si="15"/>
        <v>103.05521739130438</v>
      </c>
      <c r="L43" s="24">
        <f t="shared" si="8"/>
        <v>5</v>
      </c>
      <c r="M43" s="5">
        <f t="shared" ca="1" si="9"/>
        <v>405.52700000123298</v>
      </c>
      <c r="N43" s="25">
        <f t="shared" ca="1" si="10"/>
        <v>1.6439369371962836E-10</v>
      </c>
      <c r="O43" s="26">
        <f t="shared" si="11"/>
        <v>13.055217391304382</v>
      </c>
      <c r="P43" s="27">
        <f t="shared" ca="1" si="12"/>
        <v>405.52700000337916</v>
      </c>
      <c r="Q43" s="27">
        <f t="shared" ca="1" si="16"/>
        <v>405.52717313523124</v>
      </c>
      <c r="R43" s="5"/>
      <c r="S43" s="21"/>
      <c r="T43" s="21"/>
      <c r="U43" s="21"/>
      <c r="V43" s="21"/>
      <c r="W43" s="21"/>
      <c r="X43" s="21"/>
      <c r="Y43" s="30">
        <f ca="1">Y42</f>
        <v>405.52838976035406</v>
      </c>
      <c r="Z43" s="30">
        <f ca="1">Q43</f>
        <v>405.52717313523124</v>
      </c>
      <c r="AA43" s="21"/>
      <c r="AB43" s="21"/>
      <c r="AC43" s="21"/>
      <c r="AD43" s="21"/>
      <c r="AE43" s="21"/>
      <c r="AF43" s="21"/>
      <c r="AG43" s="21"/>
      <c r="AH43" s="21"/>
      <c r="AI43" s="21"/>
      <c r="AJ43" s="21"/>
      <c r="AK43" s="21"/>
      <c r="AL43" s="21"/>
      <c r="AM43" s="21"/>
      <c r="AN43" s="21"/>
      <c r="AO43" s="21"/>
      <c r="AP43" s="21">
        <f t="shared" si="13"/>
        <v>405.46800000000002</v>
      </c>
      <c r="AQ43" s="21">
        <f t="shared" si="14"/>
        <v>405.53199999999998</v>
      </c>
    </row>
    <row r="44" spans="1:43">
      <c r="A44" s="90" t="s">
        <v>412</v>
      </c>
      <c r="B44" s="90" t="s">
        <v>413</v>
      </c>
      <c r="C44" s="90">
        <v>405.517</v>
      </c>
      <c r="D44" s="90"/>
      <c r="E44" s="90"/>
      <c r="F44" s="90"/>
      <c r="G44" s="90"/>
      <c r="J44" s="5">
        <v>16</v>
      </c>
      <c r="K44" s="23">
        <f t="shared" si="15"/>
        <v>118.70739130434787</v>
      </c>
      <c r="L44" s="24">
        <f t="shared" si="8"/>
        <v>6</v>
      </c>
      <c r="M44" s="5">
        <f t="shared" ca="1" si="9"/>
        <v>405.52700000493184</v>
      </c>
      <c r="N44" s="25">
        <f t="shared" ca="1" si="10"/>
        <v>-7.5555571994654095E-4</v>
      </c>
      <c r="O44" s="26">
        <f t="shared" si="11"/>
        <v>6.2073913043478655</v>
      </c>
      <c r="P44" s="27">
        <f t="shared" ca="1" si="12"/>
        <v>405.52230997492586</v>
      </c>
      <c r="Q44" s="27">
        <f t="shared" ca="1" si="16"/>
        <v>405.52465498915251</v>
      </c>
      <c r="R44" s="5"/>
      <c r="S44" s="21"/>
      <c r="T44" s="21"/>
      <c r="U44" s="21"/>
      <c r="V44" s="21"/>
      <c r="W44" s="21"/>
      <c r="X44" s="21"/>
      <c r="Y44" s="21"/>
      <c r="Z44" s="30">
        <f ca="1">Z43</f>
        <v>405.52717313523124</v>
      </c>
      <c r="AA44" s="30">
        <f ca="1">Q44</f>
        <v>405.52465498915251</v>
      </c>
      <c r="AB44" s="21"/>
      <c r="AC44" s="21"/>
      <c r="AD44" s="21"/>
      <c r="AE44" s="21"/>
      <c r="AF44" s="21"/>
      <c r="AG44" s="21"/>
      <c r="AH44" s="21"/>
      <c r="AI44" s="21"/>
      <c r="AJ44" s="21"/>
      <c r="AK44" s="21"/>
      <c r="AL44" s="21"/>
      <c r="AM44" s="21"/>
      <c r="AN44" s="21"/>
      <c r="AO44" s="21"/>
      <c r="AP44" s="21">
        <f t="shared" si="13"/>
        <v>405.46800000000002</v>
      </c>
      <c r="AQ44" s="21">
        <f t="shared" si="14"/>
        <v>405.53199999999998</v>
      </c>
    </row>
    <row r="45" spans="1:43">
      <c r="A45" s="90" t="s">
        <v>723</v>
      </c>
      <c r="B45" s="90" t="s">
        <v>415</v>
      </c>
      <c r="C45" s="90">
        <v>-1E-3</v>
      </c>
      <c r="D45" s="90"/>
      <c r="E45" s="90"/>
      <c r="F45" s="90"/>
      <c r="G45" s="90"/>
      <c r="J45" s="5">
        <v>15</v>
      </c>
      <c r="K45" s="23">
        <f t="shared" si="15"/>
        <v>134.35956521739135</v>
      </c>
      <c r="L45" s="24">
        <f t="shared" si="8"/>
        <v>6</v>
      </c>
      <c r="M45" s="5">
        <f t="shared" ca="1" si="9"/>
        <v>405.52700000493184</v>
      </c>
      <c r="N45" s="25">
        <f t="shared" ca="1" si="10"/>
        <v>-7.5555571994654095E-4</v>
      </c>
      <c r="O45" s="26">
        <f t="shared" si="11"/>
        <v>21.859565217391349</v>
      </c>
      <c r="P45" s="27">
        <f t="shared" ca="1" si="12"/>
        <v>405.5104838853963</v>
      </c>
      <c r="Q45" s="27">
        <f t="shared" ca="1" si="16"/>
        <v>405.51639693016108</v>
      </c>
      <c r="R45" s="5"/>
      <c r="S45" s="21"/>
      <c r="T45" s="21"/>
      <c r="U45" s="21"/>
      <c r="V45" s="21"/>
      <c r="W45" s="21"/>
      <c r="X45" s="21"/>
      <c r="Y45" s="21"/>
      <c r="Z45" s="21"/>
      <c r="AA45" s="30">
        <f ca="1">AA44</f>
        <v>405.52465498915251</v>
      </c>
      <c r="AB45" s="30">
        <f ca="1">Q45</f>
        <v>405.51639693016108</v>
      </c>
      <c r="AC45" s="21"/>
      <c r="AD45" s="21"/>
      <c r="AE45" s="21"/>
      <c r="AF45" s="21"/>
      <c r="AG45" s="21"/>
      <c r="AH45" s="21"/>
      <c r="AI45" s="21"/>
      <c r="AJ45" s="21"/>
      <c r="AK45" s="21"/>
      <c r="AL45" s="21"/>
      <c r="AM45" s="21"/>
      <c r="AN45" s="21"/>
      <c r="AO45" s="21"/>
      <c r="AP45" s="21">
        <f t="shared" si="13"/>
        <v>405.46800000000002</v>
      </c>
      <c r="AQ45" s="21">
        <f t="shared" si="14"/>
        <v>405.53199999999998</v>
      </c>
    </row>
    <row r="46" spans="1:43">
      <c r="A46" s="121" t="s">
        <v>724</v>
      </c>
      <c r="B46" s="90" t="s">
        <v>417</v>
      </c>
      <c r="C46" s="90">
        <v>-117.057</v>
      </c>
      <c r="D46" s="90"/>
      <c r="E46" s="90"/>
      <c r="F46" s="90"/>
      <c r="G46" s="90"/>
      <c r="J46" s="5">
        <v>14</v>
      </c>
      <c r="K46" s="23">
        <f t="shared" si="15"/>
        <v>150.01173913043482</v>
      </c>
      <c r="L46" s="24">
        <f t="shared" si="8"/>
        <v>7</v>
      </c>
      <c r="M46" s="5">
        <f t="shared" ca="1" si="9"/>
        <v>405.51000000123304</v>
      </c>
      <c r="N46" s="25">
        <f t="shared" ca="1" si="10"/>
        <v>-3.9999983559432117E-4</v>
      </c>
      <c r="O46" s="26">
        <f t="shared" si="11"/>
        <v>15.011739130434819</v>
      </c>
      <c r="P46" s="27">
        <f t="shared" ca="1" si="12"/>
        <v>405.5039953080489</v>
      </c>
      <c r="Q46" s="27">
        <f t="shared" ca="1" si="16"/>
        <v>405.50723959672257</v>
      </c>
      <c r="R46" s="5"/>
      <c r="S46" s="21"/>
      <c r="T46" s="21"/>
      <c r="U46" s="21"/>
      <c r="V46" s="21"/>
      <c r="W46" s="21"/>
      <c r="X46" s="21"/>
      <c r="Y46" s="21"/>
      <c r="Z46" s="21"/>
      <c r="AA46" s="21"/>
      <c r="AB46" s="30">
        <f ca="1">AB45</f>
        <v>405.51639693016108</v>
      </c>
      <c r="AC46" s="30">
        <f ca="1">Q46</f>
        <v>405.50723959672257</v>
      </c>
      <c r="AD46" s="21"/>
      <c r="AE46" s="21"/>
      <c r="AF46" s="21"/>
      <c r="AG46" s="21"/>
      <c r="AH46" s="21"/>
      <c r="AI46" s="21"/>
      <c r="AJ46" s="21"/>
      <c r="AK46" s="21"/>
      <c r="AL46" s="21"/>
      <c r="AM46" s="21"/>
      <c r="AN46" s="21"/>
      <c r="AO46" s="21"/>
      <c r="AP46" s="21">
        <f t="shared" si="13"/>
        <v>405.46800000000002</v>
      </c>
      <c r="AQ46" s="21">
        <f t="shared" si="14"/>
        <v>405.53199999999998</v>
      </c>
    </row>
    <row r="47" spans="1:43">
      <c r="A47" s="90" t="s">
        <v>412</v>
      </c>
      <c r="B47" s="90" t="s">
        <v>413</v>
      </c>
      <c r="C47" s="90">
        <v>405.51600000000002</v>
      </c>
      <c r="D47" s="90"/>
      <c r="E47" s="90"/>
      <c r="F47" s="90"/>
      <c r="G47" s="90"/>
      <c r="J47" s="5">
        <v>13</v>
      </c>
      <c r="K47" s="23">
        <f t="shared" si="15"/>
        <v>165.66391304347829</v>
      </c>
      <c r="L47" s="24">
        <f t="shared" si="8"/>
        <v>8</v>
      </c>
      <c r="M47" s="5">
        <f t="shared" ca="1" si="9"/>
        <v>405.50100000493217</v>
      </c>
      <c r="N47" s="25">
        <f t="shared" ca="1" si="10"/>
        <v>-1.0222223866245864E-3</v>
      </c>
      <c r="O47" s="26">
        <f t="shared" si="11"/>
        <v>8.1639130434782885</v>
      </c>
      <c r="P47" s="27">
        <f t="shared" ca="1" si="12"/>
        <v>405.49265467025668</v>
      </c>
      <c r="Q47" s="27">
        <f t="shared" ca="1" si="16"/>
        <v>405.49832498915282</v>
      </c>
      <c r="R47" s="5"/>
      <c r="S47" s="21"/>
      <c r="T47" s="21"/>
      <c r="U47" s="21"/>
      <c r="V47" s="21"/>
      <c r="W47" s="21"/>
      <c r="X47" s="21"/>
      <c r="Y47" s="21"/>
      <c r="Z47" s="21"/>
      <c r="AA47" s="21"/>
      <c r="AB47" s="21"/>
      <c r="AC47" s="30">
        <f ca="1">AC46</f>
        <v>405.50723959672257</v>
      </c>
      <c r="AD47" s="30">
        <f ca="1">Q47</f>
        <v>405.49832498915282</v>
      </c>
      <c r="AE47" s="21"/>
      <c r="AF47" s="21"/>
      <c r="AG47" s="21"/>
      <c r="AH47" s="21"/>
      <c r="AI47" s="21"/>
      <c r="AJ47" s="21"/>
      <c r="AK47" s="21"/>
      <c r="AL47" s="21"/>
      <c r="AM47" s="21"/>
      <c r="AN47" s="21"/>
      <c r="AO47" s="21"/>
      <c r="AP47" s="21">
        <f t="shared" si="13"/>
        <v>405.46800000000002</v>
      </c>
      <c r="AQ47" s="21">
        <f t="shared" si="14"/>
        <v>405.53199999999998</v>
      </c>
    </row>
    <row r="48" spans="1:43">
      <c r="A48" s="90" t="s">
        <v>725</v>
      </c>
      <c r="B48" s="90" t="s">
        <v>415</v>
      </c>
      <c r="C48" s="90">
        <v>-1E-3</v>
      </c>
      <c r="D48" s="90"/>
      <c r="E48" s="90"/>
      <c r="F48" s="90"/>
      <c r="G48" s="90"/>
      <c r="J48" s="5">
        <v>12</v>
      </c>
      <c r="K48" s="23">
        <f t="shared" si="15"/>
        <v>181.31608695652176</v>
      </c>
      <c r="L48" s="24">
        <f t="shared" si="8"/>
        <v>9</v>
      </c>
      <c r="M48" s="5">
        <f t="shared" ca="1" si="9"/>
        <v>405.47800000123311</v>
      </c>
      <c r="N48" s="25">
        <f t="shared" ca="1" si="10"/>
        <v>3.5555687084827997E-4</v>
      </c>
      <c r="O48" s="26">
        <f t="shared" si="11"/>
        <v>1.3160869565217581</v>
      </c>
      <c r="P48" s="27">
        <f t="shared" ca="1" si="12"/>
        <v>405.47846794499316</v>
      </c>
      <c r="Q48" s="27">
        <f t="shared" ca="1" si="16"/>
        <v>405.48556130762495</v>
      </c>
      <c r="R48" s="5"/>
      <c r="S48" s="21"/>
      <c r="T48" s="21"/>
      <c r="U48" s="21"/>
      <c r="V48" s="21"/>
      <c r="W48" s="21"/>
      <c r="X48" s="21"/>
      <c r="Y48" s="21"/>
      <c r="Z48" s="21"/>
      <c r="AA48" s="21"/>
      <c r="AB48" s="21"/>
      <c r="AC48" s="21"/>
      <c r="AD48" s="30">
        <f ca="1">AD47</f>
        <v>405.49832498915282</v>
      </c>
      <c r="AE48" s="30">
        <f ca="1">Q48</f>
        <v>405.48556130762495</v>
      </c>
      <c r="AF48" s="21"/>
      <c r="AG48" s="21"/>
      <c r="AH48" s="21"/>
      <c r="AI48" s="21"/>
      <c r="AJ48" s="21"/>
      <c r="AK48" s="21"/>
      <c r="AL48" s="21"/>
      <c r="AM48" s="21"/>
      <c r="AN48" s="21"/>
      <c r="AO48" s="21"/>
      <c r="AP48" s="21">
        <f t="shared" si="13"/>
        <v>405.46800000000002</v>
      </c>
      <c r="AQ48" s="21">
        <f t="shared" si="14"/>
        <v>405.53199999999998</v>
      </c>
    </row>
    <row r="49" spans="1:43">
      <c r="A49" s="121" t="s">
        <v>726</v>
      </c>
      <c r="B49" s="90" t="s">
        <v>417</v>
      </c>
      <c r="C49" s="90">
        <v>-117.057</v>
      </c>
      <c r="D49" s="90"/>
      <c r="E49" s="90"/>
      <c r="F49" s="90"/>
      <c r="G49" s="90"/>
      <c r="J49" s="5">
        <v>11</v>
      </c>
      <c r="K49" s="23">
        <f t="shared" si="15"/>
        <v>196.96826086956523</v>
      </c>
      <c r="L49" s="24">
        <f t="shared" si="8"/>
        <v>9</v>
      </c>
      <c r="M49" s="5">
        <f t="shared" ca="1" si="9"/>
        <v>405.47800000123311</v>
      </c>
      <c r="N49" s="25">
        <f t="shared" ca="1" si="10"/>
        <v>3.5555687084827997E-4</v>
      </c>
      <c r="O49" s="26">
        <f t="shared" si="11"/>
        <v>16.968260869565228</v>
      </c>
      <c r="P49" s="27">
        <f t="shared" ca="1" si="12"/>
        <v>405.48403318297164</v>
      </c>
      <c r="Q49" s="27">
        <f t="shared" ca="1" si="16"/>
        <v>405.48125056398237</v>
      </c>
      <c r="R49" s="5"/>
      <c r="S49" s="21"/>
      <c r="T49" s="21"/>
      <c r="U49" s="21"/>
      <c r="V49" s="21"/>
      <c r="W49" s="21"/>
      <c r="X49" s="21"/>
      <c r="Y49" s="21"/>
      <c r="Z49" s="21"/>
      <c r="AA49" s="21"/>
      <c r="AB49" s="21"/>
      <c r="AC49" s="21"/>
      <c r="AD49" s="21"/>
      <c r="AE49" s="30">
        <f ca="1">AE48</f>
        <v>405.48556130762495</v>
      </c>
      <c r="AF49" s="30">
        <f ca="1">Q49</f>
        <v>405.48125056398237</v>
      </c>
      <c r="AG49" s="21"/>
      <c r="AH49" s="21"/>
      <c r="AI49" s="21"/>
      <c r="AJ49" s="21"/>
      <c r="AK49" s="21"/>
      <c r="AL49" s="21"/>
      <c r="AM49" s="21"/>
      <c r="AN49" s="21"/>
      <c r="AO49" s="21"/>
      <c r="AP49" s="21">
        <f t="shared" si="13"/>
        <v>405.46800000000002</v>
      </c>
      <c r="AQ49" s="21">
        <f t="shared" si="14"/>
        <v>405.53199999999998</v>
      </c>
    </row>
    <row r="50" spans="1:43">
      <c r="A50" s="90" t="s">
        <v>412</v>
      </c>
      <c r="B50" s="90" t="s">
        <v>413</v>
      </c>
      <c r="C50" s="90">
        <v>405.52600000000001</v>
      </c>
      <c r="D50" s="90"/>
      <c r="E50" s="90"/>
      <c r="F50" s="90"/>
      <c r="G50" s="90"/>
      <c r="J50" s="5">
        <v>10</v>
      </c>
      <c r="K50" s="23">
        <f t="shared" si="15"/>
        <v>212.6204347826087</v>
      </c>
      <c r="L50" s="24">
        <f t="shared" si="8"/>
        <v>10</v>
      </c>
      <c r="M50" s="5">
        <f t="shared" ca="1" si="9"/>
        <v>405.4860000308272</v>
      </c>
      <c r="N50" s="25">
        <f t="shared" ca="1" si="10"/>
        <v>1.1111099602178203E-3</v>
      </c>
      <c r="O50" s="26">
        <f t="shared" si="11"/>
        <v>10.120434782608697</v>
      </c>
      <c r="P50" s="27">
        <f t="shared" ca="1" si="12"/>
        <v>405.49724494671591</v>
      </c>
      <c r="Q50" s="27">
        <f t="shared" ca="1" si="16"/>
        <v>405.49063906484378</v>
      </c>
      <c r="R50" s="5"/>
      <c r="S50" s="21"/>
      <c r="T50" s="21"/>
      <c r="U50" s="21"/>
      <c r="V50" s="21"/>
      <c r="W50" s="21"/>
      <c r="X50" s="21"/>
      <c r="Y50" s="21"/>
      <c r="Z50" s="21"/>
      <c r="AA50" s="21"/>
      <c r="AB50" s="21"/>
      <c r="AC50" s="21"/>
      <c r="AD50" s="21"/>
      <c r="AE50" s="21"/>
      <c r="AF50" s="30">
        <f ca="1">AF49</f>
        <v>405.48125056398237</v>
      </c>
      <c r="AG50" s="30">
        <f ca="1">Q50</f>
        <v>405.49063906484378</v>
      </c>
      <c r="AH50" s="21"/>
      <c r="AI50" s="21"/>
      <c r="AJ50" s="21"/>
      <c r="AK50" s="21"/>
      <c r="AL50" s="21"/>
      <c r="AM50" s="21"/>
      <c r="AN50" s="21"/>
      <c r="AO50" s="21"/>
      <c r="AP50" s="21">
        <f t="shared" si="13"/>
        <v>405.46800000000002</v>
      </c>
      <c r="AQ50" s="21">
        <f t="shared" si="14"/>
        <v>405.53199999999998</v>
      </c>
    </row>
    <row r="51" spans="1:43">
      <c r="A51" s="90" t="s">
        <v>727</v>
      </c>
      <c r="B51" s="90" t="s">
        <v>415</v>
      </c>
      <c r="C51" s="90">
        <v>0</v>
      </c>
      <c r="D51" s="90"/>
      <c r="E51" s="90"/>
      <c r="F51" s="90"/>
      <c r="G51" s="90"/>
      <c r="J51" s="5">
        <v>9</v>
      </c>
      <c r="K51" s="23">
        <f t="shared" si="15"/>
        <v>228.27260869565217</v>
      </c>
      <c r="L51" s="24">
        <f t="shared" si="8"/>
        <v>11</v>
      </c>
      <c r="M51" s="5">
        <f t="shared" ca="1" si="9"/>
        <v>405.5110000049321</v>
      </c>
      <c r="N51" s="25">
        <f t="shared" ca="1" si="10"/>
        <v>2.0444442252407196E-3</v>
      </c>
      <c r="O51" s="26">
        <f t="shared" si="11"/>
        <v>3.2726086956521669</v>
      </c>
      <c r="P51" s="27">
        <f t="shared" ca="1" si="12"/>
        <v>405.51769067088139</v>
      </c>
      <c r="Q51" s="27">
        <f t="shared" ca="1" si="16"/>
        <v>405.50746780879865</v>
      </c>
      <c r="R51" s="5"/>
      <c r="S51" s="21"/>
      <c r="T51" s="21"/>
      <c r="U51" s="21"/>
      <c r="V51" s="21"/>
      <c r="W51" s="21"/>
      <c r="X51" s="21"/>
      <c r="Y51" s="21"/>
      <c r="Z51" s="21"/>
      <c r="AA51" s="21"/>
      <c r="AB51" s="21"/>
      <c r="AC51" s="21"/>
      <c r="AD51" s="21"/>
      <c r="AE51" s="21"/>
      <c r="AF51" s="21"/>
      <c r="AG51" s="30">
        <f ca="1">AG50</f>
        <v>405.49063906484378</v>
      </c>
      <c r="AH51" s="30">
        <f ca="1">Q51</f>
        <v>405.50746780879865</v>
      </c>
      <c r="AI51" s="21"/>
      <c r="AJ51" s="21"/>
      <c r="AK51" s="21"/>
      <c r="AL51" s="21"/>
      <c r="AM51" s="21"/>
      <c r="AN51" s="21"/>
      <c r="AO51" s="21"/>
      <c r="AP51" s="21">
        <f t="shared" si="13"/>
        <v>405.46800000000002</v>
      </c>
      <c r="AQ51" s="21">
        <f t="shared" si="14"/>
        <v>405.53199999999998</v>
      </c>
    </row>
    <row r="52" spans="1:43">
      <c r="A52" s="121" t="s">
        <v>728</v>
      </c>
      <c r="B52" s="90" t="s">
        <v>417</v>
      </c>
      <c r="C52" s="90">
        <v>-117.06699999999999</v>
      </c>
      <c r="D52" s="90"/>
      <c r="E52" s="90"/>
      <c r="F52" s="90"/>
      <c r="G52" s="90"/>
      <c r="J52" s="5">
        <v>8</v>
      </c>
      <c r="K52" s="23">
        <f t="shared" si="15"/>
        <v>243.92478260869564</v>
      </c>
      <c r="L52" s="24">
        <f t="shared" si="8"/>
        <v>11</v>
      </c>
      <c r="M52" s="5">
        <f t="shared" ca="1" si="9"/>
        <v>405.5110000049321</v>
      </c>
      <c r="N52" s="25">
        <f t="shared" ca="1" si="10"/>
        <v>2.0444442252407196E-3</v>
      </c>
      <c r="O52" s="26">
        <f t="shared" si="11"/>
        <v>18.924782608695637</v>
      </c>
      <c r="P52" s="27">
        <f t="shared" ca="1" si="12"/>
        <v>405.54969066745036</v>
      </c>
      <c r="Q52" s="27">
        <f t="shared" ca="1" si="16"/>
        <v>405.53369066916588</v>
      </c>
      <c r="R52" s="5"/>
      <c r="S52" s="21"/>
      <c r="T52" s="21"/>
      <c r="U52" s="21"/>
      <c r="V52" s="21"/>
      <c r="W52" s="21"/>
      <c r="X52" s="21"/>
      <c r="Y52" s="21"/>
      <c r="Z52" s="21"/>
      <c r="AA52" s="21"/>
      <c r="AB52" s="21"/>
      <c r="AC52" s="21"/>
      <c r="AD52" s="21"/>
      <c r="AE52" s="21"/>
      <c r="AF52" s="21"/>
      <c r="AG52" s="21"/>
      <c r="AH52" s="30">
        <f ca="1">AH51</f>
        <v>405.50746780879865</v>
      </c>
      <c r="AI52" s="30">
        <f ca="1">Q52</f>
        <v>405.53369066916588</v>
      </c>
      <c r="AJ52" s="21"/>
      <c r="AK52" s="21"/>
      <c r="AL52" s="21"/>
      <c r="AM52" s="21"/>
      <c r="AN52" s="21"/>
      <c r="AO52" s="21"/>
      <c r="AP52" s="21">
        <f t="shared" si="13"/>
        <v>405.46800000000002</v>
      </c>
      <c r="AQ52" s="21">
        <f t="shared" si="14"/>
        <v>405.53199999999998</v>
      </c>
    </row>
    <row r="53" spans="1:43">
      <c r="A53" s="90" t="s">
        <v>412</v>
      </c>
      <c r="B53" s="90" t="s">
        <v>413</v>
      </c>
      <c r="C53" s="90">
        <v>405.51600000000002</v>
      </c>
      <c r="D53" s="90"/>
      <c r="E53" s="90"/>
      <c r="F53" s="90"/>
      <c r="G53" s="90"/>
      <c r="J53" s="5">
        <v>7</v>
      </c>
      <c r="K53" s="23">
        <f t="shared" si="15"/>
        <v>259.57695652173913</v>
      </c>
      <c r="L53" s="24">
        <f t="shared" si="8"/>
        <v>12</v>
      </c>
      <c r="M53" s="5">
        <f t="shared" ca="1" si="9"/>
        <v>405.55700000000002</v>
      </c>
      <c r="N53" s="25">
        <f t="shared" ca="1" si="10"/>
        <v>4.4444499237922883E-5</v>
      </c>
      <c r="O53" s="26">
        <f t="shared" si="11"/>
        <v>12.076956521739135</v>
      </c>
      <c r="P53" s="27">
        <f t="shared" ca="1" si="12"/>
        <v>405.55753675428497</v>
      </c>
      <c r="Q53" s="27">
        <f t="shared" ca="1" si="16"/>
        <v>405.55361371086769</v>
      </c>
      <c r="R53" s="5"/>
      <c r="S53" s="21"/>
      <c r="T53" s="21"/>
      <c r="U53" s="21"/>
      <c r="V53" s="21"/>
      <c r="W53" s="21"/>
      <c r="X53" s="21"/>
      <c r="Y53" s="21"/>
      <c r="Z53" s="21"/>
      <c r="AA53" s="21"/>
      <c r="AB53" s="21"/>
      <c r="AC53" s="21"/>
      <c r="AD53" s="21"/>
      <c r="AE53" s="21"/>
      <c r="AF53" s="21"/>
      <c r="AG53" s="21"/>
      <c r="AH53" s="30"/>
      <c r="AI53" s="30">
        <f ca="1">AI52</f>
        <v>405.53369066916588</v>
      </c>
      <c r="AJ53" s="30">
        <f ca="1">Q53</f>
        <v>405.55361371086769</v>
      </c>
      <c r="AK53" s="21"/>
      <c r="AL53" s="21"/>
      <c r="AM53" s="21"/>
      <c r="AN53" s="21"/>
      <c r="AO53" s="21"/>
      <c r="AP53" s="21">
        <f t="shared" si="13"/>
        <v>405.46800000000002</v>
      </c>
      <c r="AQ53" s="21">
        <f t="shared" si="14"/>
        <v>405.53199999999998</v>
      </c>
    </row>
    <row r="54" spans="1:43">
      <c r="A54" s="90" t="s">
        <v>729</v>
      </c>
      <c r="B54" s="90" t="s">
        <v>415</v>
      </c>
      <c r="C54" s="90">
        <v>0</v>
      </c>
      <c r="D54" s="90"/>
      <c r="E54" s="90"/>
      <c r="F54" s="90"/>
      <c r="G54" s="90"/>
      <c r="J54" s="5">
        <v>6</v>
      </c>
      <c r="K54" s="23">
        <f t="shared" si="15"/>
        <v>275.22913043478263</v>
      </c>
      <c r="L54" s="24">
        <f t="shared" si="8"/>
        <v>13</v>
      </c>
      <c r="M54" s="5">
        <f t="shared" ca="1" si="9"/>
        <v>405.55800000123287</v>
      </c>
      <c r="N54" s="25">
        <f t="shared" ca="1" si="10"/>
        <v>-1.3333328949430426E-3</v>
      </c>
      <c r="O54" s="26">
        <f t="shared" si="11"/>
        <v>5.2291304347826326</v>
      </c>
      <c r="P54" s="27">
        <f t="shared" ca="1" si="12"/>
        <v>405.55102782961222</v>
      </c>
      <c r="Q54" s="27">
        <f t="shared" ca="1" si="16"/>
        <v>405.5542822919486</v>
      </c>
      <c r="R54" s="5"/>
      <c r="S54" s="21"/>
      <c r="T54" s="21"/>
      <c r="U54" s="21"/>
      <c r="V54" s="21"/>
      <c r="W54" s="21"/>
      <c r="X54" s="21"/>
      <c r="Y54" s="21"/>
      <c r="Z54" s="21"/>
      <c r="AA54" s="21"/>
      <c r="AB54" s="21"/>
      <c r="AC54" s="21"/>
      <c r="AD54" s="21"/>
      <c r="AE54" s="21"/>
      <c r="AF54" s="21"/>
      <c r="AG54" s="21"/>
      <c r="AH54" s="30"/>
      <c r="AI54" s="30"/>
      <c r="AJ54" s="30">
        <f ca="1">AJ53</f>
        <v>405.55361371086769</v>
      </c>
      <c r="AK54" s="30">
        <f ca="1">Q54</f>
        <v>405.5542822919486</v>
      </c>
      <c r="AL54" s="21"/>
      <c r="AM54" s="21"/>
      <c r="AN54" s="21"/>
      <c r="AO54" s="21"/>
      <c r="AP54" s="21">
        <f t="shared" si="13"/>
        <v>405.46800000000002</v>
      </c>
      <c r="AQ54" s="21">
        <f t="shared" si="14"/>
        <v>405.53199999999998</v>
      </c>
    </row>
    <row r="55" spans="1:43">
      <c r="A55" s="121" t="s">
        <v>730</v>
      </c>
      <c r="B55" s="90" t="s">
        <v>417</v>
      </c>
      <c r="C55" s="90">
        <v>-117.08</v>
      </c>
      <c r="D55" s="90"/>
      <c r="E55" s="90"/>
      <c r="F55" s="90"/>
      <c r="G55" s="90"/>
      <c r="J55" s="5">
        <v>5</v>
      </c>
      <c r="K55" s="23">
        <f t="shared" si="15"/>
        <v>290.88130434782613</v>
      </c>
      <c r="L55" s="24">
        <f t="shared" si="8"/>
        <v>13</v>
      </c>
      <c r="M55" s="5">
        <f t="shared" ca="1" si="9"/>
        <v>405.55800000123287</v>
      </c>
      <c r="N55" s="25">
        <f t="shared" ca="1" si="10"/>
        <v>-1.3333328949430426E-3</v>
      </c>
      <c r="O55" s="26">
        <f t="shared" si="11"/>
        <v>20.881304347826131</v>
      </c>
      <c r="P55" s="27">
        <f t="shared" ca="1" si="12"/>
        <v>405.5301582712566</v>
      </c>
      <c r="Q55" s="27">
        <f t="shared" ca="1" si="16"/>
        <v>405.54059305043438</v>
      </c>
      <c r="R55" s="5"/>
      <c r="S55" s="21"/>
      <c r="T55" s="21"/>
      <c r="U55" s="21"/>
      <c r="V55" s="21"/>
      <c r="W55" s="21"/>
      <c r="X55" s="21"/>
      <c r="Y55" s="21"/>
      <c r="Z55" s="21"/>
      <c r="AA55" s="21"/>
      <c r="AB55" s="21"/>
      <c r="AC55" s="21"/>
      <c r="AD55" s="21"/>
      <c r="AE55" s="21"/>
      <c r="AF55" s="21"/>
      <c r="AG55" s="21"/>
      <c r="AH55" s="30"/>
      <c r="AI55" s="30"/>
      <c r="AJ55" s="21"/>
      <c r="AK55" s="30">
        <f ca="1">AK54</f>
        <v>405.5542822919486</v>
      </c>
      <c r="AL55" s="30">
        <f ca="1">Q55</f>
        <v>405.54059305043438</v>
      </c>
      <c r="AM55" s="21"/>
      <c r="AN55" s="21"/>
      <c r="AO55" s="21"/>
      <c r="AP55" s="21">
        <f t="shared" si="13"/>
        <v>405.46800000000002</v>
      </c>
      <c r="AQ55" s="21">
        <f t="shared" si="14"/>
        <v>405.53199999999998</v>
      </c>
    </row>
    <row r="56" spans="1:43">
      <c r="A56" s="90" t="s">
        <v>412</v>
      </c>
      <c r="B56" s="90" t="s">
        <v>413</v>
      </c>
      <c r="C56" s="90">
        <v>405.51</v>
      </c>
      <c r="D56" s="90"/>
      <c r="E56" s="90"/>
      <c r="F56" s="90"/>
      <c r="G56" s="90"/>
      <c r="J56" s="5">
        <v>4</v>
      </c>
      <c r="K56" s="23">
        <f t="shared" si="15"/>
        <v>306.53347826086963</v>
      </c>
      <c r="L56" s="24">
        <f t="shared" si="8"/>
        <v>14</v>
      </c>
      <c r="M56" s="5">
        <f t="shared" ca="1" si="9"/>
        <v>405.52800001109665</v>
      </c>
      <c r="N56" s="25">
        <f t="shared" ca="1" si="10"/>
        <v>-2.1777780517418755E-3</v>
      </c>
      <c r="O56" s="26">
        <f t="shared" si="11"/>
        <v>14.033478260869629</v>
      </c>
      <c r="P56" s="27">
        <f t="shared" ca="1" si="12"/>
        <v>405.49743821015051</v>
      </c>
      <c r="Q56" s="27">
        <f t="shared" ca="1" si="16"/>
        <v>405.51379824070352</v>
      </c>
      <c r="R56" s="5"/>
      <c r="S56" s="21"/>
      <c r="T56" s="21"/>
      <c r="U56" s="21"/>
      <c r="V56" s="21"/>
      <c r="W56" s="21"/>
      <c r="X56" s="21"/>
      <c r="Y56" s="21"/>
      <c r="Z56" s="21"/>
      <c r="AA56" s="21"/>
      <c r="AB56" s="21"/>
      <c r="AC56" s="21"/>
      <c r="AD56" s="21"/>
      <c r="AE56" s="21"/>
      <c r="AF56" s="21"/>
      <c r="AG56" s="21"/>
      <c r="AH56" s="30"/>
      <c r="AI56" s="30"/>
      <c r="AJ56" s="21"/>
      <c r="AK56" s="21"/>
      <c r="AL56" s="30">
        <f ca="1">AL55</f>
        <v>405.54059305043438</v>
      </c>
      <c r="AM56" s="30">
        <f ca="1">Q56</f>
        <v>405.51379824070352</v>
      </c>
      <c r="AN56" s="21"/>
      <c r="AO56" s="21"/>
      <c r="AP56" s="21">
        <f t="shared" si="13"/>
        <v>405.46800000000002</v>
      </c>
      <c r="AQ56" s="21">
        <f t="shared" si="14"/>
        <v>405.53199999999998</v>
      </c>
    </row>
    <row r="57" spans="1:43">
      <c r="A57" s="90" t="s">
        <v>731</v>
      </c>
      <c r="B57" s="90" t="s">
        <v>415</v>
      </c>
      <c r="C57" s="90">
        <v>-3.0000000000000001E-3</v>
      </c>
      <c r="D57" s="90"/>
      <c r="E57" s="90"/>
      <c r="F57" s="90"/>
      <c r="G57" s="90"/>
      <c r="J57" s="5">
        <v>3</v>
      </c>
      <c r="K57" s="23">
        <f t="shared" si="15"/>
        <v>322.18565217391313</v>
      </c>
      <c r="L57" s="24">
        <f t="shared" si="8"/>
        <v>15</v>
      </c>
      <c r="M57" s="5">
        <f t="shared" ca="1" si="9"/>
        <v>405.47900000493246</v>
      </c>
      <c r="N57" s="25">
        <f t="shared" ca="1" si="10"/>
        <v>-2.6666639263465996E-4</v>
      </c>
      <c r="O57" s="26">
        <f t="shared" si="11"/>
        <v>7.1856521739131267</v>
      </c>
      <c r="P57" s="27">
        <f t="shared" ca="1" si="12"/>
        <v>405.47708383298851</v>
      </c>
      <c r="Q57" s="27">
        <f t="shared" ca="1" si="16"/>
        <v>405.48726102156951</v>
      </c>
      <c r="R57" s="5"/>
      <c r="S57" s="21"/>
      <c r="T57" s="21"/>
      <c r="U57" s="21"/>
      <c r="V57" s="21"/>
      <c r="W57" s="21"/>
      <c r="X57" s="21"/>
      <c r="Y57" s="21"/>
      <c r="Z57" s="21"/>
      <c r="AA57" s="21"/>
      <c r="AB57" s="21"/>
      <c r="AC57" s="21"/>
      <c r="AD57" s="21"/>
      <c r="AE57" s="21"/>
      <c r="AF57" s="21"/>
      <c r="AG57" s="21"/>
      <c r="AH57" s="30"/>
      <c r="AI57" s="30"/>
      <c r="AJ57" s="21"/>
      <c r="AK57" s="21"/>
      <c r="AL57" s="21"/>
      <c r="AM57" s="30">
        <f ca="1">AM56</f>
        <v>405.51379824070352</v>
      </c>
      <c r="AN57" s="30">
        <f ca="1">Q57</f>
        <v>405.48726102156951</v>
      </c>
      <c r="AO57" s="21"/>
      <c r="AP57" s="21">
        <f t="shared" si="13"/>
        <v>405.46800000000002</v>
      </c>
      <c r="AQ57" s="21">
        <f t="shared" si="14"/>
        <v>405.53199999999998</v>
      </c>
    </row>
    <row r="58" spans="1:43">
      <c r="A58" s="121" t="s">
        <v>732</v>
      </c>
      <c r="B58" s="90" t="s">
        <v>417</v>
      </c>
      <c r="C58" s="90">
        <v>-117.08199999999999</v>
      </c>
      <c r="D58" s="90"/>
      <c r="E58" s="90"/>
      <c r="F58" s="90"/>
      <c r="G58" s="90"/>
      <c r="J58" s="5">
        <v>2</v>
      </c>
      <c r="K58" s="23">
        <f t="shared" si="15"/>
        <v>337.83782608695662</v>
      </c>
      <c r="L58" s="24">
        <f t="shared" si="8"/>
        <v>16</v>
      </c>
      <c r="M58" s="5">
        <f ca="1">VLOOKUP(L58, $H$11:$K$27, 4, FALSE)</f>
        <v>405.47300001109818</v>
      </c>
      <c r="N58" s="25">
        <f t="shared" ca="1" si="10"/>
        <v>7.1111067266226903E-4</v>
      </c>
      <c r="O58" s="26">
        <f t="shared" si="11"/>
        <v>0.33782608695662475</v>
      </c>
      <c r="P58" s="27">
        <f t="shared" ca="1" si="12"/>
        <v>405.47324024283409</v>
      </c>
      <c r="Q58" s="27">
        <f t="shared" ca="1" si="16"/>
        <v>405.47516203791133</v>
      </c>
      <c r="R58" s="5"/>
      <c r="S58" s="31"/>
      <c r="T58" s="31"/>
      <c r="U58" s="31"/>
      <c r="V58" s="31"/>
      <c r="W58" s="31"/>
      <c r="X58" s="31"/>
      <c r="Y58" s="31"/>
      <c r="Z58" s="31"/>
      <c r="AA58" s="31"/>
      <c r="AB58" s="31"/>
      <c r="AC58" s="31"/>
      <c r="AD58" s="31"/>
      <c r="AE58" s="31"/>
      <c r="AF58" s="31"/>
      <c r="AG58" s="31"/>
      <c r="AH58" s="31"/>
      <c r="AI58" s="32"/>
      <c r="AJ58" s="32"/>
      <c r="AK58" s="32"/>
      <c r="AL58" s="32"/>
      <c r="AM58" s="32"/>
      <c r="AN58" s="32">
        <f ca="1">AN57</f>
        <v>405.48726102156951</v>
      </c>
      <c r="AO58" s="32">
        <f ca="1">Q58</f>
        <v>405.47516203791133</v>
      </c>
      <c r="AP58" s="31">
        <f t="shared" si="13"/>
        <v>405.46800000000002</v>
      </c>
      <c r="AQ58" s="31">
        <f t="shared" si="14"/>
        <v>405.53199999999998</v>
      </c>
    </row>
    <row r="59" spans="1:43">
      <c r="A59" s="90" t="s">
        <v>1034</v>
      </c>
      <c r="B59" s="90"/>
      <c r="C59" s="90" t="s">
        <v>411</v>
      </c>
      <c r="D59" s="90"/>
      <c r="E59" s="90"/>
      <c r="F59" s="90"/>
      <c r="G59" s="90"/>
      <c r="J59" s="13"/>
      <c r="K59" s="13"/>
      <c r="L59" s="13"/>
      <c r="M59" s="13"/>
      <c r="N59" s="13"/>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row>
    <row r="60" spans="1:43">
      <c r="A60" s="90" t="s">
        <v>412</v>
      </c>
      <c r="B60" s="90" t="s">
        <v>413</v>
      </c>
      <c r="C60" s="90">
        <v>405.48899999999998</v>
      </c>
      <c r="D60" s="90"/>
      <c r="E60" s="90"/>
      <c r="F60" s="90"/>
      <c r="G60" s="90"/>
      <c r="J60" s="13"/>
      <c r="K60" s="13"/>
      <c r="L60" s="13"/>
      <c r="M60" s="13"/>
      <c r="N60" s="13"/>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row>
    <row r="61" spans="1:43">
      <c r="A61" s="90" t="s">
        <v>736</v>
      </c>
      <c r="B61" s="90" t="s">
        <v>415</v>
      </c>
      <c r="C61" s="90">
        <v>-1E-3</v>
      </c>
      <c r="D61" s="90"/>
      <c r="E61" s="90"/>
      <c r="F61" s="90"/>
      <c r="G61" s="90"/>
      <c r="J61" s="33"/>
      <c r="K61" s="33"/>
      <c r="L61" s="33"/>
      <c r="M61" s="33"/>
      <c r="N61" s="33"/>
      <c r="O61" s="33"/>
      <c r="P61" s="33"/>
      <c r="Q61" s="33"/>
      <c r="R61" s="33"/>
      <c r="S61" s="5"/>
      <c r="T61" s="33"/>
      <c r="U61" s="33"/>
      <c r="V61" s="33"/>
      <c r="W61" s="33"/>
      <c r="X61" s="33"/>
      <c r="Y61" s="33"/>
      <c r="Z61" s="33"/>
      <c r="AA61" s="33"/>
      <c r="AB61" s="33"/>
      <c r="AC61" s="33"/>
      <c r="AD61" s="2"/>
      <c r="AE61" s="2"/>
      <c r="AF61" s="2"/>
      <c r="AG61" s="2"/>
      <c r="AH61" s="2"/>
      <c r="AI61" s="2"/>
      <c r="AJ61" s="2"/>
      <c r="AK61" s="2"/>
      <c r="AL61" s="2"/>
      <c r="AM61" s="2"/>
      <c r="AN61" s="2"/>
      <c r="AO61" s="2"/>
      <c r="AP61" s="2"/>
      <c r="AQ61" s="2"/>
    </row>
    <row r="62" spans="1:43">
      <c r="A62" s="121" t="s">
        <v>737</v>
      </c>
      <c r="B62" s="90" t="s">
        <v>417</v>
      </c>
      <c r="C62" s="90">
        <v>-108.20699999999999</v>
      </c>
      <c r="D62" s="90"/>
      <c r="E62" s="90"/>
      <c r="F62" s="90"/>
      <c r="G62" s="90"/>
      <c r="J62" s="33"/>
      <c r="K62" s="33"/>
      <c r="L62" s="33"/>
      <c r="M62" s="33"/>
      <c r="N62" s="33"/>
      <c r="O62" s="33"/>
      <c r="P62" s="33"/>
      <c r="Q62" s="33"/>
      <c r="R62" s="33"/>
      <c r="S62" s="5"/>
      <c r="T62" s="33"/>
      <c r="U62" s="33"/>
      <c r="V62" s="33"/>
      <c r="W62" s="33"/>
      <c r="X62" s="33"/>
      <c r="Y62" s="33"/>
      <c r="Z62" s="33"/>
      <c r="AA62" s="33"/>
      <c r="AB62" s="33"/>
      <c r="AC62" s="33"/>
      <c r="AD62" s="2"/>
      <c r="AE62" s="2"/>
      <c r="AF62" s="2"/>
      <c r="AG62" s="2"/>
      <c r="AH62" s="2"/>
      <c r="AI62" s="2"/>
      <c r="AJ62" s="2"/>
      <c r="AK62" s="2"/>
      <c r="AL62" s="2"/>
      <c r="AM62" s="2"/>
      <c r="AN62" s="2"/>
      <c r="AO62" s="2"/>
      <c r="AP62" s="2"/>
      <c r="AQ62" s="2"/>
    </row>
    <row r="63" spans="1:43">
      <c r="A63" s="90" t="s">
        <v>412</v>
      </c>
      <c r="B63" s="90" t="s">
        <v>413</v>
      </c>
      <c r="C63" s="90">
        <v>405.47300000000001</v>
      </c>
      <c r="D63" s="90"/>
      <c r="E63" s="90"/>
      <c r="F63" s="90"/>
      <c r="G63" s="90"/>
      <c r="J63" s="33"/>
      <c r="K63" s="33"/>
      <c r="L63" s="33"/>
      <c r="M63" s="33"/>
      <c r="N63" s="33"/>
      <c r="O63" s="33"/>
      <c r="P63" s="33"/>
      <c r="Q63" s="33"/>
      <c r="R63" s="33"/>
      <c r="S63" s="5"/>
      <c r="T63" s="33"/>
      <c r="U63" s="33"/>
      <c r="V63" s="33"/>
      <c r="W63" s="33"/>
      <c r="X63" s="33"/>
      <c r="Y63" s="33"/>
      <c r="Z63" s="33"/>
      <c r="AA63" s="33"/>
      <c r="AB63" s="33"/>
      <c r="AC63" s="33"/>
      <c r="AD63" s="2"/>
      <c r="AE63" s="2"/>
      <c r="AF63" s="2"/>
      <c r="AG63" s="2"/>
      <c r="AH63" s="2"/>
      <c r="AI63" s="2"/>
      <c r="AJ63" s="2"/>
      <c r="AK63" s="2"/>
      <c r="AL63" s="2"/>
      <c r="AM63" s="2"/>
      <c r="AN63" s="2"/>
      <c r="AO63" s="2"/>
      <c r="AP63" s="2"/>
      <c r="AQ63" s="2"/>
    </row>
    <row r="64" spans="1:43">
      <c r="A64" s="90" t="s">
        <v>738</v>
      </c>
      <c r="B64" s="90" t="s">
        <v>415</v>
      </c>
      <c r="C64" s="90">
        <v>3.0000000000000001E-3</v>
      </c>
      <c r="D64" s="90"/>
      <c r="E64" s="90"/>
      <c r="F64" s="90"/>
      <c r="G64" s="90"/>
      <c r="J64" s="33"/>
      <c r="K64" s="33"/>
      <c r="L64" s="33"/>
      <c r="M64" s="33"/>
      <c r="N64" s="33"/>
      <c r="O64" s="33"/>
      <c r="P64" s="33"/>
      <c r="Q64" s="33"/>
      <c r="R64" s="33"/>
      <c r="S64" s="5"/>
      <c r="T64" s="33"/>
      <c r="U64" s="33"/>
      <c r="V64" s="33"/>
      <c r="W64" s="33"/>
      <c r="X64" s="33"/>
      <c r="Y64" s="33"/>
      <c r="Z64" s="33"/>
      <c r="AA64" s="33"/>
      <c r="AB64" s="33"/>
      <c r="AC64" s="33"/>
      <c r="AD64" s="2"/>
      <c r="AE64" s="2"/>
      <c r="AF64" s="2"/>
      <c r="AG64" s="2"/>
      <c r="AH64" s="2"/>
      <c r="AI64" s="2"/>
      <c r="AJ64" s="2"/>
      <c r="AK64" s="2"/>
      <c r="AL64" s="2"/>
      <c r="AM64" s="2"/>
      <c r="AN64" s="2"/>
      <c r="AO64" s="2"/>
      <c r="AP64" s="2"/>
      <c r="AQ64" s="2"/>
    </row>
    <row r="65" spans="1:43">
      <c r="A65" s="121" t="s">
        <v>739</v>
      </c>
      <c r="B65" s="90" t="s">
        <v>417</v>
      </c>
      <c r="C65" s="90">
        <v>-108.19</v>
      </c>
      <c r="D65" s="90"/>
      <c r="E65" s="90"/>
      <c r="F65" s="90"/>
      <c r="G65" s="90"/>
      <c r="J65" s="33"/>
      <c r="K65" s="33"/>
      <c r="L65" s="33"/>
      <c r="M65" s="33"/>
      <c r="N65" s="33"/>
      <c r="O65" s="33"/>
      <c r="P65" s="33"/>
      <c r="Q65" s="33"/>
      <c r="R65" s="33"/>
      <c r="S65" s="5"/>
      <c r="T65" s="33"/>
      <c r="U65" s="33"/>
      <c r="V65" s="33"/>
      <c r="W65" s="33"/>
      <c r="X65" s="33"/>
      <c r="Y65" s="33"/>
      <c r="Z65" s="33"/>
      <c r="AA65" s="33"/>
      <c r="AB65" s="33"/>
      <c r="AC65" s="33"/>
      <c r="AD65" s="2"/>
      <c r="AE65" s="2"/>
      <c r="AF65" s="2"/>
      <c r="AG65" s="2"/>
      <c r="AH65" s="2"/>
      <c r="AI65" s="2"/>
      <c r="AJ65" s="2"/>
      <c r="AK65" s="2"/>
      <c r="AL65" s="2"/>
      <c r="AM65" s="2"/>
      <c r="AN65" s="2"/>
      <c r="AO65" s="2"/>
      <c r="AP65" s="2"/>
      <c r="AQ65" s="2"/>
    </row>
    <row r="66" spans="1:43">
      <c r="A66" s="90" t="s">
        <v>412</v>
      </c>
      <c r="B66" s="90" t="s">
        <v>413</v>
      </c>
      <c r="C66" s="90">
        <v>405.47899999999998</v>
      </c>
      <c r="D66" s="90"/>
      <c r="E66" s="90"/>
      <c r="F66" s="90"/>
      <c r="G66" s="90"/>
      <c r="J66" s="33"/>
      <c r="K66" s="33"/>
      <c r="L66" s="33"/>
      <c r="M66" s="33"/>
      <c r="N66" s="33"/>
      <c r="O66" s="33"/>
      <c r="P66" s="33"/>
      <c r="Q66" s="33"/>
      <c r="R66" s="33"/>
      <c r="S66" s="5"/>
      <c r="T66" s="33"/>
      <c r="U66" s="33"/>
      <c r="V66" s="33"/>
      <c r="W66" s="33"/>
      <c r="X66" s="33"/>
      <c r="Y66" s="33"/>
      <c r="Z66" s="33"/>
      <c r="AA66" s="33"/>
      <c r="AB66" s="33"/>
      <c r="AC66" s="33"/>
      <c r="AD66" s="2"/>
      <c r="AE66" s="2"/>
      <c r="AF66" s="2"/>
      <c r="AG66" s="2"/>
      <c r="AH66" s="2"/>
      <c r="AI66" s="2"/>
      <c r="AJ66" s="2"/>
      <c r="AK66" s="2"/>
      <c r="AL66" s="2"/>
      <c r="AM66" s="2"/>
      <c r="AN66" s="2"/>
      <c r="AO66" s="2"/>
      <c r="AP66" s="2"/>
      <c r="AQ66" s="2"/>
    </row>
    <row r="67" spans="1:43">
      <c r="A67" s="90" t="s">
        <v>740</v>
      </c>
      <c r="B67" s="90" t="s">
        <v>415</v>
      </c>
      <c r="C67" s="90">
        <v>2E-3</v>
      </c>
      <c r="D67" s="90"/>
      <c r="E67" s="90"/>
      <c r="F67" s="90"/>
      <c r="G67" s="90"/>
      <c r="J67" s="33"/>
      <c r="K67" s="33"/>
      <c r="L67" s="33"/>
      <c r="M67" s="33"/>
      <c r="N67" s="33"/>
      <c r="O67" s="33"/>
      <c r="P67" s="33"/>
      <c r="Q67" s="33"/>
      <c r="R67" s="33"/>
      <c r="S67" s="5"/>
      <c r="T67" s="33"/>
      <c r="U67" s="33"/>
      <c r="V67" s="33"/>
      <c r="W67" s="33"/>
      <c r="X67" s="33"/>
      <c r="Y67" s="33"/>
      <c r="Z67" s="33"/>
      <c r="AA67" s="33"/>
      <c r="AB67" s="33"/>
      <c r="AC67" s="33"/>
      <c r="AD67" s="2"/>
      <c r="AE67" s="2"/>
      <c r="AF67" s="2"/>
      <c r="AG67" s="2"/>
      <c r="AH67" s="2"/>
      <c r="AI67" s="2"/>
      <c r="AJ67" s="2"/>
      <c r="AK67" s="2"/>
      <c r="AL67" s="2"/>
      <c r="AM67" s="2"/>
      <c r="AN67" s="2"/>
      <c r="AO67" s="2"/>
      <c r="AP67" s="2"/>
      <c r="AQ67" s="2"/>
    </row>
    <row r="68" spans="1:43">
      <c r="A68" s="121" t="s">
        <v>741</v>
      </c>
      <c r="B68" s="90" t="s">
        <v>417</v>
      </c>
      <c r="C68" s="90">
        <v>-108.185</v>
      </c>
      <c r="D68" s="90"/>
      <c r="E68" s="90"/>
      <c r="F68" s="90"/>
      <c r="G68" s="90"/>
      <c r="J68" s="33"/>
      <c r="K68" s="33"/>
      <c r="L68" s="33"/>
      <c r="M68" s="33"/>
      <c r="N68" s="33"/>
      <c r="O68" s="33"/>
      <c r="P68" s="33"/>
      <c r="Q68" s="33"/>
      <c r="R68" s="33"/>
      <c r="S68" s="5"/>
      <c r="T68" s="33"/>
      <c r="U68" s="33"/>
      <c r="V68" s="33"/>
      <c r="W68" s="33"/>
      <c r="X68" s="33"/>
      <c r="Y68" s="33"/>
      <c r="Z68" s="33"/>
      <c r="AA68" s="33"/>
      <c r="AB68" s="33"/>
      <c r="AC68" s="33"/>
      <c r="AD68" s="2"/>
      <c r="AE68" s="2"/>
      <c r="AF68" s="2"/>
      <c r="AG68" s="2"/>
      <c r="AH68" s="2"/>
      <c r="AI68" s="2"/>
      <c r="AJ68" s="2"/>
      <c r="AK68" s="2"/>
      <c r="AL68" s="2"/>
      <c r="AM68" s="2"/>
      <c r="AN68" s="2"/>
      <c r="AO68" s="2"/>
      <c r="AP68" s="2"/>
      <c r="AQ68" s="2"/>
    </row>
    <row r="69" spans="1:43">
      <c r="A69" s="90" t="s">
        <v>412</v>
      </c>
      <c r="B69" s="90" t="s">
        <v>413</v>
      </c>
      <c r="C69" s="90">
        <v>405.52800000000002</v>
      </c>
      <c r="D69" s="90"/>
      <c r="E69" s="90"/>
      <c r="F69" s="90"/>
      <c r="G69" s="90"/>
      <c r="J69" s="33"/>
      <c r="K69" s="33"/>
      <c r="L69" s="33"/>
      <c r="M69" s="33"/>
      <c r="N69" s="33"/>
      <c r="O69" s="33"/>
      <c r="P69" s="33"/>
      <c r="Q69" s="33"/>
      <c r="R69" s="33"/>
      <c r="S69" s="5"/>
      <c r="T69" s="33"/>
      <c r="U69" s="33"/>
      <c r="V69" s="33"/>
      <c r="W69" s="33"/>
      <c r="X69" s="33"/>
      <c r="Y69" s="33"/>
      <c r="Z69" s="33"/>
      <c r="AA69" s="33"/>
      <c r="AB69" s="33"/>
      <c r="AC69" s="33"/>
      <c r="AD69" s="2"/>
      <c r="AE69" s="2"/>
      <c r="AF69" s="2"/>
      <c r="AG69" s="2"/>
      <c r="AH69" s="2"/>
      <c r="AI69" s="2"/>
      <c r="AJ69" s="2"/>
      <c r="AK69" s="2"/>
      <c r="AL69" s="2"/>
      <c r="AM69" s="2"/>
      <c r="AN69" s="2"/>
      <c r="AO69" s="2"/>
      <c r="AP69" s="2"/>
      <c r="AQ69" s="2"/>
    </row>
    <row r="70" spans="1:43">
      <c r="A70" s="90" t="s">
        <v>742</v>
      </c>
      <c r="B70" s="90" t="s">
        <v>415</v>
      </c>
      <c r="C70" s="90">
        <v>3.0000000000000001E-3</v>
      </c>
      <c r="D70" s="90"/>
      <c r="E70" s="90"/>
      <c r="F70" s="90"/>
      <c r="G70" s="90"/>
      <c r="J70" s="33"/>
      <c r="K70" s="33"/>
      <c r="L70" s="33"/>
      <c r="M70" s="33"/>
      <c r="N70" s="33"/>
      <c r="O70" s="33"/>
      <c r="P70" s="33"/>
      <c r="Q70" s="33"/>
      <c r="R70" s="33"/>
      <c r="S70" s="5"/>
      <c r="T70" s="33"/>
      <c r="U70" s="33"/>
      <c r="V70" s="33"/>
      <c r="W70" s="33"/>
      <c r="X70" s="33"/>
      <c r="Y70" s="33"/>
      <c r="Z70" s="33"/>
      <c r="AA70" s="33"/>
      <c r="AB70" s="33"/>
      <c r="AC70" s="33"/>
      <c r="AD70" s="2"/>
      <c r="AE70" s="2"/>
      <c r="AF70" s="2"/>
      <c r="AG70" s="2"/>
      <c r="AH70" s="2"/>
      <c r="AI70" s="2"/>
      <c r="AJ70" s="2"/>
      <c r="AK70" s="2"/>
      <c r="AL70" s="2"/>
      <c r="AM70" s="2"/>
      <c r="AN70" s="2"/>
      <c r="AO70" s="2"/>
      <c r="AP70" s="2"/>
      <c r="AQ70" s="2"/>
    </row>
    <row r="71" spans="1:43">
      <c r="A71" s="121" t="s">
        <v>743</v>
      </c>
      <c r="B71" s="90" t="s">
        <v>417</v>
      </c>
      <c r="C71" s="90">
        <v>-108.206</v>
      </c>
      <c r="D71" s="90"/>
      <c r="E71" s="90"/>
      <c r="F71" s="90"/>
      <c r="G71" s="90"/>
      <c r="J71" s="33"/>
      <c r="K71" s="33"/>
      <c r="L71" s="33"/>
      <c r="M71" s="33"/>
      <c r="N71" s="33"/>
      <c r="O71" s="33"/>
      <c r="P71" s="33"/>
      <c r="Q71" s="33"/>
      <c r="R71" s="33"/>
      <c r="S71" s="5"/>
      <c r="T71" s="33"/>
      <c r="U71" s="33"/>
      <c r="V71" s="33"/>
      <c r="W71" s="33"/>
      <c r="X71" s="33"/>
      <c r="Y71" s="33"/>
      <c r="Z71" s="33"/>
      <c r="AA71" s="33"/>
      <c r="AB71" s="33"/>
      <c r="AC71" s="33"/>
      <c r="AD71" s="2"/>
      <c r="AE71" s="2"/>
      <c r="AF71" s="2"/>
      <c r="AG71" s="2"/>
      <c r="AH71" s="2"/>
      <c r="AI71" s="2"/>
      <c r="AJ71" s="2"/>
      <c r="AK71" s="2"/>
      <c r="AL71" s="2"/>
      <c r="AM71" s="2"/>
      <c r="AN71" s="2"/>
      <c r="AO71" s="2"/>
      <c r="AP71" s="2"/>
      <c r="AQ71" s="2"/>
    </row>
    <row r="72" spans="1:43">
      <c r="A72" s="90" t="s">
        <v>412</v>
      </c>
      <c r="B72" s="90" t="s">
        <v>413</v>
      </c>
      <c r="C72" s="90">
        <v>405.55799999999999</v>
      </c>
      <c r="D72" s="90"/>
      <c r="E72" s="90"/>
      <c r="F72" s="90"/>
      <c r="G72" s="90"/>
      <c r="J72" s="33"/>
      <c r="K72" s="33"/>
      <c r="L72" s="33"/>
      <c r="M72" s="33"/>
      <c r="N72" s="33"/>
      <c r="O72" s="33"/>
      <c r="P72" s="33"/>
      <c r="Q72" s="33"/>
      <c r="R72" s="33"/>
      <c r="S72" s="5"/>
      <c r="T72" s="33"/>
      <c r="U72" s="33"/>
      <c r="V72" s="33"/>
      <c r="W72" s="33"/>
      <c r="X72" s="33"/>
      <c r="Y72" s="33"/>
      <c r="Z72" s="33"/>
      <c r="AA72" s="33"/>
      <c r="AB72" s="33"/>
      <c r="AC72" s="33"/>
      <c r="AD72" s="2"/>
      <c r="AE72" s="2"/>
      <c r="AF72" s="2"/>
      <c r="AG72" s="2"/>
      <c r="AH72" s="2"/>
      <c r="AI72" s="2"/>
      <c r="AJ72" s="2"/>
      <c r="AK72" s="2"/>
      <c r="AL72" s="2"/>
      <c r="AM72" s="2"/>
      <c r="AN72" s="2"/>
      <c r="AO72" s="2"/>
      <c r="AP72" s="2"/>
      <c r="AQ72" s="2"/>
    </row>
    <row r="73" spans="1:43">
      <c r="A73" s="90" t="s">
        <v>744</v>
      </c>
      <c r="B73" s="90" t="s">
        <v>415</v>
      </c>
      <c r="C73" s="90">
        <v>-1E-3</v>
      </c>
      <c r="D73" s="90"/>
      <c r="E73" s="90"/>
      <c r="F73" s="90"/>
      <c r="G73" s="90"/>
      <c r="J73" s="33"/>
      <c r="K73" s="33"/>
      <c r="L73" s="33"/>
      <c r="M73" s="33"/>
      <c r="N73" s="33"/>
      <c r="O73" s="33"/>
      <c r="P73" s="33"/>
      <c r="Q73" s="33"/>
      <c r="R73" s="33"/>
      <c r="S73" s="5"/>
      <c r="T73" s="33"/>
      <c r="U73" s="33"/>
      <c r="V73" s="33"/>
      <c r="W73" s="33"/>
      <c r="X73" s="33"/>
      <c r="Y73" s="33"/>
      <c r="Z73" s="33"/>
      <c r="AA73" s="33"/>
      <c r="AB73" s="33"/>
      <c r="AC73" s="33"/>
      <c r="AD73" s="2"/>
      <c r="AE73" s="2"/>
      <c r="AF73" s="2"/>
      <c r="AG73" s="2"/>
      <c r="AH73" s="2"/>
      <c r="AI73" s="2"/>
      <c r="AJ73" s="2"/>
      <c r="AK73" s="2"/>
      <c r="AL73" s="2"/>
      <c r="AM73" s="2"/>
      <c r="AN73" s="2"/>
      <c r="AO73" s="2"/>
      <c r="AP73" s="2"/>
      <c r="AQ73" s="2"/>
    </row>
    <row r="74" spans="1:43">
      <c r="A74" s="121" t="s">
        <v>745</v>
      </c>
      <c r="B74" s="90" t="s">
        <v>417</v>
      </c>
      <c r="C74" s="90">
        <v>-108.224</v>
      </c>
      <c r="D74" s="90"/>
      <c r="E74" s="90"/>
      <c r="F74" s="90"/>
      <c r="G74" s="90"/>
      <c r="J74" s="33"/>
      <c r="K74" s="33"/>
      <c r="L74" s="33"/>
      <c r="M74" s="33"/>
      <c r="N74" s="33"/>
      <c r="O74" s="33"/>
      <c r="P74" s="33"/>
      <c r="Q74" s="33"/>
      <c r="R74" s="33"/>
      <c r="S74" s="5"/>
      <c r="T74" s="33"/>
      <c r="U74" s="33"/>
      <c r="V74" s="33"/>
      <c r="W74" s="33"/>
      <c r="X74" s="33"/>
      <c r="Y74" s="33"/>
      <c r="Z74" s="33"/>
      <c r="AA74" s="33"/>
      <c r="AB74" s="33"/>
      <c r="AC74" s="33"/>
      <c r="AD74" s="2"/>
      <c r="AE74" s="2"/>
      <c r="AF74" s="2"/>
      <c r="AG74" s="2"/>
      <c r="AH74" s="2"/>
      <c r="AI74" s="2"/>
      <c r="AJ74" s="2"/>
      <c r="AK74" s="2"/>
      <c r="AL74" s="2"/>
      <c r="AM74" s="2"/>
      <c r="AN74" s="2"/>
      <c r="AO74" s="2"/>
      <c r="AP74" s="2"/>
      <c r="AQ74" s="2"/>
    </row>
    <row r="75" spans="1:43">
      <c r="A75" s="90" t="s">
        <v>412</v>
      </c>
      <c r="B75" s="90" t="s">
        <v>413</v>
      </c>
      <c r="C75" s="90">
        <v>405.55700000000002</v>
      </c>
      <c r="D75" s="90"/>
      <c r="E75" s="90"/>
      <c r="F75" s="90"/>
      <c r="G75" s="90"/>
      <c r="J75" s="33"/>
      <c r="K75" s="33"/>
      <c r="L75" s="33"/>
      <c r="M75" s="33"/>
      <c r="N75" s="33"/>
      <c r="O75" s="33"/>
      <c r="P75" s="33"/>
      <c r="Q75" s="33"/>
      <c r="R75" s="33"/>
      <c r="S75" s="5"/>
      <c r="T75" s="33"/>
      <c r="U75" s="33"/>
      <c r="V75" s="33"/>
      <c r="W75" s="33"/>
      <c r="X75" s="33"/>
      <c r="Y75" s="33"/>
      <c r="Z75" s="33"/>
      <c r="AA75" s="33"/>
      <c r="AB75" s="33"/>
      <c r="AC75" s="33"/>
      <c r="AD75" s="2"/>
      <c r="AE75" s="2"/>
      <c r="AF75" s="2"/>
      <c r="AG75" s="2"/>
      <c r="AH75" s="2"/>
      <c r="AI75" s="2"/>
      <c r="AJ75" s="2"/>
      <c r="AK75" s="2"/>
      <c r="AL75" s="2"/>
      <c r="AM75" s="2"/>
      <c r="AN75" s="2"/>
      <c r="AO75" s="2"/>
      <c r="AP75" s="2"/>
      <c r="AQ75" s="2"/>
    </row>
    <row r="76" spans="1:43">
      <c r="A76" s="90" t="s">
        <v>746</v>
      </c>
      <c r="B76" s="90" t="s">
        <v>415</v>
      </c>
      <c r="C76" s="90">
        <v>0</v>
      </c>
      <c r="D76" s="90"/>
      <c r="E76" s="90"/>
      <c r="F76" s="90"/>
      <c r="G76" s="90"/>
      <c r="J76" s="33"/>
      <c r="K76" s="33"/>
      <c r="L76" s="33"/>
      <c r="M76" s="33"/>
      <c r="N76" s="33"/>
      <c r="O76" s="33"/>
      <c r="P76" s="33"/>
      <c r="Q76" s="33"/>
      <c r="R76" s="33"/>
      <c r="S76" s="5"/>
      <c r="T76" s="33"/>
      <c r="U76" s="33"/>
      <c r="V76" s="33"/>
      <c r="W76" s="33"/>
      <c r="X76" s="33"/>
      <c r="Y76" s="33"/>
      <c r="Z76" s="33"/>
      <c r="AA76" s="33"/>
      <c r="AB76" s="33"/>
      <c r="AC76" s="33"/>
      <c r="AD76" s="2"/>
      <c r="AE76" s="2"/>
      <c r="AF76" s="2"/>
      <c r="AG76" s="2"/>
      <c r="AH76" s="2"/>
      <c r="AI76" s="2"/>
      <c r="AJ76" s="2"/>
      <c r="AK76" s="2"/>
      <c r="AL76" s="2"/>
      <c r="AM76" s="2"/>
      <c r="AN76" s="2"/>
      <c r="AO76" s="2"/>
      <c r="AP76" s="2"/>
      <c r="AQ76" s="2"/>
    </row>
    <row r="77" spans="1:43">
      <c r="A77" s="121" t="s">
        <v>747</v>
      </c>
      <c r="B77" s="90" t="s">
        <v>417</v>
      </c>
      <c r="C77" s="90">
        <v>-108.22499999999999</v>
      </c>
      <c r="D77" s="90"/>
      <c r="E77" s="90"/>
      <c r="F77" s="90"/>
      <c r="G77" s="90"/>
      <c r="J77" s="33"/>
      <c r="K77" s="33"/>
      <c r="L77" s="33"/>
      <c r="M77" s="33"/>
      <c r="N77" s="33"/>
      <c r="O77" s="33"/>
      <c r="P77" s="33"/>
      <c r="Q77" s="33"/>
      <c r="R77" s="33"/>
      <c r="S77" s="5"/>
      <c r="T77" s="33"/>
      <c r="U77" s="33"/>
      <c r="V77" s="33"/>
      <c r="W77" s="33"/>
      <c r="X77" s="33"/>
      <c r="Y77" s="33"/>
      <c r="Z77" s="33"/>
      <c r="AA77" s="33"/>
      <c r="AB77" s="33"/>
      <c r="AC77" s="33"/>
      <c r="AD77" s="2"/>
      <c r="AE77" s="2"/>
      <c r="AF77" s="2"/>
      <c r="AG77" s="2"/>
      <c r="AH77" s="2"/>
      <c r="AI77" s="2"/>
      <c r="AJ77" s="2"/>
      <c r="AK77" s="2"/>
      <c r="AL77" s="2"/>
      <c r="AM77" s="2"/>
      <c r="AN77" s="2"/>
      <c r="AO77" s="2"/>
      <c r="AP77" s="2"/>
      <c r="AQ77" s="2"/>
    </row>
    <row r="78" spans="1:43">
      <c r="A78" s="90" t="s">
        <v>412</v>
      </c>
      <c r="B78" s="90" t="s">
        <v>413</v>
      </c>
      <c r="C78" s="90">
        <v>405.51100000000002</v>
      </c>
      <c r="D78" s="90"/>
      <c r="E78" s="90"/>
      <c r="F78" s="90"/>
      <c r="G78" s="90"/>
      <c r="J78" s="33"/>
      <c r="K78" s="33"/>
      <c r="L78" s="33"/>
      <c r="M78" s="33"/>
      <c r="N78" s="33"/>
      <c r="O78" s="33"/>
      <c r="P78" s="33"/>
      <c r="Q78" s="33"/>
      <c r="R78" s="33"/>
      <c r="S78" s="5"/>
      <c r="T78" s="33"/>
      <c r="U78" s="33"/>
      <c r="V78" s="33"/>
      <c r="W78" s="33"/>
      <c r="X78" s="33"/>
      <c r="Y78" s="33"/>
      <c r="Z78" s="33"/>
      <c r="AA78" s="33"/>
      <c r="AB78" s="33"/>
      <c r="AC78" s="33"/>
      <c r="AD78" s="2"/>
      <c r="AE78" s="2"/>
      <c r="AF78" s="2"/>
      <c r="AG78" s="2"/>
      <c r="AH78" s="2"/>
      <c r="AI78" s="2"/>
      <c r="AJ78" s="2"/>
      <c r="AK78" s="2"/>
      <c r="AL78" s="2"/>
      <c r="AM78" s="2"/>
      <c r="AN78" s="2"/>
      <c r="AO78" s="2"/>
      <c r="AP78" s="2"/>
      <c r="AQ78" s="2"/>
    </row>
    <row r="79" spans="1:43">
      <c r="A79" s="90" t="s">
        <v>748</v>
      </c>
      <c r="B79" s="90" t="s">
        <v>415</v>
      </c>
      <c r="C79" s="90">
        <v>-2E-3</v>
      </c>
      <c r="D79" s="90"/>
      <c r="E79" s="90"/>
      <c r="F79" s="90"/>
      <c r="G79" s="90"/>
      <c r="J79" s="33"/>
      <c r="K79" s="33"/>
      <c r="L79" s="33"/>
      <c r="M79" s="33"/>
      <c r="N79" s="33"/>
      <c r="O79" s="33"/>
      <c r="P79" s="33"/>
      <c r="Q79" s="33"/>
      <c r="R79" s="33"/>
      <c r="S79" s="5"/>
      <c r="T79" s="33"/>
      <c r="U79" s="33"/>
      <c r="V79" s="33"/>
      <c r="W79" s="33"/>
      <c r="X79" s="33"/>
      <c r="Y79" s="33"/>
      <c r="Z79" s="33"/>
      <c r="AA79" s="33"/>
      <c r="AB79" s="33"/>
      <c r="AC79" s="33"/>
      <c r="AD79" s="2"/>
      <c r="AE79" s="2"/>
      <c r="AF79" s="2"/>
      <c r="AG79" s="2"/>
      <c r="AH79" s="2"/>
      <c r="AI79" s="2"/>
      <c r="AJ79" s="2"/>
      <c r="AK79" s="2"/>
      <c r="AL79" s="2"/>
      <c r="AM79" s="2"/>
      <c r="AN79" s="2"/>
      <c r="AO79" s="2"/>
      <c r="AP79" s="2"/>
      <c r="AQ79" s="2"/>
    </row>
    <row r="80" spans="1:43">
      <c r="A80" s="121" t="s">
        <v>749</v>
      </c>
      <c r="B80" s="90" t="s">
        <v>417</v>
      </c>
      <c r="C80" s="90">
        <v>-108.197</v>
      </c>
      <c r="D80" s="90"/>
      <c r="E80" s="90"/>
      <c r="F80" s="90"/>
      <c r="G80" s="90"/>
      <c r="J80" s="33"/>
      <c r="K80" s="33"/>
      <c r="L80" s="33"/>
      <c r="M80" s="33"/>
      <c r="N80" s="33"/>
      <c r="O80" s="33"/>
      <c r="P80" s="33"/>
      <c r="Q80" s="33"/>
      <c r="R80" s="33"/>
      <c r="S80" s="5"/>
      <c r="T80" s="33"/>
      <c r="U80" s="33"/>
      <c r="V80" s="33"/>
      <c r="W80" s="33"/>
      <c r="X80" s="33"/>
      <c r="Y80" s="33"/>
      <c r="Z80" s="33"/>
      <c r="AA80" s="33"/>
      <c r="AB80" s="33"/>
      <c r="AC80" s="33"/>
      <c r="AD80" s="2"/>
      <c r="AE80" s="2"/>
      <c r="AF80" s="2"/>
      <c r="AG80" s="2"/>
      <c r="AH80" s="2"/>
      <c r="AI80" s="2"/>
      <c r="AJ80" s="2"/>
      <c r="AK80" s="2"/>
      <c r="AL80" s="2"/>
      <c r="AM80" s="2"/>
      <c r="AN80" s="2"/>
      <c r="AO80" s="2"/>
      <c r="AP80" s="2"/>
      <c r="AQ80" s="2"/>
    </row>
    <row r="81" spans="1:43">
      <c r="A81" s="90" t="s">
        <v>412</v>
      </c>
      <c r="B81" s="90" t="s">
        <v>413</v>
      </c>
      <c r="C81" s="90">
        <v>405.48599999999999</v>
      </c>
      <c r="D81" s="90"/>
      <c r="E81" s="90"/>
      <c r="F81" s="90"/>
      <c r="G81" s="90"/>
      <c r="J81" s="33"/>
      <c r="K81" s="33"/>
      <c r="L81" s="33"/>
      <c r="M81" s="33"/>
      <c r="N81" s="33"/>
      <c r="O81" s="33"/>
      <c r="P81" s="33"/>
      <c r="Q81" s="33"/>
      <c r="R81" s="33"/>
      <c r="S81" s="5"/>
      <c r="T81" s="33"/>
      <c r="U81" s="33"/>
      <c r="V81" s="33"/>
      <c r="W81" s="33"/>
      <c r="X81" s="33"/>
      <c r="Y81" s="33"/>
      <c r="Z81" s="33"/>
      <c r="AA81" s="33"/>
      <c r="AB81" s="33"/>
      <c r="AC81" s="33"/>
      <c r="AD81" s="2"/>
      <c r="AE81" s="2"/>
      <c r="AF81" s="2"/>
      <c r="AG81" s="2"/>
      <c r="AH81" s="2"/>
      <c r="AI81" s="2"/>
      <c r="AJ81" s="2"/>
      <c r="AK81" s="2"/>
      <c r="AL81" s="2"/>
      <c r="AM81" s="2"/>
      <c r="AN81" s="2"/>
      <c r="AO81" s="2"/>
      <c r="AP81" s="2"/>
      <c r="AQ81" s="2"/>
    </row>
    <row r="82" spans="1:43">
      <c r="A82" s="90" t="s">
        <v>750</v>
      </c>
      <c r="B82" s="90" t="s">
        <v>415</v>
      </c>
      <c r="C82" s="90">
        <v>-5.0000000000000001E-3</v>
      </c>
      <c r="D82" s="90"/>
      <c r="E82" s="90"/>
      <c r="F82" s="90"/>
      <c r="G82" s="90"/>
      <c r="J82" s="33"/>
      <c r="K82" s="33"/>
      <c r="L82" s="33"/>
      <c r="M82" s="33"/>
      <c r="N82" s="33"/>
      <c r="O82" s="33"/>
      <c r="P82" s="33"/>
      <c r="Q82" s="33"/>
      <c r="R82" s="33"/>
      <c r="S82" s="5"/>
      <c r="T82" s="33"/>
      <c r="U82" s="33"/>
      <c r="V82" s="33"/>
      <c r="W82" s="33"/>
      <c r="X82" s="33"/>
      <c r="Y82" s="33"/>
      <c r="Z82" s="33"/>
      <c r="AA82" s="33"/>
      <c r="AB82" s="33"/>
      <c r="AC82" s="33"/>
      <c r="AD82" s="2"/>
      <c r="AE82" s="2"/>
      <c r="AF82" s="2"/>
      <c r="AG82" s="2"/>
      <c r="AH82" s="2"/>
      <c r="AI82" s="2"/>
      <c r="AJ82" s="2"/>
      <c r="AK82" s="2"/>
      <c r="AL82" s="2"/>
      <c r="AM82" s="2"/>
      <c r="AN82" s="2"/>
      <c r="AO82" s="2"/>
      <c r="AP82" s="2"/>
      <c r="AQ82" s="2"/>
    </row>
    <row r="83" spans="1:43">
      <c r="A83" s="121" t="s">
        <v>751</v>
      </c>
      <c r="B83" s="90" t="s">
        <v>417</v>
      </c>
      <c r="C83" s="90">
        <v>-108.188</v>
      </c>
      <c r="D83" s="90"/>
      <c r="E83" s="90"/>
      <c r="F83" s="90"/>
      <c r="G83" s="90"/>
      <c r="J83" s="33"/>
      <c r="K83" s="33"/>
      <c r="L83" s="33"/>
      <c r="M83" s="33"/>
      <c r="N83" s="33"/>
      <c r="O83" s="33"/>
      <c r="P83" s="33"/>
      <c r="Q83" s="33"/>
      <c r="R83" s="33"/>
      <c r="S83" s="5"/>
      <c r="T83" s="33"/>
      <c r="U83" s="33"/>
      <c r="V83" s="33"/>
      <c r="W83" s="33"/>
      <c r="X83" s="33"/>
      <c r="Y83" s="33"/>
      <c r="Z83" s="33"/>
      <c r="AA83" s="33"/>
      <c r="AB83" s="33"/>
      <c r="AC83" s="33"/>
      <c r="AD83" s="2"/>
      <c r="AE83" s="2"/>
      <c r="AF83" s="2"/>
      <c r="AG83" s="2"/>
      <c r="AH83" s="2"/>
      <c r="AI83" s="2"/>
      <c r="AJ83" s="2"/>
      <c r="AK83" s="2"/>
      <c r="AL83" s="2"/>
      <c r="AM83" s="2"/>
      <c r="AN83" s="2"/>
      <c r="AO83" s="2"/>
      <c r="AP83" s="2"/>
      <c r="AQ83" s="2"/>
    </row>
    <row r="84" spans="1:43">
      <c r="A84" s="90" t="s">
        <v>412</v>
      </c>
      <c r="B84" s="90" t="s">
        <v>413</v>
      </c>
      <c r="C84" s="90">
        <v>405.47800000000001</v>
      </c>
      <c r="D84" s="90"/>
      <c r="E84" s="90"/>
      <c r="F84" s="90"/>
      <c r="G84" s="90"/>
      <c r="J84" s="33"/>
      <c r="K84" s="33"/>
      <c r="L84" s="33"/>
      <c r="M84" s="33"/>
      <c r="N84" s="33"/>
      <c r="O84" s="33"/>
      <c r="P84" s="33"/>
      <c r="Q84" s="33"/>
      <c r="R84" s="33"/>
      <c r="S84" s="5"/>
      <c r="T84" s="33"/>
      <c r="U84" s="33"/>
      <c r="V84" s="33"/>
      <c r="W84" s="33"/>
      <c r="X84" s="33"/>
      <c r="Y84" s="33"/>
      <c r="Z84" s="33"/>
      <c r="AA84" s="33"/>
      <c r="AB84" s="33"/>
      <c r="AC84" s="33"/>
      <c r="AD84" s="2"/>
      <c r="AE84" s="2"/>
      <c r="AF84" s="2"/>
      <c r="AG84" s="2"/>
      <c r="AH84" s="2"/>
      <c r="AI84" s="2"/>
      <c r="AJ84" s="2"/>
      <c r="AK84" s="2"/>
      <c r="AL84" s="2"/>
      <c r="AM84" s="2"/>
      <c r="AN84" s="2"/>
      <c r="AO84" s="2"/>
      <c r="AP84" s="2"/>
      <c r="AQ84" s="2"/>
    </row>
    <row r="85" spans="1:43">
      <c r="A85" s="90" t="s">
        <v>752</v>
      </c>
      <c r="B85" s="90" t="s">
        <v>415</v>
      </c>
      <c r="C85" s="90">
        <v>-1E-3</v>
      </c>
      <c r="D85" s="90"/>
      <c r="E85" s="90"/>
      <c r="F85" s="90"/>
      <c r="G85" s="90"/>
      <c r="J85" s="33"/>
      <c r="K85" s="33"/>
      <c r="L85" s="33"/>
      <c r="M85" s="33"/>
      <c r="N85" s="33"/>
      <c r="O85" s="33"/>
      <c r="P85" s="33"/>
      <c r="Q85" s="33"/>
      <c r="R85" s="33"/>
      <c r="S85" s="5"/>
      <c r="T85" s="33"/>
      <c r="U85" s="33"/>
      <c r="V85" s="33"/>
      <c r="W85" s="33"/>
      <c r="X85" s="33"/>
      <c r="Y85" s="33"/>
      <c r="Z85" s="33"/>
      <c r="AA85" s="33"/>
      <c r="AB85" s="33"/>
      <c r="AC85" s="33"/>
      <c r="AD85" s="2"/>
      <c r="AE85" s="2"/>
      <c r="AF85" s="2"/>
      <c r="AG85" s="2"/>
      <c r="AH85" s="2"/>
      <c r="AI85" s="2"/>
      <c r="AJ85" s="2"/>
      <c r="AK85" s="2"/>
      <c r="AL85" s="2"/>
      <c r="AM85" s="2"/>
      <c r="AN85" s="2"/>
      <c r="AO85" s="2"/>
      <c r="AP85" s="2"/>
      <c r="AQ85" s="2"/>
    </row>
    <row r="86" spans="1:43">
      <c r="A86" s="121" t="s">
        <v>753</v>
      </c>
      <c r="B86" s="90" t="s">
        <v>417</v>
      </c>
      <c r="C86" s="90">
        <v>-108.194</v>
      </c>
      <c r="D86" s="90"/>
      <c r="E86" s="90"/>
      <c r="F86" s="90"/>
      <c r="G86" s="90"/>
      <c r="J86" s="33"/>
      <c r="K86" s="33"/>
      <c r="L86" s="33"/>
      <c r="M86" s="33"/>
      <c r="N86" s="33"/>
      <c r="O86" s="33"/>
      <c r="P86" s="33"/>
      <c r="Q86" s="33"/>
      <c r="R86" s="33"/>
      <c r="S86" s="5"/>
      <c r="T86" s="33"/>
      <c r="U86" s="33"/>
      <c r="V86" s="33"/>
      <c r="W86" s="33"/>
      <c r="X86" s="33"/>
      <c r="Y86" s="33"/>
      <c r="Z86" s="33"/>
      <c r="AA86" s="33"/>
      <c r="AB86" s="33"/>
      <c r="AC86" s="33"/>
      <c r="AD86" s="2"/>
      <c r="AE86" s="2"/>
      <c r="AF86" s="2"/>
      <c r="AG86" s="2"/>
      <c r="AH86" s="2"/>
      <c r="AI86" s="2"/>
      <c r="AJ86" s="2"/>
      <c r="AK86" s="2"/>
      <c r="AL86" s="2"/>
      <c r="AM86" s="2"/>
      <c r="AN86" s="2"/>
      <c r="AO86" s="2"/>
      <c r="AP86" s="2"/>
      <c r="AQ86" s="2"/>
    </row>
    <row r="87" spans="1:43">
      <c r="A87" s="90" t="s">
        <v>412</v>
      </c>
      <c r="B87" s="90" t="s">
        <v>413</v>
      </c>
      <c r="C87" s="90">
        <v>405.50099999999998</v>
      </c>
      <c r="D87" s="90"/>
      <c r="E87" s="90"/>
      <c r="F87" s="90"/>
      <c r="G87" s="90"/>
      <c r="J87" s="33"/>
      <c r="K87" s="33"/>
      <c r="L87" s="33"/>
      <c r="M87" s="33"/>
      <c r="N87" s="33"/>
      <c r="O87" s="33"/>
      <c r="P87" s="33"/>
      <c r="Q87" s="33"/>
      <c r="R87" s="33"/>
      <c r="S87" s="5"/>
      <c r="T87" s="33"/>
      <c r="U87" s="33"/>
      <c r="V87" s="33"/>
      <c r="W87" s="33"/>
      <c r="X87" s="33"/>
      <c r="Y87" s="33"/>
      <c r="Z87" s="33"/>
      <c r="AA87" s="33"/>
      <c r="AB87" s="33"/>
      <c r="AC87" s="33"/>
      <c r="AD87" s="2"/>
      <c r="AE87" s="2"/>
      <c r="AF87" s="2"/>
      <c r="AG87" s="2"/>
      <c r="AH87" s="2"/>
      <c r="AI87" s="2"/>
      <c r="AJ87" s="2"/>
      <c r="AK87" s="2"/>
      <c r="AL87" s="2"/>
      <c r="AM87" s="2"/>
      <c r="AN87" s="2"/>
      <c r="AO87" s="2"/>
      <c r="AP87" s="2"/>
      <c r="AQ87" s="2"/>
    </row>
    <row r="88" spans="1:43">
      <c r="A88" s="90" t="s">
        <v>754</v>
      </c>
      <c r="B88" s="90" t="s">
        <v>415</v>
      </c>
      <c r="C88" s="90">
        <v>2E-3</v>
      </c>
      <c r="D88" s="90"/>
      <c r="E88" s="90"/>
      <c r="F88" s="90"/>
      <c r="G88" s="90"/>
      <c r="J88" s="33"/>
      <c r="K88" s="33"/>
      <c r="L88" s="33"/>
      <c r="M88" s="33"/>
      <c r="N88" s="33"/>
      <c r="O88" s="33"/>
      <c r="P88" s="33"/>
      <c r="Q88" s="33"/>
      <c r="R88" s="33"/>
      <c r="S88" s="5"/>
      <c r="T88" s="33"/>
      <c r="U88" s="33"/>
      <c r="V88" s="33"/>
      <c r="W88" s="33"/>
      <c r="X88" s="33"/>
      <c r="Y88" s="33"/>
      <c r="Z88" s="33"/>
      <c r="AA88" s="33"/>
      <c r="AB88" s="33"/>
      <c r="AC88" s="33"/>
      <c r="AD88" s="2"/>
      <c r="AE88" s="2"/>
      <c r="AF88" s="2"/>
      <c r="AG88" s="2"/>
      <c r="AH88" s="2"/>
      <c r="AI88" s="2"/>
      <c r="AJ88" s="2"/>
      <c r="AK88" s="2"/>
      <c r="AL88" s="2"/>
      <c r="AM88" s="2"/>
      <c r="AN88" s="2"/>
      <c r="AO88" s="2"/>
      <c r="AP88" s="2"/>
      <c r="AQ88" s="2"/>
    </row>
    <row r="89" spans="1:43">
      <c r="A89" s="121" t="s">
        <v>755</v>
      </c>
      <c r="B89" s="90" t="s">
        <v>417</v>
      </c>
      <c r="C89" s="90">
        <v>-108.202</v>
      </c>
      <c r="D89" s="90"/>
      <c r="E89" s="90"/>
      <c r="F89" s="90"/>
      <c r="G89" s="90"/>
      <c r="J89" s="33"/>
      <c r="K89" s="33"/>
      <c r="L89" s="33"/>
      <c r="M89" s="33"/>
      <c r="N89" s="33"/>
      <c r="O89" s="33"/>
      <c r="P89" s="33"/>
      <c r="Q89" s="33"/>
      <c r="R89" s="33"/>
      <c r="S89" s="5"/>
      <c r="T89" s="33"/>
      <c r="U89" s="33"/>
      <c r="V89" s="33"/>
      <c r="W89" s="33"/>
      <c r="X89" s="33"/>
      <c r="Y89" s="33"/>
      <c r="Z89" s="33"/>
      <c r="AA89" s="33"/>
      <c r="AB89" s="33"/>
      <c r="AC89" s="33"/>
      <c r="AD89" s="2"/>
      <c r="AE89" s="2"/>
      <c r="AF89" s="2"/>
      <c r="AG89" s="2"/>
      <c r="AH89" s="2"/>
      <c r="AI89" s="2"/>
      <c r="AJ89" s="2"/>
      <c r="AK89" s="2"/>
      <c r="AL89" s="2"/>
      <c r="AM89" s="2"/>
      <c r="AN89" s="2"/>
      <c r="AO89" s="2"/>
      <c r="AP89" s="2"/>
      <c r="AQ89" s="2"/>
    </row>
    <row r="90" spans="1:43">
      <c r="A90" s="90" t="s">
        <v>412</v>
      </c>
      <c r="B90" s="90" t="s">
        <v>413</v>
      </c>
      <c r="C90" s="90">
        <v>405.51</v>
      </c>
      <c r="D90" s="90"/>
      <c r="E90" s="90"/>
      <c r="F90" s="90"/>
      <c r="G90" s="90"/>
    </row>
    <row r="91" spans="1:43">
      <c r="A91" s="90" t="s">
        <v>756</v>
      </c>
      <c r="B91" s="90" t="s">
        <v>415</v>
      </c>
      <c r="C91" s="90">
        <v>1E-3</v>
      </c>
      <c r="D91" s="90"/>
      <c r="E91" s="90"/>
      <c r="F91" s="90"/>
      <c r="G91" s="90"/>
    </row>
    <row r="92" spans="1:43">
      <c r="A92" s="121" t="s">
        <v>757</v>
      </c>
      <c r="B92" s="90" t="s">
        <v>417</v>
      </c>
      <c r="C92" s="90">
        <v>-108.206</v>
      </c>
      <c r="D92" s="90"/>
      <c r="E92" s="90"/>
      <c r="F92" s="90"/>
      <c r="G92" s="90"/>
    </row>
    <row r="93" spans="1:43">
      <c r="A93" s="90" t="s">
        <v>412</v>
      </c>
      <c r="B93" s="90" t="s">
        <v>413</v>
      </c>
      <c r="C93" s="90">
        <v>405.52699999999999</v>
      </c>
      <c r="D93" s="90"/>
      <c r="E93" s="90"/>
      <c r="F93" s="90"/>
      <c r="G93" s="90"/>
    </row>
    <row r="94" spans="1:43">
      <c r="A94" s="90" t="s">
        <v>758</v>
      </c>
      <c r="B94" s="90" t="s">
        <v>415</v>
      </c>
      <c r="C94" s="90">
        <v>2E-3</v>
      </c>
      <c r="D94" s="90"/>
      <c r="E94" s="90"/>
      <c r="F94" s="90"/>
      <c r="G94" s="90"/>
    </row>
    <row r="95" spans="1:43">
      <c r="A95" s="121" t="s">
        <v>759</v>
      </c>
      <c r="B95" s="90" t="s">
        <v>417</v>
      </c>
      <c r="C95" s="90">
        <v>-108.208</v>
      </c>
      <c r="D95" s="90"/>
      <c r="E95" s="90"/>
      <c r="F95" s="90"/>
      <c r="G95" s="90"/>
    </row>
    <row r="96" spans="1:43">
      <c r="A96" s="90" t="s">
        <v>412</v>
      </c>
      <c r="B96" s="90" t="s">
        <v>413</v>
      </c>
      <c r="C96" s="90">
        <v>405.52699999999999</v>
      </c>
      <c r="D96" s="90"/>
      <c r="E96" s="90"/>
      <c r="F96" s="90"/>
      <c r="G96" s="90"/>
    </row>
    <row r="97" spans="1:7">
      <c r="A97" s="90" t="s">
        <v>760</v>
      </c>
      <c r="B97" s="90" t="s">
        <v>415</v>
      </c>
      <c r="C97" s="90">
        <v>-1E-3</v>
      </c>
      <c r="D97" s="90"/>
      <c r="E97" s="90"/>
      <c r="F97" s="90"/>
      <c r="G97" s="90"/>
    </row>
    <row r="98" spans="1:7">
      <c r="A98" s="121" t="s">
        <v>761</v>
      </c>
      <c r="B98" s="90" t="s">
        <v>417</v>
      </c>
      <c r="C98" s="90">
        <v>-108.206</v>
      </c>
      <c r="D98" s="90"/>
      <c r="E98" s="90"/>
      <c r="F98" s="90"/>
      <c r="G98" s="90"/>
    </row>
    <row r="99" spans="1:7">
      <c r="A99" s="90" t="s">
        <v>412</v>
      </c>
      <c r="B99" s="90" t="s">
        <v>413</v>
      </c>
      <c r="C99" s="90">
        <v>405.53</v>
      </c>
      <c r="D99" s="90"/>
      <c r="E99" s="90"/>
      <c r="F99" s="90"/>
      <c r="G99" s="90"/>
    </row>
    <row r="100" spans="1:7">
      <c r="A100" s="90" t="s">
        <v>762</v>
      </c>
      <c r="B100" s="90" t="s">
        <v>415</v>
      </c>
      <c r="C100" s="90">
        <v>6.0000000000000001E-3</v>
      </c>
      <c r="D100" s="90"/>
      <c r="E100" s="90"/>
      <c r="F100" s="90"/>
      <c r="G100" s="90"/>
    </row>
    <row r="101" spans="1:7">
      <c r="A101" s="121" t="s">
        <v>763</v>
      </c>
      <c r="B101" s="90" t="s">
        <v>417</v>
      </c>
      <c r="C101" s="90">
        <v>-108.218</v>
      </c>
      <c r="D101" s="90"/>
      <c r="E101" s="90"/>
      <c r="F101" s="90"/>
      <c r="G101" s="90"/>
    </row>
    <row r="102" spans="1:7">
      <c r="A102" s="90" t="s">
        <v>412</v>
      </c>
      <c r="B102" s="90" t="s">
        <v>413</v>
      </c>
      <c r="C102" s="90">
        <v>405.52699999999999</v>
      </c>
      <c r="D102" s="90"/>
      <c r="E102" s="90"/>
      <c r="F102" s="90"/>
      <c r="G102" s="90"/>
    </row>
    <row r="103" spans="1:7">
      <c r="A103" s="90" t="s">
        <v>764</v>
      </c>
      <c r="B103" s="90" t="s">
        <v>415</v>
      </c>
      <c r="C103" s="90">
        <v>0</v>
      </c>
      <c r="D103" s="90"/>
      <c r="E103" s="90"/>
      <c r="F103" s="90"/>
      <c r="G103" s="90"/>
    </row>
    <row r="104" spans="1:7">
      <c r="A104" s="121" t="s">
        <v>765</v>
      </c>
      <c r="B104" s="90" t="s">
        <v>417</v>
      </c>
      <c r="C104" s="90">
        <v>-108.23</v>
      </c>
      <c r="D104" s="90"/>
      <c r="E104" s="90"/>
      <c r="F104" s="90"/>
      <c r="G104" s="90"/>
    </row>
    <row r="105" spans="1:7">
      <c r="A105" s="90" t="s">
        <v>412</v>
      </c>
      <c r="B105" s="90" t="s">
        <v>413</v>
      </c>
      <c r="C105" s="90">
        <v>405.517</v>
      </c>
      <c r="D105" s="90"/>
      <c r="E105" s="90"/>
      <c r="F105" s="90"/>
      <c r="G105" s="90"/>
    </row>
    <row r="106" spans="1:7">
      <c r="A106" s="90" t="s">
        <v>766</v>
      </c>
      <c r="B106" s="90" t="s">
        <v>415</v>
      </c>
      <c r="C106" s="90">
        <v>-3.0000000000000001E-3</v>
      </c>
      <c r="D106" s="90"/>
      <c r="E106" s="90"/>
      <c r="F106" s="90"/>
      <c r="G106" s="90"/>
    </row>
    <row r="107" spans="1:7">
      <c r="A107" s="121" t="s">
        <v>767</v>
      </c>
      <c r="B107" s="90" t="s">
        <v>417</v>
      </c>
      <c r="C107" s="90">
        <v>-108.232</v>
      </c>
      <c r="D107" s="90"/>
      <c r="E107" s="90"/>
      <c r="F107" s="90"/>
      <c r="G107" s="90"/>
    </row>
    <row r="108" spans="1:7">
      <c r="A108" s="90"/>
      <c r="B108" s="90"/>
      <c r="C108" s="90"/>
      <c r="D108" s="90"/>
      <c r="E108" s="90"/>
      <c r="F108" s="90"/>
      <c r="G108" s="90"/>
    </row>
    <row r="109" spans="1:7">
      <c r="A109" s="90"/>
      <c r="B109" s="90"/>
      <c r="C109" s="90"/>
      <c r="D109" s="90"/>
      <c r="E109" s="90"/>
      <c r="F109" s="90"/>
      <c r="G109" s="90"/>
    </row>
    <row r="110" spans="1:7">
      <c r="A110" s="90"/>
      <c r="B110" s="90"/>
      <c r="C110" s="90"/>
      <c r="D110" s="90"/>
      <c r="E110" s="90"/>
      <c r="F110" s="90"/>
      <c r="G110" s="90"/>
    </row>
    <row r="111" spans="1:7">
      <c r="A111" s="90"/>
      <c r="B111" s="90"/>
      <c r="C111" s="90"/>
      <c r="D111" s="90"/>
      <c r="E111" s="90"/>
      <c r="F111" s="90"/>
      <c r="G111" s="90"/>
    </row>
    <row r="112" spans="1:7">
      <c r="A112" s="90"/>
      <c r="B112" s="90"/>
      <c r="C112" s="90"/>
      <c r="D112" s="90"/>
      <c r="E112" s="90"/>
      <c r="F112" s="90"/>
      <c r="G112" s="90"/>
    </row>
    <row r="113" spans="1:7">
      <c r="A113" s="90"/>
      <c r="B113" s="90"/>
      <c r="C113" s="90"/>
      <c r="D113" s="90"/>
      <c r="E113" s="90"/>
      <c r="F113" s="90"/>
      <c r="G113" s="90"/>
    </row>
    <row r="114" spans="1:7">
      <c r="A114" s="90"/>
      <c r="B114" s="90"/>
      <c r="C114" s="90"/>
      <c r="D114" s="90"/>
      <c r="E114" s="90"/>
      <c r="F114" s="90"/>
      <c r="G114" s="90"/>
    </row>
    <row r="115" spans="1:7">
      <c r="A115" s="90"/>
      <c r="B115" s="90"/>
      <c r="C115" s="90"/>
      <c r="D115" s="90"/>
      <c r="E115" s="90"/>
      <c r="F115" s="90"/>
      <c r="G115" s="90"/>
    </row>
    <row r="116" spans="1:7">
      <c r="A116" s="90"/>
      <c r="B116" s="90"/>
      <c r="C116" s="90"/>
      <c r="D116" s="90"/>
      <c r="E116" s="90"/>
      <c r="F116" s="90"/>
      <c r="G116" s="90"/>
    </row>
    <row r="117" spans="1:7">
      <c r="A117" s="90"/>
      <c r="B117" s="90"/>
      <c r="C117" s="90"/>
      <c r="D117" s="90"/>
      <c r="E117" s="90"/>
      <c r="F117" s="90"/>
      <c r="G117" s="90"/>
    </row>
    <row r="118" spans="1:7">
      <c r="A118" s="1"/>
      <c r="D118" s="1"/>
    </row>
    <row r="119" spans="1:7">
      <c r="A119" s="1"/>
      <c r="D119" s="1"/>
    </row>
    <row r="120" spans="1:7">
      <c r="A120" s="1"/>
      <c r="D120" s="1"/>
    </row>
    <row r="121" spans="1:7">
      <c r="A121" s="1"/>
      <c r="D121" s="1"/>
    </row>
    <row r="122" spans="1:7">
      <c r="A122" s="1"/>
      <c r="D122" s="1"/>
    </row>
    <row r="123" spans="1:7">
      <c r="A123" s="1"/>
      <c r="D123" s="1"/>
    </row>
    <row r="124" spans="1:7">
      <c r="A124" s="1"/>
      <c r="D124" s="1"/>
    </row>
    <row r="125" spans="1:7">
      <c r="A125" s="1"/>
      <c r="D125" s="1"/>
    </row>
    <row r="126" spans="1:7">
      <c r="A126" s="1"/>
      <c r="D126" s="1"/>
    </row>
    <row r="127" spans="1:7">
      <c r="A127" s="1"/>
      <c r="D127" s="1"/>
    </row>
    <row r="128" spans="1:7">
      <c r="A128" s="1"/>
      <c r="D128" s="1"/>
    </row>
    <row r="129" spans="1:4">
      <c r="A129" s="1"/>
      <c r="D129" s="1"/>
    </row>
    <row r="130" spans="1:4">
      <c r="A130" s="1"/>
      <c r="D130" s="1"/>
    </row>
    <row r="131" spans="1:4">
      <c r="A131" s="1"/>
      <c r="D131" s="1"/>
    </row>
    <row r="132" spans="1:4">
      <c r="A132" s="1"/>
      <c r="D132" s="1"/>
    </row>
    <row r="133" spans="1:4">
      <c r="A133" s="1"/>
      <c r="D133" s="1"/>
    </row>
    <row r="134" spans="1:4">
      <c r="A134" s="1"/>
      <c r="D134" s="1"/>
    </row>
    <row r="135" spans="1:4">
      <c r="A135" s="1"/>
      <c r="D135" s="1"/>
    </row>
    <row r="136" spans="1:4">
      <c r="A136" s="1"/>
      <c r="D136" s="1"/>
    </row>
    <row r="137" spans="1:4">
      <c r="A137" s="1"/>
      <c r="D137" s="1"/>
    </row>
    <row r="138" spans="1:4">
      <c r="A138" s="1"/>
      <c r="D138" s="1"/>
    </row>
    <row r="139" spans="1:4">
      <c r="A139" s="1"/>
      <c r="D139" s="1"/>
    </row>
    <row r="140" spans="1:4">
      <c r="A140" s="1"/>
      <c r="D140" s="1"/>
    </row>
    <row r="141" spans="1:4">
      <c r="A141" s="1"/>
      <c r="D141" s="1"/>
    </row>
    <row r="142" spans="1:4">
      <c r="A142" s="1"/>
      <c r="D142" s="1"/>
    </row>
    <row r="143" spans="1:4">
      <c r="A143" s="1"/>
      <c r="D143" s="1"/>
    </row>
    <row r="144" spans="1:4">
      <c r="A144" s="1"/>
      <c r="D144" s="1"/>
    </row>
    <row r="145" spans="1:4">
      <c r="A145" s="1"/>
      <c r="D145" s="1"/>
    </row>
    <row r="146" spans="1:4">
      <c r="A146" s="1"/>
      <c r="D146" s="1"/>
    </row>
    <row r="147" spans="1:4">
      <c r="A147" s="1"/>
      <c r="D147" s="1"/>
    </row>
    <row r="148" spans="1:4">
      <c r="A148" s="1"/>
      <c r="D148" s="1"/>
    </row>
    <row r="149" spans="1:4">
      <c r="A149" s="1"/>
      <c r="D149" s="1"/>
    </row>
    <row r="150" spans="1:4">
      <c r="A150" s="1"/>
      <c r="D150" s="1"/>
    </row>
    <row r="151" spans="1:4">
      <c r="A151" s="1"/>
      <c r="D151" s="1"/>
    </row>
    <row r="152" spans="1:4">
      <c r="A152" s="1"/>
      <c r="D152" s="1"/>
    </row>
    <row r="153" spans="1:4">
      <c r="A153" s="1"/>
      <c r="D153" s="1"/>
    </row>
    <row r="154" spans="1:4">
      <c r="A154" s="1"/>
      <c r="D154" s="1"/>
    </row>
    <row r="155" spans="1:4">
      <c r="A155" s="1"/>
      <c r="D155" s="1"/>
    </row>
    <row r="156" spans="1:4">
      <c r="A156" s="1"/>
      <c r="D156" s="1"/>
    </row>
    <row r="157" spans="1:4">
      <c r="A157" s="1"/>
      <c r="D157" s="1"/>
    </row>
    <row r="158" spans="1:4">
      <c r="A158" s="1"/>
      <c r="D158" s="1"/>
    </row>
    <row r="159" spans="1:4">
      <c r="D159" s="1"/>
    </row>
    <row r="160" spans="1:4">
      <c r="D160" s="1"/>
    </row>
    <row r="161" spans="4:4">
      <c r="D161" s="1"/>
    </row>
  </sheetData>
  <mergeCells count="2">
    <mergeCell ref="J9:J10"/>
    <mergeCell ref="U9:U10"/>
  </mergeCells>
  <phoneticPr fontId="2"/>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Graph!$B$386:$B$387</xm:f>
          </x14:formula1>
          <xm:sqref>J7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92D050"/>
  </sheetPr>
  <dimension ref="A1:AW135"/>
  <sheetViews>
    <sheetView zoomScale="70" zoomScaleNormal="70" workbookViewId="0">
      <selection activeCell="M11" sqref="M11"/>
    </sheetView>
  </sheetViews>
  <sheetFormatPr defaultRowHeight="15"/>
  <cols>
    <col min="1" max="1" width="24.42578125" customWidth="1"/>
    <col min="10" max="14" width="9" style="5"/>
  </cols>
  <sheetData>
    <row r="1" spans="1:27">
      <c r="A1" s="90" t="s">
        <v>768</v>
      </c>
      <c r="B1" s="90"/>
      <c r="C1" s="90"/>
      <c r="D1" s="90"/>
      <c r="E1" s="90"/>
      <c r="F1" s="90"/>
      <c r="G1" s="90"/>
      <c r="Y1" s="2"/>
      <c r="Z1" s="2"/>
      <c r="AA1" s="2"/>
    </row>
    <row r="2" spans="1:27">
      <c r="A2" s="90" t="s">
        <v>449</v>
      </c>
      <c r="B2" s="90" t="s">
        <v>450</v>
      </c>
      <c r="C2" s="90">
        <v>815.00599999999997</v>
      </c>
      <c r="D2" s="90" t="s">
        <v>451</v>
      </c>
      <c r="E2" s="90">
        <v>815</v>
      </c>
      <c r="F2" s="90"/>
      <c r="G2" s="90"/>
      <c r="Y2" s="2"/>
      <c r="Z2" s="2"/>
      <c r="AA2" s="2"/>
    </row>
    <row r="3" spans="1:27">
      <c r="A3" s="90" t="s">
        <v>769</v>
      </c>
      <c r="B3" s="90" t="s">
        <v>408</v>
      </c>
      <c r="C3" s="90">
        <v>6.0000000000000001E-3</v>
      </c>
      <c r="D3" s="90" t="s">
        <v>453</v>
      </c>
      <c r="E3" s="90">
        <v>6.4000000000000001E-2</v>
      </c>
      <c r="F3" s="90" t="s">
        <v>406</v>
      </c>
      <c r="G3" s="90"/>
      <c r="Y3" s="2"/>
      <c r="Z3" s="2"/>
      <c r="AA3" s="2"/>
    </row>
    <row r="4" spans="1:27">
      <c r="A4" s="121" t="s">
        <v>770</v>
      </c>
      <c r="B4" s="90" t="s">
        <v>455</v>
      </c>
      <c r="C4" s="90">
        <v>-6.4000000000000001E-2</v>
      </c>
      <c r="D4" s="90"/>
      <c r="E4" s="90"/>
      <c r="F4" s="90"/>
      <c r="G4" s="90"/>
      <c r="J4" s="5" t="s">
        <v>145</v>
      </c>
      <c r="Y4" s="2"/>
      <c r="Z4" s="2"/>
      <c r="AA4" s="2"/>
    </row>
    <row r="5" spans="1:27">
      <c r="A5" s="90" t="s">
        <v>1034</v>
      </c>
      <c r="B5" s="90"/>
      <c r="C5" s="90" t="s">
        <v>411</v>
      </c>
      <c r="D5" s="90"/>
      <c r="E5" s="90"/>
      <c r="F5" s="90"/>
      <c r="G5" s="90"/>
      <c r="L5" s="6" t="s">
        <v>1</v>
      </c>
      <c r="M5" s="6">
        <v>815</v>
      </c>
      <c r="N5" s="5" t="s">
        <v>65</v>
      </c>
      <c r="O5" s="5"/>
      <c r="Y5" s="2"/>
      <c r="Z5" s="2"/>
      <c r="AA5" s="2"/>
    </row>
    <row r="6" spans="1:27">
      <c r="A6" s="90" t="s">
        <v>412</v>
      </c>
      <c r="B6" s="90" t="s">
        <v>413</v>
      </c>
      <c r="C6" s="90">
        <v>407.48</v>
      </c>
      <c r="D6" s="90"/>
      <c r="E6" s="90"/>
      <c r="F6" s="90"/>
      <c r="G6" s="90"/>
      <c r="L6" s="6" t="s">
        <v>2</v>
      </c>
      <c r="M6" s="13">
        <f>M5+0.064</f>
        <v>815.06399999999996</v>
      </c>
      <c r="N6" s="5" t="s">
        <v>2</v>
      </c>
      <c r="O6" s="5">
        <v>815.28899999999999</v>
      </c>
      <c r="P6" s="56" t="str">
        <f>CONCATENATE("O/Max ", TEXT(O6-M6, "0.###"))</f>
        <v>O/Max 0.225</v>
      </c>
      <c r="Y6" s="2"/>
      <c r="Z6" s="2"/>
      <c r="AA6" s="2"/>
    </row>
    <row r="7" spans="1:27">
      <c r="A7" s="90" t="s">
        <v>771</v>
      </c>
      <c r="B7" s="90" t="s">
        <v>415</v>
      </c>
      <c r="C7" s="90">
        <v>0</v>
      </c>
      <c r="D7" s="90"/>
      <c r="E7" s="90"/>
      <c r="F7" s="90"/>
      <c r="G7" s="90"/>
      <c r="L7" s="6" t="s">
        <v>3</v>
      </c>
      <c r="M7" s="13">
        <f>M5-0.064</f>
        <v>814.93600000000004</v>
      </c>
      <c r="N7" s="5" t="s">
        <v>3</v>
      </c>
      <c r="O7" s="5">
        <v>814.39300000000003</v>
      </c>
      <c r="P7" s="56" t="str">
        <f>CONCATENATE("U/Min ", TEXT(ABS(O7-M7), "0.###"))</f>
        <v>U/Min 0.543</v>
      </c>
      <c r="Y7" s="2"/>
      <c r="Z7" s="2"/>
      <c r="AA7" s="2"/>
    </row>
    <row r="8" spans="1:27">
      <c r="A8" s="121" t="s">
        <v>772</v>
      </c>
      <c r="B8" s="90" t="s">
        <v>417</v>
      </c>
      <c r="C8" s="90">
        <v>-112.8</v>
      </c>
      <c r="D8" s="90"/>
      <c r="E8" s="90"/>
      <c r="F8" s="90"/>
      <c r="G8" s="90"/>
      <c r="Y8" s="2"/>
      <c r="Z8" s="2"/>
      <c r="AA8" s="2"/>
    </row>
    <row r="9" spans="1:27">
      <c r="A9" s="90" t="s">
        <v>412</v>
      </c>
      <c r="B9" s="90" t="s">
        <v>413</v>
      </c>
      <c r="C9" s="90">
        <v>407.46300000000002</v>
      </c>
      <c r="D9" s="90"/>
      <c r="E9" s="90"/>
      <c r="F9" s="90"/>
      <c r="G9" s="90"/>
      <c r="H9" s="5"/>
      <c r="I9" s="9" t="s">
        <v>146</v>
      </c>
      <c r="J9" s="144" t="s">
        <v>147</v>
      </c>
      <c r="K9" s="10" t="s">
        <v>6</v>
      </c>
      <c r="L9" s="10" t="s">
        <v>7</v>
      </c>
      <c r="M9" s="10" t="s">
        <v>8</v>
      </c>
      <c r="N9" s="13"/>
      <c r="O9" s="13"/>
      <c r="P9" s="11" t="s">
        <v>148</v>
      </c>
      <c r="Q9" s="13"/>
      <c r="Y9" s="13"/>
      <c r="Z9" s="13" t="s">
        <v>275</v>
      </c>
      <c r="AA9" s="13" t="s">
        <v>276</v>
      </c>
    </row>
    <row r="10" spans="1:27">
      <c r="A10" s="90" t="s">
        <v>773</v>
      </c>
      <c r="B10" s="90" t="s">
        <v>415</v>
      </c>
      <c r="C10" s="90">
        <v>7.0000000000000001E-3</v>
      </c>
      <c r="D10" s="90"/>
      <c r="E10" s="90"/>
      <c r="F10" s="90"/>
      <c r="G10" s="90"/>
      <c r="H10" s="9" t="s">
        <v>149</v>
      </c>
      <c r="I10" s="9" t="s">
        <v>150</v>
      </c>
      <c r="J10" s="145"/>
      <c r="K10" s="10" t="s">
        <v>12</v>
      </c>
      <c r="L10" s="10" t="s">
        <v>12</v>
      </c>
      <c r="M10" s="10" t="s">
        <v>12</v>
      </c>
      <c r="N10" s="13"/>
      <c r="O10" s="13"/>
      <c r="P10" s="11" t="s">
        <v>151</v>
      </c>
      <c r="Q10" s="13"/>
      <c r="Y10" s="13" t="s">
        <v>277</v>
      </c>
      <c r="Z10" s="13">
        <f t="shared" ref="Z10:AA11" si="0">AV108</f>
        <v>21</v>
      </c>
      <c r="AA10" s="13">
        <f t="shared" si="0"/>
        <v>4</v>
      </c>
    </row>
    <row r="11" spans="1:27">
      <c r="A11" s="121" t="s">
        <v>774</v>
      </c>
      <c r="B11" s="90" t="s">
        <v>417</v>
      </c>
      <c r="C11" s="90">
        <v>-112.8</v>
      </c>
      <c r="D11" s="90"/>
      <c r="E11" s="90"/>
      <c r="F11" s="90"/>
      <c r="G11" s="90"/>
      <c r="H11" s="13">
        <v>1</v>
      </c>
      <c r="I11" s="13">
        <v>0</v>
      </c>
      <c r="J11" s="10">
        <v>1</v>
      </c>
      <c r="K11" s="14">
        <f>SQRT(C6^2+C7^2)</f>
        <v>407.48</v>
      </c>
      <c r="L11" s="142">
        <f>M$7/2-0.106/2</f>
        <v>407.41500000000002</v>
      </c>
      <c r="M11" s="142">
        <f>M$6/2+0.106/2</f>
        <v>407.58499999999998</v>
      </c>
      <c r="N11" s="13"/>
      <c r="O11" s="13"/>
      <c r="P11" s="13">
        <f>K11+K19</f>
        <v>814.95</v>
      </c>
      <c r="Q11" s="13"/>
      <c r="Y11" s="13" t="s">
        <v>278</v>
      </c>
      <c r="Z11" s="13">
        <f t="shared" si="0"/>
        <v>3</v>
      </c>
      <c r="AA11" s="13">
        <f t="shared" si="0"/>
        <v>22</v>
      </c>
    </row>
    <row r="12" spans="1:27">
      <c r="A12" s="90" t="s">
        <v>412</v>
      </c>
      <c r="B12" s="90" t="s">
        <v>413</v>
      </c>
      <c r="C12" s="90">
        <v>407.471</v>
      </c>
      <c r="D12" s="90"/>
      <c r="E12" s="90"/>
      <c r="F12" s="90"/>
      <c r="G12" s="90"/>
      <c r="H12" s="13">
        <v>2</v>
      </c>
      <c r="I12" s="13">
        <f>I11+360/16</f>
        <v>22.5</v>
      </c>
      <c r="J12" s="10">
        <v>16</v>
      </c>
      <c r="K12" s="16">
        <f>SQRT(C51^2+C52^2)</f>
        <v>407.50700001963156</v>
      </c>
      <c r="L12" s="142">
        <f>L$11</f>
        <v>407.41500000000002</v>
      </c>
      <c r="M12" s="142">
        <f>M$11</f>
        <v>407.58499999999998</v>
      </c>
      <c r="N12" s="13"/>
      <c r="O12" s="13"/>
      <c r="P12" s="13">
        <f t="shared" ref="P12:P18" si="1">K12+K20</f>
        <v>814.98600003067509</v>
      </c>
      <c r="Q12" s="13"/>
    </row>
    <row r="13" spans="1:27">
      <c r="A13" s="90" t="s">
        <v>775</v>
      </c>
      <c r="B13" s="90" t="s">
        <v>415</v>
      </c>
      <c r="C13" s="90">
        <v>1E-3</v>
      </c>
      <c r="D13" s="90"/>
      <c r="E13" s="90"/>
      <c r="F13" s="90"/>
      <c r="G13" s="90"/>
      <c r="H13" s="13">
        <v>3</v>
      </c>
      <c r="I13" s="13">
        <f t="shared" ref="I13:I26" si="2">I12+360/16</f>
        <v>45</v>
      </c>
      <c r="J13" s="10">
        <v>15</v>
      </c>
      <c r="K13" s="16">
        <f>SQRT(C48^2+C49^2)</f>
        <v>407.51499999999999</v>
      </c>
      <c r="L13" s="142">
        <f t="shared" ref="L13:M26" si="3">L$11</f>
        <v>407.41500000000002</v>
      </c>
      <c r="M13" s="142">
        <f t="shared" si="3"/>
        <v>407.58499999999998</v>
      </c>
      <c r="N13" s="13"/>
      <c r="O13" s="13"/>
      <c r="P13" s="13">
        <f t="shared" si="1"/>
        <v>815.01600000122698</v>
      </c>
      <c r="Q13" s="13"/>
    </row>
    <row r="14" spans="1:27">
      <c r="A14" s="121" t="s">
        <v>776</v>
      </c>
      <c r="B14" s="90" t="s">
        <v>417</v>
      </c>
      <c r="C14" s="90">
        <v>-112.8</v>
      </c>
      <c r="D14" s="90"/>
      <c r="E14" s="90"/>
      <c r="F14" s="90"/>
      <c r="G14" s="90"/>
      <c r="H14" s="13">
        <v>4</v>
      </c>
      <c r="I14" s="13">
        <f t="shared" si="2"/>
        <v>67.5</v>
      </c>
      <c r="J14" s="10">
        <v>14</v>
      </c>
      <c r="K14" s="16">
        <f>SQRT(C45^2+C46^2)</f>
        <v>407.52400003067299</v>
      </c>
      <c r="L14" s="142">
        <f t="shared" si="3"/>
        <v>407.41500000000002</v>
      </c>
      <c r="M14" s="142">
        <f t="shared" si="3"/>
        <v>407.58499999999998</v>
      </c>
      <c r="N14" s="13"/>
      <c r="O14" s="13"/>
      <c r="P14" s="13">
        <f t="shared" si="1"/>
        <v>815.07600006134385</v>
      </c>
      <c r="Q14" s="13"/>
    </row>
    <row r="15" spans="1:27">
      <c r="A15" s="90" t="s">
        <v>412</v>
      </c>
      <c r="B15" s="90" t="s">
        <v>413</v>
      </c>
      <c r="C15" s="90">
        <v>407.52</v>
      </c>
      <c r="D15" s="90"/>
      <c r="E15" s="90"/>
      <c r="F15" s="90"/>
      <c r="G15" s="90"/>
      <c r="H15" s="13">
        <v>5</v>
      </c>
      <c r="I15" s="13">
        <f t="shared" si="2"/>
        <v>90</v>
      </c>
      <c r="J15" s="10">
        <v>13</v>
      </c>
      <c r="K15" s="16">
        <f>SQRT(C42^2+C43^2)</f>
        <v>407.51799999999997</v>
      </c>
      <c r="L15" s="142">
        <f t="shared" si="3"/>
        <v>407.41500000000002</v>
      </c>
      <c r="M15" s="142">
        <f t="shared" si="3"/>
        <v>407.58499999999998</v>
      </c>
      <c r="N15" s="13"/>
      <c r="O15" s="13"/>
      <c r="P15" s="13">
        <f t="shared" si="1"/>
        <v>815.06399999999996</v>
      </c>
      <c r="Q15" s="13"/>
    </row>
    <row r="16" spans="1:27">
      <c r="A16" s="90" t="s">
        <v>777</v>
      </c>
      <c r="B16" s="90" t="s">
        <v>415</v>
      </c>
      <c r="C16" s="90">
        <v>-1E-3</v>
      </c>
      <c r="D16" s="90"/>
      <c r="E16" s="90"/>
      <c r="F16" s="90"/>
      <c r="G16" s="90"/>
      <c r="H16" s="13">
        <v>6</v>
      </c>
      <c r="I16" s="13">
        <f t="shared" si="2"/>
        <v>112.5</v>
      </c>
      <c r="J16" s="10">
        <v>12</v>
      </c>
      <c r="K16" s="16">
        <f>SQRT(C39^2+C40^2)</f>
        <v>407.51900000122697</v>
      </c>
      <c r="L16" s="142">
        <f t="shared" si="3"/>
        <v>407.41500000000002</v>
      </c>
      <c r="M16" s="142">
        <f t="shared" si="3"/>
        <v>407.58499999999998</v>
      </c>
      <c r="N16" s="13"/>
      <c r="O16" s="13"/>
      <c r="P16" s="13">
        <f t="shared" si="1"/>
        <v>815.0390000024538</v>
      </c>
      <c r="Q16" s="13"/>
    </row>
    <row r="17" spans="1:43">
      <c r="A17" s="121" t="s">
        <v>778</v>
      </c>
      <c r="B17" s="90" t="s">
        <v>417</v>
      </c>
      <c r="C17" s="90">
        <v>-112.8</v>
      </c>
      <c r="D17" s="90"/>
      <c r="E17" s="90"/>
      <c r="F17" s="90"/>
      <c r="G17" s="90"/>
      <c r="H17" s="13">
        <v>7</v>
      </c>
      <c r="I17" s="13">
        <f t="shared" si="2"/>
        <v>135</v>
      </c>
      <c r="J17" s="10">
        <v>11</v>
      </c>
      <c r="K17" s="16">
        <f>SQRT(C36^2+C37^2)</f>
        <v>407.49800000490802</v>
      </c>
      <c r="L17" s="142">
        <f t="shared" si="3"/>
        <v>407.41500000000002</v>
      </c>
      <c r="M17" s="142">
        <f t="shared" si="3"/>
        <v>407.58499999999998</v>
      </c>
      <c r="N17" s="13"/>
      <c r="O17" s="13"/>
      <c r="P17" s="13">
        <f t="shared" si="1"/>
        <v>814.96900000613505</v>
      </c>
      <c r="Q17" s="13"/>
    </row>
    <row r="18" spans="1:43">
      <c r="A18" s="90" t="s">
        <v>412</v>
      </c>
      <c r="B18" s="90" t="s">
        <v>413</v>
      </c>
      <c r="C18" s="90">
        <v>407.54599999999999</v>
      </c>
      <c r="D18" s="90"/>
      <c r="E18" s="90"/>
      <c r="F18" s="90"/>
      <c r="G18" s="90"/>
      <c r="H18" s="13">
        <v>8</v>
      </c>
      <c r="I18" s="13">
        <f t="shared" si="2"/>
        <v>157.5</v>
      </c>
      <c r="J18" s="10">
        <v>10</v>
      </c>
      <c r="K18" s="16">
        <f>SQRT(C33^2+C34^2)</f>
        <v>407.48300031412356</v>
      </c>
      <c r="L18" s="142">
        <f t="shared" si="3"/>
        <v>407.41500000000002</v>
      </c>
      <c r="M18" s="142">
        <f t="shared" si="3"/>
        <v>407.58499999999998</v>
      </c>
      <c r="N18" s="13"/>
      <c r="O18" s="13"/>
      <c r="P18" s="13">
        <f t="shared" si="1"/>
        <v>814.94600037425175</v>
      </c>
    </row>
    <row r="19" spans="1:43">
      <c r="A19" s="90" t="s">
        <v>779</v>
      </c>
      <c r="B19" s="90" t="s">
        <v>415</v>
      </c>
      <c r="C19" s="90">
        <v>0</v>
      </c>
      <c r="D19" s="90"/>
      <c r="E19" s="90"/>
      <c r="F19" s="90"/>
      <c r="G19" s="90"/>
      <c r="H19" s="13">
        <v>9</v>
      </c>
      <c r="I19" s="13">
        <f t="shared" si="2"/>
        <v>180</v>
      </c>
      <c r="J19" s="10">
        <v>9</v>
      </c>
      <c r="K19" s="16">
        <f>SQRT(C30^2+C31^2)</f>
        <v>407.47</v>
      </c>
      <c r="L19" s="142">
        <f t="shared" si="3"/>
        <v>407.41500000000002</v>
      </c>
      <c r="M19" s="142">
        <f t="shared" si="3"/>
        <v>407.58499999999998</v>
      </c>
      <c r="N19" s="13"/>
      <c r="O19" s="13"/>
      <c r="P19" s="13"/>
    </row>
    <row r="20" spans="1:43">
      <c r="A20" s="121" t="s">
        <v>780</v>
      </c>
      <c r="B20" s="90" t="s">
        <v>417</v>
      </c>
      <c r="C20" s="90">
        <v>-112.8</v>
      </c>
      <c r="D20" s="90"/>
      <c r="E20" s="90"/>
      <c r="F20" s="90"/>
      <c r="G20" s="90"/>
      <c r="H20" s="13">
        <v>10</v>
      </c>
      <c r="I20" s="13">
        <f t="shared" si="2"/>
        <v>202.5</v>
      </c>
      <c r="J20" s="10">
        <v>8</v>
      </c>
      <c r="K20" s="16">
        <f>SQRT(C27^2+C28^2)</f>
        <v>407.47900001104352</v>
      </c>
      <c r="L20" s="142">
        <f t="shared" si="3"/>
        <v>407.41500000000002</v>
      </c>
      <c r="M20" s="142">
        <f t="shared" si="3"/>
        <v>407.58499999999998</v>
      </c>
      <c r="N20" s="13"/>
      <c r="O20" s="13"/>
      <c r="P20" s="13">
        <f>MAX(P11:P18)</f>
        <v>815.07600006134385</v>
      </c>
      <c r="Q20" s="13" t="str">
        <f>IF(P20&gt;M6, CONCATENATE("O/Max ", TEXT(P20-M6, "0.000")), "-")</f>
        <v>O/Max 0.012</v>
      </c>
    </row>
    <row r="21" spans="1:43">
      <c r="A21" s="90" t="s">
        <v>412</v>
      </c>
      <c r="B21" s="90" t="s">
        <v>413</v>
      </c>
      <c r="C21" s="90">
        <v>407.55200000000002</v>
      </c>
      <c r="D21" s="90"/>
      <c r="E21" s="90"/>
      <c r="F21" s="90"/>
      <c r="G21" s="90"/>
      <c r="H21" s="13">
        <v>11</v>
      </c>
      <c r="I21" s="13">
        <f t="shared" si="2"/>
        <v>225</v>
      </c>
      <c r="J21" s="10">
        <v>7</v>
      </c>
      <c r="K21" s="16">
        <f>SQRT(C24^2+C25^2)</f>
        <v>407.501000001227</v>
      </c>
      <c r="L21" s="142">
        <f t="shared" si="3"/>
        <v>407.41500000000002</v>
      </c>
      <c r="M21" s="142">
        <f t="shared" si="3"/>
        <v>407.58499999999998</v>
      </c>
      <c r="N21" s="13"/>
      <c r="O21" s="13"/>
      <c r="P21" s="13">
        <f>MIN(P11:P18)</f>
        <v>814.94600037425175</v>
      </c>
      <c r="Q21" s="13" t="str">
        <f>IF(P21&lt;M7, CONCATENATE("U/Min ", TEXT(M7-P21, "0.000")), "-")</f>
        <v>-</v>
      </c>
    </row>
    <row r="22" spans="1:43">
      <c r="A22" s="90" t="s">
        <v>781</v>
      </c>
      <c r="B22" s="90" t="s">
        <v>415</v>
      </c>
      <c r="C22" s="90">
        <v>5.0000000000000001E-3</v>
      </c>
      <c r="D22" s="90"/>
      <c r="E22" s="90"/>
      <c r="F22" s="90"/>
      <c r="G22" s="90"/>
      <c r="H22" s="13">
        <v>12</v>
      </c>
      <c r="I22" s="13">
        <f t="shared" si="2"/>
        <v>247.5</v>
      </c>
      <c r="J22" s="10">
        <v>6</v>
      </c>
      <c r="K22" s="16">
        <f>SQRT(C21^2+C22^2)</f>
        <v>407.55200003067091</v>
      </c>
      <c r="L22" s="142">
        <f t="shared" si="3"/>
        <v>407.41500000000002</v>
      </c>
      <c r="M22" s="142">
        <f t="shared" si="3"/>
        <v>407.58499999999998</v>
      </c>
      <c r="N22" s="13"/>
      <c r="O22" s="13"/>
      <c r="P22" s="13"/>
      <c r="Q22" s="13"/>
    </row>
    <row r="23" spans="1:43">
      <c r="A23" s="121" t="s">
        <v>782</v>
      </c>
      <c r="B23" s="90" t="s">
        <v>417</v>
      </c>
      <c r="C23" s="90">
        <v>-112.801</v>
      </c>
      <c r="D23" s="90"/>
      <c r="E23" s="90"/>
      <c r="F23" s="90"/>
      <c r="G23" s="90"/>
      <c r="H23" s="13">
        <v>13</v>
      </c>
      <c r="I23" s="13">
        <f t="shared" si="2"/>
        <v>270</v>
      </c>
      <c r="J23" s="10">
        <v>5</v>
      </c>
      <c r="K23" s="16">
        <f>SQRT(C18^2+C19^2)</f>
        <v>407.54599999999999</v>
      </c>
      <c r="L23" s="142">
        <f t="shared" si="3"/>
        <v>407.41500000000002</v>
      </c>
      <c r="M23" s="142">
        <f t="shared" si="3"/>
        <v>407.58499999999998</v>
      </c>
      <c r="N23" s="13"/>
      <c r="O23" s="13"/>
      <c r="P23" s="13"/>
      <c r="Q23" s="13"/>
    </row>
    <row r="24" spans="1:43">
      <c r="A24" s="90" t="s">
        <v>412</v>
      </c>
      <c r="B24" s="90" t="s">
        <v>413</v>
      </c>
      <c r="C24" s="90">
        <v>407.50099999999998</v>
      </c>
      <c r="D24" s="90"/>
      <c r="E24" s="90"/>
      <c r="F24" s="90"/>
      <c r="G24" s="90"/>
      <c r="H24" s="13">
        <v>14</v>
      </c>
      <c r="I24" s="13">
        <f t="shared" si="2"/>
        <v>292.5</v>
      </c>
      <c r="J24" s="10">
        <v>4</v>
      </c>
      <c r="K24" s="16">
        <f>SQRT(C15^2+C16^2)</f>
        <v>407.52000000122689</v>
      </c>
      <c r="L24" s="142">
        <f t="shared" si="3"/>
        <v>407.41500000000002</v>
      </c>
      <c r="M24" s="142">
        <f t="shared" si="3"/>
        <v>407.58499999999998</v>
      </c>
      <c r="N24" s="13"/>
      <c r="O24" s="13"/>
      <c r="P24" s="13"/>
      <c r="Q24" s="13"/>
    </row>
    <row r="25" spans="1:43">
      <c r="A25" s="90" t="s">
        <v>783</v>
      </c>
      <c r="B25" s="90" t="s">
        <v>415</v>
      </c>
      <c r="C25" s="90">
        <v>-1E-3</v>
      </c>
      <c r="D25" s="90"/>
      <c r="E25" s="90"/>
      <c r="F25" s="90"/>
      <c r="G25" s="90"/>
      <c r="H25" s="13">
        <v>15</v>
      </c>
      <c r="I25" s="13">
        <f t="shared" si="2"/>
        <v>315</v>
      </c>
      <c r="J25" s="10">
        <v>3</v>
      </c>
      <c r="K25" s="16">
        <f>SQRT(C12^2+C13^2)</f>
        <v>407.47100000122708</v>
      </c>
      <c r="L25" s="142">
        <f t="shared" si="3"/>
        <v>407.41500000000002</v>
      </c>
      <c r="M25" s="142">
        <f t="shared" si="3"/>
        <v>407.58499999999998</v>
      </c>
      <c r="N25" s="13"/>
      <c r="O25" s="13"/>
      <c r="P25" s="13"/>
    </row>
    <row r="26" spans="1:43">
      <c r="A26" s="121" t="s">
        <v>784</v>
      </c>
      <c r="B26" s="90" t="s">
        <v>417</v>
      </c>
      <c r="C26" s="90">
        <v>-112.8</v>
      </c>
      <c r="D26" s="90"/>
      <c r="E26" s="90"/>
      <c r="F26" s="90"/>
      <c r="G26" s="90"/>
      <c r="H26" s="13">
        <v>16</v>
      </c>
      <c r="I26" s="13">
        <f t="shared" si="2"/>
        <v>337.5</v>
      </c>
      <c r="J26" s="10">
        <v>2</v>
      </c>
      <c r="K26" s="16">
        <f>SQRT(C9^2+C10^2)</f>
        <v>407.46300006012814</v>
      </c>
      <c r="L26" s="142">
        <f t="shared" si="3"/>
        <v>407.41500000000002</v>
      </c>
      <c r="M26" s="142">
        <f t="shared" si="3"/>
        <v>407.58499999999998</v>
      </c>
      <c r="N26" s="13"/>
      <c r="O26" s="13"/>
      <c r="P26" s="13"/>
    </row>
    <row r="27" spans="1:43">
      <c r="A27" s="90" t="s">
        <v>412</v>
      </c>
      <c r="B27" s="90" t="s">
        <v>413</v>
      </c>
      <c r="C27" s="90">
        <v>407.47899999999998</v>
      </c>
      <c r="D27" s="90"/>
      <c r="E27" s="90"/>
      <c r="F27" s="90"/>
      <c r="G27" s="90"/>
      <c r="H27" s="13">
        <v>17</v>
      </c>
      <c r="I27" s="13">
        <v>360</v>
      </c>
      <c r="J27" s="10">
        <v>1</v>
      </c>
      <c r="K27" s="15">
        <f>K11</f>
        <v>407.48</v>
      </c>
      <c r="L27" s="15"/>
      <c r="M27" s="15"/>
      <c r="P27" s="19" t="s">
        <v>271</v>
      </c>
      <c r="Q27" s="19" t="str">
        <f>M30</f>
        <v>-</v>
      </c>
      <c r="R27" s="19"/>
    </row>
    <row r="28" spans="1:43">
      <c r="A28" s="90" t="s">
        <v>785</v>
      </c>
      <c r="B28" s="90" t="s">
        <v>415</v>
      </c>
      <c r="C28" s="90">
        <v>-3.0000000000000001E-3</v>
      </c>
      <c r="D28" s="90"/>
      <c r="E28" s="90"/>
      <c r="F28" s="90"/>
      <c r="G28" s="90"/>
      <c r="J28" s="10" t="s">
        <v>14</v>
      </c>
      <c r="K28" s="16">
        <f>MAX(K11:K26)</f>
        <v>407.55200003067091</v>
      </c>
      <c r="L28" s="15">
        <f>K28*2</f>
        <v>815.10400006134182</v>
      </c>
      <c r="M28" s="15" t="str">
        <f>IF(K28&gt;M26, "O/Max "&amp;TEXT(2*K28-2*M26, "0.000"), "-")</f>
        <v>-</v>
      </c>
      <c r="P28" s="19" t="s">
        <v>60</v>
      </c>
      <c r="Q28" s="19" t="str">
        <f>M28</f>
        <v>-</v>
      </c>
      <c r="R28" s="19"/>
    </row>
    <row r="29" spans="1:43">
      <c r="A29" s="121" t="s">
        <v>786</v>
      </c>
      <c r="B29" s="90" t="s">
        <v>417</v>
      </c>
      <c r="C29" s="90">
        <v>-112.801</v>
      </c>
      <c r="D29" s="90"/>
      <c r="E29" s="90"/>
      <c r="F29" s="90"/>
      <c r="G29" s="90"/>
      <c r="J29" s="10" t="s">
        <v>152</v>
      </c>
      <c r="K29" s="16">
        <f>MIN(K11:K26)</f>
        <v>407.46300006012814</v>
      </c>
      <c r="L29" s="15">
        <f>K29*2</f>
        <v>814.92600012025628</v>
      </c>
      <c r="M29" s="15" t="str">
        <f>IF(K29&lt;L26, "U/Min "&amp;TEXT(2*L26-2*K29, "0.000"), "-")</f>
        <v>-</v>
      </c>
      <c r="O29" s="5" t="s">
        <v>73</v>
      </c>
      <c r="P29" s="19" t="s">
        <v>62</v>
      </c>
      <c r="Q29" s="19" t="str">
        <f>M29</f>
        <v>-</v>
      </c>
      <c r="R29" s="19"/>
    </row>
    <row r="30" spans="1:43">
      <c r="A30" s="90" t="s">
        <v>412</v>
      </c>
      <c r="B30" s="90" t="s">
        <v>413</v>
      </c>
      <c r="C30" s="90">
        <v>407.47</v>
      </c>
      <c r="D30" s="90"/>
      <c r="E30" s="90"/>
      <c r="F30" s="90"/>
      <c r="G30" s="90"/>
      <c r="J30" s="10" t="s">
        <v>153</v>
      </c>
      <c r="K30" s="16">
        <f>AVERAGE(K11:K26)*2</f>
        <v>815.005750059511</v>
      </c>
      <c r="L30" s="15"/>
      <c r="M30" s="15" t="str">
        <f>IF(K30&gt;M6, "O/Max "&amp;TEXT(K30-M6, "0.000"), IF(K30&lt;M7, "U/Min "&amp;TEXT(M7-K30, "0.000"), "-"))</f>
        <v>-</v>
      </c>
      <c r="O30" s="15" t="str">
        <f>IF(K30&gt;O6, CONCATENATE("O/Max ", TEXT(K30-O6, "0.###")), IF(K30&lt;O7, CONCATENATE("U/Min ", TEXT(O7-K30, "0.###")), "-"))</f>
        <v>-</v>
      </c>
      <c r="P30" s="19" t="s">
        <v>18</v>
      </c>
      <c r="Q30" s="19" t="str">
        <f>M31</f>
        <v>-</v>
      </c>
      <c r="R30" s="19"/>
    </row>
    <row r="31" spans="1:43">
      <c r="A31" s="90" t="s">
        <v>787</v>
      </c>
      <c r="B31" s="90" t="s">
        <v>415</v>
      </c>
      <c r="C31" s="90">
        <v>0</v>
      </c>
      <c r="D31" s="90"/>
      <c r="E31" s="90"/>
      <c r="F31" s="90"/>
      <c r="G31" s="90"/>
      <c r="J31" s="10" t="s">
        <v>154</v>
      </c>
      <c r="K31" s="18">
        <f>K28-K29</f>
        <v>8.8999970542772644E-2</v>
      </c>
      <c r="L31" s="15"/>
      <c r="M31" s="15" t="str">
        <f>IF(K31&gt;0.13, "O/Max "&amp;TEXT(K31-0.13, "0.000"), "-")</f>
        <v>-</v>
      </c>
      <c r="N31" s="5" t="s">
        <v>155</v>
      </c>
    </row>
    <row r="32" spans="1:43">
      <c r="A32" s="121" t="s">
        <v>788</v>
      </c>
      <c r="B32" s="90" t="s">
        <v>417</v>
      </c>
      <c r="C32" s="90">
        <v>-112.801</v>
      </c>
      <c r="D32" s="90"/>
      <c r="E32" s="90"/>
      <c r="F32" s="90"/>
      <c r="G32" s="90"/>
      <c r="J32" s="13"/>
      <c r="K32" s="13"/>
      <c r="L32" s="13"/>
      <c r="M32" s="13"/>
      <c r="N32" s="13"/>
      <c r="O32" s="13"/>
      <c r="P32" s="13"/>
      <c r="Q32" s="13"/>
      <c r="R32" s="13"/>
      <c r="S32" s="19" t="s">
        <v>156</v>
      </c>
      <c r="T32" s="5"/>
      <c r="U32" s="5"/>
      <c r="V32" s="5"/>
      <c r="W32" s="5"/>
      <c r="X32" s="5"/>
      <c r="Y32" s="5"/>
      <c r="Z32" s="5"/>
      <c r="AA32" s="5"/>
      <c r="AB32" s="5"/>
      <c r="AC32" s="5"/>
      <c r="AD32" s="5"/>
      <c r="AE32" s="5"/>
      <c r="AF32" s="5"/>
      <c r="AG32" s="5"/>
      <c r="AH32" s="5"/>
      <c r="AI32" s="5"/>
      <c r="AJ32" s="5"/>
      <c r="AK32" s="5"/>
      <c r="AL32" s="5"/>
      <c r="AM32" s="5"/>
      <c r="AN32" s="5"/>
      <c r="AO32" s="5"/>
      <c r="AP32" s="5"/>
      <c r="AQ32" s="5"/>
    </row>
    <row r="33" spans="1:43">
      <c r="A33" s="90" t="s">
        <v>412</v>
      </c>
      <c r="B33" s="90" t="s">
        <v>413</v>
      </c>
      <c r="C33" s="90">
        <v>407.483</v>
      </c>
      <c r="D33" s="90"/>
      <c r="E33" s="90"/>
      <c r="F33" s="90"/>
      <c r="G33" s="90"/>
      <c r="J33" s="5" t="s">
        <v>157</v>
      </c>
      <c r="M33" s="5" t="s">
        <v>158</v>
      </c>
      <c r="N33" s="5">
        <f>360/23</f>
        <v>15.652173913043478</v>
      </c>
      <c r="O33" s="9" t="s">
        <v>159</v>
      </c>
      <c r="P33" s="5" t="s">
        <v>26</v>
      </c>
      <c r="Q33" s="5">
        <f>'241'!$Q$33</f>
        <v>1.02</v>
      </c>
      <c r="R33" s="9" t="s">
        <v>24</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c r="AQ33" s="5"/>
    </row>
    <row r="34" spans="1:43">
      <c r="A34" s="90" t="s">
        <v>789</v>
      </c>
      <c r="B34" s="90" t="s">
        <v>415</v>
      </c>
      <c r="C34" s="90">
        <v>1.6E-2</v>
      </c>
      <c r="D34" s="90"/>
      <c r="E34" s="90"/>
      <c r="F34" s="90"/>
      <c r="G34" s="90"/>
      <c r="K34" s="9" t="s">
        <v>53</v>
      </c>
      <c r="M34" s="9" t="s">
        <v>29</v>
      </c>
      <c r="N34" s="9" t="s">
        <v>31</v>
      </c>
      <c r="O34" s="9" t="s">
        <v>33</v>
      </c>
      <c r="P34" s="9" t="s">
        <v>35</v>
      </c>
      <c r="Q34" s="9" t="s">
        <v>36</v>
      </c>
      <c r="R34" s="5"/>
      <c r="S34" s="20" t="str">
        <f ca="1">CONCATENATE($S$32, "#", OFFSET($J$35, S33, 0))</f>
        <v>Stg.3 Nozzle Aft#1</v>
      </c>
      <c r="T34" s="20" t="str">
        <f t="shared" ref="T34:AO34" ca="1" si="4">CONCATENATE($S$32, "#", OFFSET($J$35, T33, 0))</f>
        <v>Stg.3 Nozzle Aft#23</v>
      </c>
      <c r="U34" s="20" t="str">
        <f t="shared" ca="1" si="4"/>
        <v>Stg.3 Nozzle Aft#22</v>
      </c>
      <c r="V34" s="20" t="str">
        <f t="shared" ca="1" si="4"/>
        <v>Stg.3 Nozzle Aft#21</v>
      </c>
      <c r="W34" s="20" t="str">
        <f t="shared" ca="1" si="4"/>
        <v>Stg.3 Nozzle Aft#20</v>
      </c>
      <c r="X34" s="20" t="str">
        <f t="shared" ca="1" si="4"/>
        <v>Stg.3 Nozzle Aft#19</v>
      </c>
      <c r="Y34" s="20" t="str">
        <f t="shared" ca="1" si="4"/>
        <v>Stg.3 Nozzle Aft#18</v>
      </c>
      <c r="Z34" s="20" t="str">
        <f t="shared" ca="1" si="4"/>
        <v>Stg.3 Nozzle Aft#17</v>
      </c>
      <c r="AA34" s="20" t="str">
        <f t="shared" ca="1" si="4"/>
        <v>Stg.3 Nozzle Aft#16</v>
      </c>
      <c r="AB34" s="20" t="str">
        <f t="shared" ca="1" si="4"/>
        <v>Stg.3 Nozzle Aft#15</v>
      </c>
      <c r="AC34" s="20" t="str">
        <f t="shared" ca="1" si="4"/>
        <v>Stg.3 Nozzle Aft#14</v>
      </c>
      <c r="AD34" s="20" t="str">
        <f t="shared" ca="1" si="4"/>
        <v>Stg.3 Nozzle Aft#13</v>
      </c>
      <c r="AE34" s="20" t="str">
        <f t="shared" ca="1" si="4"/>
        <v>Stg.3 Nozzle Aft#12</v>
      </c>
      <c r="AF34" s="20" t="str">
        <f t="shared" ca="1" si="4"/>
        <v>Stg.3 Nozzle Aft#11</v>
      </c>
      <c r="AG34" s="20" t="str">
        <f t="shared" ca="1" si="4"/>
        <v>Stg.3 Nozzle Aft#10</v>
      </c>
      <c r="AH34" s="20" t="str">
        <f t="shared" ca="1" si="4"/>
        <v>Stg.3 Nozzle Aft#9</v>
      </c>
      <c r="AI34" s="20" t="str">
        <f t="shared" ca="1" si="4"/>
        <v>Stg.3 Nozzle Aft#8</v>
      </c>
      <c r="AJ34" s="20" t="str">
        <f t="shared" ca="1" si="4"/>
        <v>Stg.3 Nozzle Aft#7</v>
      </c>
      <c r="AK34" s="20" t="str">
        <f t="shared" ca="1" si="4"/>
        <v>Stg.3 Nozzle Aft#6</v>
      </c>
      <c r="AL34" s="20" t="str">
        <f t="shared" ca="1" si="4"/>
        <v>Stg.3 Nozzle Aft#5</v>
      </c>
      <c r="AM34" s="20" t="str">
        <f t="shared" ca="1" si="4"/>
        <v>Stg.3 Nozzle Aft#4</v>
      </c>
      <c r="AN34" s="20" t="str">
        <f t="shared" ca="1" si="4"/>
        <v>Stg.3 Nozzle Aft#3</v>
      </c>
      <c r="AO34" s="20" t="str">
        <f t="shared" ca="1" si="4"/>
        <v>Stg.3 Nozzle Aft#2</v>
      </c>
      <c r="AP34" s="20" t="s">
        <v>38</v>
      </c>
      <c r="AQ34" s="20" t="s">
        <v>40</v>
      </c>
    </row>
    <row r="35" spans="1:43">
      <c r="A35" s="121" t="s">
        <v>790</v>
      </c>
      <c r="B35" s="90" t="s">
        <v>417</v>
      </c>
      <c r="C35" s="90">
        <v>-112.801</v>
      </c>
      <c r="D35" s="90"/>
      <c r="E35" s="90"/>
      <c r="F35" s="90"/>
      <c r="G35" s="90"/>
      <c r="J35" s="9" t="s">
        <v>41</v>
      </c>
      <c r="K35" s="9" t="s">
        <v>11</v>
      </c>
      <c r="L35" s="9" t="s">
        <v>54</v>
      </c>
      <c r="M35" s="9" t="s">
        <v>13</v>
      </c>
      <c r="N35" s="9" t="s">
        <v>46</v>
      </c>
      <c r="O35" s="9" t="s">
        <v>11</v>
      </c>
      <c r="P35" s="9" t="s">
        <v>13</v>
      </c>
      <c r="Q35" s="9" t="s">
        <v>13</v>
      </c>
      <c r="R35" s="5"/>
      <c r="S35" s="15"/>
      <c r="T35" s="15"/>
      <c r="U35" s="15"/>
      <c r="V35" s="15"/>
      <c r="W35" s="15"/>
      <c r="X35" s="15"/>
      <c r="Y35" s="15"/>
      <c r="Z35" s="15"/>
      <c r="AA35" s="15"/>
      <c r="AB35" s="15"/>
      <c r="AC35" s="15"/>
      <c r="AD35" s="15"/>
      <c r="AE35" s="15"/>
      <c r="AF35" s="15"/>
      <c r="AG35" s="15"/>
      <c r="AH35" s="15"/>
      <c r="AI35" s="15"/>
      <c r="AJ35" s="48"/>
      <c r="AK35" s="15"/>
      <c r="AL35" s="15"/>
      <c r="AM35" s="15"/>
      <c r="AN35" s="15"/>
      <c r="AO35" s="15"/>
      <c r="AP35" s="22" t="s">
        <v>13</v>
      </c>
      <c r="AQ35" s="22" t="s">
        <v>13</v>
      </c>
    </row>
    <row r="36" spans="1:43">
      <c r="A36" s="90" t="s">
        <v>412</v>
      </c>
      <c r="B36" s="90" t="s">
        <v>413</v>
      </c>
      <c r="C36" s="90">
        <v>407.49799999999999</v>
      </c>
      <c r="D36" s="90"/>
      <c r="E36" s="90"/>
      <c r="F36" s="90"/>
      <c r="G36" s="90"/>
      <c r="J36" s="5">
        <v>1</v>
      </c>
      <c r="K36" s="23">
        <f>IF(Q33&lt;0, 360+$Q$33, $Q$33)</f>
        <v>1.02</v>
      </c>
      <c r="L36" s="24">
        <f>MATCH($K36, $I$11:$I$27, 1)</f>
        <v>1</v>
      </c>
      <c r="M36" s="5">
        <f>VLOOKUP(L36, $H$11:$K$27, 4, FALSE)</f>
        <v>407.48</v>
      </c>
      <c r="N36" s="25">
        <f>(VLOOKUP(L36+1, $H$11:$K$27, 4, FALSE) - VLOOKUP(L36, $H$11:$K$27, 4, FALSE))/(VLOOKUP(L36+1, $H$11:$K$27, 2, FALSE) - VLOOKUP(L36, $H$11:$K$27, 2, FALSE))</f>
        <v>1.2000008725130506E-3</v>
      </c>
      <c r="O36" s="26">
        <f>K36-VLOOKUP(L36, $H$11:$I$27, 2, FALSE)</f>
        <v>1.02</v>
      </c>
      <c r="P36" s="27">
        <f>M36+N36*O36</f>
        <v>407.48122400088999</v>
      </c>
      <c r="Q36" s="27">
        <f>(P36+P58)/2</f>
        <v>407.4750843098513</v>
      </c>
      <c r="R36" s="5"/>
      <c r="S36" s="30">
        <f>Q36</f>
        <v>407.4750843098513</v>
      </c>
      <c r="T36" s="21"/>
      <c r="U36" s="21"/>
      <c r="V36" s="21"/>
      <c r="W36" s="21"/>
      <c r="X36" s="21"/>
      <c r="Y36" s="21"/>
      <c r="Z36" s="21"/>
      <c r="AA36" s="21"/>
      <c r="AB36" s="21"/>
      <c r="AC36" s="21"/>
      <c r="AD36" s="21"/>
      <c r="AE36" s="21"/>
      <c r="AF36" s="21"/>
      <c r="AG36" s="21"/>
      <c r="AH36" s="21"/>
      <c r="AI36" s="21"/>
      <c r="AJ36" s="21"/>
      <c r="AK36" s="21"/>
      <c r="AL36" s="21"/>
      <c r="AM36" s="21"/>
      <c r="AN36" s="21"/>
      <c r="AO36" s="30">
        <f>AO58</f>
        <v>407.46735621333931</v>
      </c>
      <c r="AP36" s="29">
        <f t="shared" ref="AP36:AP58" si="5">M$7/2</f>
        <v>407.46800000000002</v>
      </c>
      <c r="AQ36" s="29">
        <f t="shared" ref="AQ36:AQ58" si="6">M$6/2</f>
        <v>407.53199999999998</v>
      </c>
    </row>
    <row r="37" spans="1:43">
      <c r="A37" s="90" t="s">
        <v>791</v>
      </c>
      <c r="B37" s="90" t="s">
        <v>415</v>
      </c>
      <c r="C37" s="90">
        <v>2E-3</v>
      </c>
      <c r="D37" s="90"/>
      <c r="E37" s="90"/>
      <c r="F37" s="90"/>
      <c r="G37" s="90"/>
      <c r="J37" s="5">
        <v>23</v>
      </c>
      <c r="K37" s="23">
        <f>IF(K36+$N$33&gt;360, K36+$N$33-360, K36+$N$33)</f>
        <v>16.67217391304348</v>
      </c>
      <c r="L37" s="24">
        <f t="shared" ref="L37:L58" si="7">MATCH($K37, $I$11:$I$27, 1)</f>
        <v>1</v>
      </c>
      <c r="M37" s="5">
        <f t="shared" ref="M37:M58" si="8">VLOOKUP(L37, $H$11:$K$27, 4, FALSE)</f>
        <v>407.48</v>
      </c>
      <c r="N37" s="25">
        <f t="shared" ref="N37:N58" si="9">(VLOOKUP(L37+1, $H$11:$K$27, 4, FALSE) - VLOOKUP(L37, $H$11:$K$27, 4, FALSE))/(VLOOKUP(L37+1, $H$11:$K$27, 2, FALSE) - VLOOKUP(L37, $H$11:$K$27, 2, FALSE))</f>
        <v>1.2000008725130506E-3</v>
      </c>
      <c r="O37" s="26">
        <f t="shared" ref="O37:O58" si="10">K37-VLOOKUP(L37, $H$11:$I$27, 2, FALSE)</f>
        <v>16.67217391304348</v>
      </c>
      <c r="P37" s="27">
        <f t="shared" ref="P37:P58" si="11">M37+N37*O37</f>
        <v>407.50000662324237</v>
      </c>
      <c r="Q37" s="27">
        <f>(P36+P37)/2</f>
        <v>407.49061531206621</v>
      </c>
      <c r="R37" s="5"/>
      <c r="S37" s="30">
        <f>S36</f>
        <v>407.4750843098513</v>
      </c>
      <c r="T37" s="30">
        <f>Q37</f>
        <v>407.49061531206621</v>
      </c>
      <c r="U37" s="21"/>
      <c r="V37" s="21"/>
      <c r="W37" s="21"/>
      <c r="X37" s="21"/>
      <c r="Y37" s="21"/>
      <c r="Z37" s="21"/>
      <c r="AA37" s="21"/>
      <c r="AB37" s="21"/>
      <c r="AC37" s="21"/>
      <c r="AD37" s="21"/>
      <c r="AE37" s="21"/>
      <c r="AF37" s="21"/>
      <c r="AG37" s="21"/>
      <c r="AH37" s="21"/>
      <c r="AI37" s="21"/>
      <c r="AJ37" s="21"/>
      <c r="AK37" s="21"/>
      <c r="AL37" s="21"/>
      <c r="AM37" s="21"/>
      <c r="AN37" s="21"/>
      <c r="AO37" s="21"/>
      <c r="AP37" s="21">
        <f t="shared" si="5"/>
        <v>407.46800000000002</v>
      </c>
      <c r="AQ37" s="21">
        <f t="shared" si="6"/>
        <v>407.53199999999998</v>
      </c>
    </row>
    <row r="38" spans="1:43">
      <c r="A38" s="121" t="s">
        <v>792</v>
      </c>
      <c r="B38" s="90" t="s">
        <v>417</v>
      </c>
      <c r="C38" s="90">
        <v>-112.8</v>
      </c>
      <c r="D38" s="90"/>
      <c r="E38" s="90"/>
      <c r="F38" s="90"/>
      <c r="G38" s="90"/>
      <c r="J38" s="5">
        <v>22</v>
      </c>
      <c r="K38" s="23">
        <f>IF(K37+$N$33&gt;360, K37+$N$33-360, K37+$N$33)</f>
        <v>32.324347826086957</v>
      </c>
      <c r="L38" s="24">
        <f t="shared" si="7"/>
        <v>2</v>
      </c>
      <c r="M38" s="5">
        <f t="shared" si="8"/>
        <v>407.50700001963156</v>
      </c>
      <c r="N38" s="25">
        <f t="shared" si="9"/>
        <v>3.5555468304109027E-4</v>
      </c>
      <c r="O38" s="26">
        <f t="shared" si="10"/>
        <v>9.8243478260869566</v>
      </c>
      <c r="P38" s="27">
        <f t="shared" si="11"/>
        <v>407.51049311250893</v>
      </c>
      <c r="Q38" s="27">
        <f t="shared" ref="Q38:Q58" si="12">(P37+P38)/2</f>
        <v>407.50524986787565</v>
      </c>
      <c r="R38" s="5"/>
      <c r="S38" s="21"/>
      <c r="T38" s="30">
        <f>T37</f>
        <v>407.49061531206621</v>
      </c>
      <c r="U38" s="30">
        <f>Q38</f>
        <v>407.50524986787565</v>
      </c>
      <c r="V38" s="21"/>
      <c r="W38" s="21"/>
      <c r="X38" s="21"/>
      <c r="Y38" s="21"/>
      <c r="Z38" s="21"/>
      <c r="AA38" s="21"/>
      <c r="AB38" s="21"/>
      <c r="AC38" s="21"/>
      <c r="AD38" s="21"/>
      <c r="AE38" s="21"/>
      <c r="AF38" s="21"/>
      <c r="AG38" s="21"/>
      <c r="AH38" s="21"/>
      <c r="AI38" s="21"/>
      <c r="AJ38" s="21"/>
      <c r="AK38" s="21"/>
      <c r="AL38" s="21"/>
      <c r="AM38" s="21"/>
      <c r="AN38" s="21"/>
      <c r="AO38" s="21"/>
      <c r="AP38" s="21">
        <f t="shared" si="5"/>
        <v>407.46800000000002</v>
      </c>
      <c r="AQ38" s="21">
        <f t="shared" si="6"/>
        <v>407.53199999999998</v>
      </c>
    </row>
    <row r="39" spans="1:43">
      <c r="A39" s="90" t="s">
        <v>412</v>
      </c>
      <c r="B39" s="90" t="s">
        <v>413</v>
      </c>
      <c r="C39" s="90">
        <v>407.51900000000001</v>
      </c>
      <c r="D39" s="90"/>
      <c r="E39" s="90"/>
      <c r="F39" s="90"/>
      <c r="G39" s="90"/>
      <c r="J39" s="5">
        <v>21</v>
      </c>
      <c r="K39" s="23">
        <f t="shared" ref="K39:K58" si="13">IF(K38+$N$33&gt;360, K38+$N$33-360, K38+$N$33)</f>
        <v>47.976521739130433</v>
      </c>
      <c r="L39" s="24">
        <f t="shared" si="7"/>
        <v>3</v>
      </c>
      <c r="M39" s="5">
        <f t="shared" si="8"/>
        <v>407.51499999999999</v>
      </c>
      <c r="N39" s="25">
        <f t="shared" si="9"/>
        <v>4.0000136324478162E-4</v>
      </c>
      <c r="O39" s="26">
        <f t="shared" si="10"/>
        <v>2.9765217391304333</v>
      </c>
      <c r="P39" s="27">
        <f t="shared" si="11"/>
        <v>407.51619061275335</v>
      </c>
      <c r="Q39" s="27">
        <f t="shared" si="12"/>
        <v>407.51334186263114</v>
      </c>
      <c r="R39" s="5"/>
      <c r="S39" s="21"/>
      <c r="T39" s="21"/>
      <c r="U39" s="30">
        <f>U38</f>
        <v>407.50524986787565</v>
      </c>
      <c r="V39" s="30">
        <f>Q39</f>
        <v>407.51334186263114</v>
      </c>
      <c r="W39" s="21"/>
      <c r="X39" s="21"/>
      <c r="Y39" s="21"/>
      <c r="Z39" s="21"/>
      <c r="AA39" s="21"/>
      <c r="AB39" s="21"/>
      <c r="AC39" s="21"/>
      <c r="AD39" s="21"/>
      <c r="AE39" s="21"/>
      <c r="AF39" s="21"/>
      <c r="AG39" s="21"/>
      <c r="AH39" s="21"/>
      <c r="AI39" s="21"/>
      <c r="AJ39" s="21"/>
      <c r="AK39" s="21"/>
      <c r="AL39" s="21"/>
      <c r="AM39" s="21"/>
      <c r="AN39" s="21"/>
      <c r="AO39" s="21"/>
      <c r="AP39" s="21">
        <f t="shared" si="5"/>
        <v>407.46800000000002</v>
      </c>
      <c r="AQ39" s="21">
        <f t="shared" si="6"/>
        <v>407.53199999999998</v>
      </c>
    </row>
    <row r="40" spans="1:43">
      <c r="A40" s="90" t="s">
        <v>793</v>
      </c>
      <c r="B40" s="90" t="s">
        <v>415</v>
      </c>
      <c r="C40" s="90">
        <v>1E-3</v>
      </c>
      <c r="D40" s="90"/>
      <c r="E40" s="90"/>
      <c r="F40" s="90"/>
      <c r="G40" s="90"/>
      <c r="J40" s="5">
        <v>20</v>
      </c>
      <c r="K40" s="23">
        <f t="shared" si="13"/>
        <v>63.62869565217391</v>
      </c>
      <c r="L40" s="24">
        <f t="shared" si="7"/>
        <v>3</v>
      </c>
      <c r="M40" s="5">
        <f t="shared" si="8"/>
        <v>407.51499999999999</v>
      </c>
      <c r="N40" s="25">
        <f t="shared" si="9"/>
        <v>4.0000136324478162E-4</v>
      </c>
      <c r="O40" s="26">
        <f t="shared" si="10"/>
        <v>18.62869565217391</v>
      </c>
      <c r="P40" s="27">
        <f t="shared" si="11"/>
        <v>407.52245150365633</v>
      </c>
      <c r="Q40" s="27">
        <f t="shared" si="12"/>
        <v>407.51932105820481</v>
      </c>
      <c r="R40" s="5"/>
      <c r="S40" s="21"/>
      <c r="T40" s="21"/>
      <c r="U40" s="21"/>
      <c r="V40" s="30">
        <f>V39</f>
        <v>407.51334186263114</v>
      </c>
      <c r="W40" s="30">
        <f>Q40</f>
        <v>407.51932105820481</v>
      </c>
      <c r="X40" s="21"/>
      <c r="Y40" s="21"/>
      <c r="Z40" s="21"/>
      <c r="AA40" s="21"/>
      <c r="AB40" s="21"/>
      <c r="AC40" s="21"/>
      <c r="AD40" s="21"/>
      <c r="AE40" s="21"/>
      <c r="AF40" s="21"/>
      <c r="AG40" s="21"/>
      <c r="AH40" s="21"/>
      <c r="AI40" s="21"/>
      <c r="AJ40" s="21"/>
      <c r="AK40" s="21"/>
      <c r="AL40" s="21"/>
      <c r="AM40" s="21"/>
      <c r="AN40" s="21"/>
      <c r="AO40" s="21"/>
      <c r="AP40" s="21">
        <f t="shared" si="5"/>
        <v>407.46800000000002</v>
      </c>
      <c r="AQ40" s="21">
        <f t="shared" si="6"/>
        <v>407.53199999999998</v>
      </c>
    </row>
    <row r="41" spans="1:43">
      <c r="A41" s="121" t="s">
        <v>794</v>
      </c>
      <c r="B41" s="90" t="s">
        <v>417</v>
      </c>
      <c r="C41" s="90">
        <v>-112.8</v>
      </c>
      <c r="D41" s="90"/>
      <c r="E41" s="90"/>
      <c r="F41" s="90"/>
      <c r="G41" s="90"/>
      <c r="J41" s="5">
        <v>19</v>
      </c>
      <c r="K41" s="23">
        <f t="shared" si="13"/>
        <v>79.280869565217387</v>
      </c>
      <c r="L41" s="24">
        <f t="shared" si="7"/>
        <v>4</v>
      </c>
      <c r="M41" s="5">
        <f t="shared" si="8"/>
        <v>407.52400003067299</v>
      </c>
      <c r="N41" s="25">
        <f t="shared" si="9"/>
        <v>-2.6666802991207484E-4</v>
      </c>
      <c r="O41" s="26">
        <f t="shared" si="10"/>
        <v>11.780869565217387</v>
      </c>
      <c r="P41" s="27">
        <f t="shared" si="11"/>
        <v>407.5208584493954</v>
      </c>
      <c r="Q41" s="27">
        <f t="shared" si="12"/>
        <v>407.52165497652584</v>
      </c>
      <c r="R41" s="5"/>
      <c r="S41" s="21"/>
      <c r="T41" s="21"/>
      <c r="U41" s="21"/>
      <c r="V41" s="21"/>
      <c r="W41" s="30">
        <f>W40</f>
        <v>407.51932105820481</v>
      </c>
      <c r="X41" s="30">
        <f>Q41</f>
        <v>407.52165497652584</v>
      </c>
      <c r="Y41" s="21"/>
      <c r="Z41" s="21"/>
      <c r="AA41" s="21"/>
      <c r="AB41" s="21"/>
      <c r="AC41" s="21"/>
      <c r="AD41" s="21"/>
      <c r="AE41" s="21"/>
      <c r="AF41" s="21"/>
      <c r="AG41" s="21"/>
      <c r="AH41" s="21"/>
      <c r="AI41" s="21"/>
      <c r="AJ41" s="21"/>
      <c r="AK41" s="21"/>
      <c r="AL41" s="21"/>
      <c r="AM41" s="21"/>
      <c r="AN41" s="21"/>
      <c r="AO41" s="21"/>
      <c r="AP41" s="21">
        <f t="shared" si="5"/>
        <v>407.46800000000002</v>
      </c>
      <c r="AQ41" s="21">
        <f t="shared" si="6"/>
        <v>407.53199999999998</v>
      </c>
    </row>
    <row r="42" spans="1:43">
      <c r="A42" s="90" t="s">
        <v>412</v>
      </c>
      <c r="B42" s="90" t="s">
        <v>413</v>
      </c>
      <c r="C42" s="90">
        <v>407.51799999999997</v>
      </c>
      <c r="D42" s="90"/>
      <c r="E42" s="90"/>
      <c r="F42" s="90"/>
      <c r="G42" s="90"/>
      <c r="J42" s="5">
        <v>18</v>
      </c>
      <c r="K42" s="23">
        <f t="shared" si="13"/>
        <v>94.933043478260871</v>
      </c>
      <c r="L42" s="24">
        <f t="shared" si="7"/>
        <v>5</v>
      </c>
      <c r="M42" s="5">
        <f t="shared" si="8"/>
        <v>407.51799999999997</v>
      </c>
      <c r="N42" s="25">
        <f t="shared" si="9"/>
        <v>4.4444498977706339E-5</v>
      </c>
      <c r="O42" s="26">
        <f t="shared" si="10"/>
        <v>4.9330434782608705</v>
      </c>
      <c r="P42" s="27">
        <f t="shared" si="11"/>
        <v>407.5182192466458</v>
      </c>
      <c r="Q42" s="27">
        <f t="shared" si="12"/>
        <v>407.5195388480206</v>
      </c>
      <c r="R42" s="5"/>
      <c r="S42" s="21"/>
      <c r="T42" s="21"/>
      <c r="U42" s="21"/>
      <c r="V42" s="21"/>
      <c r="W42" s="21"/>
      <c r="X42" s="30">
        <f>X41</f>
        <v>407.52165497652584</v>
      </c>
      <c r="Y42" s="30">
        <f>Q42</f>
        <v>407.5195388480206</v>
      </c>
      <c r="Z42" s="21"/>
      <c r="AA42" s="21"/>
      <c r="AB42" s="21"/>
      <c r="AC42" s="21"/>
      <c r="AD42" s="21"/>
      <c r="AE42" s="21"/>
      <c r="AF42" s="21"/>
      <c r="AG42" s="21"/>
      <c r="AH42" s="21"/>
      <c r="AI42" s="21"/>
      <c r="AJ42" s="21"/>
      <c r="AK42" s="21"/>
      <c r="AL42" s="21"/>
      <c r="AM42" s="21"/>
      <c r="AN42" s="21"/>
      <c r="AO42" s="21"/>
      <c r="AP42" s="21">
        <f t="shared" si="5"/>
        <v>407.46800000000002</v>
      </c>
      <c r="AQ42" s="21">
        <f t="shared" si="6"/>
        <v>407.53199999999998</v>
      </c>
    </row>
    <row r="43" spans="1:43">
      <c r="A43" s="90" t="s">
        <v>795</v>
      </c>
      <c r="B43" s="90" t="s">
        <v>415</v>
      </c>
      <c r="C43" s="90">
        <v>0</v>
      </c>
      <c r="D43" s="90"/>
      <c r="E43" s="90"/>
      <c r="F43" s="90"/>
      <c r="G43" s="90"/>
      <c r="J43" s="5">
        <v>17</v>
      </c>
      <c r="K43" s="23">
        <f t="shared" si="13"/>
        <v>110.58521739130435</v>
      </c>
      <c r="L43" s="24">
        <f t="shared" si="7"/>
        <v>5</v>
      </c>
      <c r="M43" s="5">
        <f t="shared" si="8"/>
        <v>407.51799999999997</v>
      </c>
      <c r="N43" s="25">
        <f t="shared" si="9"/>
        <v>4.4444498977706339E-5</v>
      </c>
      <c r="O43" s="26">
        <f t="shared" si="10"/>
        <v>20.585217391304354</v>
      </c>
      <c r="P43" s="27">
        <f t="shared" si="11"/>
        <v>407.51891489967329</v>
      </c>
      <c r="Q43" s="27">
        <f t="shared" si="12"/>
        <v>407.51856707315955</v>
      </c>
      <c r="R43" s="5"/>
      <c r="S43" s="21"/>
      <c r="T43" s="21"/>
      <c r="U43" s="21"/>
      <c r="V43" s="21"/>
      <c r="W43" s="21"/>
      <c r="X43" s="21"/>
      <c r="Y43" s="30">
        <f>Y42</f>
        <v>407.5195388480206</v>
      </c>
      <c r="Z43" s="30">
        <f>Q43</f>
        <v>407.51856707315955</v>
      </c>
      <c r="AA43" s="21"/>
      <c r="AB43" s="21"/>
      <c r="AC43" s="21"/>
      <c r="AD43" s="21"/>
      <c r="AE43" s="21"/>
      <c r="AF43" s="21"/>
      <c r="AG43" s="21"/>
      <c r="AH43" s="21"/>
      <c r="AI43" s="21"/>
      <c r="AJ43" s="21"/>
      <c r="AK43" s="21"/>
      <c r="AL43" s="21"/>
      <c r="AM43" s="21"/>
      <c r="AN43" s="21"/>
      <c r="AO43" s="21"/>
      <c r="AP43" s="21">
        <f t="shared" si="5"/>
        <v>407.46800000000002</v>
      </c>
      <c r="AQ43" s="21">
        <f t="shared" si="6"/>
        <v>407.53199999999998</v>
      </c>
    </row>
    <row r="44" spans="1:43">
      <c r="A44" s="121" t="s">
        <v>796</v>
      </c>
      <c r="B44" s="90" t="s">
        <v>417</v>
      </c>
      <c r="C44" s="90">
        <v>-112.8</v>
      </c>
      <c r="D44" s="90"/>
      <c r="E44" s="90"/>
      <c r="F44" s="90"/>
      <c r="G44" s="90"/>
      <c r="J44" s="5">
        <v>16</v>
      </c>
      <c r="K44" s="23">
        <f t="shared" si="13"/>
        <v>126.23739130434784</v>
      </c>
      <c r="L44" s="24">
        <f t="shared" si="7"/>
        <v>6</v>
      </c>
      <c r="M44" s="5">
        <f t="shared" si="8"/>
        <v>407.51900000122697</v>
      </c>
      <c r="N44" s="25">
        <f t="shared" si="9"/>
        <v>-9.3333316973106173E-4</v>
      </c>
      <c r="O44" s="26">
        <f t="shared" si="10"/>
        <v>13.737391304347838</v>
      </c>
      <c r="P44" s="27">
        <f t="shared" si="11"/>
        <v>407.50617843825705</v>
      </c>
      <c r="Q44" s="27">
        <f t="shared" si="12"/>
        <v>407.51254666896517</v>
      </c>
      <c r="R44" s="5"/>
      <c r="S44" s="21"/>
      <c r="T44" s="21"/>
      <c r="U44" s="21"/>
      <c r="V44" s="21"/>
      <c r="W44" s="21"/>
      <c r="X44" s="21"/>
      <c r="Y44" s="21"/>
      <c r="Z44" s="30">
        <f>Z43</f>
        <v>407.51856707315955</v>
      </c>
      <c r="AA44" s="30">
        <f>Q44</f>
        <v>407.51254666896517</v>
      </c>
      <c r="AB44" s="21"/>
      <c r="AC44" s="21"/>
      <c r="AD44" s="21"/>
      <c r="AE44" s="21"/>
      <c r="AF44" s="21"/>
      <c r="AG44" s="21"/>
      <c r="AH44" s="21"/>
      <c r="AI44" s="21"/>
      <c r="AJ44" s="21"/>
      <c r="AK44" s="21"/>
      <c r="AL44" s="21"/>
      <c r="AM44" s="21"/>
      <c r="AN44" s="21"/>
      <c r="AO44" s="21"/>
      <c r="AP44" s="21">
        <f t="shared" si="5"/>
        <v>407.46800000000002</v>
      </c>
      <c r="AQ44" s="21">
        <f t="shared" si="6"/>
        <v>407.53199999999998</v>
      </c>
    </row>
    <row r="45" spans="1:43">
      <c r="A45" s="90" t="s">
        <v>412</v>
      </c>
      <c r="B45" s="90" t="s">
        <v>413</v>
      </c>
      <c r="C45" s="90">
        <v>407.524</v>
      </c>
      <c r="D45" s="90"/>
      <c r="E45" s="90"/>
      <c r="F45" s="90"/>
      <c r="G45" s="90"/>
      <c r="J45" s="5">
        <v>15</v>
      </c>
      <c r="K45" s="23">
        <f t="shared" si="13"/>
        <v>141.88956521739132</v>
      </c>
      <c r="L45" s="24">
        <f t="shared" si="7"/>
        <v>7</v>
      </c>
      <c r="M45" s="5">
        <f t="shared" si="8"/>
        <v>407.49800000490802</v>
      </c>
      <c r="N45" s="25">
        <f t="shared" si="9"/>
        <v>-6.6665292375394833E-4</v>
      </c>
      <c r="O45" s="26">
        <f t="shared" si="10"/>
        <v>6.889565217391322</v>
      </c>
      <c r="P45" s="27">
        <f t="shared" si="11"/>
        <v>407.49340705611246</v>
      </c>
      <c r="Q45" s="27">
        <f t="shared" si="12"/>
        <v>407.49979274718476</v>
      </c>
      <c r="R45" s="5"/>
      <c r="S45" s="21"/>
      <c r="T45" s="21"/>
      <c r="U45" s="21"/>
      <c r="V45" s="21"/>
      <c r="W45" s="21"/>
      <c r="X45" s="21"/>
      <c r="Y45" s="21"/>
      <c r="Z45" s="21"/>
      <c r="AA45" s="30">
        <f>AA44</f>
        <v>407.51254666896517</v>
      </c>
      <c r="AB45" s="30">
        <f>Q45</f>
        <v>407.49979274718476</v>
      </c>
      <c r="AC45" s="21"/>
      <c r="AD45" s="21"/>
      <c r="AE45" s="21"/>
      <c r="AF45" s="21"/>
      <c r="AG45" s="21"/>
      <c r="AH45" s="21"/>
      <c r="AI45" s="21"/>
      <c r="AJ45" s="21"/>
      <c r="AK45" s="21"/>
      <c r="AL45" s="21"/>
      <c r="AM45" s="21"/>
      <c r="AN45" s="21"/>
      <c r="AO45" s="21"/>
      <c r="AP45" s="21">
        <f t="shared" si="5"/>
        <v>407.46800000000002</v>
      </c>
      <c r="AQ45" s="21">
        <f t="shared" si="6"/>
        <v>407.53199999999998</v>
      </c>
    </row>
    <row r="46" spans="1:43">
      <c r="A46" s="90" t="s">
        <v>797</v>
      </c>
      <c r="B46" s="90" t="s">
        <v>415</v>
      </c>
      <c r="C46" s="90">
        <v>5.0000000000000001E-3</v>
      </c>
      <c r="D46" s="90"/>
      <c r="E46" s="90"/>
      <c r="F46" s="90"/>
      <c r="G46" s="90"/>
      <c r="J46" s="5">
        <v>14</v>
      </c>
      <c r="K46" s="23">
        <f t="shared" si="13"/>
        <v>157.54173913043479</v>
      </c>
      <c r="L46" s="24">
        <f t="shared" si="7"/>
        <v>8</v>
      </c>
      <c r="M46" s="5">
        <f t="shared" si="8"/>
        <v>407.48300031412356</v>
      </c>
      <c r="N46" s="25">
        <f t="shared" si="9"/>
        <v>-5.7779173882358415E-4</v>
      </c>
      <c r="O46" s="26">
        <f t="shared" si="10"/>
        <v>4.1739130434791605E-2</v>
      </c>
      <c r="P46" s="27">
        <f t="shared" si="11"/>
        <v>407.48297619759882</v>
      </c>
      <c r="Q46" s="27">
        <f t="shared" si="12"/>
        <v>407.48819162685561</v>
      </c>
      <c r="R46" s="5"/>
      <c r="S46" s="21"/>
      <c r="T46" s="21"/>
      <c r="U46" s="21"/>
      <c r="V46" s="21"/>
      <c r="W46" s="21"/>
      <c r="X46" s="21"/>
      <c r="Y46" s="21"/>
      <c r="Z46" s="21"/>
      <c r="AA46" s="21"/>
      <c r="AB46" s="30">
        <f>AB45</f>
        <v>407.49979274718476</v>
      </c>
      <c r="AC46" s="30">
        <f>Q46</f>
        <v>407.48819162685561</v>
      </c>
      <c r="AD46" s="21"/>
      <c r="AE46" s="21"/>
      <c r="AF46" s="21"/>
      <c r="AG46" s="21"/>
      <c r="AH46" s="21"/>
      <c r="AI46" s="21"/>
      <c r="AJ46" s="21"/>
      <c r="AK46" s="21"/>
      <c r="AL46" s="21"/>
      <c r="AM46" s="21"/>
      <c r="AN46" s="21"/>
      <c r="AO46" s="21"/>
      <c r="AP46" s="21">
        <f t="shared" si="5"/>
        <v>407.46800000000002</v>
      </c>
      <c r="AQ46" s="21">
        <f t="shared" si="6"/>
        <v>407.53199999999998</v>
      </c>
    </row>
    <row r="47" spans="1:43">
      <c r="A47" s="121" t="s">
        <v>798</v>
      </c>
      <c r="B47" s="90" t="s">
        <v>417</v>
      </c>
      <c r="C47" s="90">
        <v>-112.8</v>
      </c>
      <c r="D47" s="90"/>
      <c r="E47" s="90"/>
      <c r="F47" s="90"/>
      <c r="G47" s="90"/>
      <c r="J47" s="5">
        <v>13</v>
      </c>
      <c r="K47" s="23">
        <f t="shared" si="13"/>
        <v>173.19391304347826</v>
      </c>
      <c r="L47" s="24">
        <f t="shared" si="7"/>
        <v>8</v>
      </c>
      <c r="M47" s="5">
        <f t="shared" si="8"/>
        <v>407.48300031412356</v>
      </c>
      <c r="N47" s="25">
        <f t="shared" si="9"/>
        <v>-5.7779173882358415E-4</v>
      </c>
      <c r="O47" s="26">
        <f t="shared" si="10"/>
        <v>15.693913043478261</v>
      </c>
      <c r="P47" s="27">
        <f t="shared" si="11"/>
        <v>407.47393250081723</v>
      </c>
      <c r="Q47" s="27">
        <f t="shared" si="12"/>
        <v>407.47845434920805</v>
      </c>
      <c r="R47" s="5"/>
      <c r="S47" s="21"/>
      <c r="T47" s="21"/>
      <c r="U47" s="21"/>
      <c r="V47" s="21"/>
      <c r="W47" s="21"/>
      <c r="X47" s="21"/>
      <c r="Y47" s="21"/>
      <c r="Z47" s="21"/>
      <c r="AA47" s="21"/>
      <c r="AB47" s="21"/>
      <c r="AC47" s="30">
        <f>AC46</f>
        <v>407.48819162685561</v>
      </c>
      <c r="AD47" s="30">
        <f>Q47</f>
        <v>407.47845434920805</v>
      </c>
      <c r="AE47" s="21"/>
      <c r="AF47" s="21"/>
      <c r="AG47" s="21"/>
      <c r="AH47" s="21"/>
      <c r="AI47" s="21"/>
      <c r="AJ47" s="21"/>
      <c r="AK47" s="21"/>
      <c r="AL47" s="21"/>
      <c r="AM47" s="21"/>
      <c r="AN47" s="21"/>
      <c r="AO47" s="21"/>
      <c r="AP47" s="21">
        <f t="shared" si="5"/>
        <v>407.46800000000002</v>
      </c>
      <c r="AQ47" s="21">
        <f t="shared" si="6"/>
        <v>407.53199999999998</v>
      </c>
    </row>
    <row r="48" spans="1:43">
      <c r="A48" s="90" t="s">
        <v>412</v>
      </c>
      <c r="B48" s="90" t="s">
        <v>413</v>
      </c>
      <c r="C48" s="90">
        <v>407.51499999999999</v>
      </c>
      <c r="D48" s="90"/>
      <c r="E48" s="90"/>
      <c r="F48" s="90"/>
      <c r="G48" s="90"/>
      <c r="J48" s="5">
        <v>12</v>
      </c>
      <c r="K48" s="23">
        <f t="shared" si="13"/>
        <v>188.84608695652173</v>
      </c>
      <c r="L48" s="24">
        <f t="shared" si="7"/>
        <v>9</v>
      </c>
      <c r="M48" s="5">
        <f t="shared" si="8"/>
        <v>407.47</v>
      </c>
      <c r="N48" s="25">
        <f t="shared" si="9"/>
        <v>4.0000049082209441E-4</v>
      </c>
      <c r="O48" s="26">
        <f t="shared" si="10"/>
        <v>8.8460869565217308</v>
      </c>
      <c r="P48" s="27">
        <f t="shared" si="11"/>
        <v>407.47353843912447</v>
      </c>
      <c r="Q48" s="27">
        <f t="shared" si="12"/>
        <v>407.47373546997085</v>
      </c>
      <c r="R48" s="5"/>
      <c r="S48" s="21"/>
      <c r="T48" s="21"/>
      <c r="U48" s="21"/>
      <c r="V48" s="21"/>
      <c r="W48" s="21"/>
      <c r="X48" s="21"/>
      <c r="Y48" s="21"/>
      <c r="Z48" s="21"/>
      <c r="AA48" s="21"/>
      <c r="AB48" s="21"/>
      <c r="AC48" s="21"/>
      <c r="AD48" s="30">
        <f>AD47</f>
        <v>407.47845434920805</v>
      </c>
      <c r="AE48" s="30">
        <f>Q48</f>
        <v>407.47373546997085</v>
      </c>
      <c r="AF48" s="21"/>
      <c r="AG48" s="21"/>
      <c r="AH48" s="21"/>
      <c r="AI48" s="21"/>
      <c r="AJ48" s="21"/>
      <c r="AK48" s="21"/>
      <c r="AL48" s="21"/>
      <c r="AM48" s="21"/>
      <c r="AN48" s="21"/>
      <c r="AO48" s="21"/>
      <c r="AP48" s="21">
        <f t="shared" si="5"/>
        <v>407.46800000000002</v>
      </c>
      <c r="AQ48" s="21">
        <f t="shared" si="6"/>
        <v>407.53199999999998</v>
      </c>
    </row>
    <row r="49" spans="1:43">
      <c r="A49" s="90" t="s">
        <v>799</v>
      </c>
      <c r="B49" s="90" t="s">
        <v>415</v>
      </c>
      <c r="C49" s="90">
        <v>0</v>
      </c>
      <c r="D49" s="90"/>
      <c r="E49" s="90"/>
      <c r="F49" s="90"/>
      <c r="G49" s="90"/>
      <c r="J49" s="5">
        <v>11</v>
      </c>
      <c r="K49" s="23">
        <f t="shared" si="13"/>
        <v>204.4982608695652</v>
      </c>
      <c r="L49" s="24">
        <f t="shared" si="7"/>
        <v>10</v>
      </c>
      <c r="M49" s="5">
        <f t="shared" si="8"/>
        <v>407.47900001104352</v>
      </c>
      <c r="N49" s="25">
        <f t="shared" si="9"/>
        <v>9.7777734148773261E-4</v>
      </c>
      <c r="O49" s="26">
        <f t="shared" si="10"/>
        <v>1.9982608695652004</v>
      </c>
      <c r="P49" s="27">
        <f t="shared" si="11"/>
        <v>407.48095386524415</v>
      </c>
      <c r="Q49" s="27">
        <f t="shared" si="12"/>
        <v>407.47724615218431</v>
      </c>
      <c r="R49" s="5"/>
      <c r="S49" s="21"/>
      <c r="T49" s="21"/>
      <c r="U49" s="21"/>
      <c r="V49" s="21"/>
      <c r="W49" s="21"/>
      <c r="X49" s="21"/>
      <c r="Y49" s="21"/>
      <c r="Z49" s="21"/>
      <c r="AA49" s="21"/>
      <c r="AB49" s="21"/>
      <c r="AC49" s="21"/>
      <c r="AD49" s="21"/>
      <c r="AE49" s="30">
        <f>AE48</f>
        <v>407.47373546997085</v>
      </c>
      <c r="AF49" s="30">
        <f>Q49</f>
        <v>407.47724615218431</v>
      </c>
      <c r="AG49" s="21"/>
      <c r="AH49" s="21"/>
      <c r="AI49" s="21"/>
      <c r="AJ49" s="21"/>
      <c r="AK49" s="21"/>
      <c r="AL49" s="21"/>
      <c r="AM49" s="21"/>
      <c r="AN49" s="21"/>
      <c r="AO49" s="21"/>
      <c r="AP49" s="21">
        <f t="shared" si="5"/>
        <v>407.46800000000002</v>
      </c>
      <c r="AQ49" s="21">
        <f t="shared" si="6"/>
        <v>407.53199999999998</v>
      </c>
    </row>
    <row r="50" spans="1:43">
      <c r="A50" s="121" t="s">
        <v>800</v>
      </c>
      <c r="B50" s="90" t="s">
        <v>417</v>
      </c>
      <c r="C50" s="90">
        <v>-112.8</v>
      </c>
      <c r="D50" s="90"/>
      <c r="E50" s="90"/>
      <c r="F50" s="90"/>
      <c r="G50" s="90"/>
      <c r="J50" s="5">
        <v>10</v>
      </c>
      <c r="K50" s="23">
        <f t="shared" si="13"/>
        <v>220.15043478260867</v>
      </c>
      <c r="L50" s="24">
        <f t="shared" si="7"/>
        <v>10</v>
      </c>
      <c r="M50" s="5">
        <f t="shared" si="8"/>
        <v>407.47900001104352</v>
      </c>
      <c r="N50" s="25">
        <f t="shared" si="9"/>
        <v>9.7777734148773261E-4</v>
      </c>
      <c r="O50" s="26">
        <f t="shared" si="10"/>
        <v>17.65043478260867</v>
      </c>
      <c r="P50" s="27">
        <f t="shared" si="11"/>
        <v>407.49625820624135</v>
      </c>
      <c r="Q50" s="27">
        <f t="shared" si="12"/>
        <v>407.48860603574275</v>
      </c>
      <c r="R50" s="5"/>
      <c r="S50" s="21"/>
      <c r="T50" s="21"/>
      <c r="U50" s="21"/>
      <c r="V50" s="21"/>
      <c r="W50" s="21"/>
      <c r="X50" s="21"/>
      <c r="Y50" s="21"/>
      <c r="Z50" s="21"/>
      <c r="AA50" s="21"/>
      <c r="AB50" s="21"/>
      <c r="AC50" s="21"/>
      <c r="AD50" s="21"/>
      <c r="AE50" s="21"/>
      <c r="AF50" s="30">
        <f>AF49</f>
        <v>407.47724615218431</v>
      </c>
      <c r="AG50" s="30">
        <f>Q50</f>
        <v>407.48860603574275</v>
      </c>
      <c r="AH50" s="21"/>
      <c r="AI50" s="21"/>
      <c r="AJ50" s="21"/>
      <c r="AK50" s="21"/>
      <c r="AL50" s="21"/>
      <c r="AM50" s="21"/>
      <c r="AN50" s="21"/>
      <c r="AO50" s="21"/>
      <c r="AP50" s="21">
        <f t="shared" si="5"/>
        <v>407.46800000000002</v>
      </c>
      <c r="AQ50" s="21">
        <f t="shared" si="6"/>
        <v>407.53199999999998</v>
      </c>
    </row>
    <row r="51" spans="1:43">
      <c r="A51" s="90" t="s">
        <v>412</v>
      </c>
      <c r="B51" s="90" t="s">
        <v>413</v>
      </c>
      <c r="C51" s="90">
        <v>407.50700000000001</v>
      </c>
      <c r="D51" s="90"/>
      <c r="E51" s="90"/>
      <c r="F51" s="90"/>
      <c r="G51" s="90"/>
      <c r="J51" s="5">
        <v>9</v>
      </c>
      <c r="K51" s="23">
        <f t="shared" si="13"/>
        <v>235.80260869565214</v>
      </c>
      <c r="L51" s="24">
        <f t="shared" si="7"/>
        <v>11</v>
      </c>
      <c r="M51" s="5">
        <f t="shared" si="8"/>
        <v>407.501000001227</v>
      </c>
      <c r="N51" s="25">
        <f t="shared" si="9"/>
        <v>2.2666679752849934E-3</v>
      </c>
      <c r="O51" s="26">
        <f t="shared" si="10"/>
        <v>10.80260869565214</v>
      </c>
      <c r="P51" s="27">
        <f t="shared" si="11"/>
        <v>407.52548592840697</v>
      </c>
      <c r="Q51" s="27">
        <f t="shared" si="12"/>
        <v>407.51087206732416</v>
      </c>
      <c r="R51" s="5"/>
      <c r="S51" s="21"/>
      <c r="T51" s="21"/>
      <c r="U51" s="21"/>
      <c r="V51" s="21"/>
      <c r="W51" s="21"/>
      <c r="X51" s="21"/>
      <c r="Y51" s="21"/>
      <c r="Z51" s="21"/>
      <c r="AA51" s="21"/>
      <c r="AB51" s="21"/>
      <c r="AC51" s="21"/>
      <c r="AD51" s="21"/>
      <c r="AE51" s="21"/>
      <c r="AF51" s="21"/>
      <c r="AG51" s="30">
        <f>AG50</f>
        <v>407.48860603574275</v>
      </c>
      <c r="AH51" s="30">
        <f>Q51</f>
        <v>407.51087206732416</v>
      </c>
      <c r="AI51" s="21"/>
      <c r="AJ51" s="21"/>
      <c r="AK51" s="21"/>
      <c r="AL51" s="21"/>
      <c r="AM51" s="21"/>
      <c r="AN51" s="21"/>
      <c r="AO51" s="21"/>
      <c r="AP51" s="21">
        <f t="shared" si="5"/>
        <v>407.46800000000002</v>
      </c>
      <c r="AQ51" s="21">
        <f t="shared" si="6"/>
        <v>407.53199999999998</v>
      </c>
    </row>
    <row r="52" spans="1:43">
      <c r="A52" s="90" t="s">
        <v>801</v>
      </c>
      <c r="B52" s="90" t="s">
        <v>415</v>
      </c>
      <c r="C52" s="90">
        <v>-4.0000000000000001E-3</v>
      </c>
      <c r="D52" s="90"/>
      <c r="E52" s="90"/>
      <c r="F52" s="90"/>
      <c r="G52" s="90"/>
      <c r="J52" s="5">
        <v>8</v>
      </c>
      <c r="K52" s="23">
        <f t="shared" si="13"/>
        <v>251.45478260869561</v>
      </c>
      <c r="L52" s="24">
        <f t="shared" si="7"/>
        <v>12</v>
      </c>
      <c r="M52" s="5">
        <f t="shared" si="8"/>
        <v>407.55200003067091</v>
      </c>
      <c r="N52" s="25">
        <f t="shared" si="9"/>
        <v>-2.6666802981859899E-4</v>
      </c>
      <c r="O52" s="26">
        <f t="shared" si="10"/>
        <v>3.9547826086956093</v>
      </c>
      <c r="P52" s="27">
        <f t="shared" si="11"/>
        <v>407.55094541658428</v>
      </c>
      <c r="Q52" s="27">
        <f t="shared" si="12"/>
        <v>407.53821567249565</v>
      </c>
      <c r="R52" s="5"/>
      <c r="S52" s="21"/>
      <c r="T52" s="21"/>
      <c r="U52" s="21"/>
      <c r="V52" s="21"/>
      <c r="W52" s="21"/>
      <c r="X52" s="21"/>
      <c r="Y52" s="21"/>
      <c r="Z52" s="21"/>
      <c r="AA52" s="21"/>
      <c r="AB52" s="21"/>
      <c r="AC52" s="21"/>
      <c r="AD52" s="21"/>
      <c r="AE52" s="21"/>
      <c r="AF52" s="21"/>
      <c r="AG52" s="21"/>
      <c r="AH52" s="30">
        <f>AH51</f>
        <v>407.51087206732416</v>
      </c>
      <c r="AI52" s="30">
        <f>Q52</f>
        <v>407.53821567249565</v>
      </c>
      <c r="AJ52" s="21"/>
      <c r="AK52" s="21"/>
      <c r="AL52" s="21"/>
      <c r="AM52" s="21"/>
      <c r="AN52" s="21"/>
      <c r="AO52" s="21"/>
      <c r="AP52" s="21">
        <f t="shared" si="5"/>
        <v>407.46800000000002</v>
      </c>
      <c r="AQ52" s="21">
        <f t="shared" si="6"/>
        <v>407.53199999999998</v>
      </c>
    </row>
    <row r="53" spans="1:43">
      <c r="A53" s="121" t="s">
        <v>802</v>
      </c>
      <c r="B53" s="90" t="s">
        <v>417</v>
      </c>
      <c r="C53" s="90">
        <v>-112.8</v>
      </c>
      <c r="D53" s="90"/>
      <c r="E53" s="90"/>
      <c r="F53" s="90"/>
      <c r="G53" s="90"/>
      <c r="J53" s="5">
        <v>7</v>
      </c>
      <c r="K53" s="23">
        <f t="shared" si="13"/>
        <v>267.10695652173911</v>
      </c>
      <c r="L53" s="24">
        <f t="shared" si="7"/>
        <v>12</v>
      </c>
      <c r="M53" s="5">
        <f t="shared" si="8"/>
        <v>407.55200003067091</v>
      </c>
      <c r="N53" s="25">
        <f t="shared" si="9"/>
        <v>-2.6666802981859899E-4</v>
      </c>
      <c r="O53" s="26">
        <f t="shared" si="10"/>
        <v>19.606956521739107</v>
      </c>
      <c r="P53" s="27">
        <f t="shared" si="11"/>
        <v>407.54677148220452</v>
      </c>
      <c r="Q53" s="27">
        <f t="shared" si="12"/>
        <v>407.5488584493944</v>
      </c>
      <c r="R53" s="5"/>
      <c r="S53" s="21"/>
      <c r="T53" s="21"/>
      <c r="U53" s="21"/>
      <c r="V53" s="21"/>
      <c r="W53" s="21"/>
      <c r="X53" s="21"/>
      <c r="Y53" s="21"/>
      <c r="Z53" s="21"/>
      <c r="AA53" s="21"/>
      <c r="AB53" s="21"/>
      <c r="AC53" s="21"/>
      <c r="AD53" s="21"/>
      <c r="AE53" s="21"/>
      <c r="AF53" s="21"/>
      <c r="AG53" s="21"/>
      <c r="AH53" s="21"/>
      <c r="AI53" s="30">
        <f>AI52</f>
        <v>407.53821567249565</v>
      </c>
      <c r="AJ53" s="30">
        <f>Q53</f>
        <v>407.5488584493944</v>
      </c>
      <c r="AK53" s="21"/>
      <c r="AL53" s="21"/>
      <c r="AM53" s="21"/>
      <c r="AN53" s="21"/>
      <c r="AO53" s="21"/>
      <c r="AP53" s="21">
        <f t="shared" si="5"/>
        <v>407.46800000000002</v>
      </c>
      <c r="AQ53" s="21">
        <f t="shared" si="6"/>
        <v>407.53199999999998</v>
      </c>
    </row>
    <row r="54" spans="1:43">
      <c r="A54" s="90"/>
      <c r="B54" s="90"/>
      <c r="C54" s="90"/>
      <c r="D54" s="90"/>
      <c r="E54" s="90"/>
      <c r="F54" s="90"/>
      <c r="G54" s="90"/>
      <c r="J54" s="5">
        <v>6</v>
      </c>
      <c r="K54" s="23">
        <f t="shared" si="13"/>
        <v>282.75913043478261</v>
      </c>
      <c r="L54" s="24">
        <f t="shared" si="7"/>
        <v>13</v>
      </c>
      <c r="M54" s="5">
        <f t="shared" si="8"/>
        <v>407.54599999999999</v>
      </c>
      <c r="N54" s="25">
        <f t="shared" si="9"/>
        <v>-1.1555555010267604E-3</v>
      </c>
      <c r="O54" s="26">
        <f t="shared" si="10"/>
        <v>12.759130434782605</v>
      </c>
      <c r="P54" s="27">
        <f t="shared" si="11"/>
        <v>407.53125611663773</v>
      </c>
      <c r="Q54" s="27">
        <f t="shared" si="12"/>
        <v>407.53901379942113</v>
      </c>
      <c r="R54" s="5"/>
      <c r="S54" s="21"/>
      <c r="T54" s="21"/>
      <c r="U54" s="21"/>
      <c r="V54" s="21"/>
      <c r="W54" s="21"/>
      <c r="X54" s="21"/>
      <c r="Y54" s="21"/>
      <c r="Z54" s="21"/>
      <c r="AA54" s="21"/>
      <c r="AB54" s="21"/>
      <c r="AC54" s="21"/>
      <c r="AD54" s="21"/>
      <c r="AE54" s="21"/>
      <c r="AF54" s="21"/>
      <c r="AG54" s="21"/>
      <c r="AH54" s="21"/>
      <c r="AI54" s="21"/>
      <c r="AJ54" s="30">
        <f>AJ53</f>
        <v>407.5488584493944</v>
      </c>
      <c r="AK54" s="30">
        <f>Q54</f>
        <v>407.53901379942113</v>
      </c>
      <c r="AL54" s="21"/>
      <c r="AM54" s="21"/>
      <c r="AN54" s="21"/>
      <c r="AO54" s="21"/>
      <c r="AP54" s="21">
        <f t="shared" si="5"/>
        <v>407.46800000000002</v>
      </c>
      <c r="AQ54" s="21">
        <f t="shared" si="6"/>
        <v>407.53199999999998</v>
      </c>
    </row>
    <row r="55" spans="1:43">
      <c r="A55" s="90"/>
      <c r="B55" s="90"/>
      <c r="C55" s="90"/>
      <c r="D55" s="90"/>
      <c r="E55" s="90"/>
      <c r="F55" s="90"/>
      <c r="G55" s="90"/>
      <c r="J55" s="5">
        <v>5</v>
      </c>
      <c r="K55" s="23">
        <f t="shared" si="13"/>
        <v>298.4113043478261</v>
      </c>
      <c r="L55" s="24">
        <f t="shared" si="7"/>
        <v>14</v>
      </c>
      <c r="M55" s="5">
        <f t="shared" si="8"/>
        <v>407.52000000122689</v>
      </c>
      <c r="N55" s="25">
        <f t="shared" si="9"/>
        <v>-2.1777777777692285E-3</v>
      </c>
      <c r="O55" s="26">
        <f t="shared" si="10"/>
        <v>5.9113043478261034</v>
      </c>
      <c r="P55" s="27">
        <f t="shared" si="11"/>
        <v>407.50712649398054</v>
      </c>
      <c r="Q55" s="27">
        <f t="shared" si="12"/>
        <v>407.51919130530916</v>
      </c>
      <c r="R55" s="5"/>
      <c r="S55" s="21"/>
      <c r="T55" s="21"/>
      <c r="U55" s="21"/>
      <c r="V55" s="21"/>
      <c r="W55" s="21"/>
      <c r="X55" s="21"/>
      <c r="Y55" s="21"/>
      <c r="Z55" s="21"/>
      <c r="AA55" s="21"/>
      <c r="AB55" s="21"/>
      <c r="AC55" s="21"/>
      <c r="AD55" s="21"/>
      <c r="AE55" s="21"/>
      <c r="AF55" s="21"/>
      <c r="AG55" s="21"/>
      <c r="AH55" s="21"/>
      <c r="AI55" s="21"/>
      <c r="AJ55" s="21"/>
      <c r="AK55" s="30">
        <f>AK54</f>
        <v>407.53901379942113</v>
      </c>
      <c r="AL55" s="30">
        <f>Q55</f>
        <v>407.51919130530916</v>
      </c>
      <c r="AM55" s="21"/>
      <c r="AN55" s="21"/>
      <c r="AO55" s="21"/>
      <c r="AP55" s="21">
        <f t="shared" si="5"/>
        <v>407.46800000000002</v>
      </c>
      <c r="AQ55" s="21">
        <f t="shared" si="6"/>
        <v>407.53199999999998</v>
      </c>
    </row>
    <row r="56" spans="1:43">
      <c r="A56" s="90"/>
      <c r="B56" s="90"/>
      <c r="C56" s="90"/>
      <c r="D56" s="90"/>
      <c r="E56" s="90"/>
      <c r="F56" s="90"/>
      <c r="G56" s="90"/>
      <c r="J56" s="5">
        <v>4</v>
      </c>
      <c r="K56" s="23">
        <f t="shared" si="13"/>
        <v>314.0634782608696</v>
      </c>
      <c r="L56" s="24">
        <f t="shared" si="7"/>
        <v>14</v>
      </c>
      <c r="M56" s="5">
        <f t="shared" si="8"/>
        <v>407.52000000122689</v>
      </c>
      <c r="N56" s="25">
        <f t="shared" si="9"/>
        <v>-2.1777777777692285E-3</v>
      </c>
      <c r="O56" s="26">
        <f t="shared" si="10"/>
        <v>21.563478260869601</v>
      </c>
      <c r="P56" s="27">
        <f t="shared" si="11"/>
        <v>407.47303953745893</v>
      </c>
      <c r="Q56" s="27">
        <f t="shared" si="12"/>
        <v>407.49008301571973</v>
      </c>
      <c r="R56" s="5"/>
      <c r="S56" s="21"/>
      <c r="T56" s="21"/>
      <c r="U56" s="21"/>
      <c r="V56" s="21"/>
      <c r="W56" s="21"/>
      <c r="X56" s="21"/>
      <c r="Y56" s="21"/>
      <c r="Z56" s="21"/>
      <c r="AA56" s="21"/>
      <c r="AB56" s="21"/>
      <c r="AC56" s="21"/>
      <c r="AD56" s="21"/>
      <c r="AE56" s="21"/>
      <c r="AF56" s="21"/>
      <c r="AG56" s="21"/>
      <c r="AH56" s="21"/>
      <c r="AI56" s="21"/>
      <c r="AJ56" s="21"/>
      <c r="AK56" s="21"/>
      <c r="AL56" s="30">
        <f>AL55</f>
        <v>407.51919130530916</v>
      </c>
      <c r="AM56" s="30">
        <f>Q56</f>
        <v>407.49008301571973</v>
      </c>
      <c r="AN56" s="21"/>
      <c r="AO56" s="21"/>
      <c r="AP56" s="21">
        <f t="shared" si="5"/>
        <v>407.46800000000002</v>
      </c>
      <c r="AQ56" s="21">
        <f t="shared" si="6"/>
        <v>407.53199999999998</v>
      </c>
    </row>
    <row r="57" spans="1:43">
      <c r="A57" s="90"/>
      <c r="B57" s="90"/>
      <c r="C57" s="90"/>
      <c r="D57" s="90"/>
      <c r="E57" s="90"/>
      <c r="F57" s="90"/>
      <c r="G57" s="90"/>
      <c r="J57" s="5">
        <v>3</v>
      </c>
      <c r="K57" s="23">
        <f t="shared" si="13"/>
        <v>329.7156521739131</v>
      </c>
      <c r="L57" s="24">
        <f t="shared" si="7"/>
        <v>15</v>
      </c>
      <c r="M57" s="5">
        <f t="shared" si="8"/>
        <v>407.47100000122708</v>
      </c>
      <c r="N57" s="25">
        <f t="shared" si="9"/>
        <v>-3.5555293773086304E-4</v>
      </c>
      <c r="O57" s="26">
        <f t="shared" si="10"/>
        <v>14.715652173913099</v>
      </c>
      <c r="P57" s="27">
        <f t="shared" si="11"/>
        <v>407.46576780786603</v>
      </c>
      <c r="Q57" s="27">
        <f t="shared" si="12"/>
        <v>407.46940367266245</v>
      </c>
      <c r="R57" s="5"/>
      <c r="S57" s="21"/>
      <c r="T57" s="21"/>
      <c r="U57" s="21"/>
      <c r="V57" s="21"/>
      <c r="W57" s="21"/>
      <c r="X57" s="21"/>
      <c r="Y57" s="21"/>
      <c r="Z57" s="21"/>
      <c r="AA57" s="21"/>
      <c r="AB57" s="21"/>
      <c r="AC57" s="21"/>
      <c r="AD57" s="21"/>
      <c r="AE57" s="21"/>
      <c r="AF57" s="21"/>
      <c r="AG57" s="21"/>
      <c r="AH57" s="21"/>
      <c r="AI57" s="21"/>
      <c r="AJ57" s="21"/>
      <c r="AK57" s="21"/>
      <c r="AL57" s="21"/>
      <c r="AM57" s="30">
        <f>AM56</f>
        <v>407.49008301571973</v>
      </c>
      <c r="AN57" s="30">
        <f>Q57</f>
        <v>407.46940367266245</v>
      </c>
      <c r="AO57" s="21"/>
      <c r="AP57" s="21">
        <f t="shared" si="5"/>
        <v>407.46800000000002</v>
      </c>
      <c r="AQ57" s="21">
        <f t="shared" si="6"/>
        <v>407.53199999999998</v>
      </c>
    </row>
    <row r="58" spans="1:43">
      <c r="A58" s="90"/>
      <c r="B58" s="90"/>
      <c r="C58" s="90"/>
      <c r="D58" s="90"/>
      <c r="E58" s="90"/>
      <c r="F58" s="90"/>
      <c r="G58" s="90"/>
      <c r="J58" s="5">
        <v>2</v>
      </c>
      <c r="K58" s="23">
        <f t="shared" si="13"/>
        <v>345.3678260869566</v>
      </c>
      <c r="L58" s="24">
        <f t="shared" si="7"/>
        <v>16</v>
      </c>
      <c r="M58" s="5">
        <f t="shared" si="8"/>
        <v>407.46300006012814</v>
      </c>
      <c r="N58" s="25">
        <f t="shared" si="9"/>
        <v>7.5555288319467055E-4</v>
      </c>
      <c r="O58" s="26">
        <f t="shared" si="10"/>
        <v>7.8678260869565975</v>
      </c>
      <c r="P58" s="27">
        <f t="shared" si="11"/>
        <v>407.4689446188126</v>
      </c>
      <c r="Q58" s="27">
        <f t="shared" si="12"/>
        <v>407.46735621333931</v>
      </c>
      <c r="R58" s="5"/>
      <c r="S58" s="31"/>
      <c r="T58" s="31"/>
      <c r="U58" s="31"/>
      <c r="V58" s="31"/>
      <c r="W58" s="31"/>
      <c r="X58" s="31"/>
      <c r="Y58" s="31"/>
      <c r="Z58" s="31"/>
      <c r="AA58" s="31"/>
      <c r="AB58" s="31"/>
      <c r="AC58" s="31"/>
      <c r="AD58" s="31"/>
      <c r="AE58" s="31"/>
      <c r="AF58" s="31"/>
      <c r="AG58" s="31"/>
      <c r="AH58" s="31"/>
      <c r="AI58" s="31"/>
      <c r="AJ58" s="31"/>
      <c r="AK58" s="31"/>
      <c r="AL58" s="31"/>
      <c r="AM58" s="31"/>
      <c r="AN58" s="32">
        <f>AN57</f>
        <v>407.46940367266245</v>
      </c>
      <c r="AO58" s="32">
        <f>Q58</f>
        <v>407.46735621333931</v>
      </c>
      <c r="AP58" s="31">
        <f t="shared" si="5"/>
        <v>407.46800000000002</v>
      </c>
      <c r="AQ58" s="31">
        <f t="shared" si="6"/>
        <v>407.53199999999998</v>
      </c>
    </row>
    <row r="61" spans="1:43">
      <c r="I61" s="33"/>
      <c r="J61" s="33"/>
      <c r="K61" s="33"/>
      <c r="L61" s="33"/>
      <c r="M61" s="33"/>
      <c r="N61" s="33"/>
      <c r="O61" s="33"/>
      <c r="P61" s="33"/>
      <c r="Q61" s="33"/>
      <c r="R61" s="33"/>
      <c r="S61" s="33"/>
      <c r="T61" s="33"/>
      <c r="U61" s="33"/>
      <c r="V61" s="33"/>
      <c r="W61" s="49"/>
      <c r="X61" s="33"/>
      <c r="Y61" s="33"/>
      <c r="Z61" s="33"/>
      <c r="AA61" s="33"/>
      <c r="AB61" s="33"/>
      <c r="AC61" s="33"/>
      <c r="AD61" s="33"/>
      <c r="AE61" s="33"/>
      <c r="AF61" s="33"/>
      <c r="AG61" s="33"/>
      <c r="AH61" s="33"/>
      <c r="AI61" s="33"/>
      <c r="AJ61" s="33"/>
      <c r="AK61" s="33"/>
      <c r="AL61" s="33"/>
    </row>
    <row r="62" spans="1:43">
      <c r="I62" s="33"/>
      <c r="J62" s="33"/>
      <c r="K62" s="33"/>
      <c r="L62" s="33"/>
      <c r="M62" s="33"/>
      <c r="N62" s="33"/>
      <c r="O62" s="33"/>
      <c r="P62" s="33"/>
      <c r="Q62" s="33"/>
      <c r="R62" s="33"/>
      <c r="S62" s="33"/>
      <c r="T62" s="33"/>
      <c r="U62" s="33"/>
      <c r="V62" s="33"/>
      <c r="W62" s="49"/>
      <c r="X62" s="33"/>
      <c r="Y62" s="33"/>
      <c r="Z62" s="33"/>
      <c r="AA62" s="33"/>
      <c r="AB62" s="33"/>
      <c r="AC62" s="33"/>
      <c r="AD62" s="33"/>
      <c r="AE62" s="33"/>
      <c r="AF62" s="33"/>
      <c r="AG62" s="33"/>
      <c r="AH62" s="33"/>
      <c r="AI62" s="33"/>
      <c r="AJ62" s="33"/>
      <c r="AK62" s="33"/>
      <c r="AL62" s="33"/>
    </row>
    <row r="63" spans="1:43">
      <c r="I63" s="33"/>
      <c r="J63" s="33"/>
      <c r="K63" s="33"/>
      <c r="L63" s="33"/>
      <c r="M63" s="33"/>
      <c r="N63" s="33"/>
      <c r="O63" s="33"/>
      <c r="P63" s="33"/>
      <c r="Q63" s="33"/>
      <c r="R63" s="33"/>
      <c r="S63" s="33"/>
      <c r="T63" s="33"/>
      <c r="U63" s="33"/>
      <c r="V63" s="33"/>
      <c r="W63" s="49"/>
      <c r="X63" s="33"/>
      <c r="Y63" s="33"/>
      <c r="Z63" s="33"/>
      <c r="AA63" s="33"/>
      <c r="AB63" s="33"/>
      <c r="AC63" s="33"/>
      <c r="AD63" s="33"/>
      <c r="AE63" s="33"/>
      <c r="AF63" s="33"/>
      <c r="AG63" s="33"/>
      <c r="AH63" s="33"/>
      <c r="AI63" s="33"/>
      <c r="AJ63" s="33"/>
      <c r="AK63" s="33"/>
      <c r="AL63" s="33"/>
    </row>
    <row r="64" spans="1:43">
      <c r="I64" s="33"/>
      <c r="J64" s="33"/>
      <c r="K64" s="33"/>
      <c r="L64" s="33"/>
      <c r="M64" s="33"/>
      <c r="N64" s="33"/>
      <c r="O64" s="33"/>
      <c r="P64" s="33"/>
      <c r="Q64" s="33"/>
      <c r="R64" s="33"/>
      <c r="S64" s="33"/>
      <c r="T64" s="33"/>
      <c r="U64" s="33"/>
      <c r="V64" s="33"/>
      <c r="W64" s="49"/>
      <c r="X64" s="33"/>
      <c r="Y64" s="33"/>
      <c r="Z64" s="33"/>
      <c r="AA64" s="33"/>
      <c r="AB64" s="33"/>
      <c r="AC64" s="33"/>
      <c r="AD64" s="33"/>
      <c r="AE64" s="33"/>
      <c r="AF64" s="33"/>
      <c r="AG64" s="33"/>
      <c r="AH64" s="33"/>
      <c r="AI64" s="33"/>
      <c r="AJ64" s="33"/>
      <c r="AK64" s="33"/>
      <c r="AL64" s="33"/>
    </row>
    <row r="65" spans="9:38">
      <c r="I65" s="33"/>
      <c r="J65" s="33"/>
      <c r="K65" s="33"/>
      <c r="L65" s="33"/>
      <c r="M65" s="33"/>
      <c r="N65" s="33"/>
      <c r="O65" s="33"/>
      <c r="P65" s="33"/>
      <c r="Q65" s="33"/>
      <c r="R65" s="33"/>
      <c r="S65" s="33"/>
      <c r="T65" s="33"/>
      <c r="U65" s="33"/>
      <c r="V65" s="33"/>
      <c r="W65" s="49"/>
      <c r="X65" s="33"/>
      <c r="Y65" s="33"/>
      <c r="Z65" s="33"/>
      <c r="AA65" s="33"/>
      <c r="AB65" s="33"/>
      <c r="AC65" s="33"/>
      <c r="AD65" s="33"/>
      <c r="AE65" s="33"/>
      <c r="AF65" s="33"/>
      <c r="AG65" s="33"/>
      <c r="AH65" s="33"/>
      <c r="AI65" s="33"/>
      <c r="AJ65" s="33"/>
      <c r="AK65" s="33"/>
      <c r="AL65" s="33"/>
    </row>
    <row r="66" spans="9:38">
      <c r="I66" s="33"/>
      <c r="J66" s="33"/>
      <c r="K66" s="33"/>
      <c r="L66" s="33"/>
      <c r="M66" s="33"/>
      <c r="N66" s="33"/>
      <c r="O66" s="33"/>
      <c r="P66" s="33"/>
      <c r="Q66" s="33"/>
      <c r="R66" s="33"/>
      <c r="S66" s="33"/>
      <c r="T66" s="33"/>
      <c r="U66" s="33"/>
      <c r="V66" s="33"/>
      <c r="W66" s="49"/>
      <c r="X66" s="33"/>
      <c r="Y66" s="33"/>
      <c r="Z66" s="33"/>
      <c r="AA66" s="33"/>
      <c r="AB66" s="33"/>
      <c r="AC66" s="33"/>
      <c r="AD66" s="33"/>
      <c r="AE66" s="33"/>
      <c r="AF66" s="33"/>
      <c r="AG66" s="33"/>
      <c r="AH66" s="33"/>
      <c r="AI66" s="33"/>
      <c r="AJ66" s="33"/>
      <c r="AK66" s="33"/>
      <c r="AL66" s="33"/>
    </row>
    <row r="67" spans="9:38">
      <c r="I67" s="33"/>
      <c r="J67" s="33"/>
      <c r="K67" s="33"/>
      <c r="L67" s="33"/>
      <c r="M67" s="33"/>
      <c r="N67" s="33"/>
      <c r="O67" s="33"/>
      <c r="P67" s="33"/>
      <c r="Q67" s="33"/>
      <c r="R67" s="33"/>
      <c r="S67" s="33"/>
      <c r="T67" s="33"/>
      <c r="U67" s="33"/>
      <c r="V67" s="33"/>
      <c r="W67" s="49"/>
      <c r="X67" s="33"/>
      <c r="Y67" s="33"/>
      <c r="Z67" s="33"/>
      <c r="AA67" s="33"/>
      <c r="AB67" s="33"/>
      <c r="AC67" s="33"/>
      <c r="AD67" s="33"/>
      <c r="AE67" s="33"/>
      <c r="AF67" s="33"/>
      <c r="AG67" s="33"/>
      <c r="AH67" s="33"/>
      <c r="AI67" s="33"/>
      <c r="AJ67" s="33"/>
      <c r="AK67" s="33"/>
      <c r="AL67" s="33"/>
    </row>
    <row r="68" spans="9:38">
      <c r="I68" s="33"/>
      <c r="J68" s="33"/>
      <c r="K68" s="33"/>
      <c r="L68" s="33"/>
      <c r="M68" s="33"/>
      <c r="N68" s="33"/>
      <c r="O68" s="33"/>
      <c r="P68" s="33"/>
      <c r="Q68" s="33"/>
      <c r="R68" s="33"/>
      <c r="S68" s="33"/>
      <c r="T68" s="33"/>
      <c r="U68" s="33"/>
      <c r="V68" s="33"/>
      <c r="W68" s="49"/>
      <c r="X68" s="33"/>
      <c r="Y68" s="33"/>
      <c r="Z68" s="33"/>
      <c r="AA68" s="33"/>
      <c r="AB68" s="33"/>
      <c r="AC68" s="33"/>
      <c r="AD68" s="33"/>
      <c r="AE68" s="33"/>
      <c r="AF68" s="33"/>
      <c r="AG68" s="33"/>
      <c r="AH68" s="33"/>
      <c r="AI68" s="33"/>
      <c r="AJ68" s="33"/>
      <c r="AK68" s="33"/>
      <c r="AL68" s="33"/>
    </row>
    <row r="69" spans="9:38">
      <c r="I69" s="33"/>
      <c r="J69" s="33"/>
      <c r="K69" s="33"/>
      <c r="L69" s="33"/>
      <c r="M69" s="33"/>
      <c r="N69" s="33"/>
      <c r="O69" s="33"/>
      <c r="P69" s="33"/>
      <c r="Q69" s="33"/>
      <c r="R69" s="33"/>
      <c r="S69" s="33"/>
      <c r="T69" s="33"/>
      <c r="U69" s="33"/>
      <c r="V69" s="33"/>
      <c r="W69" s="49"/>
      <c r="X69" s="33"/>
      <c r="Y69" s="33"/>
      <c r="Z69" s="33"/>
      <c r="AA69" s="33"/>
      <c r="AB69" s="33"/>
      <c r="AC69" s="33"/>
      <c r="AD69" s="33"/>
      <c r="AE69" s="33"/>
      <c r="AF69" s="33"/>
      <c r="AG69" s="33"/>
      <c r="AH69" s="33"/>
      <c r="AI69" s="33"/>
      <c r="AJ69" s="33"/>
      <c r="AK69" s="33"/>
      <c r="AL69" s="33"/>
    </row>
    <row r="70" spans="9:38">
      <c r="I70" s="33"/>
      <c r="J70" s="33"/>
      <c r="K70" s="33"/>
      <c r="L70" s="33"/>
      <c r="M70" s="33"/>
      <c r="N70" s="33"/>
      <c r="O70" s="33"/>
      <c r="P70" s="33"/>
      <c r="Q70" s="33"/>
      <c r="R70" s="33"/>
      <c r="S70" s="33"/>
      <c r="T70" s="33"/>
      <c r="U70" s="33"/>
      <c r="V70" s="33"/>
      <c r="W70" s="49"/>
      <c r="X70" s="33"/>
      <c r="Y70" s="33"/>
      <c r="Z70" s="33"/>
      <c r="AA70" s="33"/>
      <c r="AB70" s="33"/>
      <c r="AC70" s="33"/>
      <c r="AD70" s="33"/>
      <c r="AE70" s="33"/>
      <c r="AF70" s="33"/>
      <c r="AG70" s="33"/>
      <c r="AH70" s="33"/>
      <c r="AI70" s="33"/>
      <c r="AJ70" s="33"/>
      <c r="AK70" s="33"/>
      <c r="AL70" s="33"/>
    </row>
    <row r="71" spans="9:38">
      <c r="I71" s="33"/>
      <c r="J71" s="33"/>
      <c r="K71" s="33"/>
      <c r="L71" s="33"/>
      <c r="M71" s="33"/>
      <c r="N71" s="33"/>
      <c r="O71" s="33"/>
      <c r="P71" s="33"/>
      <c r="Q71" s="33"/>
      <c r="R71" s="33"/>
      <c r="S71" s="33"/>
      <c r="T71" s="33"/>
      <c r="U71" s="33"/>
      <c r="V71" s="33"/>
      <c r="W71" s="49"/>
      <c r="X71" s="33"/>
      <c r="Y71" s="33"/>
      <c r="Z71" s="33"/>
      <c r="AA71" s="33"/>
      <c r="AB71" s="33"/>
      <c r="AC71" s="33"/>
      <c r="AD71" s="33"/>
      <c r="AE71" s="33"/>
      <c r="AF71" s="33"/>
      <c r="AG71" s="33"/>
      <c r="AH71" s="33"/>
      <c r="AI71" s="33"/>
      <c r="AJ71" s="33"/>
      <c r="AK71" s="33"/>
      <c r="AL71" s="33"/>
    </row>
    <row r="72" spans="9:38">
      <c r="I72" s="33"/>
      <c r="J72" s="33"/>
      <c r="K72" s="33"/>
      <c r="L72" s="33"/>
      <c r="M72" s="33"/>
      <c r="N72" s="33"/>
      <c r="O72" s="33"/>
      <c r="P72" s="33"/>
      <c r="Q72" s="33"/>
      <c r="R72" s="33"/>
      <c r="S72" s="33"/>
      <c r="T72" s="33"/>
      <c r="U72" s="33"/>
      <c r="V72" s="33"/>
      <c r="W72" s="49"/>
      <c r="X72" s="33"/>
      <c r="Y72" s="33"/>
      <c r="Z72" s="33"/>
      <c r="AA72" s="33"/>
      <c r="AB72" s="33"/>
      <c r="AC72" s="33"/>
      <c r="AD72" s="33"/>
      <c r="AE72" s="33"/>
      <c r="AF72" s="33"/>
      <c r="AG72" s="33"/>
      <c r="AH72" s="33"/>
      <c r="AI72" s="33"/>
      <c r="AJ72" s="33"/>
      <c r="AK72" s="33"/>
      <c r="AL72" s="33"/>
    </row>
    <row r="73" spans="9:38">
      <c r="I73" s="33"/>
      <c r="J73" s="33"/>
      <c r="K73" s="33"/>
      <c r="L73" s="33"/>
      <c r="M73" s="33"/>
      <c r="N73" s="33"/>
      <c r="O73" s="33"/>
      <c r="P73" s="33"/>
      <c r="Q73" s="33"/>
      <c r="R73" s="33"/>
      <c r="S73" s="33"/>
      <c r="T73" s="33"/>
      <c r="U73" s="33"/>
      <c r="V73" s="33"/>
      <c r="W73" s="49"/>
      <c r="X73" s="33"/>
      <c r="Y73" s="33"/>
      <c r="Z73" s="33"/>
      <c r="AA73" s="33"/>
      <c r="AB73" s="33"/>
      <c r="AC73" s="33"/>
      <c r="AD73" s="33"/>
      <c r="AE73" s="33"/>
      <c r="AF73" s="33"/>
      <c r="AG73" s="33"/>
      <c r="AH73" s="33"/>
      <c r="AI73" s="33"/>
      <c r="AJ73" s="33"/>
      <c r="AK73" s="33"/>
      <c r="AL73" s="33"/>
    </row>
    <row r="74" spans="9:38">
      <c r="I74" s="33"/>
      <c r="J74" s="33"/>
      <c r="K74" s="33"/>
      <c r="L74" s="33"/>
      <c r="M74" s="33"/>
      <c r="N74" s="33"/>
      <c r="O74" s="33"/>
      <c r="P74" s="33"/>
      <c r="Q74" s="33"/>
      <c r="R74" s="33"/>
      <c r="S74" s="33"/>
      <c r="T74" s="33"/>
      <c r="U74" s="33"/>
      <c r="V74" s="33"/>
      <c r="W74" s="49"/>
      <c r="X74" s="33"/>
      <c r="Y74" s="33"/>
      <c r="Z74" s="33"/>
      <c r="AA74" s="33"/>
      <c r="AB74" s="33"/>
      <c r="AC74" s="33"/>
      <c r="AD74" s="33"/>
      <c r="AE74" s="33"/>
      <c r="AF74" s="33"/>
      <c r="AG74" s="33"/>
      <c r="AH74" s="33"/>
      <c r="AI74" s="33"/>
      <c r="AJ74" s="33"/>
      <c r="AK74" s="33"/>
      <c r="AL74" s="33"/>
    </row>
    <row r="75" spans="9:38">
      <c r="I75" s="33"/>
      <c r="J75" s="33"/>
      <c r="K75" s="33"/>
      <c r="L75" s="33"/>
      <c r="M75" s="33"/>
      <c r="N75" s="33"/>
      <c r="O75" s="33"/>
      <c r="P75" s="33"/>
      <c r="Q75" s="33"/>
      <c r="R75" s="33"/>
      <c r="S75" s="33"/>
      <c r="T75" s="33"/>
      <c r="U75" s="33"/>
      <c r="V75" s="33"/>
      <c r="W75" s="49"/>
      <c r="X75" s="33"/>
      <c r="Y75" s="33"/>
      <c r="Z75" s="33"/>
      <c r="AA75" s="33"/>
      <c r="AB75" s="33"/>
      <c r="AC75" s="33"/>
      <c r="AD75" s="33"/>
      <c r="AE75" s="33"/>
      <c r="AF75" s="33"/>
      <c r="AG75" s="33"/>
      <c r="AH75" s="33"/>
      <c r="AI75" s="33"/>
      <c r="AJ75" s="33"/>
      <c r="AK75" s="33"/>
      <c r="AL75" s="33"/>
    </row>
    <row r="76" spans="9:38">
      <c r="I76" s="33"/>
      <c r="J76" s="33"/>
      <c r="K76" s="33"/>
      <c r="L76" s="33"/>
      <c r="M76" s="33"/>
      <c r="N76" s="33"/>
      <c r="O76" s="33"/>
      <c r="P76" s="33"/>
      <c r="Q76" s="33"/>
      <c r="R76" s="33"/>
      <c r="S76" s="33"/>
      <c r="T76" s="33"/>
      <c r="U76" s="33"/>
      <c r="V76" s="33"/>
      <c r="W76" s="49"/>
      <c r="X76" s="33"/>
      <c r="Y76" s="33"/>
      <c r="Z76" s="33"/>
      <c r="AA76" s="33"/>
      <c r="AB76" s="33"/>
      <c r="AC76" s="33"/>
      <c r="AD76" s="33"/>
      <c r="AE76" s="33"/>
      <c r="AF76" s="33"/>
      <c r="AG76" s="33"/>
      <c r="AH76" s="33"/>
      <c r="AI76" s="33"/>
      <c r="AJ76" s="33"/>
      <c r="AK76" s="33"/>
      <c r="AL76" s="33"/>
    </row>
    <row r="77" spans="9:38">
      <c r="I77" s="33"/>
      <c r="J77" s="33"/>
      <c r="K77" s="33"/>
      <c r="L77" s="33"/>
      <c r="M77" s="33"/>
      <c r="N77" s="33"/>
      <c r="O77" s="33"/>
      <c r="P77" s="33"/>
      <c r="Q77" s="33"/>
      <c r="R77" s="33"/>
      <c r="S77" s="33"/>
      <c r="T77" s="33"/>
      <c r="U77" s="33"/>
      <c r="V77" s="33"/>
      <c r="W77" s="49"/>
      <c r="X77" s="33"/>
      <c r="Y77" s="33"/>
      <c r="Z77" s="33"/>
      <c r="AA77" s="33"/>
      <c r="AB77" s="33"/>
      <c r="AC77" s="33"/>
      <c r="AD77" s="33"/>
      <c r="AE77" s="33"/>
      <c r="AF77" s="33"/>
      <c r="AG77" s="33"/>
      <c r="AH77" s="33"/>
      <c r="AI77" s="33"/>
      <c r="AJ77" s="33"/>
      <c r="AK77" s="33"/>
      <c r="AL77" s="33"/>
    </row>
    <row r="78" spans="9:38">
      <c r="I78" s="33"/>
      <c r="J78" s="33"/>
      <c r="K78" s="33"/>
      <c r="L78" s="33"/>
      <c r="M78" s="33"/>
      <c r="N78" s="33"/>
      <c r="O78" s="33"/>
      <c r="P78" s="33"/>
      <c r="Q78" s="33"/>
      <c r="R78" s="33"/>
      <c r="S78" s="33"/>
      <c r="T78" s="33"/>
      <c r="U78" s="33"/>
      <c r="V78" s="33"/>
      <c r="W78" s="49"/>
      <c r="X78" s="33"/>
      <c r="Y78" s="33"/>
      <c r="Z78" s="33"/>
      <c r="AA78" s="33"/>
      <c r="AB78" s="33"/>
      <c r="AC78" s="33"/>
      <c r="AD78" s="33"/>
      <c r="AE78" s="33"/>
      <c r="AF78" s="33"/>
      <c r="AG78" s="33"/>
      <c r="AH78" s="33"/>
      <c r="AI78" s="33"/>
      <c r="AJ78" s="33"/>
      <c r="AK78" s="33"/>
      <c r="AL78" s="33"/>
    </row>
    <row r="79" spans="9:38">
      <c r="I79" s="33"/>
      <c r="J79" s="33"/>
      <c r="K79" s="33"/>
      <c r="L79" s="33"/>
      <c r="M79" s="33"/>
      <c r="N79" s="33"/>
      <c r="O79" s="33"/>
      <c r="P79" s="33"/>
      <c r="Q79" s="33"/>
      <c r="R79" s="33"/>
      <c r="S79" s="33"/>
      <c r="T79" s="33"/>
      <c r="U79" s="33"/>
      <c r="V79" s="33"/>
      <c r="W79" s="49"/>
      <c r="X79" s="33"/>
      <c r="Y79" s="33"/>
      <c r="Z79" s="33"/>
      <c r="AA79" s="33"/>
      <c r="AB79" s="33"/>
      <c r="AC79" s="33"/>
      <c r="AD79" s="33"/>
      <c r="AE79" s="33"/>
      <c r="AF79" s="33"/>
      <c r="AG79" s="33"/>
      <c r="AH79" s="33"/>
      <c r="AI79" s="33"/>
      <c r="AJ79" s="33"/>
      <c r="AK79" s="33"/>
      <c r="AL79" s="33"/>
    </row>
    <row r="80" spans="9:38">
      <c r="I80" s="33"/>
      <c r="J80" s="33"/>
      <c r="K80" s="33"/>
      <c r="L80" s="33"/>
      <c r="M80" s="33"/>
      <c r="N80" s="33"/>
      <c r="O80" s="33"/>
      <c r="P80" s="33"/>
      <c r="Q80" s="33"/>
      <c r="R80" s="33"/>
      <c r="S80" s="33"/>
      <c r="T80" s="33"/>
      <c r="U80" s="33"/>
      <c r="V80" s="33"/>
      <c r="W80" s="49"/>
      <c r="X80" s="33"/>
      <c r="Y80" s="33"/>
      <c r="Z80" s="33"/>
      <c r="AA80" s="33"/>
      <c r="AB80" s="33"/>
      <c r="AC80" s="33"/>
      <c r="AD80" s="33"/>
      <c r="AE80" s="33"/>
      <c r="AF80" s="33"/>
      <c r="AG80" s="33"/>
      <c r="AH80" s="33"/>
      <c r="AI80" s="33"/>
      <c r="AJ80" s="33"/>
      <c r="AK80" s="33"/>
      <c r="AL80" s="33"/>
    </row>
    <row r="81" spans="9:38">
      <c r="I81" s="33"/>
      <c r="J81" s="33"/>
      <c r="K81" s="33"/>
      <c r="L81" s="33"/>
      <c r="M81" s="33"/>
      <c r="N81" s="33"/>
      <c r="O81" s="33"/>
      <c r="P81" s="33"/>
      <c r="Q81" s="33"/>
      <c r="R81" s="33"/>
      <c r="S81" s="33"/>
      <c r="T81" s="33"/>
      <c r="U81" s="33"/>
      <c r="V81" s="33"/>
      <c r="W81" s="49"/>
      <c r="X81" s="33"/>
      <c r="Y81" s="33"/>
      <c r="Z81" s="33"/>
      <c r="AA81" s="33"/>
      <c r="AB81" s="33"/>
      <c r="AC81" s="33"/>
      <c r="AD81" s="33"/>
      <c r="AE81" s="33"/>
      <c r="AF81" s="33"/>
      <c r="AG81" s="33"/>
      <c r="AH81" s="33"/>
      <c r="AI81" s="33"/>
      <c r="AJ81" s="33"/>
      <c r="AK81" s="33"/>
      <c r="AL81" s="33"/>
    </row>
    <row r="82" spans="9:38">
      <c r="I82" s="33"/>
      <c r="J82" s="33"/>
      <c r="K82" s="33"/>
      <c r="L82" s="33"/>
      <c r="M82" s="33"/>
      <c r="N82" s="33"/>
      <c r="O82" s="33"/>
      <c r="P82" s="33"/>
      <c r="Q82" s="33"/>
      <c r="R82" s="33"/>
      <c r="S82" s="33"/>
      <c r="T82" s="33"/>
      <c r="U82" s="33"/>
      <c r="V82" s="33"/>
      <c r="W82" s="49"/>
      <c r="X82" s="33"/>
      <c r="Y82" s="33"/>
      <c r="Z82" s="33"/>
      <c r="AA82" s="33"/>
      <c r="AB82" s="33"/>
      <c r="AC82" s="33"/>
      <c r="AD82" s="33"/>
      <c r="AE82" s="33"/>
      <c r="AF82" s="33"/>
      <c r="AG82" s="33"/>
      <c r="AH82" s="33"/>
      <c r="AI82" s="33"/>
      <c r="AJ82" s="33"/>
      <c r="AK82" s="33"/>
      <c r="AL82" s="33"/>
    </row>
    <row r="83" spans="9:38">
      <c r="I83" s="33"/>
      <c r="J83" s="33"/>
      <c r="K83" s="33"/>
      <c r="L83" s="33"/>
      <c r="M83" s="33"/>
      <c r="N83" s="33"/>
      <c r="O83" s="33"/>
      <c r="P83" s="33"/>
      <c r="Q83" s="33"/>
      <c r="R83" s="33"/>
      <c r="S83" s="33"/>
      <c r="T83" s="33"/>
      <c r="U83" s="33"/>
      <c r="V83" s="33"/>
      <c r="W83" s="49"/>
      <c r="X83" s="33"/>
      <c r="Y83" s="33"/>
      <c r="Z83" s="33"/>
      <c r="AA83" s="33"/>
      <c r="AB83" s="33"/>
      <c r="AC83" s="33"/>
      <c r="AD83" s="33"/>
      <c r="AE83" s="33"/>
      <c r="AF83" s="33"/>
      <c r="AG83" s="33"/>
      <c r="AH83" s="33"/>
      <c r="AI83" s="33"/>
      <c r="AJ83" s="33"/>
      <c r="AK83" s="33"/>
      <c r="AL83" s="33"/>
    </row>
    <row r="84" spans="9:38">
      <c r="I84" s="33"/>
      <c r="J84" s="33"/>
      <c r="K84" s="33"/>
      <c r="L84" s="33"/>
      <c r="M84" s="33"/>
      <c r="N84" s="33"/>
      <c r="O84" s="33"/>
      <c r="P84" s="33"/>
      <c r="Q84" s="33"/>
      <c r="R84" s="33"/>
      <c r="S84" s="33"/>
      <c r="T84" s="33"/>
      <c r="U84" s="33"/>
      <c r="V84" s="33"/>
      <c r="W84" s="49"/>
      <c r="X84" s="33"/>
      <c r="Y84" s="33"/>
      <c r="Z84" s="33"/>
      <c r="AA84" s="33"/>
      <c r="AB84" s="33"/>
      <c r="AC84" s="33"/>
      <c r="AD84" s="33"/>
      <c r="AE84" s="33"/>
      <c r="AF84" s="33"/>
      <c r="AG84" s="33"/>
      <c r="AH84" s="33"/>
      <c r="AI84" s="33"/>
      <c r="AJ84" s="33"/>
      <c r="AK84" s="33"/>
      <c r="AL84" s="33"/>
    </row>
    <row r="85" spans="9:38">
      <c r="I85" s="33"/>
      <c r="J85" s="33"/>
      <c r="K85" s="33"/>
      <c r="L85" s="33"/>
      <c r="M85" s="33"/>
      <c r="N85" s="33"/>
      <c r="O85" s="33"/>
      <c r="P85" s="33"/>
      <c r="Q85" s="33"/>
      <c r="R85" s="33"/>
      <c r="S85" s="33"/>
      <c r="T85" s="33"/>
      <c r="U85" s="33"/>
      <c r="V85" s="33"/>
      <c r="W85" s="49"/>
      <c r="X85" s="33"/>
      <c r="Y85" s="33"/>
      <c r="Z85" s="33"/>
      <c r="AA85" s="33"/>
      <c r="AB85" s="33"/>
      <c r="AC85" s="33"/>
      <c r="AD85" s="33"/>
      <c r="AE85" s="33"/>
      <c r="AF85" s="33"/>
      <c r="AG85" s="33"/>
      <c r="AH85" s="33"/>
      <c r="AI85" s="33"/>
      <c r="AJ85" s="33"/>
      <c r="AK85" s="33"/>
      <c r="AL85" s="33"/>
    </row>
    <row r="86" spans="9:38">
      <c r="I86" s="33"/>
      <c r="J86" s="33"/>
      <c r="K86" s="33"/>
      <c r="L86" s="33"/>
      <c r="M86" s="33"/>
      <c r="N86" s="33"/>
      <c r="O86" s="33"/>
      <c r="P86" s="33"/>
      <c r="Q86" s="33"/>
      <c r="R86" s="33"/>
      <c r="S86" s="33"/>
      <c r="T86" s="33"/>
      <c r="U86" s="33"/>
      <c r="V86" s="33"/>
      <c r="W86" s="49"/>
      <c r="X86" s="33"/>
      <c r="Y86" s="33"/>
      <c r="Z86" s="33"/>
      <c r="AA86" s="33"/>
      <c r="AB86" s="33"/>
      <c r="AC86" s="33"/>
      <c r="AD86" s="33"/>
      <c r="AE86" s="33"/>
      <c r="AF86" s="33"/>
      <c r="AG86" s="33"/>
      <c r="AH86" s="33"/>
      <c r="AI86" s="33"/>
      <c r="AJ86" s="33"/>
      <c r="AK86" s="33"/>
      <c r="AL86" s="33"/>
    </row>
    <row r="87" spans="9:38">
      <c r="I87" s="33"/>
      <c r="J87" s="33"/>
      <c r="K87" s="33"/>
      <c r="L87" s="33"/>
      <c r="M87" s="33"/>
      <c r="N87" s="33"/>
      <c r="O87" s="33"/>
      <c r="P87" s="33"/>
      <c r="Q87" s="33"/>
      <c r="R87" s="33"/>
      <c r="S87" s="33"/>
      <c r="T87" s="33"/>
      <c r="U87" s="33"/>
      <c r="V87" s="33"/>
      <c r="W87" s="49"/>
      <c r="X87" s="33"/>
      <c r="Y87" s="33"/>
      <c r="Z87" s="33"/>
      <c r="AA87" s="33"/>
      <c r="AB87" s="33"/>
      <c r="AC87" s="33"/>
      <c r="AD87" s="33"/>
      <c r="AE87" s="33"/>
      <c r="AF87" s="33"/>
      <c r="AG87" s="33"/>
      <c r="AH87" s="33"/>
      <c r="AI87" s="33"/>
      <c r="AJ87" s="33"/>
      <c r="AK87" s="33"/>
      <c r="AL87" s="33"/>
    </row>
    <row r="88" spans="9:38">
      <c r="I88" s="33"/>
      <c r="J88" s="33"/>
      <c r="K88" s="33"/>
      <c r="L88" s="33"/>
      <c r="M88" s="33"/>
      <c r="N88" s="33"/>
      <c r="O88" s="33"/>
      <c r="P88" s="33"/>
      <c r="Q88" s="33"/>
      <c r="R88" s="33"/>
      <c r="S88" s="33"/>
      <c r="T88" s="33"/>
      <c r="U88" s="33"/>
      <c r="V88" s="33"/>
      <c r="W88" s="49"/>
      <c r="X88" s="33"/>
      <c r="Y88" s="33"/>
      <c r="Z88" s="33"/>
      <c r="AA88" s="33"/>
      <c r="AB88" s="33"/>
      <c r="AC88" s="33"/>
      <c r="AD88" s="33"/>
      <c r="AE88" s="33"/>
      <c r="AF88" s="33"/>
      <c r="AG88" s="33"/>
      <c r="AH88" s="33"/>
      <c r="AI88" s="33"/>
      <c r="AJ88" s="33"/>
      <c r="AK88" s="33"/>
      <c r="AL88" s="33"/>
    </row>
    <row r="89" spans="9:38">
      <c r="I89" s="33"/>
      <c r="J89" s="33"/>
      <c r="K89" s="33"/>
      <c r="L89" s="33"/>
      <c r="M89" s="33"/>
      <c r="N89" s="33"/>
      <c r="O89" s="33"/>
      <c r="P89" s="33"/>
      <c r="Q89" s="33"/>
      <c r="R89" s="33"/>
      <c r="S89" s="33"/>
      <c r="T89" s="33"/>
      <c r="U89" s="33"/>
      <c r="V89" s="33"/>
      <c r="W89" s="49"/>
      <c r="X89" s="33"/>
      <c r="Y89" s="33"/>
      <c r="Z89" s="33"/>
      <c r="AA89" s="33"/>
      <c r="AB89" s="33"/>
      <c r="AC89" s="33"/>
      <c r="AD89" s="33"/>
      <c r="AE89" s="33"/>
      <c r="AF89" s="33"/>
      <c r="AG89" s="33"/>
      <c r="AH89" s="33"/>
      <c r="AI89" s="33"/>
      <c r="AJ89" s="33"/>
      <c r="AK89" s="33"/>
      <c r="AL89" s="33"/>
    </row>
    <row r="90" spans="9:38">
      <c r="I90" s="33"/>
      <c r="J90" s="33"/>
      <c r="K90" s="33"/>
      <c r="L90" s="33"/>
      <c r="M90" s="33"/>
      <c r="N90" s="33"/>
      <c r="O90" s="33"/>
      <c r="P90" s="33"/>
      <c r="Q90" s="33"/>
      <c r="R90" s="33"/>
      <c r="S90" s="33"/>
      <c r="T90" s="33"/>
      <c r="U90" s="33"/>
      <c r="V90" s="33"/>
      <c r="W90" s="5"/>
      <c r="X90" s="33"/>
      <c r="Y90" s="33"/>
      <c r="Z90" s="33"/>
      <c r="AA90" s="33"/>
      <c r="AB90" s="33"/>
      <c r="AC90" s="33"/>
      <c r="AD90" s="33"/>
      <c r="AE90" s="33"/>
      <c r="AF90" s="33"/>
      <c r="AG90" s="33"/>
      <c r="AH90" s="33"/>
      <c r="AI90" s="33"/>
      <c r="AJ90" s="33"/>
      <c r="AK90" s="33"/>
      <c r="AL90" s="33"/>
    </row>
    <row r="91" spans="9:38">
      <c r="I91" s="33"/>
      <c r="J91" s="33"/>
      <c r="K91" s="33"/>
      <c r="L91" s="33"/>
      <c r="M91" s="33"/>
      <c r="N91" s="33"/>
      <c r="O91" s="33"/>
      <c r="P91" s="33"/>
      <c r="Q91" s="33"/>
      <c r="R91" s="33"/>
      <c r="S91" s="33"/>
      <c r="T91" s="33"/>
      <c r="U91" s="33"/>
      <c r="V91" s="33"/>
      <c r="W91" s="5"/>
      <c r="X91" s="33"/>
      <c r="Y91" s="33"/>
      <c r="Z91" s="33"/>
      <c r="AA91" s="33"/>
      <c r="AB91" s="33"/>
      <c r="AC91" s="33"/>
      <c r="AD91" s="33"/>
      <c r="AE91" s="33"/>
      <c r="AF91" s="33"/>
      <c r="AG91" s="33"/>
      <c r="AH91" s="33"/>
      <c r="AI91" s="33"/>
      <c r="AJ91" s="33"/>
      <c r="AK91" s="33"/>
      <c r="AL91" s="33"/>
    </row>
    <row r="92" spans="9:38">
      <c r="I92" s="33"/>
      <c r="J92" s="33"/>
      <c r="K92" s="33"/>
      <c r="L92" s="33"/>
      <c r="M92" s="33"/>
      <c r="N92" s="33"/>
      <c r="O92" s="33"/>
      <c r="P92" s="33"/>
      <c r="Q92" s="33"/>
      <c r="R92" s="33"/>
      <c r="S92" s="33"/>
      <c r="T92" s="33"/>
      <c r="U92" s="33"/>
      <c r="V92" s="33"/>
      <c r="W92" s="5"/>
      <c r="X92" s="33"/>
      <c r="Y92" s="33"/>
      <c r="Z92" s="33"/>
      <c r="AA92" s="33"/>
      <c r="AB92" s="33"/>
      <c r="AC92" s="33"/>
      <c r="AD92" s="33"/>
      <c r="AE92" s="33"/>
      <c r="AF92" s="33"/>
      <c r="AG92" s="33"/>
      <c r="AH92" s="33"/>
      <c r="AI92" s="33"/>
      <c r="AJ92" s="33"/>
      <c r="AK92" s="33"/>
      <c r="AL92" s="33"/>
    </row>
    <row r="93" spans="9:38">
      <c r="I93" s="33"/>
      <c r="J93" s="33"/>
      <c r="K93" s="33"/>
      <c r="L93" s="33"/>
      <c r="M93" s="33"/>
      <c r="N93" s="33"/>
      <c r="O93" s="33"/>
      <c r="P93" s="33"/>
      <c r="Q93" s="33"/>
      <c r="R93" s="33"/>
      <c r="S93" s="33"/>
      <c r="T93" s="33"/>
      <c r="U93" s="33"/>
      <c r="V93" s="33"/>
      <c r="W93" s="5"/>
      <c r="X93" s="33"/>
      <c r="Y93" s="33"/>
      <c r="Z93" s="33"/>
      <c r="AA93" s="33"/>
      <c r="AB93" s="33"/>
      <c r="AC93" s="33"/>
      <c r="AD93" s="33"/>
      <c r="AE93" s="33"/>
      <c r="AF93" s="33"/>
      <c r="AG93" s="33"/>
      <c r="AH93" s="33"/>
      <c r="AI93" s="33"/>
      <c r="AJ93" s="33"/>
      <c r="AK93" s="33"/>
      <c r="AL93" s="33"/>
    </row>
    <row r="94" spans="9:38">
      <c r="I94" s="33"/>
      <c r="J94" s="33"/>
      <c r="K94" s="33"/>
      <c r="L94" s="33"/>
      <c r="M94" s="33"/>
      <c r="N94" s="33"/>
      <c r="O94" s="33"/>
      <c r="P94" s="33"/>
      <c r="Q94" s="33"/>
      <c r="R94" s="33"/>
      <c r="S94" s="33"/>
      <c r="T94" s="33"/>
      <c r="U94" s="33"/>
      <c r="V94" s="33"/>
      <c r="W94" s="5"/>
      <c r="X94" s="33"/>
      <c r="Y94" s="33"/>
      <c r="Z94" s="33"/>
      <c r="AA94" s="33"/>
      <c r="AB94" s="33"/>
      <c r="AC94" s="33"/>
      <c r="AD94" s="33"/>
      <c r="AE94" s="33"/>
      <c r="AF94" s="33"/>
      <c r="AG94" s="33"/>
      <c r="AH94" s="33"/>
      <c r="AI94" s="33"/>
      <c r="AJ94" s="33"/>
      <c r="AK94" s="33"/>
      <c r="AL94" s="33"/>
    </row>
    <row r="95" spans="9:38">
      <c r="I95" s="33"/>
      <c r="J95" s="33"/>
      <c r="K95" s="33"/>
      <c r="L95" s="33"/>
      <c r="M95" s="33"/>
      <c r="N95" s="33"/>
      <c r="O95" s="33"/>
      <c r="P95" s="33"/>
      <c r="Q95" s="33"/>
      <c r="R95" s="33"/>
      <c r="S95" s="33"/>
      <c r="T95" s="33"/>
      <c r="U95" s="33"/>
      <c r="V95" s="33"/>
      <c r="W95" s="5"/>
      <c r="X95" s="33"/>
      <c r="Y95" s="33"/>
      <c r="Z95" s="33"/>
      <c r="AA95" s="33"/>
      <c r="AB95" s="33"/>
      <c r="AC95" s="33"/>
      <c r="AD95" s="33"/>
      <c r="AE95" s="33"/>
      <c r="AF95" s="33"/>
      <c r="AG95" s="33"/>
      <c r="AH95" s="33"/>
      <c r="AI95" s="33"/>
      <c r="AJ95" s="33"/>
      <c r="AK95" s="33"/>
      <c r="AL95" s="33"/>
    </row>
    <row r="96" spans="9:38">
      <c r="I96" s="33"/>
      <c r="J96" s="33"/>
      <c r="K96" s="33"/>
      <c r="L96" s="33"/>
      <c r="M96" s="33"/>
      <c r="N96" s="33"/>
      <c r="O96" s="33"/>
      <c r="P96" s="33"/>
      <c r="Q96" s="33"/>
      <c r="R96" s="33"/>
      <c r="S96" s="33"/>
      <c r="T96" s="33"/>
      <c r="U96" s="33"/>
      <c r="V96" s="33"/>
      <c r="W96" s="5"/>
      <c r="X96" s="33"/>
      <c r="Y96" s="33"/>
      <c r="Z96" s="33"/>
      <c r="AA96" s="33"/>
      <c r="AB96" s="33"/>
      <c r="AC96" s="33"/>
      <c r="AD96" s="33"/>
      <c r="AE96" s="33"/>
      <c r="AF96" s="33"/>
      <c r="AG96" s="33"/>
      <c r="AH96" s="33"/>
      <c r="AI96" s="33"/>
      <c r="AJ96" s="33"/>
      <c r="AK96" s="33"/>
      <c r="AL96" s="33"/>
    </row>
    <row r="97" spans="9:49">
      <c r="I97" s="33"/>
      <c r="J97" s="33"/>
      <c r="K97" s="33"/>
      <c r="L97" s="33"/>
      <c r="M97" s="33"/>
      <c r="N97" s="33"/>
      <c r="O97" s="33"/>
      <c r="P97" s="33"/>
      <c r="Q97" s="33"/>
      <c r="R97" s="33"/>
      <c r="S97" s="33"/>
      <c r="T97" s="33"/>
      <c r="U97" s="33"/>
      <c r="V97" s="33"/>
      <c r="W97" s="5"/>
      <c r="X97" s="33"/>
      <c r="Y97" s="33"/>
      <c r="Z97" s="33"/>
      <c r="AA97" s="33"/>
      <c r="AB97" s="33"/>
      <c r="AC97" s="33"/>
      <c r="AD97" s="33"/>
      <c r="AE97" s="33"/>
      <c r="AF97" s="33"/>
      <c r="AG97" s="33"/>
      <c r="AH97" s="33"/>
      <c r="AI97" s="33"/>
      <c r="AJ97" s="33"/>
      <c r="AK97" s="33"/>
      <c r="AL97" s="33"/>
    </row>
    <row r="98" spans="9:49">
      <c r="I98" s="33"/>
      <c r="J98" s="33"/>
      <c r="K98" s="33"/>
      <c r="L98" s="33"/>
      <c r="M98" s="33"/>
      <c r="N98" s="33"/>
      <c r="O98" s="33"/>
      <c r="P98" s="33"/>
      <c r="Q98" s="33"/>
      <c r="R98" s="33"/>
      <c r="S98" s="33"/>
      <c r="T98" s="33"/>
      <c r="U98" s="33"/>
      <c r="V98" s="33"/>
      <c r="W98" s="5"/>
      <c r="X98" s="33"/>
      <c r="Y98" s="33"/>
      <c r="Z98" s="33"/>
      <c r="AA98" s="33"/>
      <c r="AB98" s="33"/>
      <c r="AC98" s="33"/>
      <c r="AD98" s="33"/>
      <c r="AE98" s="33"/>
      <c r="AF98" s="33"/>
      <c r="AG98" s="33"/>
      <c r="AH98" s="33"/>
      <c r="AI98" s="33"/>
      <c r="AJ98" s="33"/>
      <c r="AK98" s="33"/>
      <c r="AL98" s="33"/>
    </row>
    <row r="99" spans="9:49">
      <c r="I99" s="33"/>
      <c r="J99" s="33"/>
      <c r="K99" s="33"/>
      <c r="L99" s="33"/>
      <c r="M99" s="33"/>
      <c r="N99" s="33"/>
      <c r="O99" s="33"/>
      <c r="P99" s="33"/>
      <c r="Q99" s="33"/>
      <c r="R99" s="33"/>
      <c r="S99" s="33"/>
      <c r="T99" s="33"/>
      <c r="U99" s="33"/>
      <c r="V99" s="33"/>
      <c r="W99" s="5"/>
      <c r="X99" s="33"/>
      <c r="Y99" s="33"/>
      <c r="Z99" s="33"/>
      <c r="AA99" s="33"/>
      <c r="AB99" s="33"/>
      <c r="AC99" s="33"/>
      <c r="AD99" s="33"/>
      <c r="AE99" s="33"/>
      <c r="AF99" s="33"/>
      <c r="AG99" s="33"/>
      <c r="AH99" s="33"/>
      <c r="AI99" s="33"/>
      <c r="AJ99" s="33"/>
      <c r="AK99" s="33"/>
      <c r="AL99" s="33"/>
    </row>
    <row r="100" spans="9:49">
      <c r="I100" s="33"/>
      <c r="J100" s="33"/>
      <c r="K100" s="33"/>
      <c r="L100" s="33"/>
      <c r="M100" s="33"/>
      <c r="N100" s="33"/>
      <c r="O100" s="33"/>
      <c r="P100" s="33"/>
      <c r="Q100" s="33"/>
      <c r="R100" s="33"/>
      <c r="S100" s="33"/>
      <c r="T100" s="33"/>
      <c r="U100" s="33"/>
      <c r="V100" s="33"/>
      <c r="W100" s="5"/>
      <c r="X100" s="33"/>
      <c r="Y100" s="33"/>
      <c r="Z100" s="33"/>
      <c r="AA100" s="33"/>
      <c r="AB100" s="33"/>
      <c r="AC100" s="33"/>
      <c r="AD100" s="33"/>
      <c r="AE100" s="33"/>
      <c r="AF100" s="33"/>
      <c r="AG100" s="33"/>
      <c r="AH100" s="33"/>
      <c r="AI100" s="33"/>
      <c r="AJ100" s="33"/>
      <c r="AK100" s="33"/>
      <c r="AL100" s="33"/>
    </row>
    <row r="101" spans="9:49">
      <c r="I101" s="33"/>
      <c r="J101" s="33"/>
      <c r="K101" s="33"/>
      <c r="L101" s="33"/>
      <c r="M101" s="33"/>
      <c r="N101" s="33"/>
      <c r="O101" s="33"/>
      <c r="P101" s="33"/>
      <c r="Q101" s="33"/>
      <c r="R101" s="33"/>
      <c r="S101" s="33"/>
      <c r="T101" s="33"/>
      <c r="U101" s="33"/>
      <c r="V101" s="33"/>
      <c r="W101" s="5"/>
      <c r="X101" s="33"/>
      <c r="Y101" s="33"/>
      <c r="Z101" s="33"/>
      <c r="AA101" s="33"/>
      <c r="AB101" s="33"/>
      <c r="AC101" s="33"/>
      <c r="AD101" s="33"/>
      <c r="AE101" s="33"/>
      <c r="AF101" s="33"/>
      <c r="AG101" s="33"/>
      <c r="AH101" s="33"/>
      <c r="AI101" s="33"/>
      <c r="AJ101" s="33"/>
      <c r="AK101" s="33"/>
      <c r="AL101" s="33"/>
    </row>
    <row r="102" spans="9:49">
      <c r="I102" s="33"/>
      <c r="J102" s="33"/>
      <c r="K102" s="33"/>
      <c r="L102" s="33"/>
      <c r="M102" s="33"/>
      <c r="N102" s="33"/>
      <c r="O102" s="33"/>
      <c r="P102" s="33"/>
      <c r="Q102" s="33"/>
      <c r="R102" s="33"/>
      <c r="S102" s="33"/>
      <c r="T102" s="33"/>
      <c r="U102" s="33"/>
      <c r="V102" s="33"/>
      <c r="W102" s="5"/>
      <c r="X102" s="33"/>
      <c r="Y102" s="33"/>
      <c r="Z102" s="33"/>
      <c r="AA102" s="33"/>
      <c r="AB102" s="33"/>
      <c r="AC102" s="33"/>
      <c r="AD102" s="33"/>
      <c r="AE102" s="33"/>
      <c r="AF102" s="33"/>
      <c r="AG102" s="33"/>
      <c r="AH102" s="33"/>
      <c r="AI102" s="33"/>
      <c r="AJ102" s="33"/>
      <c r="AK102" s="33"/>
      <c r="AL102" s="33"/>
    </row>
    <row r="103" spans="9:49">
      <c r="I103" s="33"/>
      <c r="J103" s="33"/>
      <c r="K103" s="33"/>
      <c r="L103" s="33"/>
      <c r="M103" s="33"/>
      <c r="N103" s="33"/>
      <c r="O103" s="33"/>
      <c r="P103" s="33"/>
      <c r="Q103" s="33"/>
      <c r="R103" s="33"/>
      <c r="S103" s="33"/>
      <c r="T103" s="33"/>
      <c r="U103" s="33"/>
      <c r="V103" s="33"/>
      <c r="W103" s="5"/>
      <c r="X103" s="33"/>
      <c r="Y103" s="33"/>
      <c r="Z103" s="33"/>
      <c r="AA103" s="33"/>
      <c r="AB103" s="33"/>
      <c r="AC103" s="33"/>
      <c r="AD103" s="33"/>
      <c r="AE103" s="33"/>
      <c r="AF103" s="33"/>
      <c r="AG103" s="33"/>
      <c r="AH103" s="33"/>
      <c r="AI103" s="33"/>
      <c r="AJ103" s="33"/>
      <c r="AK103" s="33"/>
      <c r="AL103" s="33"/>
    </row>
    <row r="106" spans="9:49">
      <c r="S106" s="20" t="str">
        <f ca="1">CONCATENATE(LEFT($S$32, LEN($S$32)-4), " Step#", OFFSET($J$35, S33, 0))</f>
        <v>Stg.3 Nozzle Step#1</v>
      </c>
      <c r="T106" s="20" t="str">
        <f t="shared" ref="T106:AO106" ca="1" si="14">CONCATENATE(LEFT($S$32, LEN($S$32)-4), " Step#", OFFSET($J$35, T33, 0))</f>
        <v>Stg.3 Nozzle Step#23</v>
      </c>
      <c r="U106" s="20" t="str">
        <f t="shared" ca="1" si="14"/>
        <v>Stg.3 Nozzle Step#22</v>
      </c>
      <c r="V106" s="20" t="str">
        <f t="shared" ca="1" si="14"/>
        <v>Stg.3 Nozzle Step#21</v>
      </c>
      <c r="W106" s="20" t="str">
        <f t="shared" ca="1" si="14"/>
        <v>Stg.3 Nozzle Step#20</v>
      </c>
      <c r="X106" s="20" t="str">
        <f t="shared" ca="1" si="14"/>
        <v>Stg.3 Nozzle Step#19</v>
      </c>
      <c r="Y106" s="20" t="str">
        <f t="shared" ca="1" si="14"/>
        <v>Stg.3 Nozzle Step#18</v>
      </c>
      <c r="Z106" s="20" t="str">
        <f t="shared" ca="1" si="14"/>
        <v>Stg.3 Nozzle Step#17</v>
      </c>
      <c r="AA106" s="20" t="str">
        <f t="shared" ca="1" si="14"/>
        <v>Stg.3 Nozzle Step#16</v>
      </c>
      <c r="AB106" s="20" t="str">
        <f t="shared" ca="1" si="14"/>
        <v>Stg.3 Nozzle Step#15</v>
      </c>
      <c r="AC106" s="20" t="str">
        <f t="shared" ca="1" si="14"/>
        <v>Stg.3 Nozzle Step#14</v>
      </c>
      <c r="AD106" s="20" t="str">
        <f t="shared" ca="1" si="14"/>
        <v>Stg.3 Nozzle Step#13</v>
      </c>
      <c r="AE106" s="20" t="str">
        <f t="shared" ca="1" si="14"/>
        <v>Stg.3 Nozzle Step#12</v>
      </c>
      <c r="AF106" s="20" t="str">
        <f t="shared" ca="1" si="14"/>
        <v>Stg.3 Nozzle Step#11</v>
      </c>
      <c r="AG106" s="20" t="str">
        <f t="shared" ca="1" si="14"/>
        <v>Stg.3 Nozzle Step#10</v>
      </c>
      <c r="AH106" s="20" t="str">
        <f t="shared" ca="1" si="14"/>
        <v>Stg.3 Nozzle Step#9</v>
      </c>
      <c r="AI106" s="20" t="str">
        <f t="shared" ca="1" si="14"/>
        <v>Stg.3 Nozzle Step#8</v>
      </c>
      <c r="AJ106" s="20" t="str">
        <f t="shared" ca="1" si="14"/>
        <v>Stg.3 Nozzle Step#7</v>
      </c>
      <c r="AK106" s="20" t="str">
        <f t="shared" ca="1" si="14"/>
        <v>Stg.3 Nozzle Step#6</v>
      </c>
      <c r="AL106" s="20" t="str">
        <f t="shared" ca="1" si="14"/>
        <v>Stg.3 Nozzle Step#5</v>
      </c>
      <c r="AM106" s="20" t="str">
        <f t="shared" ca="1" si="14"/>
        <v>Stg.3 Nozzle Step#4</v>
      </c>
      <c r="AN106" s="20" t="str">
        <f t="shared" ca="1" si="14"/>
        <v>Stg.3 Nozzle Step#3</v>
      </c>
      <c r="AO106" s="20" t="str">
        <f t="shared" ca="1" si="14"/>
        <v>Stg.3 Nozzle Step#2</v>
      </c>
      <c r="AP106" s="20" t="s">
        <v>55</v>
      </c>
      <c r="AQ106" s="20" t="s">
        <v>57</v>
      </c>
    </row>
    <row r="107" spans="9:49">
      <c r="S107" s="15"/>
      <c r="T107" s="15"/>
      <c r="U107" s="15"/>
      <c r="V107" s="15"/>
      <c r="W107" s="15"/>
      <c r="X107" s="15"/>
      <c r="Y107" s="15"/>
      <c r="Z107" s="15"/>
      <c r="AA107" s="15"/>
      <c r="AB107" s="15"/>
      <c r="AC107" s="15"/>
      <c r="AD107" s="15"/>
      <c r="AE107" s="15"/>
      <c r="AF107" s="15"/>
      <c r="AG107" s="15"/>
      <c r="AH107" s="15"/>
      <c r="AI107" s="15"/>
      <c r="AJ107" s="48"/>
      <c r="AK107" s="15"/>
      <c r="AL107" s="15"/>
      <c r="AM107" s="15"/>
      <c r="AN107" s="15"/>
      <c r="AO107" s="15"/>
      <c r="AP107" s="22" t="s">
        <v>13</v>
      </c>
      <c r="AQ107" s="22" t="s">
        <v>13</v>
      </c>
    </row>
    <row r="108" spans="9:49">
      <c r="S108" s="30">
        <f>S36-'241'!S36-$AP$135</f>
        <v>-5.4689701337906627E-3</v>
      </c>
      <c r="T108" s="30"/>
      <c r="U108" s="30"/>
      <c r="V108" s="30"/>
      <c r="W108" s="30"/>
      <c r="X108" s="30"/>
      <c r="Y108" s="30"/>
      <c r="Z108" s="30"/>
      <c r="AA108" s="30"/>
      <c r="AB108" s="30"/>
      <c r="AC108" s="30"/>
      <c r="AD108" s="30"/>
      <c r="AE108" s="30"/>
      <c r="AF108" s="30"/>
      <c r="AG108" s="30"/>
      <c r="AH108" s="30"/>
      <c r="AI108" s="30"/>
      <c r="AJ108" s="30"/>
      <c r="AK108" s="30"/>
      <c r="AL108" s="30"/>
      <c r="AM108" s="30"/>
      <c r="AN108" s="30"/>
      <c r="AO108" s="30">
        <f>AO36-'241'!AO36-$AP$135</f>
        <v>-7.5152147836092809E-3</v>
      </c>
      <c r="AP108" s="29">
        <f>AP36-'241'!AQ36-$AP$135</f>
        <v>-6.399999999996453E-2</v>
      </c>
      <c r="AQ108" s="29">
        <f>AQ36-'241'!AP36-$AP$135</f>
        <v>6.399999999996453E-2</v>
      </c>
      <c r="AR108" s="13" t="s">
        <v>60</v>
      </c>
      <c r="AS108" s="36">
        <f>MAX(S108:AO130)</f>
        <v>4.427364636967468E-3</v>
      </c>
      <c r="AT108" s="13" t="str">
        <f>IF(AS108&gt;AQ108, CONCATENATE("O/Max ", TEXT(AS108-AQ108,"0.000")), "-")</f>
        <v>-</v>
      </c>
      <c r="AU108" s="36">
        <f>$Q36-'241'!$Q36-$AP$135</f>
        <v>-5.4689701337906627E-3</v>
      </c>
      <c r="AV108" s="13">
        <f>INDEX($J36:$J58,MATCH(AS108,AU108:AU130,0))</f>
        <v>21</v>
      </c>
      <c r="AW108">
        <f>MATCH(AS108,AU108:AU130,0)</f>
        <v>4</v>
      </c>
    </row>
    <row r="109" spans="9:49">
      <c r="S109" s="30">
        <f>S37-'241'!S37-$AP$135</f>
        <v>-5.4689701337906627E-3</v>
      </c>
      <c r="T109" s="30">
        <f>T37-'241'!T37-$AP$135</f>
        <v>-1.8547196649478792E-3</v>
      </c>
      <c r="U109" s="30"/>
      <c r="V109" s="30"/>
      <c r="W109" s="30"/>
      <c r="X109" s="30"/>
      <c r="Y109" s="30"/>
      <c r="Z109" s="30"/>
      <c r="AA109" s="30"/>
      <c r="AB109" s="30"/>
      <c r="AC109" s="30"/>
      <c r="AD109" s="30"/>
      <c r="AE109" s="30"/>
      <c r="AF109" s="30"/>
      <c r="AG109" s="30"/>
      <c r="AH109" s="30"/>
      <c r="AI109" s="30"/>
      <c r="AJ109" s="30"/>
      <c r="AK109" s="30"/>
      <c r="AL109" s="30"/>
      <c r="AM109" s="30"/>
      <c r="AN109" s="30"/>
      <c r="AO109" s="30"/>
      <c r="AP109" s="21">
        <f>AP108</f>
        <v>-6.399999999996453E-2</v>
      </c>
      <c r="AQ109" s="21">
        <f>AQ108</f>
        <v>6.399999999996453E-2</v>
      </c>
      <c r="AR109" s="13" t="s">
        <v>62</v>
      </c>
      <c r="AS109" s="36">
        <f>MIN(S108:AO130)</f>
        <v>-1.024004295584291E-2</v>
      </c>
      <c r="AT109" s="13" t="str">
        <f>IF(AS109&lt;AP108, CONCATENATE("U/Min ", TEXT(AP108-AS109,"0.000")), "-")</f>
        <v>-</v>
      </c>
      <c r="AU109" s="36">
        <f>$Q37-'241'!$Q37-$AP$135</f>
        <v>-1.8547196649478792E-3</v>
      </c>
      <c r="AV109" s="13">
        <f>INDEX($J36:$J58,MATCH(AS109,AU108:AU130,0))</f>
        <v>3</v>
      </c>
      <c r="AW109">
        <f>MATCH(AS109,AU108:AU130,0)</f>
        <v>22</v>
      </c>
    </row>
    <row r="110" spans="9:49">
      <c r="S110" s="30"/>
      <c r="T110" s="30">
        <f>T38-'241'!T38-$AP$135</f>
        <v>-1.8547196649478792E-3</v>
      </c>
      <c r="U110" s="30">
        <f>U38-'241'!U38-$AP$135</f>
        <v>2.618907629369005E-3</v>
      </c>
      <c r="V110" s="30"/>
      <c r="W110" s="30"/>
      <c r="X110" s="30"/>
      <c r="Y110" s="30"/>
      <c r="Z110" s="30"/>
      <c r="AA110" s="30"/>
      <c r="AB110" s="30"/>
      <c r="AC110" s="30"/>
      <c r="AD110" s="30"/>
      <c r="AE110" s="30"/>
      <c r="AF110" s="30"/>
      <c r="AG110" s="30"/>
      <c r="AH110" s="30"/>
      <c r="AI110" s="30"/>
      <c r="AJ110" s="30"/>
      <c r="AK110" s="30"/>
      <c r="AL110" s="30"/>
      <c r="AM110" s="30"/>
      <c r="AN110" s="30"/>
      <c r="AO110" s="30"/>
      <c r="AP110" s="21">
        <f t="shared" ref="AP110:AP130" si="15">AP109</f>
        <v>-6.399999999996453E-2</v>
      </c>
      <c r="AQ110" s="21">
        <f t="shared" ref="AQ110:AQ130" si="16">AQ109</f>
        <v>6.399999999996453E-2</v>
      </c>
      <c r="AU110" s="36">
        <f>$Q38-'241'!$Q38-$AP$135</f>
        <v>2.618907629369005E-3</v>
      </c>
    </row>
    <row r="111" spans="9:49">
      <c r="S111" s="30"/>
      <c r="T111" s="30"/>
      <c r="U111" s="30">
        <f>U39-'241'!U39-$AP$135</f>
        <v>2.618907629369005E-3</v>
      </c>
      <c r="V111" s="30">
        <f>V39-'241'!V39-$AP$135</f>
        <v>4.427364636967468E-3</v>
      </c>
      <c r="W111" s="30"/>
      <c r="X111" s="30"/>
      <c r="Y111" s="30"/>
      <c r="Z111" s="30"/>
      <c r="AA111" s="30"/>
      <c r="AB111" s="30"/>
      <c r="AC111" s="30"/>
      <c r="AD111" s="30"/>
      <c r="AE111" s="30"/>
      <c r="AF111" s="30"/>
      <c r="AG111" s="30"/>
      <c r="AH111" s="30"/>
      <c r="AI111" s="30"/>
      <c r="AJ111" s="30"/>
      <c r="AK111" s="30"/>
      <c r="AL111" s="30"/>
      <c r="AM111" s="30"/>
      <c r="AN111" s="30"/>
      <c r="AO111" s="30"/>
      <c r="AP111" s="21">
        <f t="shared" si="15"/>
        <v>-6.399999999996453E-2</v>
      </c>
      <c r="AQ111" s="21">
        <f t="shared" si="16"/>
        <v>6.399999999996453E-2</v>
      </c>
      <c r="AU111" s="36">
        <f>$Q39-'241'!$Q39-$AP$135</f>
        <v>4.427364636967468E-3</v>
      </c>
    </row>
    <row r="112" spans="9:49">
      <c r="S112" s="30"/>
      <c r="T112" s="30"/>
      <c r="U112" s="30"/>
      <c r="V112" s="30">
        <f>V40-'241'!V40-$AP$135</f>
        <v>4.427364636967468E-3</v>
      </c>
      <c r="W112" s="30">
        <f>W40-'241'!W40-$AP$135</f>
        <v>7.1871693688763116E-4</v>
      </c>
      <c r="X112" s="30"/>
      <c r="Y112" s="30"/>
      <c r="Z112" s="30"/>
      <c r="AA112" s="30"/>
      <c r="AB112" s="30"/>
      <c r="AC112" s="30"/>
      <c r="AD112" s="30"/>
      <c r="AE112" s="30"/>
      <c r="AF112" s="30"/>
      <c r="AG112" s="30"/>
      <c r="AH112" s="30"/>
      <c r="AI112" s="30"/>
      <c r="AJ112" s="30"/>
      <c r="AK112" s="30"/>
      <c r="AL112" s="30"/>
      <c r="AM112" s="30"/>
      <c r="AN112" s="30"/>
      <c r="AO112" s="30"/>
      <c r="AP112" s="21">
        <f t="shared" si="15"/>
        <v>-6.399999999996453E-2</v>
      </c>
      <c r="AQ112" s="21">
        <f t="shared" si="16"/>
        <v>6.399999999996453E-2</v>
      </c>
      <c r="AU112" s="36">
        <f>$Q40-'241'!$Q40-$AP$135</f>
        <v>7.1871693688763116E-4</v>
      </c>
    </row>
    <row r="113" spans="19:47">
      <c r="S113" s="30"/>
      <c r="T113" s="30"/>
      <c r="U113" s="30"/>
      <c r="V113" s="30"/>
      <c r="W113" s="30">
        <f>W41-'241'!W41-$AP$135</f>
        <v>7.1871693688763116E-4</v>
      </c>
      <c r="X113" s="30">
        <f>X41-'241'!X41-$AP$135</f>
        <v>-2.2211111285059815E-3</v>
      </c>
      <c r="Y113" s="30"/>
      <c r="Z113" s="30"/>
      <c r="AA113" s="30"/>
      <c r="AB113" s="30"/>
      <c r="AC113" s="30"/>
      <c r="AD113" s="30"/>
      <c r="AE113" s="30"/>
      <c r="AF113" s="30"/>
      <c r="AG113" s="30"/>
      <c r="AH113" s="30"/>
      <c r="AI113" s="30"/>
      <c r="AJ113" s="30"/>
      <c r="AK113" s="30"/>
      <c r="AL113" s="30"/>
      <c r="AM113" s="30"/>
      <c r="AN113" s="30"/>
      <c r="AO113" s="30"/>
      <c r="AP113" s="21">
        <f t="shared" si="15"/>
        <v>-6.399999999996453E-2</v>
      </c>
      <c r="AQ113" s="21">
        <f t="shared" si="16"/>
        <v>6.399999999996453E-2</v>
      </c>
      <c r="AU113" s="36">
        <f>$Q41-'241'!$Q41-$AP$135</f>
        <v>-2.2211111285059815E-3</v>
      </c>
    </row>
    <row r="114" spans="19:47">
      <c r="S114" s="30"/>
      <c r="T114" s="30"/>
      <c r="U114" s="30"/>
      <c r="V114" s="30"/>
      <c r="W114" s="30"/>
      <c r="X114" s="30">
        <f>X42-'241'!X42-$AP$135</f>
        <v>-2.2211111285059815E-3</v>
      </c>
      <c r="Y114" s="30">
        <f>Y42-'241'!Y42-$AP$135</f>
        <v>-5.4441040111896655E-4</v>
      </c>
      <c r="Z114" s="30"/>
      <c r="AA114" s="30"/>
      <c r="AB114" s="30"/>
      <c r="AC114" s="30"/>
      <c r="AD114" s="30"/>
      <c r="AE114" s="30"/>
      <c r="AF114" s="30"/>
      <c r="AG114" s="30"/>
      <c r="AH114" s="30"/>
      <c r="AI114" s="30"/>
      <c r="AJ114" s="30"/>
      <c r="AK114" s="30"/>
      <c r="AL114" s="30"/>
      <c r="AM114" s="30"/>
      <c r="AN114" s="30"/>
      <c r="AO114" s="30"/>
      <c r="AP114" s="21">
        <f t="shared" si="15"/>
        <v>-6.399999999996453E-2</v>
      </c>
      <c r="AQ114" s="21">
        <f t="shared" si="16"/>
        <v>6.399999999996453E-2</v>
      </c>
      <c r="AU114" s="36">
        <f>$Q42-'241'!$Q42-$AP$135</f>
        <v>-5.4441040111896655E-4</v>
      </c>
    </row>
    <row r="115" spans="19:47">
      <c r="S115" s="30"/>
      <c r="T115" s="30"/>
      <c r="U115" s="30"/>
      <c r="V115" s="30"/>
      <c r="W115" s="30"/>
      <c r="X115" s="30"/>
      <c r="Y115" s="30">
        <f>Y43-'241'!Y43-$AP$135</f>
        <v>-5.4441040111896655E-4</v>
      </c>
      <c r="Z115" s="30">
        <f>Z43-'241'!Z43-$AP$135</f>
        <v>-2.5365854433516688E-3</v>
      </c>
      <c r="AA115" s="30"/>
      <c r="AB115" s="30"/>
      <c r="AC115" s="30"/>
      <c r="AD115" s="30"/>
      <c r="AE115" s="30"/>
      <c r="AF115" s="30"/>
      <c r="AG115" s="30"/>
      <c r="AH115" s="30"/>
      <c r="AI115" s="30"/>
      <c r="AJ115" s="30"/>
      <c r="AK115" s="30"/>
      <c r="AL115" s="30"/>
      <c r="AM115" s="30"/>
      <c r="AN115" s="30"/>
      <c r="AO115" s="30"/>
      <c r="AP115" s="21">
        <f t="shared" si="15"/>
        <v>-6.399999999996453E-2</v>
      </c>
      <c r="AQ115" s="21">
        <f t="shared" si="16"/>
        <v>6.399999999996453E-2</v>
      </c>
      <c r="AU115" s="36">
        <f>$Q43-'241'!$Q43-$AP$135</f>
        <v>-2.5365854433516688E-3</v>
      </c>
    </row>
    <row r="116" spans="19:47">
      <c r="S116" s="30"/>
      <c r="T116" s="30"/>
      <c r="U116" s="30"/>
      <c r="V116" s="30"/>
      <c r="W116" s="30"/>
      <c r="X116" s="30"/>
      <c r="Y116" s="30"/>
      <c r="Z116" s="30">
        <f>Z44-'241'!Z44-$AP$135</f>
        <v>-2.5365854433516688E-3</v>
      </c>
      <c r="AA116" s="30">
        <f>AA44-'241'!AA44-$AP$135</f>
        <v>-1.9962949504019889E-3</v>
      </c>
      <c r="AB116" s="30"/>
      <c r="AC116" s="30"/>
      <c r="AD116" s="30"/>
      <c r="AE116" s="30"/>
      <c r="AF116" s="30"/>
      <c r="AG116" s="30"/>
      <c r="AH116" s="30"/>
      <c r="AI116" s="30"/>
      <c r="AJ116" s="30"/>
      <c r="AK116" s="30"/>
      <c r="AL116" s="30"/>
      <c r="AM116" s="30"/>
      <c r="AN116" s="30"/>
      <c r="AO116" s="30"/>
      <c r="AP116" s="21">
        <f t="shared" si="15"/>
        <v>-6.399999999996453E-2</v>
      </c>
      <c r="AQ116" s="21">
        <f t="shared" si="16"/>
        <v>6.399999999996453E-2</v>
      </c>
      <c r="AU116" s="36">
        <f>$Q44-'241'!$Q44-$AP$135</f>
        <v>-1.9962949504019889E-3</v>
      </c>
    </row>
    <row r="117" spans="19:47">
      <c r="S117" s="30"/>
      <c r="T117" s="30"/>
      <c r="U117" s="30"/>
      <c r="V117" s="30"/>
      <c r="W117" s="30"/>
      <c r="X117" s="30"/>
      <c r="Y117" s="30"/>
      <c r="Z117" s="30"/>
      <c r="AA117" s="30">
        <f>AA45-'241'!AA45-$AP$135</f>
        <v>-1.9962949504019889E-3</v>
      </c>
      <c r="AB117" s="30">
        <f>AB45-'241'!AB45-$AP$135</f>
        <v>2.4385372565802754E-3</v>
      </c>
      <c r="AC117" s="30"/>
      <c r="AD117" s="30"/>
      <c r="AE117" s="30"/>
      <c r="AF117" s="30"/>
      <c r="AG117" s="30"/>
      <c r="AH117" s="30"/>
      <c r="AI117" s="30"/>
      <c r="AJ117" s="30"/>
      <c r="AK117" s="30"/>
      <c r="AL117" s="30"/>
      <c r="AM117" s="30"/>
      <c r="AN117" s="30"/>
      <c r="AO117" s="30"/>
      <c r="AP117" s="21">
        <f t="shared" si="15"/>
        <v>-6.399999999996453E-2</v>
      </c>
      <c r="AQ117" s="21">
        <f t="shared" si="16"/>
        <v>6.399999999996453E-2</v>
      </c>
      <c r="AU117" s="36">
        <f>$Q45-'241'!$Q45-$AP$135</f>
        <v>2.4385372565802754E-3</v>
      </c>
    </row>
    <row r="118" spans="19:47">
      <c r="S118" s="30"/>
      <c r="T118" s="30"/>
      <c r="U118" s="30"/>
      <c r="V118" s="30"/>
      <c r="W118" s="30"/>
      <c r="X118" s="30"/>
      <c r="Y118" s="30"/>
      <c r="Z118" s="30"/>
      <c r="AA118" s="30"/>
      <c r="AB118" s="30">
        <f>AB46-'241'!AB46-$AP$135</f>
        <v>2.4385372565802754E-3</v>
      </c>
      <c r="AC118" s="30">
        <f>AC46-'241'!AC46-$AP$135</f>
        <v>7.7537442996344907E-4</v>
      </c>
      <c r="AD118" s="30"/>
      <c r="AE118" s="30"/>
      <c r="AF118" s="30"/>
      <c r="AG118" s="30"/>
      <c r="AH118" s="30"/>
      <c r="AI118" s="30"/>
      <c r="AJ118" s="30"/>
      <c r="AK118" s="30"/>
      <c r="AL118" s="30"/>
      <c r="AM118" s="30"/>
      <c r="AN118" s="30"/>
      <c r="AO118" s="30"/>
      <c r="AP118" s="21">
        <f t="shared" si="15"/>
        <v>-6.399999999996453E-2</v>
      </c>
      <c r="AQ118" s="21">
        <f t="shared" si="16"/>
        <v>6.399999999996453E-2</v>
      </c>
      <c r="AU118" s="36">
        <f>$Q46-'241'!$Q46-$AP$135</f>
        <v>7.7537442996344907E-4</v>
      </c>
    </row>
    <row r="119" spans="19:47">
      <c r="S119" s="30"/>
      <c r="T119" s="30"/>
      <c r="U119" s="30"/>
      <c r="V119" s="30"/>
      <c r="W119" s="30"/>
      <c r="X119" s="30"/>
      <c r="Y119" s="30"/>
      <c r="Z119" s="30"/>
      <c r="AA119" s="30"/>
      <c r="AB119" s="30"/>
      <c r="AC119" s="30">
        <f>AC47-'241'!AC47-$AP$135</f>
        <v>7.7537442996344907E-4</v>
      </c>
      <c r="AD119" s="30">
        <f>AD47-'241'!AD47-$AP$135</f>
        <v>-1.9998166420691632E-3</v>
      </c>
      <c r="AE119" s="30"/>
      <c r="AF119" s="30"/>
      <c r="AG119" s="30"/>
      <c r="AH119" s="30"/>
      <c r="AI119" s="30"/>
      <c r="AJ119" s="30"/>
      <c r="AK119" s="30"/>
      <c r="AL119" s="30"/>
      <c r="AM119" s="30"/>
      <c r="AN119" s="30"/>
      <c r="AO119" s="30"/>
      <c r="AP119" s="21">
        <f t="shared" si="15"/>
        <v>-6.399999999996453E-2</v>
      </c>
      <c r="AQ119" s="21">
        <f t="shared" si="16"/>
        <v>6.399999999996453E-2</v>
      </c>
      <c r="AU119" s="36">
        <f>$Q47-'241'!$Q47-$AP$135</f>
        <v>-1.9998166420691632E-3</v>
      </c>
    </row>
    <row r="120" spans="19:47">
      <c r="S120" s="30"/>
      <c r="T120" s="30"/>
      <c r="U120" s="30"/>
      <c r="V120" s="30"/>
      <c r="W120" s="30"/>
      <c r="X120" s="30"/>
      <c r="Y120" s="30"/>
      <c r="Z120" s="30"/>
      <c r="AA120" s="30"/>
      <c r="AB120" s="30"/>
      <c r="AC120" s="30"/>
      <c r="AD120" s="30">
        <f>AD48-'241'!AD48-$AP$135</f>
        <v>-1.9998166420691632E-3</v>
      </c>
      <c r="AE120" s="30">
        <f>AE48-'241'!AE48-$AP$135</f>
        <v>-3.1794363940207404E-3</v>
      </c>
      <c r="AF120" s="30"/>
      <c r="AG120" s="30"/>
      <c r="AH120" s="30"/>
      <c r="AI120" s="30"/>
      <c r="AJ120" s="30"/>
      <c r="AK120" s="30"/>
      <c r="AL120" s="30"/>
      <c r="AM120" s="30"/>
      <c r="AN120" s="30"/>
      <c r="AO120" s="30"/>
      <c r="AP120" s="21">
        <f t="shared" si="15"/>
        <v>-6.399999999996453E-2</v>
      </c>
      <c r="AQ120" s="21">
        <f t="shared" si="16"/>
        <v>6.399999999996453E-2</v>
      </c>
      <c r="AU120" s="36">
        <f>$Q48-'241'!$Q48-$AP$135</f>
        <v>-3.1794363940207404E-3</v>
      </c>
    </row>
    <row r="121" spans="19:47">
      <c r="S121" s="30"/>
      <c r="T121" s="30"/>
      <c r="U121" s="30"/>
      <c r="V121" s="30"/>
      <c r="W121" s="30"/>
      <c r="X121" s="30"/>
      <c r="Y121" s="30"/>
      <c r="Z121" s="30"/>
      <c r="AA121" s="30"/>
      <c r="AB121" s="30"/>
      <c r="AC121" s="30"/>
      <c r="AD121" s="30"/>
      <c r="AE121" s="30">
        <f>AE49-'241'!AE49-$AP$135</f>
        <v>-3.1794363940207404E-3</v>
      </c>
      <c r="AF121" s="30">
        <f>AF49-'241'!AF49-$AP$135</f>
        <v>-5.7354208658466632E-3</v>
      </c>
      <c r="AG121" s="30"/>
      <c r="AH121" s="30"/>
      <c r="AI121" s="30"/>
      <c r="AJ121" s="30"/>
      <c r="AK121" s="30"/>
      <c r="AL121" s="30"/>
      <c r="AM121" s="30"/>
      <c r="AN121" s="30"/>
      <c r="AO121" s="30"/>
      <c r="AP121" s="21">
        <f t="shared" si="15"/>
        <v>-6.399999999996453E-2</v>
      </c>
      <c r="AQ121" s="21">
        <f t="shared" si="16"/>
        <v>6.399999999996453E-2</v>
      </c>
      <c r="AU121" s="36">
        <f>$Q49-'241'!$Q49-$AP$135</f>
        <v>-5.7354208658466632E-3</v>
      </c>
    </row>
    <row r="122" spans="19:47">
      <c r="S122" s="30"/>
      <c r="T122" s="30"/>
      <c r="U122" s="30"/>
      <c r="V122" s="30"/>
      <c r="W122" s="30"/>
      <c r="X122" s="30"/>
      <c r="Y122" s="30"/>
      <c r="Z122" s="30"/>
      <c r="AA122" s="30"/>
      <c r="AB122" s="30"/>
      <c r="AC122" s="30"/>
      <c r="AD122" s="30"/>
      <c r="AE122" s="30"/>
      <c r="AF122" s="30">
        <f>AF50-'241'!AF50-$AP$135</f>
        <v>-5.7354208658466632E-3</v>
      </c>
      <c r="AG122" s="30">
        <f>AG50-'241'!AG50-$AP$135</f>
        <v>-3.6336233687848107E-3</v>
      </c>
      <c r="AH122" s="30"/>
      <c r="AI122" s="30"/>
      <c r="AJ122" s="30"/>
      <c r="AK122" s="30"/>
      <c r="AL122" s="30"/>
      <c r="AM122" s="30"/>
      <c r="AN122" s="30"/>
      <c r="AO122" s="30"/>
      <c r="AP122" s="21">
        <f t="shared" si="15"/>
        <v>-6.399999999996453E-2</v>
      </c>
      <c r="AQ122" s="21">
        <f t="shared" si="16"/>
        <v>6.399999999996453E-2</v>
      </c>
      <c r="AU122" s="36">
        <f>$Q50-'241'!$Q50-$AP$135</f>
        <v>-3.6336233687848107E-3</v>
      </c>
    </row>
    <row r="123" spans="19:47">
      <c r="S123" s="30"/>
      <c r="T123" s="30"/>
      <c r="U123" s="30"/>
      <c r="V123" s="30"/>
      <c r="W123" s="30"/>
      <c r="X123" s="30"/>
      <c r="Y123" s="30"/>
      <c r="Z123" s="30"/>
      <c r="AA123" s="30"/>
      <c r="AB123" s="30"/>
      <c r="AC123" s="30"/>
      <c r="AD123" s="30"/>
      <c r="AE123" s="30"/>
      <c r="AF123" s="30"/>
      <c r="AG123" s="30">
        <f>AG51-'241'!AG51-$AP$135</f>
        <v>-3.6336233687848107E-3</v>
      </c>
      <c r="AH123" s="30">
        <f>AH51-'241'!AH51-$AP$135</f>
        <v>-3.7942321228001674E-5</v>
      </c>
      <c r="AI123" s="30"/>
      <c r="AJ123" s="30"/>
      <c r="AK123" s="30"/>
      <c r="AL123" s="30"/>
      <c r="AM123" s="30"/>
      <c r="AN123" s="30"/>
      <c r="AO123" s="30"/>
      <c r="AP123" s="21">
        <f t="shared" si="15"/>
        <v>-6.399999999996453E-2</v>
      </c>
      <c r="AQ123" s="21">
        <f t="shared" si="16"/>
        <v>6.399999999996453E-2</v>
      </c>
      <c r="AU123" s="36">
        <f>$Q51-'241'!$Q51-$AP$135</f>
        <v>-3.7942321228001674E-5</v>
      </c>
    </row>
    <row r="124" spans="19:47">
      <c r="S124" s="30"/>
      <c r="T124" s="30"/>
      <c r="U124" s="30"/>
      <c r="V124" s="30"/>
      <c r="W124" s="30"/>
      <c r="X124" s="30"/>
      <c r="Y124" s="30"/>
      <c r="Z124" s="30"/>
      <c r="AA124" s="30"/>
      <c r="AB124" s="30"/>
      <c r="AC124" s="30"/>
      <c r="AD124" s="30"/>
      <c r="AE124" s="30"/>
      <c r="AF124" s="30"/>
      <c r="AG124" s="30"/>
      <c r="AH124" s="30">
        <f>AH52-'241'!AH52-$AP$135</f>
        <v>-3.7942321228001674E-5</v>
      </c>
      <c r="AI124" s="30">
        <f>AI52-'241'!AI52-$AP$135</f>
        <v>-3.4512299293965043E-4</v>
      </c>
      <c r="AJ124" s="30"/>
      <c r="AK124" s="30"/>
      <c r="AL124" s="30"/>
      <c r="AM124" s="30"/>
      <c r="AN124" s="30"/>
      <c r="AO124" s="30"/>
      <c r="AP124" s="21">
        <f t="shared" si="15"/>
        <v>-6.399999999996453E-2</v>
      </c>
      <c r="AQ124" s="21">
        <f t="shared" si="16"/>
        <v>6.399999999996453E-2</v>
      </c>
      <c r="AU124" s="36">
        <f>$Q52-'241'!$Q52-$AP$135</f>
        <v>-3.4512299293965043E-4</v>
      </c>
    </row>
    <row r="125" spans="19:47">
      <c r="S125" s="30"/>
      <c r="T125" s="30"/>
      <c r="U125" s="30"/>
      <c r="V125" s="30"/>
      <c r="W125" s="30"/>
      <c r="X125" s="30"/>
      <c r="Y125" s="30"/>
      <c r="Z125" s="30"/>
      <c r="AA125" s="30"/>
      <c r="AB125" s="30"/>
      <c r="AC125" s="30"/>
      <c r="AD125" s="30"/>
      <c r="AE125" s="30"/>
      <c r="AF125" s="30"/>
      <c r="AG125" s="30"/>
      <c r="AH125" s="30"/>
      <c r="AI125" s="30">
        <f>AI53-'241'!AI53-$AP$135</f>
        <v>-3.4512299293965043E-4</v>
      </c>
      <c r="AJ125" s="30">
        <f>AJ53-'241'!AJ53-$AP$135</f>
        <v>1.6651007632049186E-3</v>
      </c>
      <c r="AK125" s="30"/>
      <c r="AL125" s="30"/>
      <c r="AM125" s="30"/>
      <c r="AN125" s="30"/>
      <c r="AO125" s="30"/>
      <c r="AP125" s="21">
        <f t="shared" si="15"/>
        <v>-6.399999999996453E-2</v>
      </c>
      <c r="AQ125" s="21">
        <f t="shared" si="16"/>
        <v>6.399999999996453E-2</v>
      </c>
      <c r="AU125" s="36">
        <f>$Q53-'241'!$Q53-$AP$135</f>
        <v>1.6651007632049186E-3</v>
      </c>
    </row>
    <row r="126" spans="19:47">
      <c r="S126" s="30"/>
      <c r="T126" s="30"/>
      <c r="U126" s="30"/>
      <c r="V126" s="30"/>
      <c r="W126" s="30"/>
      <c r="X126" s="30"/>
      <c r="Y126" s="30"/>
      <c r="Z126" s="30"/>
      <c r="AA126" s="30"/>
      <c r="AB126" s="30"/>
      <c r="AC126" s="30"/>
      <c r="AD126" s="30"/>
      <c r="AE126" s="30"/>
      <c r="AF126" s="30"/>
      <c r="AG126" s="30"/>
      <c r="AH126" s="30"/>
      <c r="AI126" s="30"/>
      <c r="AJ126" s="30">
        <f>AJ54-'241'!AJ54-$AP$135</f>
        <v>1.6651007632049186E-3</v>
      </c>
      <c r="AK126" s="30">
        <f>AK54-'241'!AK54-$AP$135</f>
        <v>1.4310513055306728E-3</v>
      </c>
      <c r="AL126" s="30"/>
      <c r="AM126" s="30"/>
      <c r="AN126" s="30"/>
      <c r="AO126" s="30"/>
      <c r="AP126" s="21">
        <f t="shared" si="15"/>
        <v>-6.399999999996453E-2</v>
      </c>
      <c r="AQ126" s="21">
        <f t="shared" si="16"/>
        <v>6.399999999996453E-2</v>
      </c>
      <c r="AU126" s="36">
        <f>$Q54-'241'!$Q54-$AP$135</f>
        <v>1.4310513055306728E-3</v>
      </c>
    </row>
    <row r="127" spans="19:47">
      <c r="S127" s="30"/>
      <c r="T127" s="30"/>
      <c r="U127" s="30"/>
      <c r="V127" s="30"/>
      <c r="W127" s="30"/>
      <c r="X127" s="30"/>
      <c r="Y127" s="30"/>
      <c r="Z127" s="30"/>
      <c r="AA127" s="30"/>
      <c r="AB127" s="30"/>
      <c r="AC127" s="30"/>
      <c r="AD127" s="30"/>
      <c r="AE127" s="30"/>
      <c r="AF127" s="30"/>
      <c r="AG127" s="30"/>
      <c r="AH127" s="30"/>
      <c r="AI127" s="30"/>
      <c r="AJ127" s="30"/>
      <c r="AK127" s="30">
        <f>AK55-'241'!AK55-$AP$135</f>
        <v>1.4310513055306728E-3</v>
      </c>
      <c r="AL127" s="30">
        <f>AL55-'241'!AL55-$AP$135</f>
        <v>-4.4071015157669535E-3</v>
      </c>
      <c r="AM127" s="30"/>
      <c r="AN127" s="30"/>
      <c r="AO127" s="30"/>
      <c r="AP127" s="21">
        <f t="shared" si="15"/>
        <v>-6.399999999996453E-2</v>
      </c>
      <c r="AQ127" s="21">
        <f t="shared" si="16"/>
        <v>6.399999999996453E-2</v>
      </c>
      <c r="AU127" s="36">
        <f>$Q55-'241'!$Q55-$AP$135</f>
        <v>-4.4071015157669535E-3</v>
      </c>
    </row>
    <row r="128" spans="19:47">
      <c r="S128" s="30"/>
      <c r="T128" s="30"/>
      <c r="U128" s="30"/>
      <c r="V128" s="30"/>
      <c r="W128" s="30"/>
      <c r="X128" s="30"/>
      <c r="Y128" s="30"/>
      <c r="Z128" s="30"/>
      <c r="AA128" s="30"/>
      <c r="AB128" s="30"/>
      <c r="AC128" s="30"/>
      <c r="AD128" s="30"/>
      <c r="AE128" s="30"/>
      <c r="AF128" s="30"/>
      <c r="AG128" s="30"/>
      <c r="AH128" s="30"/>
      <c r="AI128" s="30"/>
      <c r="AJ128" s="30"/>
      <c r="AK128" s="30"/>
      <c r="AL128" s="30">
        <f>AL56-'241'!AL56-$AP$135</f>
        <v>-4.4071015157669535E-3</v>
      </c>
      <c r="AM128" s="30">
        <f>AM56-'241'!AM56-$AP$135</f>
        <v>-9.6633215509882575E-3</v>
      </c>
      <c r="AN128" s="30"/>
      <c r="AO128" s="30"/>
      <c r="AP128" s="21">
        <f t="shared" si="15"/>
        <v>-6.399999999996453E-2</v>
      </c>
      <c r="AQ128" s="21">
        <f t="shared" si="16"/>
        <v>6.399999999996453E-2</v>
      </c>
      <c r="AU128" s="36">
        <f>$Q56-'241'!$Q56-$AP$135</f>
        <v>-9.6633215509882575E-3</v>
      </c>
    </row>
    <row r="129" spans="19:47">
      <c r="S129" s="30"/>
      <c r="T129" s="30"/>
      <c r="U129" s="30"/>
      <c r="V129" s="30"/>
      <c r="W129" s="30"/>
      <c r="X129" s="30"/>
      <c r="Y129" s="30"/>
      <c r="Z129" s="30"/>
      <c r="AA129" s="30"/>
      <c r="AB129" s="30"/>
      <c r="AC129" s="30"/>
      <c r="AD129" s="30"/>
      <c r="AE129" s="30"/>
      <c r="AF129" s="30"/>
      <c r="AG129" s="30"/>
      <c r="AH129" s="30"/>
      <c r="AI129" s="30"/>
      <c r="AJ129" s="30"/>
      <c r="AK129" s="30"/>
      <c r="AL129" s="30"/>
      <c r="AM129" s="30">
        <f>AM57-'241'!AM57-$AP$135</f>
        <v>-9.6633215509882575E-3</v>
      </c>
      <c r="AN129" s="30">
        <f>AN57-'241'!AN57-$AP$135</f>
        <v>-1.024004295584291E-2</v>
      </c>
      <c r="AO129" s="30"/>
      <c r="AP129" s="21">
        <f t="shared" si="15"/>
        <v>-6.399999999996453E-2</v>
      </c>
      <c r="AQ129" s="21">
        <f t="shared" si="16"/>
        <v>6.399999999996453E-2</v>
      </c>
      <c r="AU129" s="36">
        <f>$Q57-'241'!$Q57-$AP$135</f>
        <v>-1.024004295584291E-2</v>
      </c>
    </row>
    <row r="130" spans="19:47">
      <c r="S130" s="32"/>
      <c r="T130" s="32"/>
      <c r="U130" s="32"/>
      <c r="V130" s="32"/>
      <c r="W130" s="32"/>
      <c r="X130" s="32"/>
      <c r="Y130" s="32"/>
      <c r="Z130" s="32"/>
      <c r="AA130" s="32"/>
      <c r="AB130" s="32"/>
      <c r="AC130" s="32"/>
      <c r="AD130" s="32"/>
      <c r="AE130" s="32"/>
      <c r="AF130" s="32"/>
      <c r="AG130" s="32"/>
      <c r="AH130" s="32"/>
      <c r="AI130" s="32"/>
      <c r="AJ130" s="32"/>
      <c r="AK130" s="32"/>
      <c r="AL130" s="32"/>
      <c r="AM130" s="32"/>
      <c r="AN130" s="32">
        <f>AN58-'241'!AN58-$AP$135</f>
        <v>-1.024004295584291E-2</v>
      </c>
      <c r="AO130" s="32">
        <f>AO58-'241'!AO58-$AP$135</f>
        <v>-7.5152147836092809E-3</v>
      </c>
      <c r="AP130" s="21">
        <f t="shared" si="15"/>
        <v>-6.399999999996453E-2</v>
      </c>
      <c r="AQ130" s="21">
        <f t="shared" si="16"/>
        <v>6.399999999996453E-2</v>
      </c>
      <c r="AU130" s="36">
        <f>$Q58-'241'!$Q58-$AP$135</f>
        <v>-7.5152147836092809E-3</v>
      </c>
    </row>
    <row r="132" spans="19:47">
      <c r="AP132" t="s">
        <v>355</v>
      </c>
      <c r="AQ132" t="s">
        <v>356</v>
      </c>
    </row>
    <row r="133" spans="19:47">
      <c r="AP133">
        <f>AP36-'241'!AQ36</f>
        <v>10.536000000000058</v>
      </c>
      <c r="AQ133">
        <f>AQ36-'241'!AP36</f>
        <v>10.663999999999987</v>
      </c>
    </row>
    <row r="134" spans="19:47">
      <c r="AP134" t="s">
        <v>357</v>
      </c>
    </row>
    <row r="135" spans="19:47">
      <c r="AP135">
        <f>AVERAGE(AP133:AQ133)</f>
        <v>10.600000000000023</v>
      </c>
    </row>
  </sheetData>
  <mergeCells count="1">
    <mergeCell ref="J9:J10"/>
  </mergeCells>
  <phoneticPr fontId="2"/>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FFC000"/>
  </sheetPr>
  <dimension ref="A1:AW132"/>
  <sheetViews>
    <sheetView topLeftCell="B1" zoomScale="70" zoomScaleNormal="70" workbookViewId="0">
      <selection activeCell="M11" sqref="M11"/>
    </sheetView>
  </sheetViews>
  <sheetFormatPr defaultColWidth="9" defaultRowHeight="15"/>
  <cols>
    <col min="1" max="1" width="24.42578125" customWidth="1"/>
    <col min="2" max="7" width="9.140625"/>
    <col min="8" max="9" width="9" style="2"/>
    <col min="10" max="14" width="9" style="13"/>
    <col min="15" max="16384" width="9" style="2"/>
  </cols>
  <sheetData>
    <row r="1" spans="1:27">
      <c r="A1" s="90" t="s">
        <v>803</v>
      </c>
      <c r="B1" s="90"/>
      <c r="C1" s="90"/>
      <c r="D1" s="90"/>
      <c r="E1" s="90"/>
      <c r="F1" s="90"/>
      <c r="G1" s="90"/>
      <c r="S1"/>
      <c r="T1"/>
      <c r="U1"/>
      <c r="V1"/>
      <c r="W1"/>
    </row>
    <row r="2" spans="1:27">
      <c r="A2" s="90" t="s">
        <v>449</v>
      </c>
      <c r="B2" s="90" t="s">
        <v>450</v>
      </c>
      <c r="C2" s="90">
        <v>834.572</v>
      </c>
      <c r="D2" s="90" t="s">
        <v>451</v>
      </c>
      <c r="E2" s="90">
        <v>834.6</v>
      </c>
      <c r="F2" s="90"/>
      <c r="G2" s="90"/>
      <c r="S2"/>
      <c r="T2"/>
      <c r="U2"/>
      <c r="V2"/>
      <c r="W2"/>
    </row>
    <row r="3" spans="1:27">
      <c r="A3" s="90" t="s">
        <v>804</v>
      </c>
      <c r="B3" s="90" t="s">
        <v>408</v>
      </c>
      <c r="C3" s="90">
        <v>-2.8000000000000001E-2</v>
      </c>
      <c r="D3" s="90" t="s">
        <v>453</v>
      </c>
      <c r="E3" s="90">
        <v>6.4000000000000001E-2</v>
      </c>
      <c r="F3" s="90" t="s">
        <v>406</v>
      </c>
      <c r="G3" s="90"/>
      <c r="S3"/>
      <c r="T3"/>
      <c r="U3"/>
      <c r="V3"/>
      <c r="W3"/>
    </row>
    <row r="4" spans="1:27">
      <c r="A4" s="121" t="s">
        <v>805</v>
      </c>
      <c r="B4" s="90" t="s">
        <v>455</v>
      </c>
      <c r="C4" s="90">
        <v>-6.4000000000000001E-2</v>
      </c>
      <c r="D4" s="90"/>
      <c r="E4" s="90"/>
      <c r="F4" s="90"/>
      <c r="G4" s="90"/>
      <c r="J4" s="13" t="s">
        <v>160</v>
      </c>
      <c r="S4"/>
      <c r="T4"/>
      <c r="U4"/>
      <c r="V4"/>
      <c r="W4"/>
    </row>
    <row r="5" spans="1:27">
      <c r="A5" s="90" t="s">
        <v>1034</v>
      </c>
      <c r="B5" s="90"/>
      <c r="C5" s="90" t="s">
        <v>411</v>
      </c>
      <c r="D5" s="90"/>
      <c r="E5" s="90"/>
      <c r="F5" s="90"/>
      <c r="G5" s="90"/>
      <c r="L5" s="6" t="s">
        <v>1</v>
      </c>
      <c r="M5" s="6">
        <v>834.6</v>
      </c>
      <c r="S5"/>
      <c r="T5"/>
      <c r="U5"/>
      <c r="V5"/>
      <c r="W5"/>
    </row>
    <row r="6" spans="1:27">
      <c r="A6" s="90" t="s">
        <v>412</v>
      </c>
      <c r="B6" s="90" t="s">
        <v>413</v>
      </c>
      <c r="C6" s="90">
        <v>417.26400000000001</v>
      </c>
      <c r="D6" s="90"/>
      <c r="E6" s="90"/>
      <c r="F6" s="90"/>
      <c r="G6" s="90"/>
      <c r="L6" s="6" t="s">
        <v>2</v>
      </c>
      <c r="M6" s="13">
        <f>M5+0.064</f>
        <v>834.66399999999999</v>
      </c>
      <c r="S6"/>
      <c r="T6"/>
      <c r="U6"/>
      <c r="V6"/>
      <c r="W6"/>
    </row>
    <row r="7" spans="1:27">
      <c r="A7" s="90" t="s">
        <v>806</v>
      </c>
      <c r="B7" s="90" t="s">
        <v>415</v>
      </c>
      <c r="C7" s="90">
        <v>0</v>
      </c>
      <c r="D7" s="90"/>
      <c r="E7" s="90"/>
      <c r="F7" s="90"/>
      <c r="G7" s="90"/>
      <c r="L7" s="6" t="s">
        <v>3</v>
      </c>
      <c r="M7" s="13">
        <f>M5-0.064</f>
        <v>834.53600000000006</v>
      </c>
      <c r="S7"/>
      <c r="T7"/>
      <c r="U7"/>
      <c r="V7"/>
      <c r="W7"/>
    </row>
    <row r="8" spans="1:27">
      <c r="A8" s="121" t="s">
        <v>807</v>
      </c>
      <c r="B8" s="90" t="s">
        <v>417</v>
      </c>
      <c r="C8" s="90">
        <v>-66.475999999999999</v>
      </c>
      <c r="D8" s="90"/>
      <c r="E8" s="90"/>
      <c r="F8" s="90"/>
      <c r="G8" s="90"/>
      <c r="S8"/>
      <c r="T8"/>
      <c r="U8" s="5">
        <v>244</v>
      </c>
      <c r="V8" s="5">
        <v>242</v>
      </c>
      <c r="W8"/>
    </row>
    <row r="9" spans="1:27" ht="14.25" customHeight="1">
      <c r="A9" s="90" t="s">
        <v>412</v>
      </c>
      <c r="B9" s="90" t="s">
        <v>413</v>
      </c>
      <c r="C9" s="90">
        <v>417.21800000000002</v>
      </c>
      <c r="D9" s="90"/>
      <c r="E9" s="90"/>
      <c r="F9" s="90"/>
      <c r="G9" s="90"/>
      <c r="H9" s="5"/>
      <c r="I9" s="9" t="s">
        <v>4</v>
      </c>
      <c r="J9" s="144" t="s">
        <v>161</v>
      </c>
      <c r="K9" s="10" t="s">
        <v>6</v>
      </c>
      <c r="L9" s="10" t="s">
        <v>7</v>
      </c>
      <c r="M9" s="10" t="s">
        <v>8</v>
      </c>
      <c r="P9" s="11" t="s">
        <v>9</v>
      </c>
      <c r="S9" s="5"/>
      <c r="T9" s="9" t="str">
        <f t="shared" ref="T9:U26" si="0">I9</f>
        <v>Angle</v>
      </c>
      <c r="U9" s="144" t="str">
        <f t="shared" si="0"/>
        <v>244
Position</v>
      </c>
      <c r="V9" s="80" t="s">
        <v>305</v>
      </c>
      <c r="W9" s="80" t="s">
        <v>310</v>
      </c>
      <c r="Y9" s="13"/>
      <c r="Z9" s="13" t="s">
        <v>275</v>
      </c>
      <c r="AA9" s="13" t="s">
        <v>276</v>
      </c>
    </row>
    <row r="10" spans="1:27">
      <c r="A10" s="90" t="s">
        <v>808</v>
      </c>
      <c r="B10" s="90" t="s">
        <v>415</v>
      </c>
      <c r="C10" s="90">
        <v>2E-3</v>
      </c>
      <c r="D10" s="90"/>
      <c r="E10" s="90"/>
      <c r="F10" s="90"/>
      <c r="G10" s="90"/>
      <c r="H10" s="9" t="s">
        <v>10</v>
      </c>
      <c r="I10" s="9" t="s">
        <v>11</v>
      </c>
      <c r="J10" s="145"/>
      <c r="K10" s="10" t="s">
        <v>12</v>
      </c>
      <c r="L10" s="10" t="s">
        <v>12</v>
      </c>
      <c r="M10" s="10" t="s">
        <v>12</v>
      </c>
      <c r="P10" s="11" t="s">
        <v>13</v>
      </c>
      <c r="S10" s="9" t="str">
        <f t="shared" ref="S10:S26" si="1">H10</f>
        <v>Area#</v>
      </c>
      <c r="T10" s="9" t="str">
        <f t="shared" si="0"/>
        <v>[deg]</v>
      </c>
      <c r="U10" s="145"/>
      <c r="V10" s="79" t="s">
        <v>12</v>
      </c>
      <c r="W10" s="79" t="s">
        <v>12</v>
      </c>
      <c r="Y10" s="13" t="s">
        <v>277</v>
      </c>
      <c r="Z10" s="13">
        <f t="shared" ref="Z10:AA11" ca="1" si="2">AV94</f>
        <v>13</v>
      </c>
      <c r="AA10" s="13">
        <f t="shared" ca="1" si="2"/>
        <v>12</v>
      </c>
    </row>
    <row r="11" spans="1:27">
      <c r="A11" s="121" t="s">
        <v>809</v>
      </c>
      <c r="B11" s="90" t="s">
        <v>417</v>
      </c>
      <c r="C11" s="90">
        <v>-66.474999999999994</v>
      </c>
      <c r="D11" s="90"/>
      <c r="E11" s="90"/>
      <c r="F11" s="90"/>
      <c r="G11" s="90"/>
      <c r="H11" s="13">
        <v>1</v>
      </c>
      <c r="I11" s="13">
        <v>0</v>
      </c>
      <c r="J11" s="10">
        <v>1</v>
      </c>
      <c r="K11" s="14">
        <f>SQRT(C6^2+C7^2)</f>
        <v>417.26400000000001</v>
      </c>
      <c r="L11" s="141">
        <f>M$7/2-0.072/2</f>
        <v>417.23200000000003</v>
      </c>
      <c r="M11" s="141">
        <f>M$6/2+0.072/2</f>
        <v>417.36799999999999</v>
      </c>
      <c r="P11" s="13">
        <f>K11+K19</f>
        <v>834.52300000000002</v>
      </c>
      <c r="S11" s="13">
        <f t="shared" si="1"/>
        <v>1</v>
      </c>
      <c r="T11" s="13">
        <f t="shared" si="0"/>
        <v>0</v>
      </c>
      <c r="U11" s="79">
        <f t="shared" si="0"/>
        <v>1</v>
      </c>
      <c r="V11" s="14">
        <f>K11-'242'!V11</f>
        <v>11.780999998766902</v>
      </c>
      <c r="W11" s="14">
        <f>K11-'242'!W11</f>
        <v>11.77499999876693</v>
      </c>
      <c r="Y11" s="13" t="s">
        <v>278</v>
      </c>
      <c r="Z11" s="13">
        <f t="shared" ca="1" si="2"/>
        <v>2</v>
      </c>
      <c r="AA11" s="13">
        <f t="shared" ca="1" si="2"/>
        <v>23</v>
      </c>
    </row>
    <row r="12" spans="1:27">
      <c r="A12" s="90" t="s">
        <v>412</v>
      </c>
      <c r="B12" s="90" t="s">
        <v>413</v>
      </c>
      <c r="C12" s="90">
        <v>417.233</v>
      </c>
      <c r="D12" s="90"/>
      <c r="E12" s="90"/>
      <c r="F12" s="90"/>
      <c r="G12" s="90"/>
      <c r="H12" s="13">
        <v>2</v>
      </c>
      <c r="I12" s="13">
        <f>I11+360/16</f>
        <v>22.5</v>
      </c>
      <c r="J12" s="10">
        <v>16</v>
      </c>
      <c r="K12" s="16">
        <f>SQRT(C51^2+C52^2)</f>
        <v>417.30000007668343</v>
      </c>
      <c r="L12" s="141">
        <f>L$11</f>
        <v>417.23200000000003</v>
      </c>
      <c r="M12" s="141">
        <f>M$11</f>
        <v>417.36799999999999</v>
      </c>
      <c r="P12" s="13">
        <f t="shared" ref="P12:P18" si="3">K12+K20</f>
        <v>834.54400017374905</v>
      </c>
      <c r="S12" s="13">
        <f t="shared" si="1"/>
        <v>2</v>
      </c>
      <c r="T12" s="13">
        <f t="shared" si="0"/>
        <v>22.5</v>
      </c>
      <c r="U12" s="79">
        <f t="shared" si="0"/>
        <v>16</v>
      </c>
      <c r="V12" s="14">
        <f>K12-'242'!V12</f>
        <v>11.790000065586298</v>
      </c>
      <c r="W12" s="14">
        <f>K12-'242'!W12</f>
        <v>11.783000065586464</v>
      </c>
    </row>
    <row r="13" spans="1:27">
      <c r="A13" s="90" t="s">
        <v>810</v>
      </c>
      <c r="B13" s="90" t="s">
        <v>415</v>
      </c>
      <c r="C13" s="90">
        <v>0</v>
      </c>
      <c r="D13" s="90"/>
      <c r="E13" s="90"/>
      <c r="F13" s="90"/>
      <c r="G13" s="90"/>
      <c r="H13" s="13">
        <v>3</v>
      </c>
      <c r="I13" s="13">
        <f t="shared" ref="I13:I26" si="4">I12+360/16</f>
        <v>45</v>
      </c>
      <c r="J13" s="10">
        <v>15</v>
      </c>
      <c r="K13" s="16">
        <f>SQRT(C48^2+C49^2)</f>
        <v>417.30800000119814</v>
      </c>
      <c r="L13" s="141">
        <f t="shared" ref="L13:M26" si="5">L$11</f>
        <v>417.23200000000003</v>
      </c>
      <c r="M13" s="141">
        <f t="shared" si="5"/>
        <v>417.36799999999999</v>
      </c>
      <c r="P13" s="13">
        <f t="shared" si="3"/>
        <v>834.58800000239637</v>
      </c>
      <c r="S13" s="13">
        <f t="shared" si="1"/>
        <v>3</v>
      </c>
      <c r="T13" s="13">
        <f t="shared" si="0"/>
        <v>45</v>
      </c>
      <c r="U13" s="79">
        <f t="shared" si="0"/>
        <v>15</v>
      </c>
      <c r="V13" s="14">
        <f>K13-'242'!V13</f>
        <v>11.792000001198119</v>
      </c>
      <c r="W13" s="14">
        <f>K13-'242'!W13</f>
        <v>11.781000001198151</v>
      </c>
    </row>
    <row r="14" spans="1:27">
      <c r="A14" s="121" t="s">
        <v>811</v>
      </c>
      <c r="B14" s="90" t="s">
        <v>417</v>
      </c>
      <c r="C14" s="90">
        <v>-66.474999999999994</v>
      </c>
      <c r="D14" s="90"/>
      <c r="E14" s="90"/>
      <c r="F14" s="90"/>
      <c r="G14" s="90"/>
      <c r="H14" s="13">
        <v>4</v>
      </c>
      <c r="I14" s="13">
        <f t="shared" si="4"/>
        <v>67.5</v>
      </c>
      <c r="J14" s="10">
        <v>14</v>
      </c>
      <c r="K14" s="16">
        <f>SQRT(C45^2+C46^2)</f>
        <v>417.29500000479277</v>
      </c>
      <c r="L14" s="141">
        <f t="shared" si="5"/>
        <v>417.23200000000003</v>
      </c>
      <c r="M14" s="141">
        <f t="shared" si="5"/>
        <v>417.36799999999999</v>
      </c>
      <c r="P14" s="13">
        <f t="shared" si="3"/>
        <v>834.63600000479278</v>
      </c>
      <c r="S14" s="13">
        <f t="shared" si="1"/>
        <v>4</v>
      </c>
      <c r="T14" s="13">
        <f t="shared" si="0"/>
        <v>67.5</v>
      </c>
      <c r="U14" s="79">
        <f t="shared" si="0"/>
        <v>14</v>
      </c>
      <c r="V14" s="14">
        <f>K14-'242'!V14</f>
        <v>11.769000004792758</v>
      </c>
      <c r="W14" s="14">
        <f>K14-'242'!W14</f>
        <v>11.764999960406442</v>
      </c>
    </row>
    <row r="15" spans="1:27">
      <c r="A15" s="90" t="s">
        <v>412</v>
      </c>
      <c r="B15" s="90" t="s">
        <v>413</v>
      </c>
      <c r="C15" s="90">
        <v>417.29599999999999</v>
      </c>
      <c r="D15" s="90"/>
      <c r="E15" s="90"/>
      <c r="F15" s="90"/>
      <c r="G15" s="90"/>
      <c r="H15" s="13">
        <v>5</v>
      </c>
      <c r="I15" s="13">
        <f t="shared" si="4"/>
        <v>90</v>
      </c>
      <c r="J15" s="10">
        <v>13</v>
      </c>
      <c r="K15" s="16">
        <f>SQRT(C42^2+C43^2)</f>
        <v>417.298</v>
      </c>
      <c r="L15" s="141">
        <f t="shared" si="5"/>
        <v>417.23200000000003</v>
      </c>
      <c r="M15" s="141">
        <f t="shared" si="5"/>
        <v>417.36799999999999</v>
      </c>
      <c r="P15" s="13">
        <f t="shared" si="3"/>
        <v>834.64400000000001</v>
      </c>
      <c r="S15" s="13">
        <f t="shared" si="1"/>
        <v>5</v>
      </c>
      <c r="T15" s="13">
        <f t="shared" si="0"/>
        <v>90</v>
      </c>
      <c r="U15" s="79">
        <f t="shared" si="0"/>
        <v>13</v>
      </c>
      <c r="V15" s="14">
        <f>K15-'242'!V15</f>
        <v>11.781999998766992</v>
      </c>
      <c r="W15" s="14">
        <f>K15-'242'!W15</f>
        <v>11.770999998767024</v>
      </c>
    </row>
    <row r="16" spans="1:27">
      <c r="A16" s="90" t="s">
        <v>812</v>
      </c>
      <c r="B16" s="90" t="s">
        <v>415</v>
      </c>
      <c r="C16" s="90">
        <v>1E-3</v>
      </c>
      <c r="D16" s="90"/>
      <c r="E16" s="90"/>
      <c r="F16" s="90"/>
      <c r="G16" s="90"/>
      <c r="H16" s="13">
        <v>6</v>
      </c>
      <c r="I16" s="13">
        <f t="shared" si="4"/>
        <v>112.5</v>
      </c>
      <c r="J16" s="10">
        <v>12</v>
      </c>
      <c r="K16" s="16">
        <f>SQRT(C39^2+C40^2)</f>
        <v>417.30900000000003</v>
      </c>
      <c r="L16" s="141">
        <f t="shared" si="5"/>
        <v>417.23200000000003</v>
      </c>
      <c r="M16" s="141">
        <f t="shared" si="5"/>
        <v>417.36799999999999</v>
      </c>
      <c r="P16" s="13">
        <f t="shared" si="3"/>
        <v>834.60500000119828</v>
      </c>
      <c r="S16" s="13">
        <f t="shared" si="1"/>
        <v>6</v>
      </c>
      <c r="T16" s="13">
        <f t="shared" si="0"/>
        <v>112.5</v>
      </c>
      <c r="U16" s="79">
        <f t="shared" si="0"/>
        <v>12</v>
      </c>
      <c r="V16" s="14">
        <f>K16-'242'!V16</f>
        <v>11.791999998767039</v>
      </c>
      <c r="W16" s="14">
        <f>K16-'242'!W16</f>
        <v>11.78199999506819</v>
      </c>
    </row>
    <row r="17" spans="1:23">
      <c r="A17" s="121" t="s">
        <v>813</v>
      </c>
      <c r="B17" s="90" t="s">
        <v>417</v>
      </c>
      <c r="C17" s="90">
        <v>-66.474999999999994</v>
      </c>
      <c r="D17" s="90"/>
      <c r="E17" s="90"/>
      <c r="F17" s="90"/>
      <c r="G17" s="90"/>
      <c r="H17" s="13">
        <v>7</v>
      </c>
      <c r="I17" s="13">
        <f t="shared" si="4"/>
        <v>135</v>
      </c>
      <c r="J17" s="10">
        <v>11</v>
      </c>
      <c r="K17" s="16">
        <f>SQRT(C36^2+C37^2)</f>
        <v>417.29400000119819</v>
      </c>
      <c r="L17" s="141">
        <f t="shared" si="5"/>
        <v>417.23200000000003</v>
      </c>
      <c r="M17" s="141">
        <f t="shared" si="5"/>
        <v>417.36799999999999</v>
      </c>
      <c r="P17" s="13">
        <f t="shared" si="3"/>
        <v>834.52700000119819</v>
      </c>
      <c r="S17" s="13">
        <f t="shared" si="1"/>
        <v>7</v>
      </c>
      <c r="T17" s="13">
        <f t="shared" si="0"/>
        <v>135</v>
      </c>
      <c r="U17" s="79">
        <f t="shared" si="0"/>
        <v>11</v>
      </c>
      <c r="V17" s="14">
        <f>K17-'242'!V17</f>
        <v>11.80100000119819</v>
      </c>
      <c r="W17" s="14">
        <f>K17-'242'!W17</f>
        <v>11.783999999965147</v>
      </c>
    </row>
    <row r="18" spans="1:23">
      <c r="A18" s="90" t="s">
        <v>412</v>
      </c>
      <c r="B18" s="90" t="s">
        <v>413</v>
      </c>
      <c r="C18" s="90">
        <v>417.346</v>
      </c>
      <c r="D18" s="90"/>
      <c r="E18" s="90"/>
      <c r="F18" s="90"/>
      <c r="G18" s="90"/>
      <c r="H18" s="13">
        <v>8</v>
      </c>
      <c r="I18" s="13">
        <f t="shared" si="4"/>
        <v>157.5</v>
      </c>
      <c r="J18" s="10">
        <v>10</v>
      </c>
      <c r="K18" s="16">
        <f>SQRT(C33^2+C34^2)</f>
        <v>417.28900002995522</v>
      </c>
      <c r="L18" s="141">
        <f t="shared" si="5"/>
        <v>417.23200000000003</v>
      </c>
      <c r="M18" s="141">
        <f t="shared" si="5"/>
        <v>417.36799999999999</v>
      </c>
      <c r="P18" s="13">
        <f t="shared" si="3"/>
        <v>834.5070000347489</v>
      </c>
      <c r="S18" s="13">
        <f t="shared" si="1"/>
        <v>8</v>
      </c>
      <c r="T18" s="13">
        <f t="shared" si="0"/>
        <v>157.5</v>
      </c>
      <c r="U18" s="79">
        <f t="shared" si="0"/>
        <v>10</v>
      </c>
      <c r="V18" s="14">
        <f>K18-'242'!V18</f>
        <v>11.805999999127778</v>
      </c>
      <c r="W18" s="14">
        <f>K18-'242'!W18</f>
        <v>11.788000025023052</v>
      </c>
    </row>
    <row r="19" spans="1:23">
      <c r="A19" s="90" t="s">
        <v>814</v>
      </c>
      <c r="B19" s="90" t="s">
        <v>415</v>
      </c>
      <c r="C19" s="90">
        <v>0</v>
      </c>
      <c r="D19" s="90"/>
      <c r="E19" s="90"/>
      <c r="F19" s="90"/>
      <c r="G19" s="90"/>
      <c r="H19" s="13">
        <v>9</v>
      </c>
      <c r="I19" s="13">
        <f t="shared" si="4"/>
        <v>180</v>
      </c>
      <c r="J19" s="10">
        <v>9</v>
      </c>
      <c r="K19" s="16">
        <f>SQRT(C30^2+C31^2)</f>
        <v>417.25900000000001</v>
      </c>
      <c r="L19" s="141">
        <f t="shared" si="5"/>
        <v>417.23200000000003</v>
      </c>
      <c r="M19" s="141">
        <f t="shared" si="5"/>
        <v>417.36799999999999</v>
      </c>
      <c r="P19" s="13"/>
      <c r="S19" s="13">
        <f t="shared" si="1"/>
        <v>9</v>
      </c>
      <c r="T19" s="13">
        <f t="shared" si="0"/>
        <v>180</v>
      </c>
      <c r="U19" s="79">
        <f t="shared" si="0"/>
        <v>9</v>
      </c>
      <c r="V19" s="14">
        <f>K19-'242'!V19</f>
        <v>11.788999995067456</v>
      </c>
      <c r="W19" s="14">
        <f>K19-'242'!W19</f>
        <v>11.780999998766902</v>
      </c>
    </row>
    <row r="20" spans="1:23">
      <c r="A20" s="121" t="s">
        <v>815</v>
      </c>
      <c r="B20" s="90" t="s">
        <v>417</v>
      </c>
      <c r="C20" s="90">
        <v>-66.474999999999994</v>
      </c>
      <c r="D20" s="90"/>
      <c r="E20" s="90"/>
      <c r="F20" s="90"/>
      <c r="G20" s="90"/>
      <c r="H20" s="13">
        <v>10</v>
      </c>
      <c r="I20" s="13">
        <f t="shared" si="4"/>
        <v>202.5</v>
      </c>
      <c r="J20" s="10">
        <v>8</v>
      </c>
      <c r="K20" s="16">
        <f>SQRT(C27^2+C28^2)</f>
        <v>417.24400009706557</v>
      </c>
      <c r="L20" s="141">
        <f t="shared" si="5"/>
        <v>417.23200000000003</v>
      </c>
      <c r="M20" s="141">
        <f t="shared" si="5"/>
        <v>417.36799999999999</v>
      </c>
      <c r="P20" s="13">
        <f>MAX(P11:P18)</f>
        <v>834.64400000000001</v>
      </c>
      <c r="Q20" s="13" t="str">
        <f>IF(P20&gt;M6, CONCATENATE("O/Max ", TEXT(P20-M6, "0.000")), "-")</f>
        <v>-</v>
      </c>
      <c r="S20" s="13">
        <f t="shared" si="1"/>
        <v>10</v>
      </c>
      <c r="T20" s="13">
        <f t="shared" si="0"/>
        <v>202.5</v>
      </c>
      <c r="U20" s="79">
        <f t="shared" si="0"/>
        <v>8</v>
      </c>
      <c r="V20" s="14">
        <f>K20-'242'!V20</f>
        <v>11.761000066238125</v>
      </c>
      <c r="W20" s="14">
        <f>K20-'242'!W20</f>
        <v>11.758000066238367</v>
      </c>
    </row>
    <row r="21" spans="1:23">
      <c r="A21" s="90" t="s">
        <v>412</v>
      </c>
      <c r="B21" s="90" t="s">
        <v>413</v>
      </c>
      <c r="C21" s="90">
        <v>417.34100000000001</v>
      </c>
      <c r="D21" s="90"/>
      <c r="E21" s="90"/>
      <c r="F21" s="90"/>
      <c r="G21" s="90"/>
      <c r="H21" s="13">
        <v>11</v>
      </c>
      <c r="I21" s="13">
        <f t="shared" si="4"/>
        <v>225</v>
      </c>
      <c r="J21" s="10">
        <v>7</v>
      </c>
      <c r="K21" s="16">
        <f>SQRT(C24^2+C25^2)</f>
        <v>417.28000000119823</v>
      </c>
      <c r="L21" s="141">
        <f t="shared" si="5"/>
        <v>417.23200000000003</v>
      </c>
      <c r="M21" s="141">
        <f t="shared" si="5"/>
        <v>417.36799999999999</v>
      </c>
      <c r="P21" s="13">
        <f>MIN(P11:P18)</f>
        <v>834.5070000347489</v>
      </c>
      <c r="Q21" s="13" t="str">
        <f>IF(P21&lt;M7, CONCATENATE("U/Min ", TEXT(M7-P21, "0.000")), "-")</f>
        <v>U/Min 0.029</v>
      </c>
      <c r="S21" s="13">
        <f t="shared" si="1"/>
        <v>11</v>
      </c>
      <c r="T21" s="13">
        <f t="shared" si="0"/>
        <v>225</v>
      </c>
      <c r="U21" s="79">
        <f t="shared" si="0"/>
        <v>7</v>
      </c>
      <c r="V21" s="14">
        <f>K21-'242'!V21</f>
        <v>11.781999999965194</v>
      </c>
      <c r="W21" s="14">
        <f>K21-'242'!W21</f>
        <v>11.768999996266132</v>
      </c>
    </row>
    <row r="22" spans="1:23">
      <c r="A22" s="90" t="s">
        <v>816</v>
      </c>
      <c r="B22" s="90" t="s">
        <v>415</v>
      </c>
      <c r="C22" s="90">
        <v>0</v>
      </c>
      <c r="D22" s="90"/>
      <c r="E22" s="90"/>
      <c r="F22" s="90"/>
      <c r="G22" s="90"/>
      <c r="H22" s="13">
        <v>12</v>
      </c>
      <c r="I22" s="13">
        <f t="shared" si="4"/>
        <v>247.5</v>
      </c>
      <c r="J22" s="10">
        <v>6</v>
      </c>
      <c r="K22" s="16">
        <f>SQRT(C21^2+C22^2)</f>
        <v>417.34100000000001</v>
      </c>
      <c r="L22" s="141">
        <f t="shared" si="5"/>
        <v>417.23200000000003</v>
      </c>
      <c r="M22" s="141">
        <f t="shared" si="5"/>
        <v>417.36799999999999</v>
      </c>
      <c r="S22" s="13">
        <f t="shared" si="1"/>
        <v>12</v>
      </c>
      <c r="T22" s="13">
        <f t="shared" si="0"/>
        <v>247.5</v>
      </c>
      <c r="U22" s="79">
        <f t="shared" si="0"/>
        <v>6</v>
      </c>
      <c r="V22" s="14">
        <f>K22-'242'!V22</f>
        <v>11.79399990013485</v>
      </c>
      <c r="W22" s="14">
        <f>K22-'242'!W22</f>
        <v>11.783999999999992</v>
      </c>
    </row>
    <row r="23" spans="1:23">
      <c r="A23" s="121" t="s">
        <v>817</v>
      </c>
      <c r="B23" s="90" t="s">
        <v>417</v>
      </c>
      <c r="C23" s="90">
        <v>-66.474999999999994</v>
      </c>
      <c r="D23" s="90"/>
      <c r="E23" s="90"/>
      <c r="F23" s="90"/>
      <c r="G23" s="90"/>
      <c r="H23" s="13">
        <v>13</v>
      </c>
      <c r="I23" s="13">
        <f t="shared" si="4"/>
        <v>270</v>
      </c>
      <c r="J23" s="10">
        <v>5</v>
      </c>
      <c r="K23" s="16">
        <f>SQRT(C18^2+C19^2)</f>
        <v>417.346</v>
      </c>
      <c r="L23" s="141">
        <f t="shared" si="5"/>
        <v>417.23200000000003</v>
      </c>
      <c r="M23" s="141">
        <f t="shared" si="5"/>
        <v>417.36799999999999</v>
      </c>
      <c r="S23" s="13">
        <f t="shared" si="1"/>
        <v>13</v>
      </c>
      <c r="T23" s="13">
        <f t="shared" si="0"/>
        <v>270</v>
      </c>
      <c r="U23" s="79">
        <f t="shared" si="0"/>
        <v>5</v>
      </c>
      <c r="V23" s="14">
        <f>K23-'242'!V23</f>
        <v>11.801999998767087</v>
      </c>
      <c r="W23" s="14">
        <f>K23-'242'!W23</f>
        <v>11.787999998767134</v>
      </c>
    </row>
    <row r="24" spans="1:23">
      <c r="A24" s="90" t="s">
        <v>412</v>
      </c>
      <c r="B24" s="90" t="s">
        <v>413</v>
      </c>
      <c r="C24" s="90">
        <v>417.28</v>
      </c>
      <c r="D24" s="90"/>
      <c r="E24" s="90"/>
      <c r="F24" s="90"/>
      <c r="G24" s="90"/>
      <c r="H24" s="13">
        <v>14</v>
      </c>
      <c r="I24" s="13">
        <f t="shared" si="4"/>
        <v>292.5</v>
      </c>
      <c r="J24" s="10">
        <v>4</v>
      </c>
      <c r="K24" s="16">
        <f>SQRT(C15^2+C16^2)</f>
        <v>417.29600000119819</v>
      </c>
      <c r="L24" s="141">
        <f t="shared" si="5"/>
        <v>417.23200000000003</v>
      </c>
      <c r="M24" s="141">
        <f t="shared" si="5"/>
        <v>417.36799999999999</v>
      </c>
      <c r="S24" s="13">
        <f t="shared" si="1"/>
        <v>14</v>
      </c>
      <c r="T24" s="13">
        <f t="shared" si="0"/>
        <v>292.5</v>
      </c>
      <c r="U24" s="79">
        <f t="shared" si="0"/>
        <v>4</v>
      </c>
      <c r="V24" s="14">
        <f>K24-'242'!V24</f>
        <v>11.773999999965213</v>
      </c>
      <c r="W24" s="14">
        <f>K24-'242'!W24</f>
        <v>11.767999990101544</v>
      </c>
    </row>
    <row r="25" spans="1:23">
      <c r="A25" s="90" t="s">
        <v>818</v>
      </c>
      <c r="B25" s="90" t="s">
        <v>415</v>
      </c>
      <c r="C25" s="90">
        <v>-1E-3</v>
      </c>
      <c r="D25" s="90"/>
      <c r="E25" s="90"/>
      <c r="F25" s="90"/>
      <c r="G25" s="90"/>
      <c r="H25" s="13">
        <v>15</v>
      </c>
      <c r="I25" s="13">
        <f t="shared" si="4"/>
        <v>315</v>
      </c>
      <c r="J25" s="10">
        <v>3</v>
      </c>
      <c r="K25" s="16">
        <f>SQRT(C12^2+C13^2)</f>
        <v>417.233</v>
      </c>
      <c r="L25" s="141">
        <f t="shared" si="5"/>
        <v>417.23200000000003</v>
      </c>
      <c r="M25" s="141">
        <f t="shared" si="5"/>
        <v>417.36799999999999</v>
      </c>
      <c r="S25" s="13">
        <f t="shared" si="1"/>
        <v>15</v>
      </c>
      <c r="T25" s="13">
        <f t="shared" si="0"/>
        <v>315</v>
      </c>
      <c r="U25" s="79">
        <f t="shared" si="0"/>
        <v>3</v>
      </c>
      <c r="V25" s="14">
        <f>K25-'242'!V25</f>
        <v>11.755999995067555</v>
      </c>
      <c r="W25" s="14">
        <f>K25-'242'!W25</f>
        <v>11.753999995067545</v>
      </c>
    </row>
    <row r="26" spans="1:23">
      <c r="A26" s="121" t="s">
        <v>819</v>
      </c>
      <c r="B26" s="90" t="s">
        <v>417</v>
      </c>
      <c r="C26" s="90">
        <v>-66.474999999999994</v>
      </c>
      <c r="D26" s="90"/>
      <c r="E26" s="90"/>
      <c r="F26" s="90"/>
      <c r="G26" s="90"/>
      <c r="H26" s="13">
        <v>16</v>
      </c>
      <c r="I26" s="13">
        <f t="shared" si="4"/>
        <v>337.5</v>
      </c>
      <c r="J26" s="10">
        <v>2</v>
      </c>
      <c r="K26" s="16">
        <f>SQRT(C9^2+C10^2)</f>
        <v>417.21800000479368</v>
      </c>
      <c r="L26" s="141">
        <f t="shared" si="5"/>
        <v>417.23200000000003</v>
      </c>
      <c r="M26" s="141">
        <f t="shared" si="5"/>
        <v>417.36799999999999</v>
      </c>
      <c r="S26" s="13">
        <f t="shared" si="1"/>
        <v>16</v>
      </c>
      <c r="T26" s="13">
        <f t="shared" si="0"/>
        <v>337.5</v>
      </c>
      <c r="U26" s="79">
        <f t="shared" si="0"/>
        <v>2</v>
      </c>
      <c r="V26" s="14">
        <f>K26-'242'!V26</f>
        <v>11.749999999861075</v>
      </c>
      <c r="W26" s="14">
        <f>K26-'242'!W26</f>
        <v>11.744999993695501</v>
      </c>
    </row>
    <row r="27" spans="1:23">
      <c r="A27" s="90" t="s">
        <v>412</v>
      </c>
      <c r="B27" s="90" t="s">
        <v>413</v>
      </c>
      <c r="C27" s="90">
        <v>417.24400000000003</v>
      </c>
      <c r="D27" s="90"/>
      <c r="E27" s="90"/>
      <c r="F27" s="90"/>
      <c r="G27" s="90"/>
      <c r="H27" s="13">
        <v>17</v>
      </c>
      <c r="I27" s="13">
        <v>360</v>
      </c>
      <c r="J27" s="10">
        <v>1</v>
      </c>
      <c r="K27" s="15">
        <f>K11</f>
        <v>417.26400000000001</v>
      </c>
      <c r="L27" s="5"/>
      <c r="M27" s="5"/>
      <c r="N27" s="5"/>
      <c r="P27" s="19" t="s">
        <v>271</v>
      </c>
      <c r="Q27" s="19" t="str">
        <f>M30</f>
        <v>-</v>
      </c>
      <c r="R27" s="19"/>
      <c r="S27" s="13"/>
      <c r="T27" s="13"/>
      <c r="U27" s="79"/>
      <c r="V27"/>
      <c r="W27"/>
    </row>
    <row r="28" spans="1:23">
      <c r="A28" s="90" t="s">
        <v>820</v>
      </c>
      <c r="B28" s="90" t="s">
        <v>415</v>
      </c>
      <c r="C28" s="90">
        <v>-8.9999999999999993E-3</v>
      </c>
      <c r="D28" s="90"/>
      <c r="E28" s="90"/>
      <c r="F28" s="90"/>
      <c r="G28" s="90"/>
      <c r="J28" s="10" t="s">
        <v>14</v>
      </c>
      <c r="K28" s="5">
        <f>MAX(K11:K26)</f>
        <v>417.346</v>
      </c>
      <c r="L28" s="15">
        <f>K28*2</f>
        <v>834.69200000000001</v>
      </c>
      <c r="M28" s="15" t="str">
        <f>IF(K28&gt;M26, "O/Max "&amp;TEXT(2*K28-2*M26, "0.000"), "-")</f>
        <v>-</v>
      </c>
      <c r="N28" s="5"/>
      <c r="P28" s="19" t="s">
        <v>60</v>
      </c>
      <c r="Q28" s="19" t="str">
        <f>M28</f>
        <v>-</v>
      </c>
      <c r="R28" s="19"/>
    </row>
    <row r="29" spans="1:23">
      <c r="A29" s="121" t="s">
        <v>821</v>
      </c>
      <c r="B29" s="90" t="s">
        <v>417</v>
      </c>
      <c r="C29" s="90">
        <v>-66.475999999999999</v>
      </c>
      <c r="D29" s="90"/>
      <c r="E29" s="90"/>
      <c r="F29" s="90"/>
      <c r="G29" s="90"/>
      <c r="J29" s="10" t="s">
        <v>15</v>
      </c>
      <c r="K29" s="15">
        <f>MIN(K11:K26)</f>
        <v>417.21800000479368</v>
      </c>
      <c r="L29" s="15">
        <f>K29*2</f>
        <v>834.43600000958736</v>
      </c>
      <c r="M29" s="15" t="str">
        <f>IF(K29&lt;L26, "U/Min "&amp;TEXT(2*L26-2*K29, "0.000"), "-")</f>
        <v>U/Min 0.028</v>
      </c>
      <c r="N29" s="5"/>
      <c r="P29" s="19" t="s">
        <v>62</v>
      </c>
      <c r="Q29" s="19" t="str">
        <f>M29</f>
        <v>U/Min 0.028</v>
      </c>
      <c r="R29" s="19"/>
    </row>
    <row r="30" spans="1:23">
      <c r="A30" s="90" t="s">
        <v>412</v>
      </c>
      <c r="B30" s="90" t="s">
        <v>413</v>
      </c>
      <c r="C30" s="90">
        <v>417.25900000000001</v>
      </c>
      <c r="D30" s="90"/>
      <c r="E30" s="90"/>
      <c r="F30" s="90"/>
      <c r="G30" s="90"/>
      <c r="J30" s="17" t="s">
        <v>17</v>
      </c>
      <c r="K30" s="16">
        <f>AVERAGE(K11:K26)*2</f>
        <v>834.57175002726046</v>
      </c>
      <c r="L30" s="15"/>
      <c r="M30" s="15" t="str">
        <f>IF(K30&gt;M6, "O/Max "&amp;TEXT(K30-M6, "0.000"), IF(K30&lt;M7, "U/Min "&amp;TEXT(M7-K30, "0.000"), "-"))</f>
        <v>-</v>
      </c>
      <c r="N30" s="5"/>
      <c r="P30" s="19" t="s">
        <v>18</v>
      </c>
      <c r="Q30" s="19" t="str">
        <f>M31</f>
        <v>-</v>
      </c>
      <c r="R30" s="19"/>
    </row>
    <row r="31" spans="1:23">
      <c r="A31" s="90" t="s">
        <v>822</v>
      </c>
      <c r="B31" s="90" t="s">
        <v>415</v>
      </c>
      <c r="C31" s="90">
        <v>0</v>
      </c>
      <c r="D31" s="90"/>
      <c r="E31" s="90"/>
      <c r="F31" s="90"/>
      <c r="G31" s="90"/>
      <c r="J31" s="10" t="s">
        <v>18</v>
      </c>
      <c r="K31" s="18">
        <f>K28-K29</f>
        <v>0.12799999520632355</v>
      </c>
      <c r="L31" s="15"/>
      <c r="M31" s="15" t="str">
        <f>IF(K31&gt;0.13, "O/Max "&amp;TEXT(K31-0.13, "0.000"), "-")</f>
        <v>-</v>
      </c>
      <c r="N31" s="5" t="s">
        <v>20</v>
      </c>
    </row>
    <row r="32" spans="1:23">
      <c r="A32" s="121" t="s">
        <v>823</v>
      </c>
      <c r="B32" s="90" t="s">
        <v>417</v>
      </c>
      <c r="C32" s="90">
        <v>-66.474999999999994</v>
      </c>
      <c r="D32" s="90"/>
      <c r="E32" s="90"/>
      <c r="F32" s="90"/>
      <c r="G32" s="90"/>
      <c r="S32" s="34" t="s">
        <v>162</v>
      </c>
    </row>
    <row r="33" spans="1:43">
      <c r="A33" s="90" t="s">
        <v>412</v>
      </c>
      <c r="B33" s="90" t="s">
        <v>413</v>
      </c>
      <c r="C33" s="90">
        <v>417.28899999999999</v>
      </c>
      <c r="D33" s="90"/>
      <c r="E33" s="90"/>
      <c r="F33" s="90"/>
      <c r="G33" s="90"/>
      <c r="J33" s="5" t="s">
        <v>163</v>
      </c>
      <c r="K33" s="5"/>
      <c r="L33" s="5"/>
      <c r="M33" s="5" t="s">
        <v>52</v>
      </c>
      <c r="N33" s="5">
        <f>360/23</f>
        <v>15.652173913043478</v>
      </c>
      <c r="O33" s="9" t="s">
        <v>24</v>
      </c>
      <c r="P33" s="5" t="s">
        <v>26</v>
      </c>
      <c r="Q33" s="5">
        <f>'242'!$Q$33</f>
        <v>-6.51</v>
      </c>
      <c r="R33" s="9" t="s">
        <v>24</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c r="AQ33" s="5"/>
    </row>
    <row r="34" spans="1:43">
      <c r="A34" s="90" t="s">
        <v>824</v>
      </c>
      <c r="B34" s="90" t="s">
        <v>415</v>
      </c>
      <c r="C34" s="90">
        <v>5.0000000000000001E-3</v>
      </c>
      <c r="D34" s="90"/>
      <c r="E34" s="90"/>
      <c r="F34" s="90"/>
      <c r="G34" s="90"/>
      <c r="J34" s="5"/>
      <c r="K34" s="9" t="s">
        <v>53</v>
      </c>
      <c r="L34" s="5"/>
      <c r="M34" s="9" t="s">
        <v>29</v>
      </c>
      <c r="N34" s="9" t="s">
        <v>31</v>
      </c>
      <c r="O34" s="9" t="s">
        <v>33</v>
      </c>
      <c r="P34" s="9" t="s">
        <v>35</v>
      </c>
      <c r="Q34" s="9" t="s">
        <v>36</v>
      </c>
      <c r="R34" s="5"/>
      <c r="S34" s="20" t="str">
        <f ca="1">CONCATENATE($S$32, "#", OFFSET($J$35, S33, 0))</f>
        <v>Stg.3 Shroud Aft#1</v>
      </c>
      <c r="T34" s="20" t="str">
        <f t="shared" ref="T34:AO34" ca="1" si="6">CONCATENATE($S$32, "#", OFFSET($J$35, T33, 0))</f>
        <v>Stg.3 Shroud Aft#23</v>
      </c>
      <c r="U34" s="20" t="str">
        <f t="shared" ca="1" si="6"/>
        <v>Stg.3 Shroud Aft#22</v>
      </c>
      <c r="V34" s="20" t="str">
        <f t="shared" ca="1" si="6"/>
        <v>Stg.3 Shroud Aft#21</v>
      </c>
      <c r="W34" s="20" t="str">
        <f t="shared" ca="1" si="6"/>
        <v>Stg.3 Shroud Aft#20</v>
      </c>
      <c r="X34" s="20" t="str">
        <f t="shared" ca="1" si="6"/>
        <v>Stg.3 Shroud Aft#19</v>
      </c>
      <c r="Y34" s="20" t="str">
        <f t="shared" ca="1" si="6"/>
        <v>Stg.3 Shroud Aft#18</v>
      </c>
      <c r="Z34" s="20" t="str">
        <f t="shared" ca="1" si="6"/>
        <v>Stg.3 Shroud Aft#17</v>
      </c>
      <c r="AA34" s="20" t="str">
        <f t="shared" ca="1" si="6"/>
        <v>Stg.3 Shroud Aft#16</v>
      </c>
      <c r="AB34" s="20" t="str">
        <f t="shared" ca="1" si="6"/>
        <v>Stg.3 Shroud Aft#15</v>
      </c>
      <c r="AC34" s="20" t="str">
        <f t="shared" ca="1" si="6"/>
        <v>Stg.3 Shroud Aft#14</v>
      </c>
      <c r="AD34" s="20" t="str">
        <f t="shared" ca="1" si="6"/>
        <v>Stg.3 Shroud Aft#13</v>
      </c>
      <c r="AE34" s="20" t="str">
        <f t="shared" ca="1" si="6"/>
        <v>Stg.3 Shroud Aft#12</v>
      </c>
      <c r="AF34" s="20" t="str">
        <f t="shared" ca="1" si="6"/>
        <v>Stg.3 Shroud Aft#11</v>
      </c>
      <c r="AG34" s="20" t="str">
        <f t="shared" ca="1" si="6"/>
        <v>Stg.3 Shroud Aft#10</v>
      </c>
      <c r="AH34" s="20" t="str">
        <f t="shared" ca="1" si="6"/>
        <v>Stg.3 Shroud Aft#9</v>
      </c>
      <c r="AI34" s="20" t="str">
        <f t="shared" ca="1" si="6"/>
        <v>Stg.3 Shroud Aft#8</v>
      </c>
      <c r="AJ34" s="20" t="str">
        <f t="shared" ca="1" si="6"/>
        <v>Stg.3 Shroud Aft#7</v>
      </c>
      <c r="AK34" s="20" t="str">
        <f t="shared" ca="1" si="6"/>
        <v>Stg.3 Shroud Aft#6</v>
      </c>
      <c r="AL34" s="20" t="str">
        <f t="shared" ca="1" si="6"/>
        <v>Stg.3 Shroud Aft#5</v>
      </c>
      <c r="AM34" s="20" t="str">
        <f t="shared" ca="1" si="6"/>
        <v>Stg.3 Shroud Aft#4</v>
      </c>
      <c r="AN34" s="20" t="str">
        <f t="shared" ca="1" si="6"/>
        <v>Stg.3 Shroud Aft#3</v>
      </c>
      <c r="AO34" s="20" t="str">
        <f t="shared" ca="1" si="6"/>
        <v>Stg.3 Shroud Aft#2</v>
      </c>
      <c r="AP34" s="20" t="s">
        <v>38</v>
      </c>
      <c r="AQ34" s="20" t="s">
        <v>164</v>
      </c>
    </row>
    <row r="35" spans="1:43">
      <c r="A35" s="121" t="s">
        <v>825</v>
      </c>
      <c r="B35" s="90" t="s">
        <v>417</v>
      </c>
      <c r="C35" s="90">
        <v>-66.475999999999999</v>
      </c>
      <c r="D35" s="90"/>
      <c r="E35" s="90"/>
      <c r="F35" s="90"/>
      <c r="G35" s="90"/>
      <c r="J35" s="9" t="s">
        <v>165</v>
      </c>
      <c r="K35" s="9" t="s">
        <v>11</v>
      </c>
      <c r="L35" s="9" t="s">
        <v>166</v>
      </c>
      <c r="M35" s="9" t="s">
        <v>94</v>
      </c>
      <c r="N35" s="9" t="s">
        <v>144</v>
      </c>
      <c r="O35" s="9" t="s">
        <v>92</v>
      </c>
      <c r="P35" s="9" t="s">
        <v>167</v>
      </c>
      <c r="Q35" s="9" t="s">
        <v>168</v>
      </c>
      <c r="R35" s="5"/>
      <c r="S35" s="21"/>
      <c r="T35" s="21"/>
      <c r="U35" s="21"/>
      <c r="V35" s="21"/>
      <c r="W35" s="21"/>
      <c r="X35" s="21"/>
      <c r="Y35" s="21"/>
      <c r="Z35" s="21"/>
      <c r="AA35" s="21"/>
      <c r="AB35" s="21"/>
      <c r="AC35" s="21"/>
      <c r="AD35" s="21"/>
      <c r="AE35" s="21"/>
      <c r="AF35" s="21"/>
      <c r="AG35" s="21"/>
      <c r="AH35" s="21"/>
      <c r="AI35" s="21"/>
      <c r="AJ35" s="21"/>
      <c r="AK35" s="21"/>
      <c r="AL35" s="21"/>
      <c r="AM35" s="21"/>
      <c r="AN35" s="21"/>
      <c r="AO35" s="21"/>
      <c r="AP35" s="22" t="s">
        <v>59</v>
      </c>
      <c r="AQ35" s="22" t="s">
        <v>59</v>
      </c>
    </row>
    <row r="36" spans="1:43">
      <c r="A36" s="90" t="s">
        <v>412</v>
      </c>
      <c r="B36" s="90" t="s">
        <v>413</v>
      </c>
      <c r="C36" s="90">
        <v>417.29399999999998</v>
      </c>
      <c r="D36" s="90"/>
      <c r="E36" s="90"/>
      <c r="F36" s="90"/>
      <c r="G36" s="90"/>
      <c r="J36" s="5">
        <v>1</v>
      </c>
      <c r="K36" s="23">
        <f>IF(Q33&lt;0, 360+$Q$33, $Q$33)</f>
        <v>353.49</v>
      </c>
      <c r="L36" s="24">
        <f>MATCH($K36, $I$11:$I$27, 1)</f>
        <v>16</v>
      </c>
      <c r="M36" s="5">
        <f>VLOOKUP(L36, $H$11:$K$27, 4, FALSE)</f>
        <v>417.21800000479368</v>
      </c>
      <c r="N36" s="25">
        <f>(VLOOKUP(L36+1, $H$11:$K$27, 4, FALSE) - VLOOKUP(L36, $H$11:$K$27, 4, FALSE))/(VLOOKUP(L36+1, $H$11:$K$27, 2, FALSE) - VLOOKUP(L36, $H$11:$K$27, 2, FALSE))</f>
        <v>2.0444442313924407E-3</v>
      </c>
      <c r="O36" s="26">
        <f>K36-VLOOKUP(L36, $H$11:$I$27, 2, FALSE)</f>
        <v>15.990000000000009</v>
      </c>
      <c r="P36" s="27">
        <f>M36+N36*O36</f>
        <v>417.25069066805366</v>
      </c>
      <c r="Q36" s="27">
        <f>(P36+P58)/2</f>
        <v>417.23469066972098</v>
      </c>
      <c r="R36" s="5"/>
      <c r="S36" s="28">
        <f>Q36</f>
        <v>417.23469066972098</v>
      </c>
      <c r="T36" s="29"/>
      <c r="U36" s="29"/>
      <c r="V36" s="29"/>
      <c r="W36" s="29"/>
      <c r="X36" s="29"/>
      <c r="Y36" s="29"/>
      <c r="Z36" s="29"/>
      <c r="AA36" s="29"/>
      <c r="AB36" s="29"/>
      <c r="AC36" s="29"/>
      <c r="AD36" s="29"/>
      <c r="AE36" s="29"/>
      <c r="AF36" s="29"/>
      <c r="AG36" s="29"/>
      <c r="AH36" s="29"/>
      <c r="AI36" s="29"/>
      <c r="AJ36" s="28"/>
      <c r="AK36" s="28"/>
      <c r="AL36" s="28"/>
      <c r="AM36" s="28"/>
      <c r="AN36" s="28"/>
      <c r="AO36" s="28">
        <f>AO58</f>
        <v>417.22345011906833</v>
      </c>
      <c r="AP36" s="29">
        <f>M$7/2</f>
        <v>417.26800000000003</v>
      </c>
      <c r="AQ36" s="29">
        <f>M$6/2</f>
        <v>417.33199999999999</v>
      </c>
    </row>
    <row r="37" spans="1:43">
      <c r="A37" s="90" t="s">
        <v>826</v>
      </c>
      <c r="B37" s="90" t="s">
        <v>415</v>
      </c>
      <c r="C37" s="90">
        <v>-1E-3</v>
      </c>
      <c r="D37" s="90"/>
      <c r="E37" s="90"/>
      <c r="F37" s="90"/>
      <c r="G37" s="90"/>
      <c r="J37" s="5">
        <v>23</v>
      </c>
      <c r="K37" s="23">
        <f>IF(K36+$N$33&gt;360, K36+$N$33-360, K36+$N$33)</f>
        <v>9.1421739130435071</v>
      </c>
      <c r="L37" s="24">
        <f t="shared" ref="L37:L58" si="7">MATCH($K37, $I$11:$I$27, 1)</f>
        <v>1</v>
      </c>
      <c r="M37" s="5">
        <f t="shared" ref="M37:M57" si="8">VLOOKUP(L37, $H$11:$K$27, 4, FALSE)</f>
        <v>417.26400000000001</v>
      </c>
      <c r="N37" s="25">
        <f t="shared" ref="N37:N58" si="9">(VLOOKUP(L37+1, $H$11:$K$27, 4, FALSE) - VLOOKUP(L37, $H$11:$K$27, 4, FALSE))/(VLOOKUP(L37+1, $H$11:$K$27, 2, FALSE) - VLOOKUP(L37, $H$11:$K$27, 2, FALSE))</f>
        <v>1.6000034081520829E-3</v>
      </c>
      <c r="O37" s="26">
        <f t="shared" ref="O37:O58" si="10">K37-VLOOKUP(L37, $H$11:$I$27, 2, FALSE)</f>
        <v>9.1421739130435071</v>
      </c>
      <c r="P37" s="27">
        <f t="shared" ref="P37:P58" si="11">M37+N37*O37</f>
        <v>417.27862750941881</v>
      </c>
      <c r="Q37" s="27">
        <f>(P36+P37)/2</f>
        <v>417.26465908873627</v>
      </c>
      <c r="R37" s="5"/>
      <c r="S37" s="30">
        <f>S36</f>
        <v>417.23469066972098</v>
      </c>
      <c r="T37" s="30">
        <f>Q37</f>
        <v>417.26465908873627</v>
      </c>
      <c r="U37" s="21"/>
      <c r="V37" s="21"/>
      <c r="W37" s="21"/>
      <c r="X37" s="21"/>
      <c r="Y37" s="21"/>
      <c r="Z37" s="21"/>
      <c r="AA37" s="21"/>
      <c r="AB37" s="21"/>
      <c r="AC37" s="21"/>
      <c r="AD37" s="21"/>
      <c r="AE37" s="21"/>
      <c r="AF37" s="21"/>
      <c r="AG37" s="21"/>
      <c r="AH37" s="21"/>
      <c r="AI37" s="21"/>
      <c r="AJ37" s="21"/>
      <c r="AK37" s="21"/>
      <c r="AL37" s="21"/>
      <c r="AM37" s="21"/>
      <c r="AN37" s="21"/>
      <c r="AO37" s="21"/>
      <c r="AP37" s="21">
        <f t="shared" ref="AP37:AP58" si="12">M$7/2</f>
        <v>417.26800000000003</v>
      </c>
      <c r="AQ37" s="21">
        <f t="shared" ref="AQ37:AQ58" si="13">M$6/2</f>
        <v>417.33199999999999</v>
      </c>
    </row>
    <row r="38" spans="1:43">
      <c r="A38" s="121" t="s">
        <v>827</v>
      </c>
      <c r="B38" s="90" t="s">
        <v>417</v>
      </c>
      <c r="C38" s="90">
        <v>-66.474999999999994</v>
      </c>
      <c r="D38" s="90"/>
      <c r="E38" s="90"/>
      <c r="F38" s="90"/>
      <c r="G38" s="90"/>
      <c r="J38" s="5">
        <v>22</v>
      </c>
      <c r="K38" s="23">
        <f t="shared" ref="K38:K58" si="14">IF(K37+$N$33&gt;360, K37+$N$33-360, K37+$N$33)</f>
        <v>24.794347826086984</v>
      </c>
      <c r="L38" s="24">
        <f t="shared" si="7"/>
        <v>2</v>
      </c>
      <c r="M38" s="5">
        <f t="shared" si="8"/>
        <v>417.30000007668343</v>
      </c>
      <c r="N38" s="25">
        <f t="shared" si="9"/>
        <v>3.5555220065361934E-4</v>
      </c>
      <c r="O38" s="26">
        <f t="shared" si="10"/>
        <v>2.2943478260869838</v>
      </c>
      <c r="P38" s="27">
        <f t="shared" si="11"/>
        <v>417.30081583710205</v>
      </c>
      <c r="Q38" s="27">
        <f t="shared" ref="Q38:Q58" si="15">(P37+P38)/2</f>
        <v>417.28972167326043</v>
      </c>
      <c r="R38" s="5"/>
      <c r="S38" s="21"/>
      <c r="T38" s="30">
        <f>T37</f>
        <v>417.26465908873627</v>
      </c>
      <c r="U38" s="30">
        <f>Q38</f>
        <v>417.28972167326043</v>
      </c>
      <c r="V38" s="21"/>
      <c r="W38" s="21"/>
      <c r="X38" s="21"/>
      <c r="Y38" s="21"/>
      <c r="Z38" s="21"/>
      <c r="AA38" s="21"/>
      <c r="AB38" s="21"/>
      <c r="AC38" s="21"/>
      <c r="AD38" s="21"/>
      <c r="AE38" s="21"/>
      <c r="AF38" s="21"/>
      <c r="AG38" s="21"/>
      <c r="AH38" s="21"/>
      <c r="AI38" s="21"/>
      <c r="AJ38" s="21"/>
      <c r="AK38" s="21"/>
      <c r="AL38" s="21"/>
      <c r="AM38" s="21"/>
      <c r="AN38" s="21"/>
      <c r="AO38" s="21"/>
      <c r="AP38" s="21">
        <f t="shared" si="12"/>
        <v>417.26800000000003</v>
      </c>
      <c r="AQ38" s="21">
        <f t="shared" si="13"/>
        <v>417.33199999999999</v>
      </c>
    </row>
    <row r="39" spans="1:43">
      <c r="A39" s="90" t="s">
        <v>412</v>
      </c>
      <c r="B39" s="90" t="s">
        <v>413</v>
      </c>
      <c r="C39" s="90">
        <v>417.30900000000003</v>
      </c>
      <c r="D39" s="90"/>
      <c r="E39" s="90"/>
      <c r="F39" s="90"/>
      <c r="G39" s="90"/>
      <c r="J39" s="5">
        <v>21</v>
      </c>
      <c r="K39" s="23">
        <f t="shared" si="14"/>
        <v>40.446521739130461</v>
      </c>
      <c r="L39" s="24">
        <f t="shared" si="7"/>
        <v>2</v>
      </c>
      <c r="M39" s="5">
        <f t="shared" si="8"/>
        <v>417.30000007668343</v>
      </c>
      <c r="N39" s="25">
        <f t="shared" si="9"/>
        <v>3.5555220065361934E-4</v>
      </c>
      <c r="O39" s="26">
        <f t="shared" si="10"/>
        <v>17.946521739130461</v>
      </c>
      <c r="P39" s="27">
        <f t="shared" si="11"/>
        <v>417.30638100198183</v>
      </c>
      <c r="Q39" s="27">
        <f t="shared" si="15"/>
        <v>417.30359841954191</v>
      </c>
      <c r="R39" s="5"/>
      <c r="S39" s="21"/>
      <c r="T39" s="21"/>
      <c r="U39" s="30">
        <f>U38</f>
        <v>417.28972167326043</v>
      </c>
      <c r="V39" s="30">
        <f>Q39</f>
        <v>417.30359841954191</v>
      </c>
      <c r="W39" s="21"/>
      <c r="X39" s="21"/>
      <c r="Y39" s="21"/>
      <c r="Z39" s="21"/>
      <c r="AA39" s="21"/>
      <c r="AB39" s="21"/>
      <c r="AC39" s="21"/>
      <c r="AD39" s="21"/>
      <c r="AE39" s="21"/>
      <c r="AF39" s="21"/>
      <c r="AG39" s="21"/>
      <c r="AH39" s="21"/>
      <c r="AI39" s="21"/>
      <c r="AJ39" s="21"/>
      <c r="AK39" s="21"/>
      <c r="AL39" s="21"/>
      <c r="AM39" s="21"/>
      <c r="AN39" s="21"/>
      <c r="AO39" s="21"/>
      <c r="AP39" s="21">
        <f t="shared" si="12"/>
        <v>417.26800000000003</v>
      </c>
      <c r="AQ39" s="21">
        <f t="shared" si="13"/>
        <v>417.33199999999999</v>
      </c>
    </row>
    <row r="40" spans="1:43">
      <c r="A40" s="90" t="s">
        <v>828</v>
      </c>
      <c r="B40" s="90" t="s">
        <v>415</v>
      </c>
      <c r="C40" s="90">
        <v>0</v>
      </c>
      <c r="D40" s="90"/>
      <c r="E40" s="90"/>
      <c r="F40" s="90"/>
      <c r="G40" s="90"/>
      <c r="J40" s="5">
        <v>20</v>
      </c>
      <c r="K40" s="23">
        <f t="shared" si="14"/>
        <v>56.098695652173937</v>
      </c>
      <c r="L40" s="24">
        <f t="shared" si="7"/>
        <v>3</v>
      </c>
      <c r="M40" s="5">
        <f t="shared" si="8"/>
        <v>417.30800000119814</v>
      </c>
      <c r="N40" s="25">
        <f t="shared" si="9"/>
        <v>-5.7777761801642354E-4</v>
      </c>
      <c r="O40" s="26">
        <f t="shared" si="10"/>
        <v>11.098695652173937</v>
      </c>
      <c r="P40" s="27">
        <f t="shared" si="11"/>
        <v>417.30158742326114</v>
      </c>
      <c r="Q40" s="27">
        <f t="shared" si="15"/>
        <v>417.30398421262146</v>
      </c>
      <c r="R40" s="5"/>
      <c r="S40" s="21"/>
      <c r="T40" s="21"/>
      <c r="U40" s="21"/>
      <c r="V40" s="30">
        <f>V39</f>
        <v>417.30359841954191</v>
      </c>
      <c r="W40" s="30">
        <f>Q40</f>
        <v>417.30398421262146</v>
      </c>
      <c r="X40" s="21"/>
      <c r="Y40" s="21"/>
      <c r="Z40" s="21"/>
      <c r="AA40" s="21"/>
      <c r="AB40" s="21"/>
      <c r="AC40" s="21"/>
      <c r="AD40" s="21"/>
      <c r="AE40" s="21"/>
      <c r="AF40" s="21"/>
      <c r="AG40" s="21"/>
      <c r="AH40" s="21"/>
      <c r="AI40" s="21"/>
      <c r="AJ40" s="21"/>
      <c r="AK40" s="21"/>
      <c r="AL40" s="21"/>
      <c r="AM40" s="21"/>
      <c r="AN40" s="21"/>
      <c r="AO40" s="21"/>
      <c r="AP40" s="21">
        <f t="shared" si="12"/>
        <v>417.26800000000003</v>
      </c>
      <c r="AQ40" s="21">
        <f t="shared" si="13"/>
        <v>417.33199999999999</v>
      </c>
    </row>
    <row r="41" spans="1:43">
      <c r="A41" s="121" t="s">
        <v>829</v>
      </c>
      <c r="B41" s="90" t="s">
        <v>417</v>
      </c>
      <c r="C41" s="90">
        <v>-66.474999999999994</v>
      </c>
      <c r="D41" s="90"/>
      <c r="E41" s="90"/>
      <c r="F41" s="90"/>
      <c r="G41" s="90"/>
      <c r="J41" s="5">
        <v>19</v>
      </c>
      <c r="K41" s="23">
        <f t="shared" si="14"/>
        <v>71.750869565217414</v>
      </c>
      <c r="L41" s="24">
        <f t="shared" si="7"/>
        <v>4</v>
      </c>
      <c r="M41" s="5">
        <f t="shared" si="8"/>
        <v>417.29500000479277</v>
      </c>
      <c r="N41" s="25">
        <f t="shared" si="9"/>
        <v>1.3333312032146852E-4</v>
      </c>
      <c r="O41" s="26">
        <f t="shared" si="10"/>
        <v>4.250869565217414</v>
      </c>
      <c r="P41" s="27">
        <f t="shared" si="11"/>
        <v>417.29556678649595</v>
      </c>
      <c r="Q41" s="27">
        <f t="shared" si="15"/>
        <v>417.29857710487852</v>
      </c>
      <c r="R41" s="5"/>
      <c r="S41" s="21"/>
      <c r="T41" s="21"/>
      <c r="U41" s="21"/>
      <c r="V41" s="21"/>
      <c r="W41" s="30">
        <f>W40</f>
        <v>417.30398421262146</v>
      </c>
      <c r="X41" s="30">
        <f>Q41</f>
        <v>417.29857710487852</v>
      </c>
      <c r="Y41" s="21"/>
      <c r="Z41" s="21"/>
      <c r="AA41" s="21"/>
      <c r="AB41" s="21"/>
      <c r="AC41" s="21"/>
      <c r="AD41" s="21"/>
      <c r="AE41" s="21"/>
      <c r="AF41" s="21"/>
      <c r="AG41" s="21"/>
      <c r="AH41" s="21"/>
      <c r="AI41" s="21"/>
      <c r="AJ41" s="21"/>
      <c r="AK41" s="21"/>
      <c r="AL41" s="21"/>
      <c r="AM41" s="21"/>
      <c r="AN41" s="21"/>
      <c r="AO41" s="21"/>
      <c r="AP41" s="21">
        <f t="shared" si="12"/>
        <v>417.26800000000003</v>
      </c>
      <c r="AQ41" s="21">
        <f t="shared" si="13"/>
        <v>417.33199999999999</v>
      </c>
    </row>
    <row r="42" spans="1:43">
      <c r="A42" s="90" t="s">
        <v>412</v>
      </c>
      <c r="B42" s="90" t="s">
        <v>413</v>
      </c>
      <c r="C42" s="90">
        <v>417.298</v>
      </c>
      <c r="D42" s="90"/>
      <c r="E42" s="90"/>
      <c r="F42" s="90"/>
      <c r="G42" s="90"/>
      <c r="J42" s="5">
        <v>18</v>
      </c>
      <c r="K42" s="23">
        <f t="shared" si="14"/>
        <v>87.403043478260898</v>
      </c>
      <c r="L42" s="24">
        <f t="shared" si="7"/>
        <v>4</v>
      </c>
      <c r="M42" s="5">
        <f t="shared" si="8"/>
        <v>417.29500000479277</v>
      </c>
      <c r="N42" s="25">
        <f t="shared" si="9"/>
        <v>1.3333312032146852E-4</v>
      </c>
      <c r="O42" s="26">
        <f t="shared" si="10"/>
        <v>19.903043478260898</v>
      </c>
      <c r="P42" s="27">
        <f t="shared" si="11"/>
        <v>417.2976537396836</v>
      </c>
      <c r="Q42" s="27">
        <f t="shared" si="15"/>
        <v>417.29661026308975</v>
      </c>
      <c r="R42" s="5"/>
      <c r="S42" s="21"/>
      <c r="T42" s="21"/>
      <c r="U42" s="21"/>
      <c r="V42" s="21"/>
      <c r="W42" s="21"/>
      <c r="X42" s="30">
        <f>X41</f>
        <v>417.29857710487852</v>
      </c>
      <c r="Y42" s="30">
        <f>Q42</f>
        <v>417.29661026308975</v>
      </c>
      <c r="Z42" s="21"/>
      <c r="AA42" s="21"/>
      <c r="AB42" s="21"/>
      <c r="AC42" s="21"/>
      <c r="AD42" s="21"/>
      <c r="AE42" s="21"/>
      <c r="AF42" s="21"/>
      <c r="AG42" s="21"/>
      <c r="AH42" s="21"/>
      <c r="AI42" s="21"/>
      <c r="AJ42" s="21"/>
      <c r="AK42" s="21"/>
      <c r="AL42" s="21"/>
      <c r="AM42" s="21"/>
      <c r="AN42" s="21"/>
      <c r="AO42" s="21"/>
      <c r="AP42" s="21">
        <f t="shared" si="12"/>
        <v>417.26800000000003</v>
      </c>
      <c r="AQ42" s="21">
        <f t="shared" si="13"/>
        <v>417.33199999999999</v>
      </c>
    </row>
    <row r="43" spans="1:43">
      <c r="A43" s="90" t="s">
        <v>830</v>
      </c>
      <c r="B43" s="90" t="s">
        <v>415</v>
      </c>
      <c r="C43" s="90">
        <v>0</v>
      </c>
      <c r="D43" s="90"/>
      <c r="E43" s="90"/>
      <c r="F43" s="90"/>
      <c r="G43" s="90"/>
      <c r="J43" s="5">
        <v>17</v>
      </c>
      <c r="K43" s="23">
        <f t="shared" si="14"/>
        <v>103.05521739130438</v>
      </c>
      <c r="L43" s="24">
        <f t="shared" si="7"/>
        <v>5</v>
      </c>
      <c r="M43" s="5">
        <f t="shared" si="8"/>
        <v>417.298</v>
      </c>
      <c r="N43" s="25">
        <f t="shared" si="9"/>
        <v>4.8888888888996005E-4</v>
      </c>
      <c r="O43" s="26">
        <f t="shared" si="10"/>
        <v>13.055217391304382</v>
      </c>
      <c r="P43" s="27">
        <f t="shared" si="11"/>
        <v>417.30438255072465</v>
      </c>
      <c r="Q43" s="27">
        <f t="shared" si="15"/>
        <v>417.30101814520413</v>
      </c>
      <c r="R43" s="5"/>
      <c r="S43" s="21"/>
      <c r="T43" s="21"/>
      <c r="U43" s="21"/>
      <c r="V43" s="21"/>
      <c r="W43" s="21"/>
      <c r="X43" s="21"/>
      <c r="Y43" s="30">
        <f>Y42</f>
        <v>417.29661026308975</v>
      </c>
      <c r="Z43" s="30">
        <f>Q43</f>
        <v>417.30101814520413</v>
      </c>
      <c r="AA43" s="21"/>
      <c r="AB43" s="21"/>
      <c r="AC43" s="21"/>
      <c r="AD43" s="21"/>
      <c r="AE43" s="21"/>
      <c r="AF43" s="21"/>
      <c r="AG43" s="21"/>
      <c r="AH43" s="21"/>
      <c r="AI43" s="21"/>
      <c r="AJ43" s="21"/>
      <c r="AK43" s="21"/>
      <c r="AL43" s="21"/>
      <c r="AM43" s="21"/>
      <c r="AN43" s="21"/>
      <c r="AO43" s="21"/>
      <c r="AP43" s="21">
        <f t="shared" si="12"/>
        <v>417.26800000000003</v>
      </c>
      <c r="AQ43" s="21">
        <f t="shared" si="13"/>
        <v>417.33199999999999</v>
      </c>
    </row>
    <row r="44" spans="1:43">
      <c r="A44" s="121" t="s">
        <v>831</v>
      </c>
      <c r="B44" s="90" t="s">
        <v>417</v>
      </c>
      <c r="C44" s="90">
        <v>-66.474999999999994</v>
      </c>
      <c r="D44" s="90"/>
      <c r="E44" s="90"/>
      <c r="F44" s="90"/>
      <c r="G44" s="90"/>
      <c r="J44" s="5">
        <v>16</v>
      </c>
      <c r="K44" s="23">
        <f t="shared" si="14"/>
        <v>118.70739130434787</v>
      </c>
      <c r="L44" s="24">
        <f t="shared" si="7"/>
        <v>6</v>
      </c>
      <c r="M44" s="5">
        <f t="shared" si="8"/>
        <v>417.30900000000003</v>
      </c>
      <c r="N44" s="25">
        <f t="shared" si="9"/>
        <v>-6.666666134151455E-4</v>
      </c>
      <c r="O44" s="26">
        <f t="shared" si="10"/>
        <v>6.2073913043478655</v>
      </c>
      <c r="P44" s="27">
        <f t="shared" si="11"/>
        <v>417.30486173946099</v>
      </c>
      <c r="Q44" s="27">
        <f t="shared" si="15"/>
        <v>417.30462214509282</v>
      </c>
      <c r="R44" s="5"/>
      <c r="S44" s="21"/>
      <c r="T44" s="21"/>
      <c r="U44" s="21"/>
      <c r="V44" s="21"/>
      <c r="W44" s="21"/>
      <c r="X44" s="21"/>
      <c r="Y44" s="21"/>
      <c r="Z44" s="30">
        <f>Z43</f>
        <v>417.30101814520413</v>
      </c>
      <c r="AA44" s="30">
        <f>Q44</f>
        <v>417.30462214509282</v>
      </c>
      <c r="AB44" s="21"/>
      <c r="AC44" s="21"/>
      <c r="AD44" s="21"/>
      <c r="AE44" s="21"/>
      <c r="AF44" s="21"/>
      <c r="AG44" s="21"/>
      <c r="AH44" s="21"/>
      <c r="AI44" s="21"/>
      <c r="AJ44" s="21"/>
      <c r="AK44" s="21"/>
      <c r="AL44" s="21"/>
      <c r="AM44" s="21"/>
      <c r="AN44" s="21"/>
      <c r="AO44" s="21"/>
      <c r="AP44" s="21">
        <f t="shared" si="12"/>
        <v>417.26800000000003</v>
      </c>
      <c r="AQ44" s="21">
        <f t="shared" si="13"/>
        <v>417.33199999999999</v>
      </c>
    </row>
    <row r="45" spans="1:43">
      <c r="A45" s="90" t="s">
        <v>412</v>
      </c>
      <c r="B45" s="90" t="s">
        <v>413</v>
      </c>
      <c r="C45" s="90">
        <v>417.29500000000002</v>
      </c>
      <c r="D45" s="90"/>
      <c r="E45" s="90"/>
      <c r="F45" s="90"/>
      <c r="G45" s="90"/>
      <c r="J45" s="5">
        <v>15</v>
      </c>
      <c r="K45" s="23">
        <f t="shared" si="14"/>
        <v>134.35956521739135</v>
      </c>
      <c r="L45" s="24">
        <f t="shared" si="7"/>
        <v>6</v>
      </c>
      <c r="M45" s="5">
        <f t="shared" si="8"/>
        <v>417.30900000000003</v>
      </c>
      <c r="N45" s="25">
        <f t="shared" si="9"/>
        <v>-6.666666134151455E-4</v>
      </c>
      <c r="O45" s="26">
        <f t="shared" si="10"/>
        <v>21.859565217391349</v>
      </c>
      <c r="P45" s="27">
        <f t="shared" si="11"/>
        <v>417.2944269576858</v>
      </c>
      <c r="Q45" s="27">
        <f t="shared" si="15"/>
        <v>417.29964434857339</v>
      </c>
      <c r="R45" s="5"/>
      <c r="S45" s="21"/>
      <c r="T45" s="21"/>
      <c r="U45" s="21"/>
      <c r="V45" s="21"/>
      <c r="W45" s="21"/>
      <c r="X45" s="21"/>
      <c r="Y45" s="21"/>
      <c r="Z45" s="21"/>
      <c r="AA45" s="30">
        <f>AA44</f>
        <v>417.30462214509282</v>
      </c>
      <c r="AB45" s="30">
        <f>Q45</f>
        <v>417.29964434857339</v>
      </c>
      <c r="AC45" s="21"/>
      <c r="AD45" s="21"/>
      <c r="AE45" s="21"/>
      <c r="AF45" s="21"/>
      <c r="AG45" s="21"/>
      <c r="AH45" s="21"/>
      <c r="AI45" s="21"/>
      <c r="AJ45" s="21"/>
      <c r="AK45" s="21"/>
      <c r="AL45" s="21"/>
      <c r="AM45" s="21"/>
      <c r="AN45" s="21"/>
      <c r="AO45" s="21"/>
      <c r="AP45" s="21">
        <f t="shared" si="12"/>
        <v>417.26800000000003</v>
      </c>
      <c r="AQ45" s="21">
        <f t="shared" si="13"/>
        <v>417.33199999999999</v>
      </c>
    </row>
    <row r="46" spans="1:43">
      <c r="A46" s="90" t="s">
        <v>832</v>
      </c>
      <c r="B46" s="90" t="s">
        <v>415</v>
      </c>
      <c r="C46" s="90">
        <v>2E-3</v>
      </c>
      <c r="D46" s="90"/>
      <c r="E46" s="90"/>
      <c r="F46" s="90"/>
      <c r="G46" s="90"/>
      <c r="J46" s="5">
        <v>14</v>
      </c>
      <c r="K46" s="23">
        <f t="shared" si="14"/>
        <v>150.01173913043482</v>
      </c>
      <c r="L46" s="24">
        <f t="shared" si="7"/>
        <v>7</v>
      </c>
      <c r="M46" s="5">
        <f t="shared" si="8"/>
        <v>417.29400000119819</v>
      </c>
      <c r="N46" s="25">
        <f t="shared" si="9"/>
        <v>-2.2222094413185307E-4</v>
      </c>
      <c r="O46" s="26">
        <f t="shared" si="10"/>
        <v>15.011739130434819</v>
      </c>
      <c r="P46" s="27">
        <f t="shared" si="11"/>
        <v>417.29066407835558</v>
      </c>
      <c r="Q46" s="27">
        <f t="shared" si="15"/>
        <v>417.29254551802069</v>
      </c>
      <c r="R46" s="5"/>
      <c r="S46" s="21"/>
      <c r="T46" s="21"/>
      <c r="U46" s="21"/>
      <c r="V46" s="21"/>
      <c r="W46" s="21"/>
      <c r="X46" s="21"/>
      <c r="Y46" s="21"/>
      <c r="Z46" s="21"/>
      <c r="AA46" s="21"/>
      <c r="AB46" s="30">
        <f>AB45</f>
        <v>417.29964434857339</v>
      </c>
      <c r="AC46" s="30">
        <f>Q46</f>
        <v>417.29254551802069</v>
      </c>
      <c r="AD46" s="21"/>
      <c r="AE46" s="21"/>
      <c r="AF46" s="21"/>
      <c r="AG46" s="21"/>
      <c r="AH46" s="21"/>
      <c r="AI46" s="21"/>
      <c r="AJ46" s="21"/>
      <c r="AK46" s="21"/>
      <c r="AL46" s="21"/>
      <c r="AM46" s="21"/>
      <c r="AN46" s="21"/>
      <c r="AO46" s="21"/>
      <c r="AP46" s="21">
        <f t="shared" si="12"/>
        <v>417.26800000000003</v>
      </c>
      <c r="AQ46" s="21">
        <f t="shared" si="13"/>
        <v>417.33199999999999</v>
      </c>
    </row>
    <row r="47" spans="1:43">
      <c r="A47" s="121" t="s">
        <v>833</v>
      </c>
      <c r="B47" s="90" t="s">
        <v>417</v>
      </c>
      <c r="C47" s="90">
        <v>-66.474999999999994</v>
      </c>
      <c r="D47" s="90"/>
      <c r="E47" s="90"/>
      <c r="F47" s="90"/>
      <c r="G47" s="90"/>
      <c r="J47" s="5">
        <v>13</v>
      </c>
      <c r="K47" s="23">
        <f t="shared" si="14"/>
        <v>165.66391304347829</v>
      </c>
      <c r="L47" s="24">
        <f t="shared" si="7"/>
        <v>8</v>
      </c>
      <c r="M47" s="5">
        <f t="shared" si="8"/>
        <v>417.28900002995522</v>
      </c>
      <c r="N47" s="25">
        <f t="shared" si="9"/>
        <v>-1.3333346646757288E-3</v>
      </c>
      <c r="O47" s="26">
        <f t="shared" si="10"/>
        <v>8.1639130434782885</v>
      </c>
      <c r="P47" s="27">
        <f t="shared" si="11"/>
        <v>417.27811480169493</v>
      </c>
      <c r="Q47" s="27">
        <f t="shared" si="15"/>
        <v>417.28438944002528</v>
      </c>
      <c r="R47" s="5"/>
      <c r="S47" s="21"/>
      <c r="T47" s="21"/>
      <c r="U47" s="21"/>
      <c r="V47" s="21"/>
      <c r="W47" s="21"/>
      <c r="X47" s="21"/>
      <c r="Y47" s="21"/>
      <c r="Z47" s="21"/>
      <c r="AA47" s="21"/>
      <c r="AB47" s="21"/>
      <c r="AC47" s="30">
        <f>AC46</f>
        <v>417.29254551802069</v>
      </c>
      <c r="AD47" s="30">
        <f>Q47</f>
        <v>417.28438944002528</v>
      </c>
      <c r="AE47" s="21"/>
      <c r="AF47" s="21"/>
      <c r="AG47" s="21"/>
      <c r="AH47" s="21"/>
      <c r="AI47" s="21"/>
      <c r="AJ47" s="21"/>
      <c r="AK47" s="21"/>
      <c r="AL47" s="21"/>
      <c r="AM47" s="21"/>
      <c r="AN47" s="21"/>
      <c r="AO47" s="21"/>
      <c r="AP47" s="21">
        <f t="shared" si="12"/>
        <v>417.26800000000003</v>
      </c>
      <c r="AQ47" s="21">
        <f t="shared" si="13"/>
        <v>417.33199999999999</v>
      </c>
    </row>
    <row r="48" spans="1:43">
      <c r="A48" s="90" t="s">
        <v>412</v>
      </c>
      <c r="B48" s="90" t="s">
        <v>413</v>
      </c>
      <c r="C48" s="90">
        <v>417.30799999999999</v>
      </c>
      <c r="D48" s="90"/>
      <c r="E48" s="90"/>
      <c r="F48" s="90"/>
      <c r="G48" s="90"/>
      <c r="J48" s="5">
        <v>12</v>
      </c>
      <c r="K48" s="23">
        <f t="shared" si="14"/>
        <v>181.31608695652176</v>
      </c>
      <c r="L48" s="24">
        <f t="shared" si="7"/>
        <v>9</v>
      </c>
      <c r="M48" s="5">
        <f t="shared" si="8"/>
        <v>417.25900000000001</v>
      </c>
      <c r="N48" s="25">
        <f t="shared" si="9"/>
        <v>-6.6666235264215684E-4</v>
      </c>
      <c r="O48" s="26">
        <f t="shared" si="10"/>
        <v>1.3160869565217581</v>
      </c>
      <c r="P48" s="27">
        <f t="shared" si="11"/>
        <v>417.25812261437329</v>
      </c>
      <c r="Q48" s="27">
        <f t="shared" si="15"/>
        <v>417.26811870803408</v>
      </c>
      <c r="R48" s="5"/>
      <c r="S48" s="21"/>
      <c r="T48" s="21"/>
      <c r="U48" s="21"/>
      <c r="V48" s="21"/>
      <c r="W48" s="21"/>
      <c r="X48" s="21"/>
      <c r="Y48" s="21"/>
      <c r="Z48" s="21"/>
      <c r="AA48" s="21"/>
      <c r="AB48" s="21"/>
      <c r="AC48" s="21"/>
      <c r="AD48" s="30">
        <f>AD47</f>
        <v>417.28438944002528</v>
      </c>
      <c r="AE48" s="30">
        <f>Q48</f>
        <v>417.26811870803408</v>
      </c>
      <c r="AF48" s="21"/>
      <c r="AG48" s="21"/>
      <c r="AH48" s="21"/>
      <c r="AI48" s="21"/>
      <c r="AJ48" s="21"/>
      <c r="AK48" s="21"/>
      <c r="AL48" s="21"/>
      <c r="AM48" s="21"/>
      <c r="AN48" s="21"/>
      <c r="AO48" s="21"/>
      <c r="AP48" s="21">
        <f t="shared" si="12"/>
        <v>417.26800000000003</v>
      </c>
      <c r="AQ48" s="21">
        <f t="shared" si="13"/>
        <v>417.33199999999999</v>
      </c>
    </row>
    <row r="49" spans="1:43">
      <c r="A49" s="90" t="s">
        <v>834</v>
      </c>
      <c r="B49" s="90" t="s">
        <v>415</v>
      </c>
      <c r="C49" s="90">
        <v>-1E-3</v>
      </c>
      <c r="D49" s="90"/>
      <c r="E49" s="90"/>
      <c r="F49" s="90"/>
      <c r="G49" s="90"/>
      <c r="J49" s="5">
        <v>11</v>
      </c>
      <c r="K49" s="23">
        <f t="shared" si="14"/>
        <v>196.96826086956523</v>
      </c>
      <c r="L49" s="24">
        <f t="shared" si="7"/>
        <v>9</v>
      </c>
      <c r="M49" s="5">
        <f t="shared" si="8"/>
        <v>417.25900000000001</v>
      </c>
      <c r="N49" s="25">
        <f t="shared" si="9"/>
        <v>-6.6666235264215684E-4</v>
      </c>
      <c r="O49" s="26">
        <f t="shared" si="10"/>
        <v>16.968260869565228</v>
      </c>
      <c r="P49" s="27">
        <f t="shared" si="11"/>
        <v>417.24768789928845</v>
      </c>
      <c r="Q49" s="27">
        <f t="shared" si="15"/>
        <v>417.2529052568309</v>
      </c>
      <c r="R49" s="5"/>
      <c r="S49" s="21"/>
      <c r="T49" s="21"/>
      <c r="U49" s="21"/>
      <c r="V49" s="21"/>
      <c r="W49" s="21"/>
      <c r="X49" s="21"/>
      <c r="Y49" s="21"/>
      <c r="Z49" s="21"/>
      <c r="AA49" s="21"/>
      <c r="AB49" s="21"/>
      <c r="AC49" s="21"/>
      <c r="AD49" s="21"/>
      <c r="AE49" s="30">
        <f>AE48</f>
        <v>417.26811870803408</v>
      </c>
      <c r="AF49" s="30">
        <f>Q49</f>
        <v>417.2529052568309</v>
      </c>
      <c r="AG49" s="21"/>
      <c r="AH49" s="21"/>
      <c r="AI49" s="21"/>
      <c r="AJ49" s="21"/>
      <c r="AK49" s="21"/>
      <c r="AL49" s="21"/>
      <c r="AM49" s="21"/>
      <c r="AN49" s="21"/>
      <c r="AO49" s="21"/>
      <c r="AP49" s="21">
        <f t="shared" si="12"/>
        <v>417.26800000000003</v>
      </c>
      <c r="AQ49" s="21">
        <f t="shared" si="13"/>
        <v>417.33199999999999</v>
      </c>
    </row>
    <row r="50" spans="1:43">
      <c r="A50" s="121" t="s">
        <v>835</v>
      </c>
      <c r="B50" s="90" t="s">
        <v>417</v>
      </c>
      <c r="C50" s="90">
        <v>-66.474999999999994</v>
      </c>
      <c r="D50" s="90"/>
      <c r="E50" s="90"/>
      <c r="F50" s="90"/>
      <c r="G50" s="90"/>
      <c r="J50" s="5">
        <v>10</v>
      </c>
      <c r="K50" s="23">
        <f t="shared" si="14"/>
        <v>212.6204347826087</v>
      </c>
      <c r="L50" s="24">
        <f t="shared" si="7"/>
        <v>10</v>
      </c>
      <c r="M50" s="5">
        <f t="shared" si="8"/>
        <v>417.24400009706557</v>
      </c>
      <c r="N50" s="25">
        <f t="shared" si="9"/>
        <v>1.5999957392295982E-3</v>
      </c>
      <c r="O50" s="26">
        <f t="shared" si="10"/>
        <v>10.120434782608697</v>
      </c>
      <c r="P50" s="27">
        <f t="shared" si="11"/>
        <v>417.26019274959691</v>
      </c>
      <c r="Q50" s="27">
        <f t="shared" si="15"/>
        <v>417.25394032444268</v>
      </c>
      <c r="R50" s="5"/>
      <c r="S50" s="21"/>
      <c r="T50" s="21"/>
      <c r="U50" s="21"/>
      <c r="V50" s="21"/>
      <c r="W50" s="21"/>
      <c r="X50" s="21"/>
      <c r="Y50" s="21"/>
      <c r="Z50" s="21"/>
      <c r="AA50" s="21"/>
      <c r="AB50" s="21"/>
      <c r="AC50" s="21"/>
      <c r="AD50" s="21"/>
      <c r="AE50" s="21"/>
      <c r="AF50" s="30">
        <f>AF49</f>
        <v>417.2529052568309</v>
      </c>
      <c r="AG50" s="30">
        <f>Q50</f>
        <v>417.25394032444268</v>
      </c>
      <c r="AH50" s="21"/>
      <c r="AI50" s="21"/>
      <c r="AJ50" s="21"/>
      <c r="AK50" s="21"/>
      <c r="AL50" s="21"/>
      <c r="AM50" s="21"/>
      <c r="AN50" s="21"/>
      <c r="AO50" s="21"/>
      <c r="AP50" s="21">
        <f t="shared" si="12"/>
        <v>417.26800000000003</v>
      </c>
      <c r="AQ50" s="21">
        <f t="shared" si="13"/>
        <v>417.33199999999999</v>
      </c>
    </row>
    <row r="51" spans="1:43">
      <c r="A51" s="90" t="s">
        <v>412</v>
      </c>
      <c r="B51" s="90" t="s">
        <v>413</v>
      </c>
      <c r="C51" s="90">
        <v>417.3</v>
      </c>
      <c r="D51" s="90"/>
      <c r="E51" s="90"/>
      <c r="F51" s="90"/>
      <c r="G51" s="90"/>
      <c r="J51" s="5">
        <v>9</v>
      </c>
      <c r="K51" s="23">
        <f t="shared" si="14"/>
        <v>228.27260869565217</v>
      </c>
      <c r="L51" s="24">
        <f t="shared" si="7"/>
        <v>11</v>
      </c>
      <c r="M51" s="5">
        <f t="shared" si="8"/>
        <v>417.28000000119823</v>
      </c>
      <c r="N51" s="25">
        <f t="shared" si="9"/>
        <v>2.7111110578567198E-3</v>
      </c>
      <c r="O51" s="26">
        <f t="shared" si="10"/>
        <v>3.2726086956521669</v>
      </c>
      <c r="P51" s="27">
        <f t="shared" si="11"/>
        <v>417.28887240682104</v>
      </c>
      <c r="Q51" s="27">
        <f t="shared" si="15"/>
        <v>417.274532578209</v>
      </c>
      <c r="R51" s="5"/>
      <c r="S51" s="21"/>
      <c r="T51" s="21"/>
      <c r="U51" s="21"/>
      <c r="V51" s="21"/>
      <c r="W51" s="21"/>
      <c r="X51" s="21"/>
      <c r="Y51" s="21"/>
      <c r="Z51" s="21"/>
      <c r="AA51" s="21"/>
      <c r="AB51" s="21"/>
      <c r="AC51" s="21"/>
      <c r="AD51" s="21"/>
      <c r="AE51" s="21"/>
      <c r="AF51" s="21"/>
      <c r="AG51" s="30">
        <f>AG50</f>
        <v>417.25394032444268</v>
      </c>
      <c r="AH51" s="30">
        <f>Q51</f>
        <v>417.274532578209</v>
      </c>
      <c r="AI51" s="21"/>
      <c r="AJ51" s="21"/>
      <c r="AK51" s="21"/>
      <c r="AL51" s="21"/>
      <c r="AM51" s="21"/>
      <c r="AN51" s="21"/>
      <c r="AO51" s="21"/>
      <c r="AP51" s="21">
        <f t="shared" si="12"/>
        <v>417.26800000000003</v>
      </c>
      <c r="AQ51" s="21">
        <f t="shared" si="13"/>
        <v>417.33199999999999</v>
      </c>
    </row>
    <row r="52" spans="1:43">
      <c r="A52" s="90" t="s">
        <v>836</v>
      </c>
      <c r="B52" s="90" t="s">
        <v>415</v>
      </c>
      <c r="C52" s="90">
        <v>-8.0000000000000002E-3</v>
      </c>
      <c r="D52" s="90"/>
      <c r="E52" s="90"/>
      <c r="F52" s="90"/>
      <c r="G52" s="90"/>
      <c r="J52" s="5">
        <v>8</v>
      </c>
      <c r="K52" s="23">
        <f t="shared" si="14"/>
        <v>243.92478260869564</v>
      </c>
      <c r="L52" s="24">
        <f t="shared" si="7"/>
        <v>11</v>
      </c>
      <c r="M52" s="5">
        <f t="shared" si="8"/>
        <v>417.28000000119823</v>
      </c>
      <c r="N52" s="25">
        <f t="shared" si="9"/>
        <v>2.7111110578567198E-3</v>
      </c>
      <c r="O52" s="26">
        <f t="shared" si="10"/>
        <v>18.924782608695637</v>
      </c>
      <c r="P52" s="27">
        <f t="shared" si="11"/>
        <v>417.33130718859621</v>
      </c>
      <c r="Q52" s="27">
        <f t="shared" si="15"/>
        <v>417.31008979770866</v>
      </c>
      <c r="R52" s="5"/>
      <c r="S52" s="21"/>
      <c r="T52" s="21"/>
      <c r="U52" s="21"/>
      <c r="V52" s="21"/>
      <c r="W52" s="21"/>
      <c r="X52" s="21"/>
      <c r="Y52" s="21"/>
      <c r="Z52" s="21"/>
      <c r="AA52" s="21"/>
      <c r="AB52" s="21"/>
      <c r="AC52" s="21"/>
      <c r="AD52" s="21"/>
      <c r="AE52" s="21"/>
      <c r="AF52" s="21"/>
      <c r="AG52" s="21"/>
      <c r="AH52" s="30">
        <f>AH51</f>
        <v>417.274532578209</v>
      </c>
      <c r="AI52" s="30">
        <f>Q52</f>
        <v>417.31008979770866</v>
      </c>
      <c r="AJ52" s="21"/>
      <c r="AK52" s="21"/>
      <c r="AL52" s="21"/>
      <c r="AM52" s="21"/>
      <c r="AN52" s="21"/>
      <c r="AO52" s="21"/>
      <c r="AP52" s="21">
        <f t="shared" si="12"/>
        <v>417.26800000000003</v>
      </c>
      <c r="AQ52" s="21">
        <f t="shared" si="13"/>
        <v>417.33199999999999</v>
      </c>
    </row>
    <row r="53" spans="1:43">
      <c r="A53" s="121" t="s">
        <v>837</v>
      </c>
      <c r="B53" s="90" t="s">
        <v>417</v>
      </c>
      <c r="C53" s="90">
        <v>-66.474999999999994</v>
      </c>
      <c r="D53" s="90"/>
      <c r="E53" s="90"/>
      <c r="F53" s="90"/>
      <c r="G53" s="90"/>
      <c r="J53" s="5">
        <v>7</v>
      </c>
      <c r="K53" s="23">
        <f t="shared" si="14"/>
        <v>259.57695652173913</v>
      </c>
      <c r="L53" s="24">
        <f t="shared" si="7"/>
        <v>12</v>
      </c>
      <c r="M53" s="5">
        <f t="shared" si="8"/>
        <v>417.34100000000001</v>
      </c>
      <c r="N53" s="25">
        <f t="shared" si="9"/>
        <v>2.2222222222202011E-4</v>
      </c>
      <c r="O53" s="26">
        <f t="shared" si="10"/>
        <v>12.076956521739135</v>
      </c>
      <c r="P53" s="27">
        <f t="shared" si="11"/>
        <v>417.34368376811597</v>
      </c>
      <c r="Q53" s="27">
        <f t="shared" si="15"/>
        <v>417.33749547835612</v>
      </c>
      <c r="R53" s="5"/>
      <c r="S53" s="21"/>
      <c r="T53" s="21"/>
      <c r="U53" s="21"/>
      <c r="V53" s="21"/>
      <c r="W53" s="21"/>
      <c r="X53" s="21"/>
      <c r="Y53" s="21"/>
      <c r="Z53" s="21"/>
      <c r="AA53" s="21"/>
      <c r="AB53" s="21"/>
      <c r="AC53" s="21"/>
      <c r="AD53" s="21"/>
      <c r="AE53" s="21"/>
      <c r="AF53" s="21"/>
      <c r="AG53" s="21"/>
      <c r="AH53" s="30"/>
      <c r="AI53" s="30">
        <f>AI52</f>
        <v>417.31008979770866</v>
      </c>
      <c r="AJ53" s="30">
        <f>Q53</f>
        <v>417.33749547835612</v>
      </c>
      <c r="AK53" s="21"/>
      <c r="AL53" s="21"/>
      <c r="AM53" s="21"/>
      <c r="AN53" s="21"/>
      <c r="AO53" s="21"/>
      <c r="AP53" s="21">
        <f t="shared" si="12"/>
        <v>417.26800000000003</v>
      </c>
      <c r="AQ53" s="21">
        <f t="shared" si="13"/>
        <v>417.33199999999999</v>
      </c>
    </row>
    <row r="54" spans="1:43">
      <c r="A54" s="90"/>
      <c r="B54" s="90"/>
      <c r="C54" s="90"/>
      <c r="D54" s="90"/>
      <c r="E54" s="90"/>
      <c r="F54" s="90"/>
      <c r="G54" s="90"/>
      <c r="J54" s="5">
        <v>6</v>
      </c>
      <c r="K54" s="23">
        <f t="shared" si="14"/>
        <v>275.22913043478263</v>
      </c>
      <c r="L54" s="24">
        <f t="shared" si="7"/>
        <v>13</v>
      </c>
      <c r="M54" s="5">
        <f t="shared" si="8"/>
        <v>417.346</v>
      </c>
      <c r="N54" s="25">
        <f t="shared" si="9"/>
        <v>-2.2222221689692863E-3</v>
      </c>
      <c r="O54" s="26">
        <f t="shared" si="10"/>
        <v>5.2291304347826326</v>
      </c>
      <c r="P54" s="27">
        <f t="shared" si="11"/>
        <v>417.33437971042338</v>
      </c>
      <c r="Q54" s="27">
        <f t="shared" si="15"/>
        <v>417.33903173926967</v>
      </c>
      <c r="R54" s="5"/>
      <c r="S54" s="21"/>
      <c r="T54" s="21"/>
      <c r="U54" s="21"/>
      <c r="V54" s="21"/>
      <c r="W54" s="21"/>
      <c r="X54" s="21"/>
      <c r="Y54" s="21"/>
      <c r="Z54" s="21"/>
      <c r="AA54" s="21"/>
      <c r="AB54" s="21"/>
      <c r="AC54" s="21"/>
      <c r="AD54" s="21"/>
      <c r="AE54" s="21"/>
      <c r="AF54" s="21"/>
      <c r="AG54" s="21"/>
      <c r="AH54" s="30"/>
      <c r="AI54" s="30"/>
      <c r="AJ54" s="30">
        <f>AJ53</f>
        <v>417.33749547835612</v>
      </c>
      <c r="AK54" s="30">
        <f>Q54</f>
        <v>417.33903173926967</v>
      </c>
      <c r="AL54" s="21"/>
      <c r="AM54" s="21"/>
      <c r="AN54" s="21"/>
      <c r="AO54" s="21"/>
      <c r="AP54" s="21">
        <f t="shared" si="12"/>
        <v>417.26800000000003</v>
      </c>
      <c r="AQ54" s="21">
        <f t="shared" si="13"/>
        <v>417.33199999999999</v>
      </c>
    </row>
    <row r="55" spans="1:43">
      <c r="A55" s="90"/>
      <c r="B55" s="90"/>
      <c r="C55" s="90"/>
      <c r="D55" s="90"/>
      <c r="E55" s="90"/>
      <c r="F55" s="90"/>
      <c r="G55" s="90"/>
      <c r="J55" s="5">
        <v>5</v>
      </c>
      <c r="K55" s="23">
        <f t="shared" si="14"/>
        <v>290.88130434782613</v>
      </c>
      <c r="L55" s="24">
        <f t="shared" si="7"/>
        <v>13</v>
      </c>
      <c r="M55" s="5">
        <f t="shared" si="8"/>
        <v>417.346</v>
      </c>
      <c r="N55" s="25">
        <f t="shared" si="9"/>
        <v>-2.2222221689692863E-3</v>
      </c>
      <c r="O55" s="26">
        <f t="shared" si="10"/>
        <v>20.881304347826131</v>
      </c>
      <c r="P55" s="27">
        <f t="shared" si="11"/>
        <v>417.29959710256128</v>
      </c>
      <c r="Q55" s="27">
        <f t="shared" si="15"/>
        <v>417.31698840649233</v>
      </c>
      <c r="R55" s="5"/>
      <c r="S55" s="21"/>
      <c r="T55" s="21"/>
      <c r="U55" s="21"/>
      <c r="V55" s="21"/>
      <c r="W55" s="21"/>
      <c r="X55" s="21"/>
      <c r="Y55" s="21"/>
      <c r="Z55" s="21"/>
      <c r="AA55" s="21"/>
      <c r="AB55" s="21"/>
      <c r="AC55" s="21"/>
      <c r="AD55" s="21"/>
      <c r="AE55" s="21"/>
      <c r="AF55" s="21"/>
      <c r="AG55" s="21"/>
      <c r="AH55" s="30"/>
      <c r="AI55" s="30"/>
      <c r="AJ55" s="21"/>
      <c r="AK55" s="30">
        <f>AK54</f>
        <v>417.33903173926967</v>
      </c>
      <c r="AL55" s="30">
        <f>Q55</f>
        <v>417.31698840649233</v>
      </c>
      <c r="AM55" s="21"/>
      <c r="AN55" s="21"/>
      <c r="AO55" s="21"/>
      <c r="AP55" s="21">
        <f t="shared" si="12"/>
        <v>417.26800000000003</v>
      </c>
      <c r="AQ55" s="21">
        <f t="shared" si="13"/>
        <v>417.33199999999999</v>
      </c>
    </row>
    <row r="56" spans="1:43">
      <c r="A56" s="90"/>
      <c r="B56" s="90"/>
      <c r="C56" s="90"/>
      <c r="D56" s="90"/>
      <c r="E56" s="90"/>
      <c r="F56" s="90"/>
      <c r="G56" s="90"/>
      <c r="J56" s="5">
        <v>4</v>
      </c>
      <c r="K56" s="23">
        <f t="shared" si="14"/>
        <v>306.53347826086963</v>
      </c>
      <c r="L56" s="24">
        <f t="shared" si="7"/>
        <v>14</v>
      </c>
      <c r="M56" s="5">
        <f t="shared" si="8"/>
        <v>417.29600000119819</v>
      </c>
      <c r="N56" s="25">
        <f t="shared" si="9"/>
        <v>-2.8000000532529155E-3</v>
      </c>
      <c r="O56" s="26">
        <f t="shared" si="10"/>
        <v>14.033478260869629</v>
      </c>
      <c r="P56" s="27">
        <f t="shared" si="11"/>
        <v>417.25670626132046</v>
      </c>
      <c r="Q56" s="27">
        <f t="shared" si="15"/>
        <v>417.27815168194087</v>
      </c>
      <c r="R56" s="5"/>
      <c r="S56" s="21"/>
      <c r="T56" s="21"/>
      <c r="U56" s="21"/>
      <c r="V56" s="21"/>
      <c r="W56" s="21"/>
      <c r="X56" s="21"/>
      <c r="Y56" s="21"/>
      <c r="Z56" s="21"/>
      <c r="AA56" s="21"/>
      <c r="AB56" s="21"/>
      <c r="AC56" s="21"/>
      <c r="AD56" s="21"/>
      <c r="AE56" s="21"/>
      <c r="AF56" s="21"/>
      <c r="AG56" s="21"/>
      <c r="AH56" s="30"/>
      <c r="AI56" s="30"/>
      <c r="AJ56" s="21"/>
      <c r="AK56" s="21"/>
      <c r="AL56" s="30">
        <f>AL55</f>
        <v>417.31698840649233</v>
      </c>
      <c r="AM56" s="30">
        <f>Q56</f>
        <v>417.27815168194087</v>
      </c>
      <c r="AN56" s="21"/>
      <c r="AO56" s="21"/>
      <c r="AP56" s="21">
        <f t="shared" si="12"/>
        <v>417.26800000000003</v>
      </c>
      <c r="AQ56" s="21">
        <f t="shared" si="13"/>
        <v>417.33199999999999</v>
      </c>
    </row>
    <row r="57" spans="1:43">
      <c r="A57" s="90"/>
      <c r="B57" s="90"/>
      <c r="C57" s="90"/>
      <c r="D57" s="90"/>
      <c r="E57" s="90"/>
      <c r="F57" s="90"/>
      <c r="G57" s="90"/>
      <c r="J57" s="5">
        <v>3</v>
      </c>
      <c r="K57" s="23">
        <f t="shared" si="14"/>
        <v>322.18565217391313</v>
      </c>
      <c r="L57" s="24">
        <f t="shared" si="7"/>
        <v>15</v>
      </c>
      <c r="M57" s="5">
        <f t="shared" si="8"/>
        <v>417.233</v>
      </c>
      <c r="N57" s="25">
        <f t="shared" si="9"/>
        <v>-6.6666645361440006E-4</v>
      </c>
      <c r="O57" s="26">
        <f t="shared" si="10"/>
        <v>7.1856521739131267</v>
      </c>
      <c r="P57" s="27">
        <f t="shared" si="11"/>
        <v>417.22820956674832</v>
      </c>
      <c r="Q57" s="27">
        <f t="shared" si="15"/>
        <v>417.24245791403439</v>
      </c>
      <c r="R57" s="5"/>
      <c r="S57" s="21"/>
      <c r="T57" s="21"/>
      <c r="U57" s="21"/>
      <c r="V57" s="21"/>
      <c r="W57" s="21"/>
      <c r="X57" s="21"/>
      <c r="Y57" s="21"/>
      <c r="Z57" s="21"/>
      <c r="AA57" s="21"/>
      <c r="AB57" s="21"/>
      <c r="AC57" s="21"/>
      <c r="AD57" s="21"/>
      <c r="AE57" s="21"/>
      <c r="AF57" s="21"/>
      <c r="AG57" s="21"/>
      <c r="AH57" s="30"/>
      <c r="AI57" s="30"/>
      <c r="AJ57" s="21"/>
      <c r="AK57" s="21"/>
      <c r="AL57" s="21"/>
      <c r="AM57" s="30">
        <f>AM56</f>
        <v>417.27815168194087</v>
      </c>
      <c r="AN57" s="30">
        <f>Q57</f>
        <v>417.24245791403439</v>
      </c>
      <c r="AO57" s="21"/>
      <c r="AP57" s="21">
        <f t="shared" si="12"/>
        <v>417.26800000000003</v>
      </c>
      <c r="AQ57" s="21">
        <f t="shared" si="13"/>
        <v>417.33199999999999</v>
      </c>
    </row>
    <row r="58" spans="1:43">
      <c r="A58" s="90"/>
      <c r="B58" s="90"/>
      <c r="C58" s="90"/>
      <c r="D58" s="90"/>
      <c r="E58" s="90"/>
      <c r="F58" s="90"/>
      <c r="G58" s="90"/>
      <c r="J58" s="5">
        <v>2</v>
      </c>
      <c r="K58" s="23">
        <f t="shared" si="14"/>
        <v>337.83782608695662</v>
      </c>
      <c r="L58" s="24">
        <f t="shared" si="7"/>
        <v>16</v>
      </c>
      <c r="M58" s="5">
        <f>VLOOKUP(L58, $H$11:$K$27, 4, FALSE)</f>
        <v>417.21800000479368</v>
      </c>
      <c r="N58" s="25">
        <f t="shared" si="9"/>
        <v>2.0444442313924407E-3</v>
      </c>
      <c r="O58" s="26">
        <f t="shared" si="10"/>
        <v>0.33782608695662475</v>
      </c>
      <c r="P58" s="27">
        <f t="shared" si="11"/>
        <v>417.21869067138834</v>
      </c>
      <c r="Q58" s="27">
        <f t="shared" si="15"/>
        <v>417.22345011906833</v>
      </c>
      <c r="R58" s="5"/>
      <c r="S58" s="31"/>
      <c r="T58" s="31"/>
      <c r="U58" s="31"/>
      <c r="V58" s="31"/>
      <c r="W58" s="31"/>
      <c r="X58" s="31"/>
      <c r="Y58" s="31"/>
      <c r="Z58" s="31"/>
      <c r="AA58" s="31"/>
      <c r="AB58" s="31"/>
      <c r="AC58" s="31"/>
      <c r="AD58" s="31"/>
      <c r="AE58" s="31"/>
      <c r="AF58" s="31"/>
      <c r="AG58" s="31"/>
      <c r="AH58" s="31"/>
      <c r="AI58" s="32"/>
      <c r="AJ58" s="32"/>
      <c r="AK58" s="32"/>
      <c r="AL58" s="32"/>
      <c r="AM58" s="32"/>
      <c r="AN58" s="32">
        <f>AN57</f>
        <v>417.24245791403439</v>
      </c>
      <c r="AO58" s="32">
        <f>Q58</f>
        <v>417.22345011906833</v>
      </c>
      <c r="AP58" s="31">
        <f t="shared" si="12"/>
        <v>417.26800000000003</v>
      </c>
      <c r="AQ58" s="31">
        <f t="shared" si="13"/>
        <v>417.33199999999999</v>
      </c>
    </row>
    <row r="61" spans="1:43">
      <c r="J61" s="33"/>
      <c r="K61" s="33"/>
      <c r="L61" s="33"/>
      <c r="M61" s="33"/>
      <c r="N61" s="33"/>
      <c r="O61" s="33"/>
      <c r="P61" s="33"/>
      <c r="Q61" s="33"/>
      <c r="R61" s="33"/>
      <c r="S61" s="5"/>
      <c r="T61" s="33"/>
      <c r="U61" s="33"/>
      <c r="V61" s="33"/>
      <c r="W61" s="33"/>
      <c r="X61" s="33"/>
      <c r="Y61" s="33"/>
      <c r="Z61" s="33"/>
      <c r="AA61" s="33"/>
      <c r="AB61" s="33"/>
      <c r="AC61" s="33"/>
    </row>
    <row r="62" spans="1:43">
      <c r="J62" s="33"/>
      <c r="K62" s="33"/>
      <c r="L62" s="33"/>
      <c r="M62" s="33"/>
      <c r="N62" s="33"/>
      <c r="O62" s="33"/>
      <c r="P62" s="33"/>
      <c r="Q62" s="33"/>
      <c r="R62" s="33"/>
      <c r="S62" s="5"/>
      <c r="T62" s="33"/>
      <c r="U62" s="33"/>
      <c r="V62" s="33"/>
      <c r="W62" s="33"/>
      <c r="X62" s="33"/>
      <c r="Y62" s="33"/>
      <c r="Z62" s="33"/>
      <c r="AA62" s="33"/>
      <c r="AB62" s="33"/>
      <c r="AC62" s="33"/>
    </row>
    <row r="63" spans="1:43">
      <c r="J63" s="33"/>
      <c r="K63" s="33"/>
      <c r="L63" s="33"/>
      <c r="M63" s="33"/>
      <c r="N63" s="33"/>
      <c r="O63" s="33"/>
      <c r="P63" s="33"/>
      <c r="Q63" s="33"/>
      <c r="R63" s="33"/>
      <c r="S63" s="5"/>
      <c r="T63" s="33"/>
      <c r="U63" s="33"/>
      <c r="V63" s="33"/>
      <c r="W63" s="33"/>
      <c r="X63" s="33"/>
      <c r="Y63" s="33"/>
      <c r="Z63" s="33"/>
      <c r="AA63" s="33"/>
      <c r="AB63" s="33"/>
      <c r="AC63" s="33"/>
    </row>
    <row r="64" spans="1:43">
      <c r="J64" s="33"/>
      <c r="K64" s="33"/>
      <c r="L64" s="33"/>
      <c r="M64" s="33"/>
      <c r="N64" s="33"/>
      <c r="O64" s="33"/>
      <c r="P64" s="33"/>
      <c r="Q64" s="33"/>
      <c r="R64" s="33"/>
      <c r="S64" s="5"/>
      <c r="T64" s="33"/>
      <c r="U64" s="33"/>
      <c r="V64" s="33"/>
      <c r="W64" s="33"/>
      <c r="X64" s="33"/>
      <c r="Y64" s="33"/>
      <c r="Z64" s="33"/>
      <c r="AA64" s="33"/>
      <c r="AB64" s="33"/>
      <c r="AC64" s="33"/>
    </row>
    <row r="65" spans="10:29">
      <c r="J65" s="33"/>
      <c r="K65" s="33"/>
      <c r="L65" s="33"/>
      <c r="M65" s="33"/>
      <c r="N65" s="33"/>
      <c r="O65" s="33"/>
      <c r="P65" s="33"/>
      <c r="Q65" s="33"/>
      <c r="R65" s="33"/>
      <c r="S65" s="5"/>
      <c r="T65" s="33"/>
      <c r="U65" s="33"/>
      <c r="V65" s="33"/>
      <c r="W65" s="33"/>
      <c r="X65" s="33"/>
      <c r="Y65" s="33"/>
      <c r="Z65" s="33"/>
      <c r="AA65" s="33"/>
      <c r="AB65" s="33"/>
      <c r="AC65" s="33"/>
    </row>
    <row r="66" spans="10:29">
      <c r="J66" s="33"/>
      <c r="K66" s="33"/>
      <c r="L66" s="33"/>
      <c r="M66" s="33"/>
      <c r="N66" s="33"/>
      <c r="O66" s="33"/>
      <c r="P66" s="33"/>
      <c r="Q66" s="33"/>
      <c r="R66" s="33"/>
      <c r="S66" s="5"/>
      <c r="T66" s="33"/>
      <c r="U66" s="33"/>
      <c r="V66" s="33"/>
      <c r="W66" s="33"/>
      <c r="X66" s="33"/>
      <c r="Y66" s="33"/>
      <c r="Z66" s="33"/>
      <c r="AA66" s="33"/>
      <c r="AB66" s="33"/>
      <c r="AC66" s="33"/>
    </row>
    <row r="67" spans="10:29">
      <c r="J67" s="33"/>
      <c r="K67" s="33"/>
      <c r="L67" s="33"/>
      <c r="M67" s="33"/>
      <c r="N67" s="33"/>
      <c r="O67" s="33"/>
      <c r="P67" s="33"/>
      <c r="Q67" s="33"/>
      <c r="R67" s="33"/>
      <c r="S67" s="5"/>
      <c r="T67" s="33"/>
      <c r="U67" s="33"/>
      <c r="V67" s="33"/>
      <c r="W67" s="33"/>
      <c r="X67" s="33"/>
      <c r="Y67" s="33"/>
      <c r="Z67" s="33"/>
      <c r="AA67" s="33"/>
      <c r="AB67" s="33"/>
      <c r="AC67" s="33"/>
    </row>
    <row r="68" spans="10:29">
      <c r="J68" s="33"/>
      <c r="K68" s="33"/>
      <c r="L68" s="33"/>
      <c r="M68" s="33"/>
      <c r="N68" s="33"/>
      <c r="O68" s="33"/>
      <c r="P68" s="33"/>
      <c r="Q68" s="33"/>
      <c r="R68" s="33"/>
      <c r="S68" s="5"/>
      <c r="T68" s="33"/>
      <c r="U68" s="33"/>
      <c r="V68" s="33"/>
      <c r="W68" s="33"/>
      <c r="X68" s="33"/>
      <c r="Y68" s="33"/>
      <c r="Z68" s="33"/>
      <c r="AA68" s="33"/>
      <c r="AB68" s="33"/>
      <c r="AC68" s="33"/>
    </row>
    <row r="69" spans="10:29">
      <c r="J69" s="33"/>
      <c r="K69" s="33"/>
      <c r="L69" s="33"/>
      <c r="M69" s="33"/>
      <c r="N69" s="33"/>
      <c r="O69" s="33"/>
      <c r="P69" s="33"/>
      <c r="Q69" s="33"/>
      <c r="R69" s="33"/>
      <c r="S69" s="5"/>
      <c r="T69" s="33"/>
      <c r="U69" s="33"/>
      <c r="V69" s="33"/>
      <c r="W69" s="33"/>
      <c r="X69" s="33"/>
      <c r="Y69" s="33"/>
      <c r="Z69" s="33"/>
      <c r="AA69" s="33"/>
      <c r="AB69" s="33"/>
      <c r="AC69" s="33"/>
    </row>
    <row r="70" spans="10:29">
      <c r="J70" s="33"/>
      <c r="K70" s="33"/>
      <c r="L70" s="33"/>
      <c r="M70" s="33"/>
      <c r="N70" s="33"/>
      <c r="O70" s="33"/>
      <c r="P70" s="33"/>
      <c r="Q70" s="33"/>
      <c r="R70" s="33"/>
      <c r="S70" s="5"/>
      <c r="T70" s="33"/>
      <c r="U70" s="33"/>
      <c r="V70" s="33"/>
      <c r="W70" s="33"/>
      <c r="X70" s="33"/>
      <c r="Y70" s="33"/>
      <c r="Z70" s="33"/>
      <c r="AA70" s="33"/>
      <c r="AB70" s="33"/>
      <c r="AC70" s="33"/>
    </row>
    <row r="71" spans="10:29">
      <c r="J71" s="33"/>
      <c r="K71" s="33"/>
      <c r="L71" s="33"/>
      <c r="M71" s="33"/>
      <c r="N71" s="33"/>
      <c r="O71" s="33"/>
      <c r="P71" s="33"/>
      <c r="Q71" s="33"/>
      <c r="R71" s="33"/>
      <c r="S71" s="5"/>
      <c r="T71" s="33"/>
      <c r="U71" s="33"/>
      <c r="V71" s="33"/>
      <c r="W71" s="33"/>
      <c r="X71" s="33"/>
      <c r="Y71" s="33"/>
      <c r="Z71" s="33"/>
      <c r="AA71" s="33"/>
      <c r="AB71" s="33"/>
      <c r="AC71" s="33"/>
    </row>
    <row r="72" spans="10:29">
      <c r="J72" s="33"/>
      <c r="K72" s="33"/>
      <c r="L72" s="33"/>
      <c r="M72" s="33"/>
      <c r="N72" s="33"/>
      <c r="O72" s="33"/>
      <c r="P72" s="33"/>
      <c r="Q72" s="33"/>
      <c r="R72" s="33"/>
      <c r="S72" s="5"/>
      <c r="T72" s="33"/>
      <c r="U72" s="33"/>
      <c r="V72" s="33"/>
      <c r="W72" s="33"/>
      <c r="X72" s="33"/>
      <c r="Y72" s="33"/>
      <c r="Z72" s="33"/>
      <c r="AA72" s="33"/>
      <c r="AB72" s="33"/>
      <c r="AC72" s="33"/>
    </row>
    <row r="73" spans="10:29">
      <c r="J73" s="33"/>
      <c r="K73" s="33"/>
      <c r="L73" s="33"/>
      <c r="M73" s="33"/>
      <c r="N73" s="33"/>
      <c r="O73" s="33"/>
      <c r="P73" s="33"/>
      <c r="Q73" s="33"/>
      <c r="R73" s="33"/>
      <c r="S73" s="5"/>
      <c r="T73" s="33"/>
      <c r="U73" s="33"/>
      <c r="V73" s="33"/>
      <c r="W73" s="33"/>
      <c r="X73" s="33"/>
      <c r="Y73" s="33"/>
      <c r="Z73" s="33"/>
      <c r="AA73" s="33"/>
      <c r="AB73" s="33"/>
      <c r="AC73" s="33"/>
    </row>
    <row r="74" spans="10:29">
      <c r="J74" s="33"/>
      <c r="K74" s="33"/>
      <c r="L74" s="33"/>
      <c r="M74" s="33"/>
      <c r="N74" s="33"/>
      <c r="O74" s="33"/>
      <c r="P74" s="33"/>
      <c r="Q74" s="33"/>
      <c r="R74" s="33"/>
      <c r="S74" s="5"/>
      <c r="T74" s="33"/>
      <c r="U74" s="33"/>
      <c r="V74" s="33"/>
      <c r="W74" s="33"/>
      <c r="X74" s="33"/>
      <c r="Y74" s="33"/>
      <c r="Z74" s="33"/>
      <c r="AA74" s="33"/>
      <c r="AB74" s="33"/>
      <c r="AC74" s="33"/>
    </row>
    <row r="75" spans="10:29">
      <c r="J75" s="33"/>
      <c r="K75" s="33"/>
      <c r="L75" s="33"/>
      <c r="M75" s="33"/>
      <c r="N75" s="33"/>
      <c r="O75" s="33"/>
      <c r="P75" s="33"/>
      <c r="Q75" s="33"/>
      <c r="R75" s="33"/>
      <c r="S75" s="5"/>
      <c r="T75" s="33"/>
      <c r="U75" s="33"/>
      <c r="V75" s="33"/>
      <c r="W75" s="33"/>
      <c r="X75" s="33"/>
      <c r="Y75" s="33"/>
      <c r="Z75" s="33"/>
      <c r="AA75" s="33"/>
      <c r="AB75" s="33"/>
      <c r="AC75" s="33"/>
    </row>
    <row r="76" spans="10:29">
      <c r="J76" s="33"/>
      <c r="K76" s="33"/>
      <c r="L76" s="33"/>
      <c r="M76" s="33"/>
      <c r="N76" s="33"/>
      <c r="O76" s="33"/>
      <c r="P76" s="33"/>
      <c r="Q76" s="33"/>
      <c r="R76" s="33"/>
      <c r="S76" s="5"/>
      <c r="T76" s="33"/>
      <c r="U76" s="33"/>
      <c r="V76" s="33"/>
      <c r="W76" s="33"/>
      <c r="X76" s="33"/>
      <c r="Y76" s="33"/>
      <c r="Z76" s="33"/>
      <c r="AA76" s="33"/>
      <c r="AB76" s="33"/>
      <c r="AC76" s="33"/>
    </row>
    <row r="77" spans="10:29">
      <c r="J77" s="33"/>
      <c r="K77" s="33"/>
      <c r="L77" s="33"/>
      <c r="M77" s="33"/>
      <c r="N77" s="33"/>
      <c r="O77" s="33"/>
      <c r="P77" s="33"/>
      <c r="Q77" s="33"/>
      <c r="R77" s="33"/>
      <c r="S77" s="5"/>
      <c r="T77" s="33"/>
      <c r="U77" s="33"/>
      <c r="V77" s="33"/>
      <c r="W77" s="33"/>
      <c r="X77" s="33"/>
      <c r="Y77" s="33"/>
      <c r="Z77" s="33"/>
      <c r="AA77" s="33"/>
      <c r="AB77" s="33"/>
      <c r="AC77" s="33"/>
    </row>
    <row r="78" spans="10:29">
      <c r="J78" s="33"/>
      <c r="K78" s="33"/>
      <c r="L78" s="33"/>
      <c r="M78" s="33"/>
      <c r="N78" s="33"/>
      <c r="O78" s="33"/>
      <c r="P78" s="33"/>
      <c r="Q78" s="33"/>
      <c r="R78" s="33"/>
      <c r="S78" s="5"/>
      <c r="T78" s="33"/>
      <c r="U78" s="33"/>
      <c r="V78" s="33"/>
      <c r="W78" s="33"/>
      <c r="X78" s="33"/>
      <c r="Y78" s="33"/>
      <c r="Z78" s="33"/>
      <c r="AA78" s="33"/>
      <c r="AB78" s="33"/>
      <c r="AC78" s="33"/>
    </row>
    <row r="79" spans="10:29">
      <c r="J79" s="33"/>
      <c r="K79" s="33"/>
      <c r="L79" s="33"/>
      <c r="M79" s="33"/>
      <c r="N79" s="33"/>
      <c r="O79" s="33"/>
      <c r="P79" s="33"/>
      <c r="Q79" s="33"/>
      <c r="R79" s="33"/>
      <c r="S79" s="5"/>
      <c r="T79" s="33"/>
      <c r="U79" s="33"/>
      <c r="V79" s="33"/>
      <c r="W79" s="33"/>
      <c r="X79" s="33"/>
      <c r="Y79" s="33"/>
      <c r="Z79" s="33"/>
      <c r="AA79" s="33"/>
      <c r="AB79" s="33"/>
      <c r="AC79" s="33"/>
    </row>
    <row r="80" spans="10:29">
      <c r="J80" s="33"/>
      <c r="K80" s="33"/>
      <c r="L80" s="33"/>
      <c r="M80" s="33"/>
      <c r="N80" s="33"/>
      <c r="O80" s="33"/>
      <c r="P80" s="33"/>
      <c r="Q80" s="33"/>
      <c r="R80" s="33"/>
      <c r="S80" s="5"/>
      <c r="T80" s="33"/>
      <c r="U80" s="33"/>
      <c r="V80" s="33"/>
      <c r="W80" s="33"/>
      <c r="X80" s="33"/>
      <c r="Y80" s="33"/>
      <c r="Z80" s="33"/>
      <c r="AA80" s="33"/>
      <c r="AB80" s="33"/>
      <c r="AC80" s="33"/>
    </row>
    <row r="81" spans="10:49">
      <c r="J81" s="33"/>
      <c r="K81" s="33"/>
      <c r="L81" s="33"/>
      <c r="M81" s="33"/>
      <c r="N81" s="33"/>
      <c r="O81" s="33"/>
      <c r="P81" s="33"/>
      <c r="Q81" s="33"/>
      <c r="R81" s="33"/>
      <c r="S81" s="5"/>
      <c r="T81" s="33"/>
      <c r="U81" s="33"/>
      <c r="V81" s="33"/>
      <c r="W81" s="33"/>
      <c r="X81" s="33"/>
      <c r="Y81" s="33"/>
      <c r="Z81" s="33"/>
      <c r="AA81" s="33"/>
      <c r="AB81" s="33"/>
      <c r="AC81" s="33"/>
    </row>
    <row r="82" spans="10:49">
      <c r="J82" s="33"/>
      <c r="K82" s="33"/>
      <c r="L82" s="33"/>
      <c r="M82" s="33"/>
      <c r="N82" s="33"/>
      <c r="O82" s="33"/>
      <c r="P82" s="33"/>
      <c r="Q82" s="33"/>
      <c r="R82" s="33"/>
      <c r="S82" s="5"/>
      <c r="T82" s="33"/>
      <c r="U82" s="33"/>
      <c r="V82" s="33"/>
      <c r="W82" s="33"/>
      <c r="X82" s="33"/>
      <c r="Y82" s="33"/>
      <c r="Z82" s="33"/>
      <c r="AA82" s="33"/>
      <c r="AB82" s="33"/>
      <c r="AC82" s="33"/>
    </row>
    <row r="83" spans="10:49">
      <c r="J83" s="33"/>
      <c r="K83" s="33"/>
      <c r="L83" s="33"/>
      <c r="M83" s="33"/>
      <c r="N83" s="33"/>
      <c r="O83" s="33"/>
      <c r="P83" s="33"/>
      <c r="Q83" s="33"/>
      <c r="R83" s="33"/>
      <c r="S83" s="5"/>
      <c r="T83" s="33"/>
      <c r="U83" s="33"/>
      <c r="V83" s="33"/>
      <c r="W83" s="33"/>
      <c r="X83" s="33"/>
      <c r="Y83" s="33"/>
      <c r="Z83" s="33"/>
      <c r="AA83" s="33"/>
      <c r="AB83" s="33"/>
      <c r="AC83" s="33"/>
    </row>
    <row r="84" spans="10:49">
      <c r="J84" s="33"/>
      <c r="K84" s="33"/>
      <c r="L84" s="33"/>
      <c r="M84" s="33"/>
      <c r="N84" s="33"/>
      <c r="O84" s="33"/>
      <c r="P84" s="33"/>
      <c r="Q84" s="33"/>
      <c r="R84" s="33"/>
      <c r="S84" s="5"/>
      <c r="T84" s="33"/>
      <c r="U84" s="33"/>
      <c r="V84" s="33"/>
      <c r="W84" s="33"/>
      <c r="X84" s="33"/>
      <c r="Y84" s="33"/>
      <c r="Z84" s="33"/>
      <c r="AA84" s="33"/>
      <c r="AB84" s="33"/>
      <c r="AC84" s="33"/>
    </row>
    <row r="85" spans="10:49">
      <c r="J85" s="33"/>
      <c r="K85" s="33"/>
      <c r="L85" s="33"/>
      <c r="M85" s="33"/>
      <c r="N85" s="33"/>
      <c r="O85" s="33"/>
      <c r="P85" s="33"/>
      <c r="Q85" s="33"/>
      <c r="R85" s="33"/>
      <c r="S85" s="5"/>
      <c r="T85" s="33"/>
      <c r="U85" s="33"/>
      <c r="V85" s="33"/>
      <c r="W85" s="33"/>
      <c r="X85" s="33"/>
      <c r="Y85" s="33"/>
      <c r="Z85" s="33"/>
      <c r="AA85" s="33"/>
      <c r="AB85" s="33"/>
      <c r="AC85" s="33"/>
    </row>
    <row r="86" spans="10:49">
      <c r="J86" s="33"/>
      <c r="K86" s="33"/>
      <c r="L86" s="33"/>
      <c r="M86" s="33"/>
      <c r="N86" s="33"/>
      <c r="O86" s="33"/>
      <c r="P86" s="33"/>
      <c r="Q86" s="33"/>
      <c r="R86" s="33"/>
      <c r="S86" s="5"/>
      <c r="T86" s="33"/>
      <c r="U86" s="33"/>
      <c r="V86" s="33"/>
      <c r="W86" s="33"/>
      <c r="X86" s="33"/>
      <c r="Y86" s="33"/>
      <c r="Z86" s="33"/>
      <c r="AA86" s="33"/>
      <c r="AB86" s="33"/>
      <c r="AC86" s="33"/>
    </row>
    <row r="87" spans="10:49">
      <c r="J87" s="33"/>
      <c r="K87" s="33"/>
      <c r="L87" s="33"/>
      <c r="M87" s="33"/>
      <c r="N87" s="33"/>
      <c r="O87" s="33"/>
      <c r="P87" s="33"/>
      <c r="Q87" s="33"/>
      <c r="R87" s="33"/>
      <c r="S87" s="5"/>
      <c r="T87" s="33"/>
      <c r="U87" s="33"/>
      <c r="V87" s="33"/>
      <c r="W87" s="33"/>
      <c r="X87" s="33"/>
      <c r="Y87" s="33"/>
      <c r="Z87" s="33"/>
      <c r="AA87" s="33"/>
      <c r="AB87" s="33"/>
      <c r="AC87" s="33"/>
    </row>
    <row r="88" spans="10:49">
      <c r="J88" s="33"/>
      <c r="K88" s="33"/>
      <c r="L88" s="33"/>
      <c r="M88" s="33"/>
      <c r="N88" s="33"/>
      <c r="O88" s="33"/>
      <c r="P88" s="33"/>
      <c r="Q88" s="33"/>
      <c r="R88" s="33"/>
      <c r="S88" s="5"/>
      <c r="T88" s="33"/>
      <c r="U88" s="33"/>
      <c r="V88" s="33"/>
      <c r="W88" s="33"/>
      <c r="X88" s="33"/>
      <c r="Y88" s="33"/>
      <c r="Z88" s="33"/>
      <c r="AA88" s="33"/>
      <c r="AB88" s="33"/>
      <c r="AC88" s="33"/>
    </row>
    <row r="89" spans="10:49">
      <c r="J89" s="33"/>
      <c r="K89" s="33"/>
      <c r="L89" s="33"/>
      <c r="M89" s="33"/>
      <c r="N89" s="33"/>
      <c r="O89" s="33"/>
      <c r="P89" s="33"/>
      <c r="Q89" s="33"/>
      <c r="R89" s="33"/>
      <c r="S89" s="5"/>
      <c r="T89" s="33"/>
      <c r="U89" s="33"/>
      <c r="V89" s="33"/>
      <c r="W89" s="33"/>
      <c r="X89" s="33"/>
      <c r="Y89" s="33"/>
      <c r="Z89" s="33"/>
      <c r="AA89" s="33"/>
      <c r="AB89" s="33"/>
      <c r="AC89" s="33"/>
    </row>
    <row r="92" spans="10:49">
      <c r="S92" s="20" t="str">
        <f ca="1">CONCATENATE(LEFT($S$32, LEN($S$32)-4), " Step#", OFFSET($J$35, S33, 0))</f>
        <v>Stg.3 Shroud Step#1</v>
      </c>
      <c r="T92" s="20" t="str">
        <f t="shared" ref="T92:AO92" ca="1" si="16">CONCATENATE(LEFT($S$32, LEN($S$32)-4), " Step#", OFFSET($J$35, T33, 0))</f>
        <v>Stg.3 Shroud Step#23</v>
      </c>
      <c r="U92" s="20" t="str">
        <f t="shared" ca="1" si="16"/>
        <v>Stg.3 Shroud Step#22</v>
      </c>
      <c r="V92" s="20" t="str">
        <f t="shared" ca="1" si="16"/>
        <v>Stg.3 Shroud Step#21</v>
      </c>
      <c r="W92" s="20" t="str">
        <f t="shared" ca="1" si="16"/>
        <v>Stg.3 Shroud Step#20</v>
      </c>
      <c r="X92" s="20" t="str">
        <f t="shared" ca="1" si="16"/>
        <v>Stg.3 Shroud Step#19</v>
      </c>
      <c r="Y92" s="20" t="str">
        <f t="shared" ca="1" si="16"/>
        <v>Stg.3 Shroud Step#18</v>
      </c>
      <c r="Z92" s="20" t="str">
        <f t="shared" ca="1" si="16"/>
        <v>Stg.3 Shroud Step#17</v>
      </c>
      <c r="AA92" s="20" t="str">
        <f t="shared" ca="1" si="16"/>
        <v>Stg.3 Shroud Step#16</v>
      </c>
      <c r="AB92" s="20" t="str">
        <f t="shared" ca="1" si="16"/>
        <v>Stg.3 Shroud Step#15</v>
      </c>
      <c r="AC92" s="20" t="str">
        <f t="shared" ca="1" si="16"/>
        <v>Stg.3 Shroud Step#14</v>
      </c>
      <c r="AD92" s="20" t="str">
        <f t="shared" ca="1" si="16"/>
        <v>Stg.3 Shroud Step#13</v>
      </c>
      <c r="AE92" s="20" t="str">
        <f t="shared" ca="1" si="16"/>
        <v>Stg.3 Shroud Step#12</v>
      </c>
      <c r="AF92" s="20" t="str">
        <f t="shared" ca="1" si="16"/>
        <v>Stg.3 Shroud Step#11</v>
      </c>
      <c r="AG92" s="20" t="str">
        <f t="shared" ca="1" si="16"/>
        <v>Stg.3 Shroud Step#10</v>
      </c>
      <c r="AH92" s="20" t="str">
        <f t="shared" ca="1" si="16"/>
        <v>Stg.3 Shroud Step#9</v>
      </c>
      <c r="AI92" s="20" t="str">
        <f t="shared" ca="1" si="16"/>
        <v>Stg.3 Shroud Step#8</v>
      </c>
      <c r="AJ92" s="20" t="str">
        <f t="shared" ca="1" si="16"/>
        <v>Stg.3 Shroud Step#7</v>
      </c>
      <c r="AK92" s="20" t="str">
        <f t="shared" ca="1" si="16"/>
        <v>Stg.3 Shroud Step#6</v>
      </c>
      <c r="AL92" s="20" t="str">
        <f t="shared" ca="1" si="16"/>
        <v>Stg.3 Shroud Step#5</v>
      </c>
      <c r="AM92" s="20" t="str">
        <f t="shared" ca="1" si="16"/>
        <v>Stg.3 Shroud Step#4</v>
      </c>
      <c r="AN92" s="20" t="str">
        <f t="shared" ca="1" si="16"/>
        <v>Stg.3 Shroud Step#3</v>
      </c>
      <c r="AO92" s="20" t="str">
        <f t="shared" ca="1" si="16"/>
        <v>Stg.3 Shroud Step#2</v>
      </c>
      <c r="AP92" s="20" t="s">
        <v>56</v>
      </c>
      <c r="AQ92" s="20" t="s">
        <v>101</v>
      </c>
    </row>
    <row r="93" spans="10:49">
      <c r="S93" s="15"/>
      <c r="T93" s="15"/>
      <c r="U93" s="15"/>
      <c r="V93" s="15"/>
      <c r="W93" s="15"/>
      <c r="X93" s="15"/>
      <c r="Y93" s="15"/>
      <c r="Z93" s="15"/>
      <c r="AA93" s="15"/>
      <c r="AB93" s="15"/>
      <c r="AC93" s="15"/>
      <c r="AD93" s="15"/>
      <c r="AE93" s="15"/>
      <c r="AF93" s="15"/>
      <c r="AG93" s="15"/>
      <c r="AH93" s="15"/>
      <c r="AI93" s="15"/>
      <c r="AJ93" s="15"/>
      <c r="AK93" s="15"/>
      <c r="AL93" s="15"/>
      <c r="AM93" s="15"/>
      <c r="AN93" s="15"/>
      <c r="AO93" s="15"/>
      <c r="AP93" s="17" t="s">
        <v>102</v>
      </c>
      <c r="AQ93" s="17" t="s">
        <v>102</v>
      </c>
    </row>
    <row r="94" spans="10:49">
      <c r="R94" s="5"/>
      <c r="S94" s="35">
        <f ca="1">IF(S36&lt;&gt;"", S36-'242'!S36-$AP$121, "")</f>
        <v>-4.4114787073112893E-2</v>
      </c>
      <c r="T94" s="35"/>
      <c r="U94" s="35"/>
      <c r="V94" s="35"/>
      <c r="W94" s="35"/>
      <c r="X94" s="35"/>
      <c r="Y94" s="35"/>
      <c r="Z94" s="35"/>
      <c r="AA94" s="35"/>
      <c r="AB94" s="35"/>
      <c r="AC94" s="35"/>
      <c r="AD94" s="35"/>
      <c r="AE94" s="35"/>
      <c r="AF94" s="35"/>
      <c r="AG94" s="35"/>
      <c r="AH94" s="35"/>
      <c r="AI94" s="35"/>
      <c r="AJ94" s="35"/>
      <c r="AK94" s="35"/>
      <c r="AL94" s="35"/>
      <c r="AM94" s="35"/>
      <c r="AN94" s="35"/>
      <c r="AO94" s="35">
        <f ca="1">IF(AO36&lt;&gt;"", AO36-'242'!AO36-$AP$121, "")</f>
        <v>-5.1711918843011517E-2</v>
      </c>
      <c r="AP94" s="21">
        <f>AP36-'242'!AQ36-$AP$121</f>
        <v>-6.399999999996453E-2</v>
      </c>
      <c r="AQ94" s="21">
        <f>AQ36-'242'!AP36-$AP$121</f>
        <v>6.399999999996453E-2</v>
      </c>
      <c r="AR94" s="13" t="s">
        <v>169</v>
      </c>
      <c r="AS94" s="36">
        <f ca="1">MAX(S94:AO116)</f>
        <v>-1.3935549127552349E-2</v>
      </c>
      <c r="AT94" s="13" t="str">
        <f ca="1">IF(AS94&gt;AQ94, CONCATENATE("O/Max ", TEXT(AS94-AQ94,"0.000")), "-")</f>
        <v>-</v>
      </c>
      <c r="AU94" s="36">
        <f ca="1">$Q36-'242'!$Q36-$AP$121</f>
        <v>-4.4114787073112893E-2</v>
      </c>
      <c r="AV94" s="13">
        <f ca="1">INDEX($J36:$J58,MATCH(AS94,AU94:AU116,0))</f>
        <v>13</v>
      </c>
      <c r="AW94" s="13">
        <f ca="1">MATCH(AS94,AU94:AU116,0)</f>
        <v>12</v>
      </c>
    </row>
    <row r="95" spans="10:49">
      <c r="R95" s="5"/>
      <c r="S95" s="35">
        <f ca="1">IF(S37&lt;&gt;"", S37-'242'!S37-$AP$121, "")</f>
        <v>-4.4114787073112893E-2</v>
      </c>
      <c r="T95" s="35">
        <f ca="1">IF(T37&lt;&gt;"", T37-'242'!T37-$AP$121, "")</f>
        <v>-2.7714713029411087E-2</v>
      </c>
      <c r="U95" s="35"/>
      <c r="V95" s="35"/>
      <c r="W95" s="35"/>
      <c r="X95" s="35"/>
      <c r="Y95" s="35"/>
      <c r="Z95" s="35"/>
      <c r="AA95" s="35"/>
      <c r="AB95" s="35"/>
      <c r="AC95" s="35"/>
      <c r="AD95" s="35"/>
      <c r="AE95" s="35"/>
      <c r="AF95" s="35"/>
      <c r="AG95" s="35"/>
      <c r="AH95" s="35"/>
      <c r="AI95" s="35"/>
      <c r="AJ95" s="35"/>
      <c r="AK95" s="35"/>
      <c r="AL95" s="35"/>
      <c r="AM95" s="35"/>
      <c r="AN95" s="35"/>
      <c r="AO95" s="35"/>
      <c r="AP95" s="21">
        <f>AP94</f>
        <v>-6.399999999996453E-2</v>
      </c>
      <c r="AQ95" s="21">
        <f>AQ94</f>
        <v>6.399999999996453E-2</v>
      </c>
      <c r="AR95" s="13" t="s">
        <v>170</v>
      </c>
      <c r="AS95" s="36">
        <f ca="1">MIN(S94:AO116)</f>
        <v>-5.1711918843011517E-2</v>
      </c>
      <c r="AT95" s="13" t="str">
        <f ca="1">IF(AS95&lt;AP94, CONCATENATE("U/Min ", TEXT(AP94-AS95,"0.000")), "-")</f>
        <v>-</v>
      </c>
      <c r="AU95" s="36">
        <f ca="1">$Q37-'242'!$Q37-$AP$121</f>
        <v>-2.7714713029411087E-2</v>
      </c>
      <c r="AV95" s="13">
        <f ca="1">INDEX($J36:$J58,MATCH(AS95,AU94:AU116,0))</f>
        <v>2</v>
      </c>
      <c r="AW95" s="13">
        <f ca="1">MATCH(AS95,AU94:AU116,0)</f>
        <v>23</v>
      </c>
    </row>
    <row r="96" spans="10:49">
      <c r="R96" s="5"/>
      <c r="S96" s="35"/>
      <c r="T96" s="35">
        <f ca="1">IF(T38&lt;&gt;"", T38-'242'!T38-$AP$121, "")</f>
        <v>-2.7714713029411087E-2</v>
      </c>
      <c r="U96" s="35">
        <f ca="1">IF(U38&lt;&gt;"", U38-'242'!U38-$AP$121, "")</f>
        <v>-1.9476653183346571E-2</v>
      </c>
      <c r="V96" s="35"/>
      <c r="W96" s="35"/>
      <c r="X96" s="35"/>
      <c r="Y96" s="35"/>
      <c r="Z96" s="35"/>
      <c r="AA96" s="35"/>
      <c r="AB96" s="35"/>
      <c r="AC96" s="35"/>
      <c r="AD96" s="35"/>
      <c r="AE96" s="35"/>
      <c r="AF96" s="35"/>
      <c r="AG96" s="35"/>
      <c r="AH96" s="35"/>
      <c r="AI96" s="35"/>
      <c r="AJ96" s="35"/>
      <c r="AK96" s="35"/>
      <c r="AL96" s="35"/>
      <c r="AM96" s="35"/>
      <c r="AN96" s="35"/>
      <c r="AO96" s="35"/>
      <c r="AP96" s="21">
        <f t="shared" ref="AP96:AP116" si="17">AP95</f>
        <v>-6.399999999996453E-2</v>
      </c>
      <c r="AQ96" s="21">
        <f t="shared" ref="AQ96:AQ116" si="18">AQ95</f>
        <v>6.399999999996453E-2</v>
      </c>
      <c r="AU96" s="36">
        <f ca="1">$Q38-'242'!$Q38-$AP$121</f>
        <v>-1.9476653183346571E-2</v>
      </c>
    </row>
    <row r="97" spans="10:47">
      <c r="R97" s="5"/>
      <c r="S97" s="35"/>
      <c r="T97" s="35"/>
      <c r="U97" s="35">
        <f ca="1">IF(U39&lt;&gt;"", U39-'242'!U39-$AP$121, "")</f>
        <v>-1.9476653183346571E-2</v>
      </c>
      <c r="V97" s="35">
        <f ca="1">IF(V39&lt;&gt;"", V39-'242'!V39-$AP$121, "")</f>
        <v>-1.7899557578175518E-2</v>
      </c>
      <c r="W97" s="35"/>
      <c r="X97" s="35"/>
      <c r="Y97" s="35"/>
      <c r="Z97" s="35"/>
      <c r="AA97" s="35"/>
      <c r="AB97" s="35"/>
      <c r="AC97" s="35"/>
      <c r="AD97" s="35"/>
      <c r="AE97" s="35"/>
      <c r="AF97" s="35"/>
      <c r="AG97" s="35"/>
      <c r="AH97" s="35"/>
      <c r="AI97" s="35"/>
      <c r="AJ97" s="35"/>
      <c r="AK97" s="35"/>
      <c r="AL97" s="35"/>
      <c r="AM97" s="35"/>
      <c r="AN97" s="35"/>
      <c r="AO97" s="35"/>
      <c r="AP97" s="21">
        <f t="shared" si="17"/>
        <v>-6.399999999996453E-2</v>
      </c>
      <c r="AQ97" s="21">
        <f t="shared" si="18"/>
        <v>6.399999999996453E-2</v>
      </c>
      <c r="AU97" s="36">
        <f ca="1">$Q39-'242'!$Q39-$AP$121</f>
        <v>-1.7899557578175518E-2</v>
      </c>
    </row>
    <row r="98" spans="10:47">
      <c r="R98" s="5"/>
      <c r="S98" s="35"/>
      <c r="T98" s="35"/>
      <c r="U98" s="35"/>
      <c r="V98" s="35">
        <f ca="1">IF(V40&lt;&gt;"", V40-'242'!V40-$AP$121, "")</f>
        <v>-1.7899557578175518E-2</v>
      </c>
      <c r="W98" s="35">
        <f ca="1">IF(W40&lt;&gt;"", W40-'242'!W40-$AP$121, "")</f>
        <v>-2.2743828434329316E-2</v>
      </c>
      <c r="X98" s="35"/>
      <c r="Y98" s="35"/>
      <c r="Z98" s="35"/>
      <c r="AA98" s="35"/>
      <c r="AB98" s="35"/>
      <c r="AC98" s="35"/>
      <c r="AD98" s="35"/>
      <c r="AE98" s="35"/>
      <c r="AF98" s="35"/>
      <c r="AG98" s="35"/>
      <c r="AH98" s="35"/>
      <c r="AI98" s="35"/>
      <c r="AJ98" s="35"/>
      <c r="AK98" s="35"/>
      <c r="AL98" s="35"/>
      <c r="AM98" s="35"/>
      <c r="AN98" s="35"/>
      <c r="AO98" s="35"/>
      <c r="AP98" s="21">
        <f t="shared" si="17"/>
        <v>-6.399999999996453E-2</v>
      </c>
      <c r="AQ98" s="21">
        <f t="shared" si="18"/>
        <v>6.399999999996453E-2</v>
      </c>
      <c r="AU98" s="36">
        <f ca="1">$Q40-'242'!$Q40-$AP$121</f>
        <v>-2.2743828434329316E-2</v>
      </c>
    </row>
    <row r="99" spans="10:47">
      <c r="J99" s="6"/>
      <c r="K99" s="6"/>
      <c r="L99" s="6"/>
      <c r="M99" s="6"/>
      <c r="N99" s="6"/>
      <c r="O99" s="43"/>
      <c r="P99" s="43"/>
      <c r="Q99" s="43"/>
      <c r="R99" s="5"/>
      <c r="S99" s="35"/>
      <c r="T99" s="35"/>
      <c r="U99" s="35"/>
      <c r="V99" s="35"/>
      <c r="W99" s="35">
        <f ca="1">IF(W41&lt;&gt;"", W41-'242'!W41-$AP$121, "")</f>
        <v>-2.2743828434329316E-2</v>
      </c>
      <c r="X99" s="35">
        <f ca="1">IF(X41&lt;&gt;"", X41-'242'!X41-$AP$121, "")</f>
        <v>-3.0379445924722859E-2</v>
      </c>
      <c r="Y99" s="35"/>
      <c r="Z99" s="35"/>
      <c r="AA99" s="35"/>
      <c r="AB99" s="35"/>
      <c r="AC99" s="35"/>
      <c r="AD99" s="35"/>
      <c r="AE99" s="35"/>
      <c r="AF99" s="35"/>
      <c r="AG99" s="35"/>
      <c r="AH99" s="35"/>
      <c r="AI99" s="35"/>
      <c r="AJ99" s="35"/>
      <c r="AK99" s="35"/>
      <c r="AL99" s="35"/>
      <c r="AM99" s="35"/>
      <c r="AN99" s="35"/>
      <c r="AO99" s="35"/>
      <c r="AP99" s="21">
        <f t="shared" si="17"/>
        <v>-6.399999999996453E-2</v>
      </c>
      <c r="AQ99" s="21">
        <f t="shared" si="18"/>
        <v>6.399999999996453E-2</v>
      </c>
      <c r="AU99" s="36">
        <f ca="1">$Q41-'242'!$Q41-$AP$121</f>
        <v>-3.0379445924722859E-2</v>
      </c>
    </row>
    <row r="100" spans="10:47">
      <c r="J100" s="6"/>
      <c r="K100" s="6"/>
      <c r="L100" s="6"/>
      <c r="M100" s="6"/>
      <c r="N100" s="6"/>
      <c r="O100" s="43"/>
      <c r="P100" s="43"/>
      <c r="Q100" s="43"/>
      <c r="R100" s="5"/>
      <c r="S100" s="35"/>
      <c r="T100" s="35"/>
      <c r="U100" s="35"/>
      <c r="V100" s="35"/>
      <c r="W100" s="35"/>
      <c r="X100" s="35">
        <f ca="1">IF(X42&lt;&gt;"", X42-'242'!X42-$AP$121, "")</f>
        <v>-3.0379445924722859E-2</v>
      </c>
      <c r="Y100" s="35">
        <f ca="1">IF(Y42&lt;&gt;"", Y42-'242'!Y42-$AP$121, "")</f>
        <v>-3.1779497264324164E-2</v>
      </c>
      <c r="Z100" s="35"/>
      <c r="AA100" s="35"/>
      <c r="AB100" s="35"/>
      <c r="AC100" s="35"/>
      <c r="AD100" s="35"/>
      <c r="AE100" s="35"/>
      <c r="AF100" s="35"/>
      <c r="AG100" s="35"/>
      <c r="AH100" s="35"/>
      <c r="AI100" s="35"/>
      <c r="AJ100" s="35"/>
      <c r="AK100" s="35"/>
      <c r="AL100" s="35"/>
      <c r="AM100" s="35"/>
      <c r="AN100" s="35"/>
      <c r="AO100" s="35"/>
      <c r="AP100" s="21">
        <f t="shared" si="17"/>
        <v>-6.399999999996453E-2</v>
      </c>
      <c r="AQ100" s="21">
        <f t="shared" si="18"/>
        <v>6.399999999996453E-2</v>
      </c>
      <c r="AU100" s="36">
        <f ca="1">$Q42-'242'!$Q42-$AP$121</f>
        <v>-3.1779497264324164E-2</v>
      </c>
    </row>
    <row r="101" spans="10:47">
      <c r="J101" s="44"/>
      <c r="K101" s="6"/>
      <c r="L101" s="6"/>
      <c r="M101" s="6"/>
      <c r="N101" s="6"/>
      <c r="O101" s="43"/>
      <c r="P101" s="43"/>
      <c r="Q101" s="43"/>
      <c r="R101" s="5"/>
      <c r="S101" s="35"/>
      <c r="T101" s="35"/>
      <c r="U101" s="35"/>
      <c r="V101" s="35"/>
      <c r="W101" s="35"/>
      <c r="X101" s="35"/>
      <c r="Y101" s="35">
        <f ca="1">IF(Y43&lt;&gt;"", Y43-'242'!Y43-$AP$121, "")</f>
        <v>-3.1779497264324164E-2</v>
      </c>
      <c r="Z101" s="35">
        <f ca="1">IF(Z43&lt;&gt;"", Z43-'242'!Z43-$AP$121, "")</f>
        <v>-2.6154990027123404E-2</v>
      </c>
      <c r="AA101" s="35"/>
      <c r="AB101" s="35"/>
      <c r="AC101" s="35"/>
      <c r="AD101" s="35"/>
      <c r="AE101" s="35"/>
      <c r="AF101" s="35"/>
      <c r="AG101" s="35"/>
      <c r="AH101" s="35"/>
      <c r="AI101" s="35"/>
      <c r="AJ101" s="35"/>
      <c r="AK101" s="35"/>
      <c r="AL101" s="35"/>
      <c r="AM101" s="35"/>
      <c r="AN101" s="35"/>
      <c r="AO101" s="35"/>
      <c r="AP101" s="21">
        <f t="shared" si="17"/>
        <v>-6.399999999996453E-2</v>
      </c>
      <c r="AQ101" s="21">
        <f t="shared" si="18"/>
        <v>6.399999999996453E-2</v>
      </c>
      <c r="AU101" s="36">
        <f ca="1">$Q43-'242'!$Q43-$AP$121</f>
        <v>-2.6154990027123404E-2</v>
      </c>
    </row>
    <row r="102" spans="10:47">
      <c r="J102" s="45"/>
      <c r="K102" s="45"/>
      <c r="L102" s="45"/>
      <c r="M102" s="45"/>
      <c r="N102" s="46"/>
      <c r="O102" s="46"/>
      <c r="P102" s="43"/>
      <c r="Q102" s="43"/>
      <c r="R102" s="5"/>
      <c r="S102" s="35"/>
      <c r="T102" s="35"/>
      <c r="U102" s="35"/>
      <c r="V102" s="35"/>
      <c r="W102" s="35"/>
      <c r="X102" s="35"/>
      <c r="Y102" s="35"/>
      <c r="Z102" s="35">
        <f ca="1">IF(Z44&lt;&gt;"", Z44-'242'!Z44-$AP$121, "")</f>
        <v>-2.6154990027123404E-2</v>
      </c>
      <c r="AA102" s="35">
        <f ca="1">IF(AA44&lt;&gt;"", AA44-'242'!AA44-$AP$121, "")</f>
        <v>-2.0032844059699073E-2</v>
      </c>
      <c r="AB102" s="35"/>
      <c r="AC102" s="35"/>
      <c r="AD102" s="35"/>
      <c r="AE102" s="35"/>
      <c r="AF102" s="35"/>
      <c r="AG102" s="35"/>
      <c r="AH102" s="35"/>
      <c r="AI102" s="35"/>
      <c r="AJ102" s="35"/>
      <c r="AK102" s="35"/>
      <c r="AL102" s="35"/>
      <c r="AM102" s="35"/>
      <c r="AN102" s="35"/>
      <c r="AO102" s="35"/>
      <c r="AP102" s="21">
        <f t="shared" si="17"/>
        <v>-6.399999999996453E-2</v>
      </c>
      <c r="AQ102" s="21">
        <f t="shared" si="18"/>
        <v>6.399999999996453E-2</v>
      </c>
      <c r="AU102" s="36">
        <f ca="1">$Q44-'242'!$Q44-$AP$121</f>
        <v>-2.0032844059699073E-2</v>
      </c>
    </row>
    <row r="103" spans="10:47">
      <c r="J103" s="6"/>
      <c r="K103" s="6"/>
      <c r="L103" s="6"/>
      <c r="M103" s="6"/>
      <c r="N103" s="6"/>
      <c r="O103" s="6"/>
      <c r="P103" s="45"/>
      <c r="Q103" s="43"/>
      <c r="R103" s="5"/>
      <c r="S103" s="35"/>
      <c r="T103" s="35"/>
      <c r="U103" s="35"/>
      <c r="V103" s="35"/>
      <c r="W103" s="35"/>
      <c r="X103" s="35"/>
      <c r="Y103" s="35"/>
      <c r="Z103" s="35"/>
      <c r="AA103" s="35">
        <f ca="1">IF(AA45&lt;&gt;"", AA45-'242'!AA45-$AP$121, "")</f>
        <v>-2.0032844059699073E-2</v>
      </c>
      <c r="AB103" s="35">
        <f ca="1">IF(AB45&lt;&gt;"", AB45-'242'!AB45-$AP$121, "")</f>
        <v>-1.6752581587695659E-2</v>
      </c>
      <c r="AC103" s="35"/>
      <c r="AD103" s="35"/>
      <c r="AE103" s="35"/>
      <c r="AF103" s="35"/>
      <c r="AG103" s="35"/>
      <c r="AH103" s="35"/>
      <c r="AI103" s="35"/>
      <c r="AJ103" s="35"/>
      <c r="AK103" s="35"/>
      <c r="AL103" s="35"/>
      <c r="AM103" s="35"/>
      <c r="AN103" s="35"/>
      <c r="AO103" s="35"/>
      <c r="AP103" s="21">
        <f t="shared" si="17"/>
        <v>-6.399999999996453E-2</v>
      </c>
      <c r="AQ103" s="21">
        <f t="shared" si="18"/>
        <v>6.399999999996453E-2</v>
      </c>
      <c r="AU103" s="36">
        <f ca="1">$Q45-'242'!$Q45-$AP$121</f>
        <v>-1.6752581587695659E-2</v>
      </c>
    </row>
    <row r="104" spans="10:47">
      <c r="J104" s="6"/>
      <c r="K104" s="6"/>
      <c r="L104" s="6"/>
      <c r="M104" s="6"/>
      <c r="N104" s="6"/>
      <c r="O104" s="6"/>
      <c r="P104" s="45"/>
      <c r="Q104" s="43"/>
      <c r="R104" s="5"/>
      <c r="S104" s="35"/>
      <c r="T104" s="35"/>
      <c r="U104" s="35"/>
      <c r="V104" s="35"/>
      <c r="W104" s="35"/>
      <c r="X104" s="35"/>
      <c r="Y104" s="35"/>
      <c r="Z104" s="35"/>
      <c r="AA104" s="35"/>
      <c r="AB104" s="35">
        <f ca="1">IF(AB46&lt;&gt;"", AB46-'242'!AB46-$AP$121, "")</f>
        <v>-1.6752581587695659E-2</v>
      </c>
      <c r="AC104" s="35">
        <f ca="1">IF(AC46&lt;&gt;"", AC46-'242'!AC46-$AP$121, "")</f>
        <v>-1.4694078701893432E-2</v>
      </c>
      <c r="AD104" s="35"/>
      <c r="AE104" s="35"/>
      <c r="AF104" s="35"/>
      <c r="AG104" s="35"/>
      <c r="AH104" s="35"/>
      <c r="AI104" s="35"/>
      <c r="AJ104" s="35"/>
      <c r="AK104" s="35"/>
      <c r="AL104" s="35"/>
      <c r="AM104" s="35"/>
      <c r="AN104" s="35"/>
      <c r="AO104" s="35"/>
      <c r="AP104" s="21">
        <f t="shared" si="17"/>
        <v>-6.399999999996453E-2</v>
      </c>
      <c r="AQ104" s="21">
        <f t="shared" si="18"/>
        <v>6.399999999996453E-2</v>
      </c>
      <c r="AU104" s="36">
        <f ca="1">$Q46-'242'!$Q46-$AP$121</f>
        <v>-1.4694078701893432E-2</v>
      </c>
    </row>
    <row r="105" spans="10:47">
      <c r="J105" s="6"/>
      <c r="K105" s="6"/>
      <c r="L105" s="6"/>
      <c r="M105" s="6"/>
      <c r="N105" s="6"/>
      <c r="O105" s="6"/>
      <c r="P105" s="45"/>
      <c r="Q105" s="43"/>
      <c r="R105" s="5"/>
      <c r="S105" s="35"/>
      <c r="T105" s="35"/>
      <c r="U105" s="35"/>
      <c r="V105" s="35"/>
      <c r="W105" s="35"/>
      <c r="X105" s="35"/>
      <c r="Y105" s="35"/>
      <c r="Z105" s="35"/>
      <c r="AA105" s="35"/>
      <c r="AB105" s="35"/>
      <c r="AC105" s="35">
        <f ca="1">IF(AC47&lt;&gt;"", AC47-'242'!AC47-$AP$121, "")</f>
        <v>-1.4694078701893432E-2</v>
      </c>
      <c r="AD105" s="35">
        <f ca="1">IF(AD47&lt;&gt;"", AD47-'242'!AD47-$AP$121, "")</f>
        <v>-1.3935549127552349E-2</v>
      </c>
      <c r="AE105" s="35"/>
      <c r="AF105" s="35"/>
      <c r="AG105" s="35"/>
      <c r="AH105" s="35"/>
      <c r="AI105" s="35"/>
      <c r="AJ105" s="35"/>
      <c r="AK105" s="35"/>
      <c r="AL105" s="35"/>
      <c r="AM105" s="35"/>
      <c r="AN105" s="35"/>
      <c r="AO105" s="35"/>
      <c r="AP105" s="21">
        <f t="shared" si="17"/>
        <v>-6.399999999996453E-2</v>
      </c>
      <c r="AQ105" s="21">
        <f t="shared" si="18"/>
        <v>6.399999999996453E-2</v>
      </c>
      <c r="AU105" s="36">
        <f ca="1">$Q47-'242'!$Q47-$AP$121</f>
        <v>-1.3935549127552349E-2</v>
      </c>
    </row>
    <row r="106" spans="10:47">
      <c r="J106" s="6"/>
      <c r="K106" s="6"/>
      <c r="L106" s="6"/>
      <c r="M106" s="6"/>
      <c r="N106" s="6"/>
      <c r="O106" s="6"/>
      <c r="P106" s="45"/>
      <c r="Q106" s="43"/>
      <c r="R106" s="5"/>
      <c r="S106" s="35"/>
      <c r="T106" s="35"/>
      <c r="U106" s="35"/>
      <c r="V106" s="35"/>
      <c r="W106" s="35"/>
      <c r="X106" s="35"/>
      <c r="Y106" s="35"/>
      <c r="Z106" s="35"/>
      <c r="AA106" s="35"/>
      <c r="AB106" s="35"/>
      <c r="AC106" s="35"/>
      <c r="AD106" s="35">
        <f ca="1">IF(AD48&lt;&gt;"", AD48-'242'!AD48-$AP$121, "")</f>
        <v>-1.3935549127552349E-2</v>
      </c>
      <c r="AE106" s="35">
        <f ca="1">IF(AE48&lt;&gt;"", AE48-'242'!AE48-$AP$121, "")</f>
        <v>-1.7442599590879126E-2</v>
      </c>
      <c r="AF106" s="35"/>
      <c r="AG106" s="35"/>
      <c r="AH106" s="35"/>
      <c r="AI106" s="35"/>
      <c r="AJ106" s="35"/>
      <c r="AK106" s="35"/>
      <c r="AL106" s="35"/>
      <c r="AM106" s="35"/>
      <c r="AN106" s="35"/>
      <c r="AO106" s="35"/>
      <c r="AP106" s="21">
        <f t="shared" si="17"/>
        <v>-6.399999999996453E-2</v>
      </c>
      <c r="AQ106" s="21">
        <f t="shared" si="18"/>
        <v>6.399999999996453E-2</v>
      </c>
      <c r="AU106" s="36">
        <f ca="1">$Q48-'242'!$Q48-$AP$121</f>
        <v>-1.7442599590879126E-2</v>
      </c>
    </row>
    <row r="107" spans="10:47">
      <c r="J107" s="6"/>
      <c r="K107" s="6"/>
      <c r="L107" s="6"/>
      <c r="M107" s="6"/>
      <c r="N107" s="6"/>
      <c r="O107" s="6"/>
      <c r="P107" s="45"/>
      <c r="Q107" s="43"/>
      <c r="R107" s="5"/>
      <c r="S107" s="35"/>
      <c r="T107" s="35"/>
      <c r="U107" s="35"/>
      <c r="V107" s="35"/>
      <c r="W107" s="35"/>
      <c r="X107" s="35"/>
      <c r="Y107" s="35"/>
      <c r="Z107" s="35"/>
      <c r="AA107" s="35"/>
      <c r="AB107" s="35"/>
      <c r="AC107" s="35"/>
      <c r="AD107" s="35"/>
      <c r="AE107" s="35">
        <f ca="1">IF(AE49&lt;&gt;"", AE49-'242'!AE49-$AP$121, "")</f>
        <v>-1.7442599590879126E-2</v>
      </c>
      <c r="AF107" s="35">
        <f ca="1">IF(AF49&lt;&gt;"", AF49-'242'!AF49-$AP$121, "")</f>
        <v>-2.8345307151482757E-2</v>
      </c>
      <c r="AG107" s="35"/>
      <c r="AH107" s="35"/>
      <c r="AI107" s="35"/>
      <c r="AJ107" s="35"/>
      <c r="AK107" s="35"/>
      <c r="AL107" s="35"/>
      <c r="AM107" s="35"/>
      <c r="AN107" s="35"/>
      <c r="AO107" s="35"/>
      <c r="AP107" s="21">
        <f t="shared" si="17"/>
        <v>-6.399999999996453E-2</v>
      </c>
      <c r="AQ107" s="21">
        <f t="shared" si="18"/>
        <v>6.399999999996453E-2</v>
      </c>
      <c r="AU107" s="36">
        <f ca="1">$Q49-'242'!$Q49-$AP$121</f>
        <v>-2.8345307151482757E-2</v>
      </c>
    </row>
    <row r="108" spans="10:47">
      <c r="J108" s="6"/>
      <c r="K108" s="6"/>
      <c r="L108" s="6"/>
      <c r="M108" s="6"/>
      <c r="N108" s="6"/>
      <c r="O108" s="6"/>
      <c r="P108" s="45"/>
      <c r="Q108" s="43"/>
      <c r="R108" s="5"/>
      <c r="S108" s="35"/>
      <c r="T108" s="35"/>
      <c r="U108" s="35"/>
      <c r="V108" s="35"/>
      <c r="W108" s="35"/>
      <c r="X108" s="35"/>
      <c r="Y108" s="35"/>
      <c r="Z108" s="35"/>
      <c r="AA108" s="35"/>
      <c r="AB108" s="35"/>
      <c r="AC108" s="35"/>
      <c r="AD108" s="35"/>
      <c r="AE108" s="35"/>
      <c r="AF108" s="35">
        <f ca="1">IF(AF50&lt;&gt;"", AF50-'242'!AF50-$AP$121, "")</f>
        <v>-2.8345307151482757E-2</v>
      </c>
      <c r="AG108" s="35">
        <f ca="1">IF(AG50&lt;&gt;"", AG50-'242'!AG50-$AP$121, "")</f>
        <v>-3.6698740401106988E-2</v>
      </c>
      <c r="AH108" s="35"/>
      <c r="AI108" s="35"/>
      <c r="AJ108" s="35"/>
      <c r="AK108" s="35"/>
      <c r="AL108" s="35"/>
      <c r="AM108" s="35"/>
      <c r="AN108" s="35"/>
      <c r="AO108" s="35"/>
      <c r="AP108" s="21">
        <f t="shared" si="17"/>
        <v>-6.399999999996453E-2</v>
      </c>
      <c r="AQ108" s="21">
        <f t="shared" si="18"/>
        <v>6.399999999996453E-2</v>
      </c>
      <c r="AU108" s="36">
        <f ca="1">$Q50-'242'!$Q50-$AP$121</f>
        <v>-3.6698740401106988E-2</v>
      </c>
    </row>
    <row r="109" spans="10:47">
      <c r="J109" s="6"/>
      <c r="K109" s="6"/>
      <c r="L109" s="6"/>
      <c r="M109" s="6"/>
      <c r="N109" s="6"/>
      <c r="O109" s="6"/>
      <c r="P109" s="45"/>
      <c r="Q109" s="43"/>
      <c r="R109" s="5"/>
      <c r="S109" s="35"/>
      <c r="T109" s="35"/>
      <c r="U109" s="35"/>
      <c r="V109" s="35"/>
      <c r="W109" s="35"/>
      <c r="X109" s="35"/>
      <c r="Y109" s="35"/>
      <c r="Z109" s="35"/>
      <c r="AA109" s="35"/>
      <c r="AB109" s="35"/>
      <c r="AC109" s="35"/>
      <c r="AD109" s="35"/>
      <c r="AE109" s="35"/>
      <c r="AF109" s="35"/>
      <c r="AG109" s="35">
        <f ca="1">IF(AG51&lt;&gt;"", AG51-'242'!AG51-$AP$121, "")</f>
        <v>-3.6698740401106988E-2</v>
      </c>
      <c r="AH109" s="35">
        <f ca="1">IF(AH51&lt;&gt;"", AH51-'242'!AH51-$AP$121, "")</f>
        <v>-3.2935230589657749E-2</v>
      </c>
      <c r="AI109" s="35"/>
      <c r="AJ109" s="35"/>
      <c r="AK109" s="35"/>
      <c r="AL109" s="35"/>
      <c r="AM109" s="35"/>
      <c r="AN109" s="35"/>
      <c r="AO109" s="35"/>
      <c r="AP109" s="21">
        <f t="shared" si="17"/>
        <v>-6.399999999996453E-2</v>
      </c>
      <c r="AQ109" s="21">
        <f t="shared" si="18"/>
        <v>6.399999999996453E-2</v>
      </c>
      <c r="AU109" s="36">
        <f ca="1">$Q51-'242'!$Q51-$AP$121</f>
        <v>-3.2935230589657749E-2</v>
      </c>
    </row>
    <row r="110" spans="10:47">
      <c r="J110" s="6"/>
      <c r="K110" s="6"/>
      <c r="L110" s="6"/>
      <c r="M110" s="6"/>
      <c r="N110" s="6"/>
      <c r="O110" s="6"/>
      <c r="P110" s="45"/>
      <c r="Q110" s="43"/>
      <c r="R110" s="5"/>
      <c r="S110" s="35"/>
      <c r="T110" s="35"/>
      <c r="U110" s="35"/>
      <c r="V110" s="35"/>
      <c r="W110" s="35"/>
      <c r="X110" s="35"/>
      <c r="Y110" s="35"/>
      <c r="Z110" s="35"/>
      <c r="AA110" s="35"/>
      <c r="AB110" s="35"/>
      <c r="AC110" s="35"/>
      <c r="AD110" s="35"/>
      <c r="AE110" s="35"/>
      <c r="AF110" s="35"/>
      <c r="AG110" s="35"/>
      <c r="AH110" s="35">
        <f ca="1">IF(AH52&lt;&gt;"", AH52-'242'!AH52-$AP$121, "")</f>
        <v>-3.2935230589657749E-2</v>
      </c>
      <c r="AI110" s="35">
        <f ca="1">IF(AI52&lt;&gt;"", AI52-'242'!AI52-$AP$121, "")</f>
        <v>-2.3600871457233552E-2</v>
      </c>
      <c r="AJ110" s="35"/>
      <c r="AK110" s="35"/>
      <c r="AL110" s="35"/>
      <c r="AM110" s="35"/>
      <c r="AN110" s="35"/>
      <c r="AO110" s="35"/>
      <c r="AP110" s="21">
        <f t="shared" si="17"/>
        <v>-6.399999999996453E-2</v>
      </c>
      <c r="AQ110" s="21">
        <f t="shared" si="18"/>
        <v>6.399999999996453E-2</v>
      </c>
      <c r="AU110" s="36">
        <f ca="1">$Q52-'242'!$Q52-$AP$121</f>
        <v>-2.3600871457233552E-2</v>
      </c>
    </row>
    <row r="111" spans="10:47">
      <c r="J111" s="6"/>
      <c r="K111" s="6"/>
      <c r="L111" s="6"/>
      <c r="M111" s="6"/>
      <c r="N111" s="6"/>
      <c r="O111" s="6"/>
      <c r="P111" s="45"/>
      <c r="Q111" s="43"/>
      <c r="R111" s="5"/>
      <c r="S111" s="35"/>
      <c r="T111" s="35"/>
      <c r="U111" s="35"/>
      <c r="V111" s="35"/>
      <c r="W111" s="35"/>
      <c r="X111" s="35"/>
      <c r="Y111" s="35"/>
      <c r="Z111" s="35"/>
      <c r="AA111" s="35"/>
      <c r="AB111" s="35"/>
      <c r="AC111" s="35"/>
      <c r="AD111" s="35"/>
      <c r="AE111" s="35"/>
      <c r="AF111" s="35"/>
      <c r="AG111" s="35"/>
      <c r="AH111" s="35"/>
      <c r="AI111" s="35">
        <f ca="1">IF(AI53&lt;&gt;"", AI53-'242'!AI53-$AP$121, "")</f>
        <v>-2.3600871457233552E-2</v>
      </c>
      <c r="AJ111" s="35">
        <f ca="1">IF(AJ53&lt;&gt;"", AJ53-'242'!AJ53-$AP$121, "")</f>
        <v>-1.6118232511587394E-2</v>
      </c>
      <c r="AK111" s="35"/>
      <c r="AL111" s="35"/>
      <c r="AM111" s="35"/>
      <c r="AN111" s="35"/>
      <c r="AO111" s="35"/>
      <c r="AP111" s="21">
        <f t="shared" si="17"/>
        <v>-6.399999999996453E-2</v>
      </c>
      <c r="AQ111" s="21">
        <f t="shared" si="18"/>
        <v>6.399999999996453E-2</v>
      </c>
      <c r="AU111" s="36">
        <f ca="1">$Q53-'242'!$Q53-$AP$121</f>
        <v>-1.6118232511587394E-2</v>
      </c>
    </row>
    <row r="112" spans="10:47">
      <c r="J112" s="6"/>
      <c r="K112" s="6"/>
      <c r="L112" s="6"/>
      <c r="M112" s="6"/>
      <c r="N112" s="6"/>
      <c r="O112" s="6"/>
      <c r="P112" s="45"/>
      <c r="Q112" s="43"/>
      <c r="R112" s="5"/>
      <c r="S112" s="35"/>
      <c r="T112" s="35"/>
      <c r="U112" s="35"/>
      <c r="V112" s="35"/>
      <c r="W112" s="35"/>
      <c r="X112" s="35"/>
      <c r="Y112" s="35"/>
      <c r="Z112" s="35"/>
      <c r="AA112" s="35"/>
      <c r="AB112" s="35"/>
      <c r="AC112" s="35"/>
      <c r="AD112" s="35"/>
      <c r="AE112" s="35"/>
      <c r="AF112" s="35"/>
      <c r="AG112" s="35"/>
      <c r="AH112" s="35"/>
      <c r="AI112" s="35"/>
      <c r="AJ112" s="35">
        <f ca="1">IF(AJ54&lt;&gt;"", AJ54-'242'!AJ54-$AP$121, "")</f>
        <v>-1.6118232511587394E-2</v>
      </c>
      <c r="AK112" s="35">
        <f ca="1">IF(AK54&lt;&gt;"", AK54-'242'!AK54-$AP$121, "")</f>
        <v>-1.5250552678935492E-2</v>
      </c>
      <c r="AL112" s="35"/>
      <c r="AM112" s="35"/>
      <c r="AN112" s="35"/>
      <c r="AO112" s="35"/>
      <c r="AP112" s="21">
        <f t="shared" si="17"/>
        <v>-6.399999999996453E-2</v>
      </c>
      <c r="AQ112" s="21">
        <f t="shared" si="18"/>
        <v>6.399999999996453E-2</v>
      </c>
      <c r="AU112" s="36">
        <f ca="1">$Q54-'242'!$Q54-$AP$121</f>
        <v>-1.5250552678935492E-2</v>
      </c>
    </row>
    <row r="113" spans="10:47">
      <c r="J113" s="6"/>
      <c r="K113" s="6"/>
      <c r="L113" s="6"/>
      <c r="M113" s="6"/>
      <c r="N113" s="6"/>
      <c r="O113" s="6"/>
      <c r="P113" s="45"/>
      <c r="Q113" s="43"/>
      <c r="R113" s="5"/>
      <c r="S113" s="35"/>
      <c r="T113" s="35"/>
      <c r="U113" s="35"/>
      <c r="V113" s="35"/>
      <c r="W113" s="35"/>
      <c r="X113" s="35"/>
      <c r="Y113" s="35"/>
      <c r="Z113" s="35"/>
      <c r="AA113" s="35"/>
      <c r="AB113" s="35"/>
      <c r="AC113" s="35"/>
      <c r="AD113" s="35"/>
      <c r="AE113" s="35"/>
      <c r="AF113" s="35"/>
      <c r="AG113" s="35"/>
      <c r="AH113" s="35"/>
      <c r="AI113" s="35"/>
      <c r="AJ113" s="35"/>
      <c r="AK113" s="35">
        <f ca="1">IF(AK55&lt;&gt;"", AK55-'242'!AK55-$AP$121, "")</f>
        <v>-1.5250552678935492E-2</v>
      </c>
      <c r="AL113" s="35">
        <f ca="1">IF(AL55&lt;&gt;"", AL55-'242'!AL55-$AP$121, "")</f>
        <v>-2.360464394206474E-2</v>
      </c>
      <c r="AM113" s="35"/>
      <c r="AN113" s="35"/>
      <c r="AO113" s="35"/>
      <c r="AP113" s="21">
        <f t="shared" si="17"/>
        <v>-6.399999999996453E-2</v>
      </c>
      <c r="AQ113" s="21">
        <f t="shared" si="18"/>
        <v>6.399999999996453E-2</v>
      </c>
      <c r="AU113" s="36">
        <f ca="1">$Q55-'242'!$Q55-$AP$121</f>
        <v>-2.360464394206474E-2</v>
      </c>
    </row>
    <row r="114" spans="10:47">
      <c r="J114" s="6"/>
      <c r="K114" s="6"/>
      <c r="L114" s="6"/>
      <c r="M114" s="6"/>
      <c r="N114" s="6"/>
      <c r="O114" s="6"/>
      <c r="P114" s="45"/>
      <c r="Q114" s="43"/>
      <c r="R114" s="5"/>
      <c r="S114" s="35"/>
      <c r="T114" s="35"/>
      <c r="U114" s="35"/>
      <c r="V114" s="35"/>
      <c r="W114" s="35"/>
      <c r="X114" s="35"/>
      <c r="Y114" s="35"/>
      <c r="Z114" s="35"/>
      <c r="AA114" s="35"/>
      <c r="AB114" s="35"/>
      <c r="AC114" s="35"/>
      <c r="AD114" s="35"/>
      <c r="AE114" s="35"/>
      <c r="AF114" s="35"/>
      <c r="AG114" s="35"/>
      <c r="AH114" s="35"/>
      <c r="AI114" s="35"/>
      <c r="AJ114" s="35"/>
      <c r="AK114" s="35"/>
      <c r="AL114" s="35">
        <f ca="1">IF(AL56&lt;&gt;"", AL56-'242'!AL56-$AP$121, "")</f>
        <v>-2.360464394206474E-2</v>
      </c>
      <c r="AM114" s="35">
        <f ca="1">IF(AM56&lt;&gt;"", AM56-'242'!AM56-$AP$121, "")</f>
        <v>-3.5646558762664426E-2</v>
      </c>
      <c r="AN114" s="35"/>
      <c r="AO114" s="35"/>
      <c r="AP114" s="21">
        <f t="shared" si="17"/>
        <v>-6.399999999996453E-2</v>
      </c>
      <c r="AQ114" s="21">
        <f t="shared" si="18"/>
        <v>6.399999999996453E-2</v>
      </c>
      <c r="AU114" s="36">
        <f ca="1">$Q56-'242'!$Q56-$AP$121</f>
        <v>-3.5646558762664426E-2</v>
      </c>
    </row>
    <row r="115" spans="10:47">
      <c r="J115" s="6"/>
      <c r="K115" s="6"/>
      <c r="L115" s="6"/>
      <c r="M115" s="6"/>
      <c r="N115" s="6"/>
      <c r="O115" s="6"/>
      <c r="P115" s="45"/>
      <c r="Q115" s="43"/>
      <c r="R115" s="5"/>
      <c r="S115" s="57"/>
      <c r="T115" s="57"/>
      <c r="U115" s="57"/>
      <c r="V115" s="57"/>
      <c r="W115" s="57"/>
      <c r="X115" s="57"/>
      <c r="Y115" s="57"/>
      <c r="Z115" s="57"/>
      <c r="AA115" s="57"/>
      <c r="AB115" s="57"/>
      <c r="AC115" s="57"/>
      <c r="AD115" s="57"/>
      <c r="AE115" s="57"/>
      <c r="AF115" s="57"/>
      <c r="AG115" s="57"/>
      <c r="AH115" s="57"/>
      <c r="AI115" s="57"/>
      <c r="AJ115" s="57"/>
      <c r="AK115" s="57"/>
      <c r="AL115" s="57"/>
      <c r="AM115" s="35">
        <f ca="1">IF(AM57&lt;&gt;"", AM57-'242'!AM57-$AP$121, "")</f>
        <v>-3.5646558762664426E-2</v>
      </c>
      <c r="AN115" s="35">
        <f ca="1">IF(AN57&lt;&gt;"", AN57-'242'!AN57-$AP$121, "")</f>
        <v>-4.4803107535130948E-2</v>
      </c>
      <c r="AO115" s="57"/>
      <c r="AP115" s="21">
        <f t="shared" si="17"/>
        <v>-6.399999999996453E-2</v>
      </c>
      <c r="AQ115" s="21">
        <f t="shared" si="18"/>
        <v>6.399999999996453E-2</v>
      </c>
      <c r="AU115" s="36">
        <f ca="1">$Q57-'242'!$Q57-$AP$121</f>
        <v>-4.4803107535130948E-2</v>
      </c>
    </row>
    <row r="116" spans="10:47">
      <c r="J116" s="6"/>
      <c r="K116" s="6"/>
      <c r="L116" s="6"/>
      <c r="M116" s="6"/>
      <c r="N116" s="6"/>
      <c r="O116" s="6"/>
      <c r="P116" s="45"/>
      <c r="Q116" s="43"/>
      <c r="R116" s="5"/>
      <c r="S116" s="39"/>
      <c r="T116" s="39"/>
      <c r="U116" s="39"/>
      <c r="V116" s="39"/>
      <c r="W116" s="39"/>
      <c r="X116" s="39"/>
      <c r="Y116" s="39"/>
      <c r="Z116" s="39"/>
      <c r="AA116" s="39"/>
      <c r="AB116" s="39"/>
      <c r="AC116" s="39"/>
      <c r="AD116" s="39"/>
      <c r="AE116" s="39"/>
      <c r="AF116" s="39"/>
      <c r="AG116" s="39"/>
      <c r="AH116" s="39"/>
      <c r="AI116" s="39"/>
      <c r="AJ116" s="39"/>
      <c r="AK116" s="39"/>
      <c r="AL116" s="39"/>
      <c r="AM116" s="39"/>
      <c r="AN116" s="39">
        <f ca="1">IF(AN58&lt;&gt;"", AN58-'242'!AN58-$AP$121, "")</f>
        <v>-4.4803107535130948E-2</v>
      </c>
      <c r="AO116" s="39">
        <f ca="1">IF(AO58&lt;&gt;"", AO58-'242'!AO58-$AP$121, "")</f>
        <v>-5.1711918843011517E-2</v>
      </c>
      <c r="AP116" s="21">
        <f t="shared" si="17"/>
        <v>-6.399999999996453E-2</v>
      </c>
      <c r="AQ116" s="21">
        <f t="shared" si="18"/>
        <v>6.399999999996453E-2</v>
      </c>
      <c r="AU116" s="36">
        <f ca="1">$Q58-'242'!$Q58-$AP$121</f>
        <v>-5.1711918843011517E-2</v>
      </c>
    </row>
    <row r="117" spans="10:47">
      <c r="J117" s="6"/>
      <c r="K117" s="6"/>
      <c r="L117" s="6"/>
      <c r="M117" s="6"/>
      <c r="N117" s="6"/>
      <c r="O117" s="6"/>
      <c r="P117" s="45"/>
      <c r="Q117" s="43"/>
    </row>
    <row r="118" spans="10:47">
      <c r="J118" s="6"/>
      <c r="K118" s="6"/>
      <c r="L118" s="6"/>
      <c r="M118" s="6"/>
      <c r="N118" s="6"/>
      <c r="O118" s="6"/>
      <c r="P118" s="45"/>
      <c r="Q118" s="43"/>
      <c r="AP118" s="2" t="s">
        <v>355</v>
      </c>
      <c r="AQ118" s="2" t="s">
        <v>356</v>
      </c>
    </row>
    <row r="119" spans="10:47">
      <c r="J119" s="6"/>
      <c r="K119" s="6"/>
      <c r="L119" s="6"/>
      <c r="M119" s="6"/>
      <c r="N119" s="6"/>
      <c r="O119" s="43"/>
      <c r="P119" s="43"/>
      <c r="Q119" s="43"/>
      <c r="AP119" s="2">
        <f>AP36-'242'!AQ36</f>
        <v>11.736000000000047</v>
      </c>
      <c r="AQ119" s="2">
        <f>AQ36-'242'!AP36</f>
        <v>11.863999999999976</v>
      </c>
    </row>
    <row r="120" spans="10:47">
      <c r="J120" s="6"/>
      <c r="K120" s="6"/>
      <c r="L120" s="6"/>
      <c r="M120" s="6"/>
      <c r="N120" s="6"/>
      <c r="O120" s="43"/>
      <c r="P120" s="43"/>
      <c r="Q120" s="43"/>
      <c r="AP120" s="2" t="s">
        <v>357</v>
      </c>
    </row>
    <row r="121" spans="10:47">
      <c r="J121" s="6"/>
      <c r="K121" s="6"/>
      <c r="L121" s="6"/>
      <c r="M121" s="6"/>
      <c r="N121" s="6"/>
      <c r="O121" s="43"/>
      <c r="P121" s="43"/>
      <c r="Q121" s="43"/>
      <c r="AP121" s="2">
        <f>AVERAGE(AP119:AQ119)</f>
        <v>11.800000000000011</v>
      </c>
    </row>
    <row r="122" spans="10:47">
      <c r="J122" s="6"/>
      <c r="K122" s="6"/>
      <c r="L122" s="6"/>
      <c r="M122" s="6"/>
      <c r="N122" s="6"/>
      <c r="O122" s="43"/>
      <c r="P122" s="43"/>
      <c r="Q122" s="43"/>
    </row>
    <row r="123" spans="10:47">
      <c r="J123" s="6"/>
      <c r="K123" s="6"/>
      <c r="L123" s="6"/>
      <c r="M123" s="6"/>
      <c r="N123" s="6"/>
      <c r="O123" s="43"/>
      <c r="P123" s="43"/>
      <c r="Q123" s="43"/>
    </row>
    <row r="124" spans="10:47">
      <c r="J124" s="6"/>
      <c r="K124" s="6"/>
      <c r="L124" s="6"/>
      <c r="M124" s="6"/>
      <c r="N124" s="6"/>
      <c r="O124" s="43"/>
      <c r="P124" s="43"/>
      <c r="Q124" s="43"/>
    </row>
    <row r="125" spans="10:47">
      <c r="J125" s="6"/>
      <c r="K125" s="6"/>
      <c r="L125" s="6"/>
      <c r="M125" s="6"/>
      <c r="N125" s="6"/>
      <c r="O125" s="43"/>
      <c r="P125" s="43"/>
      <c r="Q125" s="43"/>
    </row>
    <row r="126" spans="10:47">
      <c r="J126" s="6"/>
      <c r="K126" s="6"/>
      <c r="L126" s="6"/>
      <c r="M126" s="6"/>
      <c r="N126" s="6"/>
      <c r="O126" s="43"/>
      <c r="P126" s="43"/>
      <c r="Q126" s="43"/>
    </row>
    <row r="127" spans="10:47">
      <c r="J127" s="6"/>
      <c r="K127" s="6"/>
      <c r="L127" s="6"/>
      <c r="M127" s="6"/>
      <c r="N127" s="6"/>
      <c r="O127" s="43"/>
      <c r="P127" s="43"/>
      <c r="Q127" s="43"/>
    </row>
    <row r="128" spans="10:47">
      <c r="J128" s="6"/>
      <c r="K128" s="6"/>
      <c r="L128" s="6"/>
      <c r="M128" s="6"/>
      <c r="N128" s="6"/>
      <c r="O128" s="43"/>
      <c r="P128" s="43"/>
      <c r="Q128" s="43"/>
    </row>
    <row r="129" spans="10:17">
      <c r="J129" s="6"/>
      <c r="K129" s="6"/>
      <c r="L129" s="6"/>
      <c r="M129" s="6"/>
      <c r="N129" s="6"/>
      <c r="O129" s="43"/>
      <c r="P129" s="43"/>
      <c r="Q129" s="43"/>
    </row>
    <row r="130" spans="10:17">
      <c r="J130" s="6"/>
      <c r="K130" s="6"/>
      <c r="L130" s="6"/>
      <c r="M130" s="6"/>
      <c r="N130" s="6"/>
      <c r="O130" s="43"/>
      <c r="P130" s="43"/>
      <c r="Q130" s="43"/>
    </row>
    <row r="131" spans="10:17">
      <c r="J131" s="6"/>
      <c r="K131" s="6"/>
      <c r="L131" s="6"/>
      <c r="M131" s="6"/>
      <c r="N131" s="6"/>
      <c r="O131" s="43"/>
      <c r="P131" s="43"/>
      <c r="Q131" s="43"/>
    </row>
    <row r="132" spans="10:17">
      <c r="J132" s="6"/>
      <c r="K132" s="6"/>
      <c r="L132" s="6"/>
      <c r="M132" s="6"/>
      <c r="N132" s="6"/>
      <c r="O132" s="43"/>
      <c r="P132" s="43"/>
      <c r="Q132" s="43"/>
    </row>
  </sheetData>
  <mergeCells count="2">
    <mergeCell ref="J9:J10"/>
    <mergeCell ref="U9:U10"/>
  </mergeCells>
  <phoneticPr fontId="2"/>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92D050"/>
  </sheetPr>
  <dimension ref="A1:AR90"/>
  <sheetViews>
    <sheetView zoomScale="70" zoomScaleNormal="70" workbookViewId="0">
      <selection activeCell="M11" sqref="M11"/>
    </sheetView>
  </sheetViews>
  <sheetFormatPr defaultRowHeight="15"/>
  <cols>
    <col min="1" max="1" width="9" customWidth="1"/>
    <col min="3" max="3" width="9" style="58"/>
    <col min="10" max="14" width="9" style="5"/>
  </cols>
  <sheetData>
    <row r="1" spans="1:17">
      <c r="A1" s="110" t="s">
        <v>353</v>
      </c>
    </row>
    <row r="2" spans="1:17">
      <c r="A2" s="128">
        <v>838.6</v>
      </c>
      <c r="B2" s="128" t="s">
        <v>362</v>
      </c>
    </row>
    <row r="4" spans="1:17">
      <c r="B4" t="s">
        <v>354</v>
      </c>
      <c r="J4" s="5" t="s">
        <v>160</v>
      </c>
    </row>
    <row r="5" spans="1:17">
      <c r="A5" s="4">
        <v>1</v>
      </c>
      <c r="B5" s="119">
        <v>838.63</v>
      </c>
      <c r="D5">
        <v>1</v>
      </c>
      <c r="E5" s="58">
        <f>B5/2</f>
        <v>419.315</v>
      </c>
      <c r="L5" s="6" t="s">
        <v>1</v>
      </c>
      <c r="M5" s="6">
        <v>838.6</v>
      </c>
      <c r="N5" s="5" t="s">
        <v>65</v>
      </c>
      <c r="O5" s="5"/>
    </row>
    <row r="6" spans="1:17">
      <c r="A6" s="4">
        <v>4</v>
      </c>
      <c r="B6" s="119">
        <v>838.62</v>
      </c>
      <c r="D6">
        <v>8</v>
      </c>
      <c r="E6" s="58">
        <f>B6/2</f>
        <v>419.31</v>
      </c>
      <c r="L6" s="6" t="s">
        <v>2</v>
      </c>
      <c r="M6" s="13">
        <f>M5+0.064</f>
        <v>838.66399999999999</v>
      </c>
      <c r="N6" s="5" t="s">
        <v>2</v>
      </c>
      <c r="O6" s="5">
        <v>838.86</v>
      </c>
      <c r="P6" s="56" t="str">
        <f>CONCATENATE("O/Max ", TEXT(O6-M6, "0.###"))</f>
        <v>O/Max 0.196</v>
      </c>
    </row>
    <row r="7" spans="1:17">
      <c r="A7" s="4">
        <v>3</v>
      </c>
      <c r="B7" s="119">
        <v>838.64</v>
      </c>
      <c r="D7">
        <v>7</v>
      </c>
      <c r="E7" s="58">
        <f>B7/2</f>
        <v>419.32</v>
      </c>
      <c r="L7" s="6" t="s">
        <v>3</v>
      </c>
      <c r="M7" s="13">
        <f>M5-0.064</f>
        <v>838.53600000000006</v>
      </c>
      <c r="N7" s="5" t="s">
        <v>3</v>
      </c>
      <c r="O7" s="5">
        <v>838.12400000000002</v>
      </c>
      <c r="P7" s="56" t="str">
        <f>CONCATENATE("U/Min ", TEXT(ABS(O7-M7), "0.###"))</f>
        <v>U/Min 0.412</v>
      </c>
    </row>
    <row r="8" spans="1:17">
      <c r="A8" s="4">
        <v>2</v>
      </c>
      <c r="B8" s="119">
        <v>838.64</v>
      </c>
      <c r="D8">
        <v>6</v>
      </c>
      <c r="E8" s="58">
        <f>B8/2</f>
        <v>419.32</v>
      </c>
    </row>
    <row r="9" spans="1:17">
      <c r="A9" s="4"/>
      <c r="B9" s="119">
        <f>AVERAGE(B5:B8)</f>
        <v>838.63249999999994</v>
      </c>
      <c r="D9">
        <v>5</v>
      </c>
      <c r="E9" s="58">
        <f>B5/2</f>
        <v>419.315</v>
      </c>
      <c r="H9" s="5"/>
      <c r="I9" s="9" t="s">
        <v>4</v>
      </c>
      <c r="J9" s="144" t="s">
        <v>363</v>
      </c>
      <c r="K9" s="10" t="s">
        <v>171</v>
      </c>
      <c r="L9" s="10" t="s">
        <v>7</v>
      </c>
      <c r="M9" s="10" t="s">
        <v>8</v>
      </c>
      <c r="P9" s="11" t="s">
        <v>9</v>
      </c>
    </row>
    <row r="10" spans="1:17">
      <c r="A10" s="4"/>
      <c r="D10">
        <v>4</v>
      </c>
      <c r="E10" s="58">
        <f>B6/2</f>
        <v>419.31</v>
      </c>
      <c r="H10" s="9" t="s">
        <v>10</v>
      </c>
      <c r="I10" s="9" t="s">
        <v>11</v>
      </c>
      <c r="J10" s="145"/>
      <c r="K10" s="10" t="s">
        <v>12</v>
      </c>
      <c r="L10" s="10" t="s">
        <v>12</v>
      </c>
      <c r="M10" s="10" t="s">
        <v>12</v>
      </c>
      <c r="P10" s="11" t="s">
        <v>13</v>
      </c>
    </row>
    <row r="11" spans="1:17">
      <c r="D11">
        <v>3</v>
      </c>
      <c r="E11" s="58">
        <f>B7/2</f>
        <v>419.32</v>
      </c>
      <c r="H11" s="13">
        <v>1</v>
      </c>
      <c r="I11" s="13">
        <v>0</v>
      </c>
      <c r="J11" s="17">
        <v>1</v>
      </c>
      <c r="K11" s="15">
        <f t="shared" ref="K11:K18" si="0">E5</f>
        <v>419.315</v>
      </c>
      <c r="L11" s="142">
        <f>M$7/2-0.022/2</f>
        <v>419.25700000000001</v>
      </c>
      <c r="M11" s="142">
        <f>M$6/2+0.022/2</f>
        <v>419.34300000000002</v>
      </c>
      <c r="N11" s="13"/>
      <c r="P11" s="13">
        <f>K11+K15</f>
        <v>838.63</v>
      </c>
    </row>
    <row r="12" spans="1:17">
      <c r="D12">
        <v>2</v>
      </c>
      <c r="E12" s="58">
        <f>B8/2</f>
        <v>419.32</v>
      </c>
      <c r="H12" s="13">
        <v>2</v>
      </c>
      <c r="I12" s="13">
        <f>I11+360/8</f>
        <v>45</v>
      </c>
      <c r="J12" s="17">
        <v>8</v>
      </c>
      <c r="K12" s="15">
        <f t="shared" si="0"/>
        <v>419.31</v>
      </c>
      <c r="L12" s="142">
        <f>L$11</f>
        <v>419.25700000000001</v>
      </c>
      <c r="M12" s="142">
        <f>M$11</f>
        <v>419.34300000000002</v>
      </c>
      <c r="N12" s="13"/>
      <c r="P12" s="13">
        <f t="shared" ref="P12:P13" si="1">K12+K16</f>
        <v>838.62</v>
      </c>
    </row>
    <row r="13" spans="1:17">
      <c r="H13" s="13">
        <v>3</v>
      </c>
      <c r="I13" s="13">
        <f t="shared" ref="I13:I19" si="2">I12+360/8</f>
        <v>90</v>
      </c>
      <c r="J13" s="17">
        <v>7</v>
      </c>
      <c r="K13" s="15">
        <f t="shared" si="0"/>
        <v>419.32</v>
      </c>
      <c r="L13" s="142">
        <f t="shared" ref="L13:M18" si="3">L$11</f>
        <v>419.25700000000001</v>
      </c>
      <c r="M13" s="142">
        <f t="shared" si="3"/>
        <v>419.34300000000002</v>
      </c>
      <c r="N13" s="13"/>
      <c r="P13" s="13">
        <f t="shared" si="1"/>
        <v>838.64</v>
      </c>
    </row>
    <row r="14" spans="1:17">
      <c r="H14" s="13">
        <v>4</v>
      </c>
      <c r="I14" s="13">
        <f t="shared" si="2"/>
        <v>135</v>
      </c>
      <c r="J14" s="17">
        <v>6</v>
      </c>
      <c r="K14" s="15">
        <f t="shared" si="0"/>
        <v>419.32</v>
      </c>
      <c r="L14" s="142">
        <f t="shared" si="3"/>
        <v>419.25700000000001</v>
      </c>
      <c r="M14" s="142">
        <f t="shared" si="3"/>
        <v>419.34300000000002</v>
      </c>
      <c r="N14" s="13"/>
      <c r="P14" s="13">
        <f>K14+K18</f>
        <v>838.64</v>
      </c>
    </row>
    <row r="15" spans="1:17">
      <c r="H15" s="13">
        <v>5</v>
      </c>
      <c r="I15" s="13">
        <f t="shared" si="2"/>
        <v>180</v>
      </c>
      <c r="J15" s="17">
        <v>5</v>
      </c>
      <c r="K15" s="15">
        <f t="shared" si="0"/>
        <v>419.315</v>
      </c>
      <c r="L15" s="142">
        <f t="shared" si="3"/>
        <v>419.25700000000001</v>
      </c>
      <c r="M15" s="142">
        <f t="shared" si="3"/>
        <v>419.34300000000002</v>
      </c>
      <c r="N15" s="13"/>
      <c r="P15" s="13"/>
    </row>
    <row r="16" spans="1:17">
      <c r="H16" s="13">
        <v>6</v>
      </c>
      <c r="I16" s="13">
        <f t="shared" si="2"/>
        <v>225</v>
      </c>
      <c r="J16" s="17">
        <v>4</v>
      </c>
      <c r="K16" s="15">
        <f t="shared" si="0"/>
        <v>419.31</v>
      </c>
      <c r="L16" s="142">
        <f t="shared" si="3"/>
        <v>419.25700000000001</v>
      </c>
      <c r="M16" s="142">
        <f t="shared" si="3"/>
        <v>419.34300000000002</v>
      </c>
      <c r="N16" s="13"/>
      <c r="P16" s="13">
        <f>MAX(P11:P14)</f>
        <v>838.64</v>
      </c>
      <c r="Q16" s="13" t="str">
        <f>IF(P16&gt;M6, CONCATENATE("O/Max ", TEXT(P16-M6, "0.000")), "-")</f>
        <v>-</v>
      </c>
    </row>
    <row r="17" spans="8:19">
      <c r="H17" s="13">
        <v>7</v>
      </c>
      <c r="I17" s="13">
        <f t="shared" si="2"/>
        <v>270</v>
      </c>
      <c r="J17" s="17">
        <v>3</v>
      </c>
      <c r="K17" s="15">
        <f t="shared" si="0"/>
        <v>419.32</v>
      </c>
      <c r="L17" s="142">
        <f t="shared" si="3"/>
        <v>419.25700000000001</v>
      </c>
      <c r="M17" s="142">
        <f t="shared" si="3"/>
        <v>419.34300000000002</v>
      </c>
      <c r="N17" s="13"/>
      <c r="P17" s="13">
        <f>MIN(P11:P14)</f>
        <v>838.62</v>
      </c>
      <c r="Q17" s="13" t="str">
        <f>IF(P17&lt;M7, CONCATENATE("U/Min ", TEXT(M7-P17, "0.000")), "-")</f>
        <v>-</v>
      </c>
    </row>
    <row r="18" spans="8:19">
      <c r="H18" s="13">
        <v>8</v>
      </c>
      <c r="I18" s="13">
        <f t="shared" si="2"/>
        <v>315</v>
      </c>
      <c r="J18" s="17">
        <v>2</v>
      </c>
      <c r="K18" s="15">
        <f t="shared" si="0"/>
        <v>419.32</v>
      </c>
      <c r="L18" s="142">
        <f t="shared" si="3"/>
        <v>419.25700000000001</v>
      </c>
      <c r="M18" s="142">
        <f t="shared" si="3"/>
        <v>419.34300000000002</v>
      </c>
      <c r="N18" s="13"/>
      <c r="P18" s="13"/>
    </row>
    <row r="19" spans="8:19">
      <c r="H19" s="13">
        <v>9</v>
      </c>
      <c r="I19" s="13">
        <f t="shared" si="2"/>
        <v>360</v>
      </c>
      <c r="J19" s="17">
        <v>1</v>
      </c>
      <c r="K19" s="15">
        <f>K11</f>
        <v>419.315</v>
      </c>
      <c r="L19" s="15"/>
      <c r="M19" s="15"/>
      <c r="N19" s="13"/>
      <c r="P19" s="19" t="s">
        <v>271</v>
      </c>
      <c r="Q19" s="19" t="str">
        <f>M22</f>
        <v>-</v>
      </c>
      <c r="R19" s="19"/>
    </row>
    <row r="20" spans="8:19">
      <c r="H20" s="13"/>
      <c r="I20" s="13"/>
      <c r="J20" s="10" t="s">
        <v>14</v>
      </c>
      <c r="K20" s="16">
        <f>MAX(K11:K19)</f>
        <v>419.32</v>
      </c>
      <c r="L20" s="15">
        <f>K20*2</f>
        <v>838.64</v>
      </c>
      <c r="M20" s="15" t="str">
        <f>IF(K20&gt;M18, "O/Max "&amp;TEXT(2*K20-2*M18, "0.000"), "-")</f>
        <v>-</v>
      </c>
      <c r="P20" s="19" t="s">
        <v>60</v>
      </c>
      <c r="Q20" s="19" t="str">
        <f>M20</f>
        <v>-</v>
      </c>
      <c r="R20" s="19"/>
    </row>
    <row r="21" spans="8:19">
      <c r="H21" s="13"/>
      <c r="I21" s="13"/>
      <c r="J21" s="10" t="s">
        <v>15</v>
      </c>
      <c r="K21" s="16">
        <f>MIN(K11:K19)</f>
        <v>419.31</v>
      </c>
      <c r="L21" s="15">
        <f>K21*2</f>
        <v>838.62</v>
      </c>
      <c r="M21" s="15" t="str">
        <f>IF(K21&lt;L18, "U/Min "&amp;TEXT(2*L18-2*K21, "0.000"), "-")</f>
        <v>-</v>
      </c>
      <c r="O21" s="5" t="s">
        <v>73</v>
      </c>
      <c r="P21" s="19" t="s">
        <v>62</v>
      </c>
      <c r="Q21" s="19" t="str">
        <f>M21</f>
        <v>-</v>
      </c>
      <c r="R21" s="19"/>
    </row>
    <row r="22" spans="8:19">
      <c r="H22" s="13"/>
      <c r="I22" s="13"/>
      <c r="J22" s="10" t="s">
        <v>172</v>
      </c>
      <c r="K22" s="16">
        <f>AVERAGE(K3:K18)*2</f>
        <v>838.63250000000005</v>
      </c>
      <c r="L22" s="15"/>
      <c r="M22" s="15" t="str">
        <f>IF(K22&gt;M6, "O/Max "&amp;TEXT(K22-M6, "0.000"), IF(K22&lt;M7, "U/Min "&amp;TEXT(M7-K22, "0.000"), "-"))</f>
        <v>-</v>
      </c>
      <c r="O22" s="15" t="str">
        <f>IF(K22&gt;O6, CONCATENATE("O/Max ", TEXT(K22-O6, "0.###")), IF(K22&lt;O7, CONCATENATE("U/Min ", TEXT(O7-K22, "0.###")), "-"))</f>
        <v>-</v>
      </c>
      <c r="P22" s="19" t="s">
        <v>18</v>
      </c>
      <c r="Q22" s="19" t="str">
        <f>M23</f>
        <v>-</v>
      </c>
      <c r="R22" s="19"/>
    </row>
    <row r="23" spans="8:19">
      <c r="H23" s="13"/>
      <c r="I23" s="13"/>
      <c r="J23" s="10" t="s">
        <v>173</v>
      </c>
      <c r="K23" s="18">
        <f>K20-K21</f>
        <v>9.9999999999909051E-3</v>
      </c>
      <c r="L23" s="15"/>
      <c r="M23" s="15" t="str">
        <f>IF(K23&gt;0.13, "O/Max "&amp;TEXT(K23-0.13, "0.000"), "-")</f>
        <v>-</v>
      </c>
      <c r="N23" s="5" t="s">
        <v>20</v>
      </c>
    </row>
    <row r="24" spans="8:19">
      <c r="H24" s="13"/>
      <c r="I24" s="13"/>
    </row>
    <row r="25" spans="8:19">
      <c r="H25" s="13"/>
      <c r="I25" s="13"/>
    </row>
    <row r="26" spans="8:19">
      <c r="H26" s="13"/>
      <c r="I26" s="13"/>
    </row>
    <row r="27" spans="8:19">
      <c r="H27" s="13"/>
      <c r="I27" s="13"/>
    </row>
    <row r="32" spans="8:19">
      <c r="S32" s="19" t="s">
        <v>174</v>
      </c>
    </row>
    <row r="33" spans="10:44">
      <c r="J33" s="5" t="s">
        <v>175</v>
      </c>
      <c r="M33" s="5" t="s">
        <v>176</v>
      </c>
      <c r="N33" s="5">
        <f>360/24</f>
        <v>15</v>
      </c>
      <c r="O33" s="9" t="s">
        <v>25</v>
      </c>
      <c r="P33" s="5" t="s">
        <v>27</v>
      </c>
      <c r="Q33" s="5">
        <v>1.1399999999999999</v>
      </c>
      <c r="R33" s="9" t="s">
        <v>25</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v>24</v>
      </c>
      <c r="AQ33" s="5"/>
      <c r="AR33" s="5"/>
    </row>
    <row r="34" spans="10:44">
      <c r="K34" s="9" t="s">
        <v>83</v>
      </c>
      <c r="M34" s="9" t="s">
        <v>84</v>
      </c>
      <c r="N34" s="9" t="s">
        <v>177</v>
      </c>
      <c r="O34" s="9" t="s">
        <v>178</v>
      </c>
      <c r="P34" s="9" t="s">
        <v>179</v>
      </c>
      <c r="Q34" s="9" t="s">
        <v>37</v>
      </c>
      <c r="R34" s="5"/>
      <c r="S34" s="20" t="str">
        <f ca="1">CONCATENATE($S$32, "#", OFFSET($J$35, S33, 0))</f>
        <v>Stg.4 Nozzle Fwd#1</v>
      </c>
      <c r="T34" s="20" t="str">
        <f t="shared" ref="T34:AP34" ca="1" si="4">CONCATENATE($S$32, "#", OFFSET($J$35, T33, 0))</f>
        <v>Stg.4 Nozzle Fwd#24</v>
      </c>
      <c r="U34" s="20" t="str">
        <f t="shared" ca="1" si="4"/>
        <v>Stg.4 Nozzle Fwd#23</v>
      </c>
      <c r="V34" s="20" t="str">
        <f t="shared" ca="1" si="4"/>
        <v>Stg.4 Nozzle Fwd#22</v>
      </c>
      <c r="W34" s="20" t="str">
        <f t="shared" ca="1" si="4"/>
        <v>Stg.4 Nozzle Fwd#21</v>
      </c>
      <c r="X34" s="20" t="str">
        <f t="shared" ca="1" si="4"/>
        <v>Stg.4 Nozzle Fwd#20</v>
      </c>
      <c r="Y34" s="20" t="str">
        <f t="shared" ca="1" si="4"/>
        <v>Stg.4 Nozzle Fwd#19</v>
      </c>
      <c r="Z34" s="20" t="str">
        <f t="shared" ca="1" si="4"/>
        <v>Stg.4 Nozzle Fwd#18</v>
      </c>
      <c r="AA34" s="20" t="str">
        <f t="shared" ca="1" si="4"/>
        <v>Stg.4 Nozzle Fwd#17</v>
      </c>
      <c r="AB34" s="20" t="str">
        <f t="shared" ca="1" si="4"/>
        <v>Stg.4 Nozzle Fwd#16</v>
      </c>
      <c r="AC34" s="20" t="str">
        <f t="shared" ca="1" si="4"/>
        <v>Stg.4 Nozzle Fwd#15</v>
      </c>
      <c r="AD34" s="20" t="str">
        <f t="shared" ca="1" si="4"/>
        <v>Stg.4 Nozzle Fwd#14</v>
      </c>
      <c r="AE34" s="20" t="str">
        <f t="shared" ca="1" si="4"/>
        <v>Stg.4 Nozzle Fwd#13</v>
      </c>
      <c r="AF34" s="20" t="str">
        <f t="shared" ca="1" si="4"/>
        <v>Stg.4 Nozzle Fwd#12</v>
      </c>
      <c r="AG34" s="20" t="str">
        <f t="shared" ca="1" si="4"/>
        <v>Stg.4 Nozzle Fwd#11</v>
      </c>
      <c r="AH34" s="20" t="str">
        <f t="shared" ca="1" si="4"/>
        <v>Stg.4 Nozzle Fwd#10</v>
      </c>
      <c r="AI34" s="20" t="str">
        <f t="shared" ca="1" si="4"/>
        <v>Stg.4 Nozzle Fwd#9</v>
      </c>
      <c r="AJ34" s="20" t="str">
        <f t="shared" ca="1" si="4"/>
        <v>Stg.4 Nozzle Fwd#8</v>
      </c>
      <c r="AK34" s="20" t="str">
        <f t="shared" ca="1" si="4"/>
        <v>Stg.4 Nozzle Fwd#7</v>
      </c>
      <c r="AL34" s="20" t="str">
        <f t="shared" ca="1" si="4"/>
        <v>Stg.4 Nozzle Fwd#6</v>
      </c>
      <c r="AM34" s="20" t="str">
        <f t="shared" ca="1" si="4"/>
        <v>Stg.4 Nozzle Fwd#5</v>
      </c>
      <c r="AN34" s="20" t="str">
        <f t="shared" ca="1" si="4"/>
        <v>Stg.4 Nozzle Fwd#4</v>
      </c>
      <c r="AO34" s="20" t="str">
        <f t="shared" ca="1" si="4"/>
        <v>Stg.4 Nozzle Fwd#3</v>
      </c>
      <c r="AP34" s="20" t="str">
        <f t="shared" ca="1" si="4"/>
        <v>Stg.4 Nozzle Fwd#2</v>
      </c>
      <c r="AQ34" s="20" t="s">
        <v>38</v>
      </c>
      <c r="AR34" s="20" t="s">
        <v>180</v>
      </c>
    </row>
    <row r="35" spans="10:44">
      <c r="J35" s="9" t="s">
        <v>181</v>
      </c>
      <c r="K35" s="9" t="s">
        <v>11</v>
      </c>
      <c r="L35" s="9" t="s">
        <v>54</v>
      </c>
      <c r="M35" s="9" t="s">
        <v>182</v>
      </c>
      <c r="N35" s="9" t="s">
        <v>46</v>
      </c>
      <c r="O35" s="9" t="s">
        <v>183</v>
      </c>
      <c r="P35" s="9" t="s">
        <v>13</v>
      </c>
      <c r="Q35" s="9" t="s">
        <v>13</v>
      </c>
      <c r="R35" s="5"/>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2" t="s">
        <v>13</v>
      </c>
      <c r="AR35" s="22" t="s">
        <v>13</v>
      </c>
    </row>
    <row r="36" spans="10:44">
      <c r="J36" s="5">
        <v>1</v>
      </c>
      <c r="K36" s="23">
        <f>IF(Q33&lt;0, 360+$Q$33, $Q$33)</f>
        <v>1.1399999999999999</v>
      </c>
      <c r="L36" s="24">
        <f>MATCH($K36, $I$11:$I$27, 1)</f>
        <v>1</v>
      </c>
      <c r="M36" s="5">
        <f>VLOOKUP(L36, $H$11:$K$27, 4, FALSE)</f>
        <v>419.315</v>
      </c>
      <c r="N36" s="25">
        <f>(VLOOKUP(L36+1, $H$11:$K$27, 4, FALSE) - VLOOKUP(L36, $H$11:$K$27, 4, FALSE))/(VLOOKUP(L36+1, $H$11:$K$27, 2, FALSE) - VLOOKUP(L36, $H$11:$K$27, 2, FALSE))</f>
        <v>-1.1111111111101006E-4</v>
      </c>
      <c r="O36" s="26">
        <f>K36-VLOOKUP(L36, $H$11:$I$27, 2, FALSE)</f>
        <v>1.1399999999999999</v>
      </c>
      <c r="P36" s="27">
        <f>M36+N36*O36</f>
        <v>419.31487333333331</v>
      </c>
      <c r="Q36" s="27">
        <f>(P36+P59)/2</f>
        <v>419.31570666666664</v>
      </c>
      <c r="R36" s="5"/>
      <c r="S36" s="28">
        <f>Q36</f>
        <v>419.31570666666664</v>
      </c>
      <c r="T36" s="29"/>
      <c r="U36" s="29"/>
      <c r="V36" s="29"/>
      <c r="W36" s="29"/>
      <c r="X36" s="29"/>
      <c r="Y36" s="29"/>
      <c r="Z36" s="29"/>
      <c r="AA36" s="29"/>
      <c r="AB36" s="29"/>
      <c r="AC36" s="29"/>
      <c r="AD36" s="29"/>
      <c r="AE36" s="29"/>
      <c r="AF36" s="29"/>
      <c r="AG36" s="29"/>
      <c r="AH36" s="29"/>
      <c r="AI36" s="29"/>
      <c r="AJ36" s="28"/>
      <c r="AK36" s="28"/>
      <c r="AL36" s="28"/>
      <c r="AM36" s="28"/>
      <c r="AN36" s="28"/>
      <c r="AO36" s="28"/>
      <c r="AP36" s="28">
        <f>AP59</f>
        <v>419.31820666666664</v>
      </c>
      <c r="AQ36" s="29">
        <f>M$7/2</f>
        <v>419.26800000000003</v>
      </c>
      <c r="AR36" s="29">
        <f>M$6/2</f>
        <v>419.33199999999999</v>
      </c>
    </row>
    <row r="37" spans="10:44">
      <c r="J37" s="5">
        <v>24</v>
      </c>
      <c r="K37" s="23">
        <f>IF(K36+$N$33&gt;360, K36+$N$33-360, K36+$N$33)</f>
        <v>16.14</v>
      </c>
      <c r="L37" s="24">
        <f t="shared" ref="L37:L59" si="5">MATCH($K37, $I$11:$I$27, 1)</f>
        <v>1</v>
      </c>
      <c r="M37" s="5">
        <f t="shared" ref="M37:M58" si="6">VLOOKUP(L37, $H$11:$K$27, 4, FALSE)</f>
        <v>419.315</v>
      </c>
      <c r="N37" s="25">
        <f t="shared" ref="N37:N59" si="7">(VLOOKUP(L37+1, $H$11:$K$27, 4, FALSE) - VLOOKUP(L37, $H$11:$K$27, 4, FALSE))/(VLOOKUP(L37+1, $H$11:$K$27, 2, FALSE) - VLOOKUP(L37, $H$11:$K$27, 2, FALSE))</f>
        <v>-1.1111111111101006E-4</v>
      </c>
      <c r="O37" s="26">
        <f t="shared" ref="O37:O59" si="8">K37-VLOOKUP(L37, $H$11:$I$27, 2, FALSE)</f>
        <v>16.14</v>
      </c>
      <c r="P37" s="27">
        <f t="shared" ref="P37:P59" si="9">M37+N37*O37</f>
        <v>419.31320666666664</v>
      </c>
      <c r="Q37" s="27">
        <f>(P36+P37)/2</f>
        <v>419.31403999999998</v>
      </c>
      <c r="R37" s="5"/>
      <c r="S37" s="30">
        <f>S36</f>
        <v>419.31570666666664</v>
      </c>
      <c r="T37" s="30">
        <f>Q37</f>
        <v>419.31403999999998</v>
      </c>
      <c r="U37" s="21"/>
      <c r="V37" s="21"/>
      <c r="W37" s="21"/>
      <c r="X37" s="21"/>
      <c r="Y37" s="21"/>
      <c r="Z37" s="21"/>
      <c r="AA37" s="21"/>
      <c r="AB37" s="21"/>
      <c r="AC37" s="21"/>
      <c r="AD37" s="21"/>
      <c r="AE37" s="21"/>
      <c r="AF37" s="21"/>
      <c r="AG37" s="21"/>
      <c r="AH37" s="21"/>
      <c r="AI37" s="21"/>
      <c r="AJ37" s="21"/>
      <c r="AK37" s="21"/>
      <c r="AL37" s="21"/>
      <c r="AM37" s="21"/>
      <c r="AN37" s="21"/>
      <c r="AO37" s="21"/>
      <c r="AP37" s="21"/>
      <c r="AQ37" s="21">
        <f t="shared" ref="AQ37:AQ59" si="10">M$7/2</f>
        <v>419.26800000000003</v>
      </c>
      <c r="AR37" s="21">
        <f t="shared" ref="AR37:AR59" si="11">M$6/2</f>
        <v>419.33199999999999</v>
      </c>
    </row>
    <row r="38" spans="10:44">
      <c r="J38" s="5">
        <v>23</v>
      </c>
      <c r="K38" s="23">
        <f t="shared" ref="K38:K59" si="12">IF(K37+$N$33&gt;360, K37+$N$33-360, K37+$N$33)</f>
        <v>31.14</v>
      </c>
      <c r="L38" s="24">
        <f t="shared" si="5"/>
        <v>1</v>
      </c>
      <c r="M38" s="5">
        <f t="shared" si="6"/>
        <v>419.315</v>
      </c>
      <c r="N38" s="25">
        <f t="shared" si="7"/>
        <v>-1.1111111111101006E-4</v>
      </c>
      <c r="O38" s="26">
        <f t="shared" si="8"/>
        <v>31.14</v>
      </c>
      <c r="P38" s="27">
        <f t="shared" si="9"/>
        <v>419.31153999999998</v>
      </c>
      <c r="Q38" s="27">
        <f t="shared" ref="Q38:Q58" si="13">(P37+P38)/2</f>
        <v>419.31237333333331</v>
      </c>
      <c r="R38" s="5"/>
      <c r="S38" s="21"/>
      <c r="T38" s="30">
        <f>T37</f>
        <v>419.31403999999998</v>
      </c>
      <c r="U38" s="30">
        <f>Q38</f>
        <v>419.31237333333331</v>
      </c>
      <c r="V38" s="21"/>
      <c r="W38" s="21"/>
      <c r="X38" s="21"/>
      <c r="Y38" s="21"/>
      <c r="Z38" s="21"/>
      <c r="AA38" s="21"/>
      <c r="AB38" s="21"/>
      <c r="AC38" s="21"/>
      <c r="AD38" s="21"/>
      <c r="AE38" s="21"/>
      <c r="AF38" s="21"/>
      <c r="AG38" s="21"/>
      <c r="AH38" s="21"/>
      <c r="AI38" s="21"/>
      <c r="AJ38" s="21"/>
      <c r="AK38" s="21"/>
      <c r="AL38" s="21"/>
      <c r="AM38" s="21"/>
      <c r="AN38" s="21"/>
      <c r="AO38" s="21"/>
      <c r="AP38" s="21"/>
      <c r="AQ38" s="21">
        <f t="shared" si="10"/>
        <v>419.26800000000003</v>
      </c>
      <c r="AR38" s="21">
        <f t="shared" si="11"/>
        <v>419.33199999999999</v>
      </c>
    </row>
    <row r="39" spans="10:44">
      <c r="J39" s="5">
        <v>22</v>
      </c>
      <c r="K39" s="23">
        <f t="shared" si="12"/>
        <v>46.14</v>
      </c>
      <c r="L39" s="24">
        <f t="shared" si="5"/>
        <v>2</v>
      </c>
      <c r="M39" s="5">
        <f t="shared" si="6"/>
        <v>419.31</v>
      </c>
      <c r="N39" s="25">
        <f t="shared" si="7"/>
        <v>2.2222222222202011E-4</v>
      </c>
      <c r="O39" s="26">
        <f t="shared" si="8"/>
        <v>1.1400000000000006</v>
      </c>
      <c r="P39" s="27">
        <f t="shared" si="9"/>
        <v>419.31025333333332</v>
      </c>
      <c r="Q39" s="27">
        <f t="shared" si="13"/>
        <v>419.31089666666662</v>
      </c>
      <c r="R39" s="5"/>
      <c r="S39" s="21"/>
      <c r="T39" s="21"/>
      <c r="U39" s="30">
        <f>U38</f>
        <v>419.31237333333331</v>
      </c>
      <c r="V39" s="30">
        <f>Q39</f>
        <v>419.31089666666662</v>
      </c>
      <c r="W39" s="21"/>
      <c r="X39" s="21"/>
      <c r="Y39" s="21"/>
      <c r="Z39" s="21"/>
      <c r="AA39" s="21"/>
      <c r="AB39" s="21"/>
      <c r="AC39" s="21"/>
      <c r="AD39" s="21"/>
      <c r="AE39" s="21"/>
      <c r="AF39" s="21"/>
      <c r="AG39" s="21"/>
      <c r="AH39" s="21"/>
      <c r="AI39" s="21"/>
      <c r="AJ39" s="21"/>
      <c r="AK39" s="21"/>
      <c r="AL39" s="21"/>
      <c r="AM39" s="21"/>
      <c r="AN39" s="21"/>
      <c r="AO39" s="21"/>
      <c r="AP39" s="21"/>
      <c r="AQ39" s="21">
        <f t="shared" si="10"/>
        <v>419.26800000000003</v>
      </c>
      <c r="AR39" s="21">
        <f t="shared" si="11"/>
        <v>419.33199999999999</v>
      </c>
    </row>
    <row r="40" spans="10:44">
      <c r="J40" s="5">
        <v>21</v>
      </c>
      <c r="K40" s="23">
        <f t="shared" si="12"/>
        <v>61.14</v>
      </c>
      <c r="L40" s="24">
        <f t="shared" si="5"/>
        <v>2</v>
      </c>
      <c r="M40" s="5">
        <f t="shared" si="6"/>
        <v>419.31</v>
      </c>
      <c r="N40" s="25">
        <f t="shared" si="7"/>
        <v>2.2222222222202011E-4</v>
      </c>
      <c r="O40" s="26">
        <f t="shared" si="8"/>
        <v>16.14</v>
      </c>
      <c r="P40" s="27">
        <f t="shared" si="9"/>
        <v>419.31358666666665</v>
      </c>
      <c r="Q40" s="27">
        <f t="shared" si="13"/>
        <v>419.31191999999999</v>
      </c>
      <c r="R40" s="5"/>
      <c r="S40" s="21"/>
      <c r="T40" s="21"/>
      <c r="U40" s="21"/>
      <c r="V40" s="30">
        <f>V39</f>
        <v>419.31089666666662</v>
      </c>
      <c r="W40" s="30">
        <f>Q40</f>
        <v>419.31191999999999</v>
      </c>
      <c r="X40" s="21"/>
      <c r="Y40" s="21"/>
      <c r="Z40" s="21"/>
      <c r="AA40" s="21"/>
      <c r="AB40" s="21"/>
      <c r="AC40" s="21"/>
      <c r="AD40" s="21"/>
      <c r="AE40" s="21"/>
      <c r="AF40" s="21"/>
      <c r="AG40" s="21"/>
      <c r="AH40" s="21"/>
      <c r="AI40" s="21"/>
      <c r="AJ40" s="21"/>
      <c r="AK40" s="21"/>
      <c r="AL40" s="21"/>
      <c r="AM40" s="21"/>
      <c r="AN40" s="21"/>
      <c r="AO40" s="21"/>
      <c r="AP40" s="21"/>
      <c r="AQ40" s="21">
        <f t="shared" si="10"/>
        <v>419.26800000000003</v>
      </c>
      <c r="AR40" s="21">
        <f t="shared" si="11"/>
        <v>419.33199999999999</v>
      </c>
    </row>
    <row r="41" spans="10:44">
      <c r="J41" s="5">
        <v>20</v>
      </c>
      <c r="K41" s="23">
        <f t="shared" si="12"/>
        <v>76.14</v>
      </c>
      <c r="L41" s="24">
        <f t="shared" si="5"/>
        <v>2</v>
      </c>
      <c r="M41" s="5">
        <f t="shared" si="6"/>
        <v>419.31</v>
      </c>
      <c r="N41" s="25">
        <f t="shared" si="7"/>
        <v>2.2222222222202011E-4</v>
      </c>
      <c r="O41" s="26">
        <f t="shared" si="8"/>
        <v>31.14</v>
      </c>
      <c r="P41" s="27">
        <f t="shared" si="9"/>
        <v>419.31691999999998</v>
      </c>
      <c r="Q41" s="27">
        <f t="shared" si="13"/>
        <v>419.31525333333332</v>
      </c>
      <c r="R41" s="5"/>
      <c r="S41" s="21"/>
      <c r="T41" s="21"/>
      <c r="U41" s="21"/>
      <c r="V41" s="21"/>
      <c r="W41" s="30">
        <f>W40</f>
        <v>419.31191999999999</v>
      </c>
      <c r="X41" s="30">
        <f>Q41</f>
        <v>419.31525333333332</v>
      </c>
      <c r="Y41" s="21"/>
      <c r="Z41" s="21"/>
      <c r="AA41" s="21"/>
      <c r="AB41" s="21"/>
      <c r="AC41" s="21"/>
      <c r="AD41" s="21"/>
      <c r="AE41" s="21"/>
      <c r="AF41" s="21"/>
      <c r="AG41" s="21"/>
      <c r="AH41" s="21"/>
      <c r="AI41" s="21"/>
      <c r="AJ41" s="21"/>
      <c r="AK41" s="21"/>
      <c r="AL41" s="21"/>
      <c r="AM41" s="21"/>
      <c r="AN41" s="21"/>
      <c r="AO41" s="21"/>
      <c r="AP41" s="21"/>
      <c r="AQ41" s="21">
        <f t="shared" si="10"/>
        <v>419.26800000000003</v>
      </c>
      <c r="AR41" s="21">
        <f t="shared" si="11"/>
        <v>419.33199999999999</v>
      </c>
    </row>
    <row r="42" spans="10:44">
      <c r="J42" s="5">
        <v>19</v>
      </c>
      <c r="K42" s="23">
        <f t="shared" si="12"/>
        <v>91.14</v>
      </c>
      <c r="L42" s="24">
        <f t="shared" si="5"/>
        <v>3</v>
      </c>
      <c r="M42" s="5">
        <f t="shared" si="6"/>
        <v>419.32</v>
      </c>
      <c r="N42" s="25">
        <f t="shared" si="7"/>
        <v>0</v>
      </c>
      <c r="O42" s="26">
        <f t="shared" si="8"/>
        <v>1.1400000000000006</v>
      </c>
      <c r="P42" s="27">
        <f t="shared" si="9"/>
        <v>419.32</v>
      </c>
      <c r="Q42" s="27">
        <f t="shared" si="13"/>
        <v>419.31845999999996</v>
      </c>
      <c r="R42" s="5"/>
      <c r="S42" s="21"/>
      <c r="T42" s="21"/>
      <c r="U42" s="21"/>
      <c r="V42" s="21"/>
      <c r="W42" s="21"/>
      <c r="X42" s="30">
        <f>X41</f>
        <v>419.31525333333332</v>
      </c>
      <c r="Y42" s="30">
        <f>Q42</f>
        <v>419.31845999999996</v>
      </c>
      <c r="Z42" s="21"/>
      <c r="AA42" s="21"/>
      <c r="AB42" s="21"/>
      <c r="AC42" s="21"/>
      <c r="AD42" s="21"/>
      <c r="AE42" s="21"/>
      <c r="AF42" s="21"/>
      <c r="AG42" s="21"/>
      <c r="AH42" s="21"/>
      <c r="AI42" s="21"/>
      <c r="AJ42" s="21"/>
      <c r="AK42" s="21"/>
      <c r="AL42" s="21"/>
      <c r="AM42" s="21"/>
      <c r="AN42" s="21"/>
      <c r="AO42" s="21"/>
      <c r="AP42" s="21"/>
      <c r="AQ42" s="21">
        <f t="shared" si="10"/>
        <v>419.26800000000003</v>
      </c>
      <c r="AR42" s="21">
        <f t="shared" si="11"/>
        <v>419.33199999999999</v>
      </c>
    </row>
    <row r="43" spans="10:44">
      <c r="J43" s="5">
        <v>18</v>
      </c>
      <c r="K43" s="23">
        <f t="shared" si="12"/>
        <v>106.14</v>
      </c>
      <c r="L43" s="24">
        <f t="shared" si="5"/>
        <v>3</v>
      </c>
      <c r="M43" s="5">
        <f t="shared" si="6"/>
        <v>419.32</v>
      </c>
      <c r="N43" s="25">
        <f t="shared" si="7"/>
        <v>0</v>
      </c>
      <c r="O43" s="26">
        <f t="shared" si="8"/>
        <v>16.14</v>
      </c>
      <c r="P43" s="27">
        <f t="shared" si="9"/>
        <v>419.32</v>
      </c>
      <c r="Q43" s="27">
        <f t="shared" si="13"/>
        <v>419.32</v>
      </c>
      <c r="R43" s="5"/>
      <c r="S43" s="21"/>
      <c r="T43" s="21"/>
      <c r="U43" s="21"/>
      <c r="V43" s="21"/>
      <c r="W43" s="21"/>
      <c r="X43" s="21"/>
      <c r="Y43" s="30">
        <f>Y42</f>
        <v>419.31845999999996</v>
      </c>
      <c r="Z43" s="30">
        <f>Q43</f>
        <v>419.32</v>
      </c>
      <c r="AA43" s="21"/>
      <c r="AB43" s="21"/>
      <c r="AC43" s="21"/>
      <c r="AD43" s="21"/>
      <c r="AE43" s="21"/>
      <c r="AF43" s="21"/>
      <c r="AG43" s="21"/>
      <c r="AH43" s="21"/>
      <c r="AI43" s="21"/>
      <c r="AJ43" s="21"/>
      <c r="AK43" s="21"/>
      <c r="AL43" s="21"/>
      <c r="AM43" s="21"/>
      <c r="AN43" s="21"/>
      <c r="AO43" s="21"/>
      <c r="AP43" s="21"/>
      <c r="AQ43" s="21">
        <f t="shared" si="10"/>
        <v>419.26800000000003</v>
      </c>
      <c r="AR43" s="21">
        <f t="shared" si="11"/>
        <v>419.33199999999999</v>
      </c>
    </row>
    <row r="44" spans="10:44">
      <c r="J44" s="5">
        <v>17</v>
      </c>
      <c r="K44" s="23">
        <f t="shared" si="12"/>
        <v>121.14</v>
      </c>
      <c r="L44" s="24">
        <f t="shared" si="5"/>
        <v>3</v>
      </c>
      <c r="M44" s="5">
        <f t="shared" si="6"/>
        <v>419.32</v>
      </c>
      <c r="N44" s="25">
        <f t="shared" si="7"/>
        <v>0</v>
      </c>
      <c r="O44" s="26">
        <f t="shared" si="8"/>
        <v>31.14</v>
      </c>
      <c r="P44" s="27">
        <f t="shared" si="9"/>
        <v>419.32</v>
      </c>
      <c r="Q44" s="27">
        <f t="shared" si="13"/>
        <v>419.32</v>
      </c>
      <c r="R44" s="5"/>
      <c r="S44" s="21"/>
      <c r="T44" s="21"/>
      <c r="U44" s="21"/>
      <c r="V44" s="21"/>
      <c r="W44" s="21"/>
      <c r="X44" s="21"/>
      <c r="Y44" s="21"/>
      <c r="Z44" s="30">
        <f>Z43</f>
        <v>419.32</v>
      </c>
      <c r="AA44" s="30">
        <f>Q44</f>
        <v>419.32</v>
      </c>
      <c r="AB44" s="21"/>
      <c r="AC44" s="21"/>
      <c r="AD44" s="21"/>
      <c r="AE44" s="21"/>
      <c r="AF44" s="21"/>
      <c r="AG44" s="21"/>
      <c r="AH44" s="21"/>
      <c r="AI44" s="21"/>
      <c r="AJ44" s="21"/>
      <c r="AK44" s="21"/>
      <c r="AL44" s="21"/>
      <c r="AM44" s="21"/>
      <c r="AN44" s="21"/>
      <c r="AO44" s="21"/>
      <c r="AP44" s="21"/>
      <c r="AQ44" s="21">
        <f t="shared" si="10"/>
        <v>419.26800000000003</v>
      </c>
      <c r="AR44" s="21">
        <f t="shared" si="11"/>
        <v>419.33199999999999</v>
      </c>
    </row>
    <row r="45" spans="10:44">
      <c r="J45" s="5">
        <v>16</v>
      </c>
      <c r="K45" s="23">
        <f t="shared" si="12"/>
        <v>136.13999999999999</v>
      </c>
      <c r="L45" s="24">
        <f t="shared" si="5"/>
        <v>4</v>
      </c>
      <c r="M45" s="5">
        <f t="shared" si="6"/>
        <v>419.32</v>
      </c>
      <c r="N45" s="25">
        <f t="shared" si="7"/>
        <v>-1.1111111111101006E-4</v>
      </c>
      <c r="O45" s="26">
        <f t="shared" si="8"/>
        <v>1.1399999999999864</v>
      </c>
      <c r="P45" s="27">
        <f t="shared" si="9"/>
        <v>419.31987333333331</v>
      </c>
      <c r="Q45" s="27">
        <f t="shared" si="13"/>
        <v>419.31993666666665</v>
      </c>
      <c r="R45" s="5"/>
      <c r="S45" s="21"/>
      <c r="T45" s="21"/>
      <c r="U45" s="21"/>
      <c r="V45" s="21"/>
      <c r="W45" s="21"/>
      <c r="X45" s="21"/>
      <c r="Y45" s="21"/>
      <c r="Z45" s="21"/>
      <c r="AA45" s="30">
        <f>AA44</f>
        <v>419.32</v>
      </c>
      <c r="AB45" s="30">
        <f>Q45</f>
        <v>419.31993666666665</v>
      </c>
      <c r="AC45" s="21"/>
      <c r="AD45" s="21"/>
      <c r="AE45" s="21"/>
      <c r="AF45" s="21"/>
      <c r="AG45" s="21"/>
      <c r="AH45" s="21"/>
      <c r="AI45" s="21"/>
      <c r="AJ45" s="21"/>
      <c r="AK45" s="21"/>
      <c r="AL45" s="21"/>
      <c r="AM45" s="21"/>
      <c r="AN45" s="21"/>
      <c r="AO45" s="21"/>
      <c r="AP45" s="21"/>
      <c r="AQ45" s="21">
        <f t="shared" si="10"/>
        <v>419.26800000000003</v>
      </c>
      <c r="AR45" s="21">
        <f t="shared" si="11"/>
        <v>419.33199999999999</v>
      </c>
    </row>
    <row r="46" spans="10:44">
      <c r="J46" s="5">
        <v>15</v>
      </c>
      <c r="K46" s="23">
        <f t="shared" si="12"/>
        <v>151.13999999999999</v>
      </c>
      <c r="L46" s="24">
        <f t="shared" si="5"/>
        <v>4</v>
      </c>
      <c r="M46" s="5">
        <f t="shared" si="6"/>
        <v>419.32</v>
      </c>
      <c r="N46" s="25">
        <f t="shared" si="7"/>
        <v>-1.1111111111101006E-4</v>
      </c>
      <c r="O46" s="26">
        <f t="shared" si="8"/>
        <v>16.139999999999986</v>
      </c>
      <c r="P46" s="27">
        <f t="shared" si="9"/>
        <v>419.31820666666664</v>
      </c>
      <c r="Q46" s="27">
        <f t="shared" si="13"/>
        <v>419.31903999999997</v>
      </c>
      <c r="R46" s="5"/>
      <c r="S46" s="21"/>
      <c r="T46" s="21"/>
      <c r="U46" s="21"/>
      <c r="V46" s="21"/>
      <c r="W46" s="21"/>
      <c r="X46" s="21"/>
      <c r="Y46" s="21"/>
      <c r="Z46" s="21"/>
      <c r="AA46" s="21"/>
      <c r="AB46" s="30">
        <f>AB45</f>
        <v>419.31993666666665</v>
      </c>
      <c r="AC46" s="30">
        <f>Q46</f>
        <v>419.31903999999997</v>
      </c>
      <c r="AD46" s="21"/>
      <c r="AE46" s="21"/>
      <c r="AF46" s="21"/>
      <c r="AG46" s="21"/>
      <c r="AH46" s="21"/>
      <c r="AI46" s="21"/>
      <c r="AJ46" s="21"/>
      <c r="AK46" s="21"/>
      <c r="AL46" s="21"/>
      <c r="AM46" s="21"/>
      <c r="AN46" s="21"/>
      <c r="AO46" s="21"/>
      <c r="AP46" s="21"/>
      <c r="AQ46" s="21">
        <f t="shared" si="10"/>
        <v>419.26800000000003</v>
      </c>
      <c r="AR46" s="21">
        <f t="shared" si="11"/>
        <v>419.33199999999999</v>
      </c>
    </row>
    <row r="47" spans="10:44">
      <c r="J47" s="5">
        <v>14</v>
      </c>
      <c r="K47" s="23">
        <f t="shared" si="12"/>
        <v>166.14</v>
      </c>
      <c r="L47" s="24">
        <f t="shared" si="5"/>
        <v>4</v>
      </c>
      <c r="M47" s="5">
        <f t="shared" si="6"/>
        <v>419.32</v>
      </c>
      <c r="N47" s="25">
        <f t="shared" si="7"/>
        <v>-1.1111111111101006E-4</v>
      </c>
      <c r="O47" s="26">
        <f t="shared" si="8"/>
        <v>31.139999999999986</v>
      </c>
      <c r="P47" s="27">
        <f t="shared" si="9"/>
        <v>419.31653999999997</v>
      </c>
      <c r="Q47" s="27">
        <f t="shared" si="13"/>
        <v>419.31737333333331</v>
      </c>
      <c r="R47" s="5"/>
      <c r="S47" s="21"/>
      <c r="T47" s="21"/>
      <c r="U47" s="21"/>
      <c r="V47" s="21"/>
      <c r="W47" s="21"/>
      <c r="X47" s="21"/>
      <c r="Y47" s="21"/>
      <c r="Z47" s="21"/>
      <c r="AA47" s="21"/>
      <c r="AB47" s="21"/>
      <c r="AC47" s="30">
        <f>AC46</f>
        <v>419.31903999999997</v>
      </c>
      <c r="AD47" s="30">
        <f>Q47</f>
        <v>419.31737333333331</v>
      </c>
      <c r="AE47" s="21"/>
      <c r="AF47" s="21"/>
      <c r="AG47" s="21"/>
      <c r="AH47" s="21"/>
      <c r="AI47" s="21"/>
      <c r="AJ47" s="21"/>
      <c r="AK47" s="21"/>
      <c r="AL47" s="21"/>
      <c r="AM47" s="21"/>
      <c r="AN47" s="21"/>
      <c r="AO47" s="21"/>
      <c r="AP47" s="21"/>
      <c r="AQ47" s="21">
        <f t="shared" si="10"/>
        <v>419.26800000000003</v>
      </c>
      <c r="AR47" s="21">
        <f t="shared" si="11"/>
        <v>419.33199999999999</v>
      </c>
    </row>
    <row r="48" spans="10:44">
      <c r="J48" s="5">
        <v>13</v>
      </c>
      <c r="K48" s="23">
        <f t="shared" si="12"/>
        <v>181.14</v>
      </c>
      <c r="L48" s="24">
        <f t="shared" si="5"/>
        <v>5</v>
      </c>
      <c r="M48" s="5">
        <f t="shared" si="6"/>
        <v>419.315</v>
      </c>
      <c r="N48" s="25">
        <f t="shared" si="7"/>
        <v>-1.1111111111101006E-4</v>
      </c>
      <c r="O48" s="26">
        <f t="shared" si="8"/>
        <v>1.1399999999999864</v>
      </c>
      <c r="P48" s="27">
        <f t="shared" si="9"/>
        <v>419.31487333333331</v>
      </c>
      <c r="Q48" s="27">
        <f t="shared" si="13"/>
        <v>419.31570666666664</v>
      </c>
      <c r="R48" s="5"/>
      <c r="S48" s="21"/>
      <c r="T48" s="21"/>
      <c r="U48" s="21"/>
      <c r="V48" s="21"/>
      <c r="W48" s="21"/>
      <c r="X48" s="21"/>
      <c r="Y48" s="21"/>
      <c r="Z48" s="21"/>
      <c r="AA48" s="21"/>
      <c r="AB48" s="21"/>
      <c r="AC48" s="21"/>
      <c r="AD48" s="30">
        <f>AD47</f>
        <v>419.31737333333331</v>
      </c>
      <c r="AE48" s="30">
        <f>Q48</f>
        <v>419.31570666666664</v>
      </c>
      <c r="AF48" s="21"/>
      <c r="AG48" s="21"/>
      <c r="AH48" s="21"/>
      <c r="AI48" s="21"/>
      <c r="AJ48" s="21"/>
      <c r="AK48" s="21"/>
      <c r="AL48" s="21"/>
      <c r="AM48" s="21"/>
      <c r="AN48" s="21"/>
      <c r="AO48" s="21"/>
      <c r="AP48" s="21"/>
      <c r="AQ48" s="21">
        <f t="shared" si="10"/>
        <v>419.26800000000003</v>
      </c>
      <c r="AR48" s="21">
        <f t="shared" si="11"/>
        <v>419.33199999999999</v>
      </c>
    </row>
    <row r="49" spans="10:44">
      <c r="J49" s="5">
        <v>12</v>
      </c>
      <c r="K49" s="23">
        <f t="shared" si="12"/>
        <v>196.14</v>
      </c>
      <c r="L49" s="24">
        <f t="shared" si="5"/>
        <v>5</v>
      </c>
      <c r="M49" s="5">
        <f t="shared" si="6"/>
        <v>419.315</v>
      </c>
      <c r="N49" s="25">
        <f t="shared" si="7"/>
        <v>-1.1111111111101006E-4</v>
      </c>
      <c r="O49" s="26">
        <f t="shared" si="8"/>
        <v>16.139999999999986</v>
      </c>
      <c r="P49" s="27">
        <f t="shared" si="9"/>
        <v>419.31320666666664</v>
      </c>
      <c r="Q49" s="27">
        <f t="shared" si="13"/>
        <v>419.31403999999998</v>
      </c>
      <c r="R49" s="5"/>
      <c r="S49" s="21"/>
      <c r="T49" s="21"/>
      <c r="U49" s="21"/>
      <c r="V49" s="21"/>
      <c r="W49" s="21"/>
      <c r="X49" s="21"/>
      <c r="Y49" s="21"/>
      <c r="Z49" s="21"/>
      <c r="AA49" s="21"/>
      <c r="AB49" s="21"/>
      <c r="AC49" s="21"/>
      <c r="AD49" s="21"/>
      <c r="AE49" s="30">
        <f>AE48</f>
        <v>419.31570666666664</v>
      </c>
      <c r="AF49" s="30">
        <f>Q49</f>
        <v>419.31403999999998</v>
      </c>
      <c r="AG49" s="21"/>
      <c r="AH49" s="21"/>
      <c r="AI49" s="21"/>
      <c r="AJ49" s="21"/>
      <c r="AK49" s="21"/>
      <c r="AL49" s="21"/>
      <c r="AM49" s="21"/>
      <c r="AN49" s="21"/>
      <c r="AO49" s="21"/>
      <c r="AP49" s="21"/>
      <c r="AQ49" s="21">
        <f t="shared" si="10"/>
        <v>419.26800000000003</v>
      </c>
      <c r="AR49" s="21">
        <f t="shared" si="11"/>
        <v>419.33199999999999</v>
      </c>
    </row>
    <row r="50" spans="10:44">
      <c r="J50" s="5">
        <v>11</v>
      </c>
      <c r="K50" s="23">
        <f t="shared" si="12"/>
        <v>211.14</v>
      </c>
      <c r="L50" s="24">
        <f t="shared" si="5"/>
        <v>5</v>
      </c>
      <c r="M50" s="5">
        <f t="shared" si="6"/>
        <v>419.315</v>
      </c>
      <c r="N50" s="25">
        <f t="shared" si="7"/>
        <v>-1.1111111111101006E-4</v>
      </c>
      <c r="O50" s="26">
        <f t="shared" si="8"/>
        <v>31.139999999999986</v>
      </c>
      <c r="P50" s="27">
        <f t="shared" si="9"/>
        <v>419.31153999999998</v>
      </c>
      <c r="Q50" s="27">
        <f t="shared" si="13"/>
        <v>419.31237333333331</v>
      </c>
      <c r="R50" s="5"/>
      <c r="S50" s="21"/>
      <c r="T50" s="21"/>
      <c r="U50" s="21"/>
      <c r="V50" s="21"/>
      <c r="W50" s="21"/>
      <c r="X50" s="21"/>
      <c r="Y50" s="21"/>
      <c r="Z50" s="21"/>
      <c r="AA50" s="21"/>
      <c r="AB50" s="21"/>
      <c r="AC50" s="21"/>
      <c r="AD50" s="21"/>
      <c r="AE50" s="21"/>
      <c r="AF50" s="30">
        <f>AF49</f>
        <v>419.31403999999998</v>
      </c>
      <c r="AG50" s="30">
        <f>Q50</f>
        <v>419.31237333333331</v>
      </c>
      <c r="AH50" s="21"/>
      <c r="AI50" s="21"/>
      <c r="AJ50" s="21"/>
      <c r="AK50" s="21"/>
      <c r="AL50" s="21"/>
      <c r="AM50" s="21"/>
      <c r="AN50" s="21"/>
      <c r="AO50" s="21"/>
      <c r="AP50" s="21"/>
      <c r="AQ50" s="21">
        <f t="shared" si="10"/>
        <v>419.26800000000003</v>
      </c>
      <c r="AR50" s="21">
        <f t="shared" si="11"/>
        <v>419.33199999999999</v>
      </c>
    </row>
    <row r="51" spans="10:44">
      <c r="J51" s="5">
        <v>10</v>
      </c>
      <c r="K51" s="23">
        <f t="shared" si="12"/>
        <v>226.14</v>
      </c>
      <c r="L51" s="24">
        <f t="shared" si="5"/>
        <v>6</v>
      </c>
      <c r="M51" s="5">
        <f t="shared" si="6"/>
        <v>419.31</v>
      </c>
      <c r="N51" s="25">
        <f t="shared" si="7"/>
        <v>2.2222222222202011E-4</v>
      </c>
      <c r="O51" s="26">
        <f t="shared" si="8"/>
        <v>1.1399999999999864</v>
      </c>
      <c r="P51" s="27">
        <f t="shared" si="9"/>
        <v>419.31025333333332</v>
      </c>
      <c r="Q51" s="27">
        <f t="shared" si="13"/>
        <v>419.31089666666662</v>
      </c>
      <c r="R51" s="5"/>
      <c r="S51" s="21"/>
      <c r="T51" s="21"/>
      <c r="U51" s="21"/>
      <c r="V51" s="21"/>
      <c r="W51" s="21"/>
      <c r="X51" s="21"/>
      <c r="Y51" s="21"/>
      <c r="Z51" s="21"/>
      <c r="AA51" s="21"/>
      <c r="AB51" s="21"/>
      <c r="AC51" s="21"/>
      <c r="AD51" s="21"/>
      <c r="AE51" s="21"/>
      <c r="AF51" s="21"/>
      <c r="AG51" s="30">
        <f>AG50</f>
        <v>419.31237333333331</v>
      </c>
      <c r="AH51" s="30">
        <f>Q51</f>
        <v>419.31089666666662</v>
      </c>
      <c r="AI51" s="21"/>
      <c r="AJ51" s="21"/>
      <c r="AK51" s="21"/>
      <c r="AL51" s="21"/>
      <c r="AM51" s="21"/>
      <c r="AN51" s="21"/>
      <c r="AO51" s="21"/>
      <c r="AP51" s="21"/>
      <c r="AQ51" s="21">
        <f t="shared" si="10"/>
        <v>419.26800000000003</v>
      </c>
      <c r="AR51" s="21">
        <f t="shared" si="11"/>
        <v>419.33199999999999</v>
      </c>
    </row>
    <row r="52" spans="10:44">
      <c r="J52" s="5">
        <v>9</v>
      </c>
      <c r="K52" s="23">
        <f t="shared" si="12"/>
        <v>241.14</v>
      </c>
      <c r="L52" s="24">
        <f t="shared" si="5"/>
        <v>6</v>
      </c>
      <c r="M52" s="5">
        <f t="shared" si="6"/>
        <v>419.31</v>
      </c>
      <c r="N52" s="25">
        <f t="shared" si="7"/>
        <v>2.2222222222202011E-4</v>
      </c>
      <c r="O52" s="26">
        <f t="shared" si="8"/>
        <v>16.139999999999986</v>
      </c>
      <c r="P52" s="27">
        <f t="shared" si="9"/>
        <v>419.31358666666665</v>
      </c>
      <c r="Q52" s="27">
        <f t="shared" si="13"/>
        <v>419.31191999999999</v>
      </c>
      <c r="R52" s="5"/>
      <c r="S52" s="21"/>
      <c r="T52" s="21"/>
      <c r="U52" s="21"/>
      <c r="V52" s="21"/>
      <c r="W52" s="21"/>
      <c r="X52" s="21"/>
      <c r="Y52" s="21"/>
      <c r="Z52" s="21"/>
      <c r="AA52" s="21"/>
      <c r="AB52" s="21"/>
      <c r="AC52" s="21"/>
      <c r="AD52" s="21"/>
      <c r="AE52" s="21"/>
      <c r="AF52" s="21"/>
      <c r="AG52" s="21"/>
      <c r="AH52" s="30">
        <f>AH51</f>
        <v>419.31089666666662</v>
      </c>
      <c r="AI52" s="30">
        <f>Q52</f>
        <v>419.31191999999999</v>
      </c>
      <c r="AJ52" s="21"/>
      <c r="AK52" s="21"/>
      <c r="AL52" s="21"/>
      <c r="AM52" s="21"/>
      <c r="AN52" s="21"/>
      <c r="AO52" s="21"/>
      <c r="AP52" s="21"/>
      <c r="AQ52" s="21">
        <f t="shared" si="10"/>
        <v>419.26800000000003</v>
      </c>
      <c r="AR52" s="21">
        <f t="shared" si="11"/>
        <v>419.33199999999999</v>
      </c>
    </row>
    <row r="53" spans="10:44">
      <c r="J53" s="5">
        <v>8</v>
      </c>
      <c r="K53" s="23">
        <f t="shared" si="12"/>
        <v>256.14</v>
      </c>
      <c r="L53" s="24">
        <f t="shared" si="5"/>
        <v>6</v>
      </c>
      <c r="M53" s="5">
        <f t="shared" si="6"/>
        <v>419.31</v>
      </c>
      <c r="N53" s="25">
        <f t="shared" si="7"/>
        <v>2.2222222222202011E-4</v>
      </c>
      <c r="O53" s="26">
        <f t="shared" si="8"/>
        <v>31.139999999999986</v>
      </c>
      <c r="P53" s="27">
        <f t="shared" si="9"/>
        <v>419.31691999999998</v>
      </c>
      <c r="Q53" s="27">
        <f t="shared" si="13"/>
        <v>419.31525333333332</v>
      </c>
      <c r="R53" s="5"/>
      <c r="S53" s="21"/>
      <c r="T53" s="21"/>
      <c r="U53" s="21"/>
      <c r="V53" s="21"/>
      <c r="W53" s="21"/>
      <c r="X53" s="21"/>
      <c r="Y53" s="21"/>
      <c r="Z53" s="21"/>
      <c r="AA53" s="21"/>
      <c r="AB53" s="21"/>
      <c r="AC53" s="21"/>
      <c r="AD53" s="21"/>
      <c r="AE53" s="21"/>
      <c r="AF53" s="21"/>
      <c r="AG53" s="21"/>
      <c r="AH53" s="30"/>
      <c r="AI53" s="30">
        <f>AI52</f>
        <v>419.31191999999999</v>
      </c>
      <c r="AJ53" s="30">
        <f>Q53</f>
        <v>419.31525333333332</v>
      </c>
      <c r="AK53" s="21"/>
      <c r="AL53" s="21"/>
      <c r="AM53" s="21"/>
      <c r="AN53" s="21"/>
      <c r="AO53" s="21"/>
      <c r="AP53" s="21"/>
      <c r="AQ53" s="21">
        <f t="shared" si="10"/>
        <v>419.26800000000003</v>
      </c>
      <c r="AR53" s="21">
        <f t="shared" si="11"/>
        <v>419.33199999999999</v>
      </c>
    </row>
    <row r="54" spans="10:44">
      <c r="J54" s="5">
        <v>7</v>
      </c>
      <c r="K54" s="23">
        <f t="shared" si="12"/>
        <v>271.14</v>
      </c>
      <c r="L54" s="24">
        <f t="shared" si="5"/>
        <v>7</v>
      </c>
      <c r="M54" s="5">
        <f t="shared" si="6"/>
        <v>419.32</v>
      </c>
      <c r="N54" s="25">
        <f t="shared" si="7"/>
        <v>0</v>
      </c>
      <c r="O54" s="26">
        <f t="shared" si="8"/>
        <v>1.1399999999999864</v>
      </c>
      <c r="P54" s="27">
        <f t="shared" si="9"/>
        <v>419.32</v>
      </c>
      <c r="Q54" s="27">
        <f t="shared" si="13"/>
        <v>419.31845999999996</v>
      </c>
      <c r="R54" s="5"/>
      <c r="S54" s="21"/>
      <c r="T54" s="21"/>
      <c r="U54" s="21"/>
      <c r="V54" s="21"/>
      <c r="W54" s="21"/>
      <c r="X54" s="21"/>
      <c r="Y54" s="21"/>
      <c r="Z54" s="21"/>
      <c r="AA54" s="21"/>
      <c r="AB54" s="21"/>
      <c r="AC54" s="21"/>
      <c r="AD54" s="21"/>
      <c r="AE54" s="21"/>
      <c r="AF54" s="21"/>
      <c r="AG54" s="21"/>
      <c r="AH54" s="30"/>
      <c r="AI54" s="30"/>
      <c r="AJ54" s="30">
        <f>AJ53</f>
        <v>419.31525333333332</v>
      </c>
      <c r="AK54" s="30">
        <f>Q54</f>
        <v>419.31845999999996</v>
      </c>
      <c r="AL54" s="21"/>
      <c r="AM54" s="21"/>
      <c r="AN54" s="21"/>
      <c r="AO54" s="21"/>
      <c r="AP54" s="21"/>
      <c r="AQ54" s="21">
        <f t="shared" si="10"/>
        <v>419.26800000000003</v>
      </c>
      <c r="AR54" s="21">
        <f t="shared" si="11"/>
        <v>419.33199999999999</v>
      </c>
    </row>
    <row r="55" spans="10:44">
      <c r="J55" s="5">
        <v>6</v>
      </c>
      <c r="K55" s="23">
        <f t="shared" si="12"/>
        <v>286.14</v>
      </c>
      <c r="L55" s="24">
        <f t="shared" si="5"/>
        <v>7</v>
      </c>
      <c r="M55" s="5">
        <f t="shared" si="6"/>
        <v>419.32</v>
      </c>
      <c r="N55" s="25">
        <f t="shared" si="7"/>
        <v>0</v>
      </c>
      <c r="O55" s="26">
        <f t="shared" si="8"/>
        <v>16.139999999999986</v>
      </c>
      <c r="P55" s="27">
        <f t="shared" si="9"/>
        <v>419.32</v>
      </c>
      <c r="Q55" s="27">
        <f t="shared" si="13"/>
        <v>419.32</v>
      </c>
      <c r="R55" s="5"/>
      <c r="S55" s="21"/>
      <c r="T55" s="21"/>
      <c r="U55" s="21"/>
      <c r="V55" s="21"/>
      <c r="W55" s="21"/>
      <c r="X55" s="21"/>
      <c r="Y55" s="21"/>
      <c r="Z55" s="21"/>
      <c r="AA55" s="21"/>
      <c r="AB55" s="21"/>
      <c r="AC55" s="21"/>
      <c r="AD55" s="21"/>
      <c r="AE55" s="21"/>
      <c r="AF55" s="21"/>
      <c r="AG55" s="21"/>
      <c r="AH55" s="30"/>
      <c r="AI55" s="30"/>
      <c r="AJ55" s="21"/>
      <c r="AK55" s="30">
        <f>AK54</f>
        <v>419.31845999999996</v>
      </c>
      <c r="AL55" s="30">
        <f>Q55</f>
        <v>419.32</v>
      </c>
      <c r="AM55" s="21"/>
      <c r="AN55" s="21"/>
      <c r="AO55" s="21"/>
      <c r="AP55" s="21"/>
      <c r="AQ55" s="21">
        <f t="shared" si="10"/>
        <v>419.26800000000003</v>
      </c>
      <c r="AR55" s="21">
        <f t="shared" si="11"/>
        <v>419.33199999999999</v>
      </c>
    </row>
    <row r="56" spans="10:44">
      <c r="J56" s="5">
        <v>5</v>
      </c>
      <c r="K56" s="23">
        <f t="shared" si="12"/>
        <v>301.14</v>
      </c>
      <c r="L56" s="24">
        <f t="shared" si="5"/>
        <v>7</v>
      </c>
      <c r="M56" s="5">
        <f t="shared" si="6"/>
        <v>419.32</v>
      </c>
      <c r="N56" s="25">
        <f t="shared" si="7"/>
        <v>0</v>
      </c>
      <c r="O56" s="26">
        <f t="shared" si="8"/>
        <v>31.139999999999986</v>
      </c>
      <c r="P56" s="27">
        <f t="shared" si="9"/>
        <v>419.32</v>
      </c>
      <c r="Q56" s="27">
        <f t="shared" si="13"/>
        <v>419.32</v>
      </c>
      <c r="R56" s="5"/>
      <c r="S56" s="21"/>
      <c r="T56" s="21"/>
      <c r="U56" s="21"/>
      <c r="V56" s="21"/>
      <c r="W56" s="21"/>
      <c r="X56" s="21"/>
      <c r="Y56" s="21"/>
      <c r="Z56" s="21"/>
      <c r="AA56" s="21"/>
      <c r="AB56" s="21"/>
      <c r="AC56" s="21"/>
      <c r="AD56" s="21"/>
      <c r="AE56" s="21"/>
      <c r="AF56" s="21"/>
      <c r="AG56" s="21"/>
      <c r="AH56" s="30"/>
      <c r="AI56" s="30"/>
      <c r="AJ56" s="21"/>
      <c r="AK56" s="21"/>
      <c r="AL56" s="30">
        <f>AL55</f>
        <v>419.32</v>
      </c>
      <c r="AM56" s="30">
        <f>Q56</f>
        <v>419.32</v>
      </c>
      <c r="AN56" s="21"/>
      <c r="AO56" s="21"/>
      <c r="AP56" s="21"/>
      <c r="AQ56" s="21">
        <f t="shared" si="10"/>
        <v>419.26800000000003</v>
      </c>
      <c r="AR56" s="21">
        <f t="shared" si="11"/>
        <v>419.33199999999999</v>
      </c>
    </row>
    <row r="57" spans="10:44">
      <c r="J57" s="5">
        <v>4</v>
      </c>
      <c r="K57" s="23">
        <f t="shared" si="12"/>
        <v>316.14</v>
      </c>
      <c r="L57" s="24">
        <f t="shared" si="5"/>
        <v>8</v>
      </c>
      <c r="M57" s="5">
        <f t="shared" si="6"/>
        <v>419.32</v>
      </c>
      <c r="N57" s="25">
        <f t="shared" si="7"/>
        <v>-1.1111111111101006E-4</v>
      </c>
      <c r="O57" s="26">
        <f t="shared" si="8"/>
        <v>1.1399999999999864</v>
      </c>
      <c r="P57" s="27">
        <f t="shared" si="9"/>
        <v>419.31987333333331</v>
      </c>
      <c r="Q57" s="27">
        <f t="shared" si="13"/>
        <v>419.31993666666665</v>
      </c>
      <c r="R57" s="5"/>
      <c r="S57" s="21"/>
      <c r="T57" s="21"/>
      <c r="U57" s="21"/>
      <c r="V57" s="21"/>
      <c r="W57" s="21"/>
      <c r="X57" s="21"/>
      <c r="Y57" s="21"/>
      <c r="Z57" s="21"/>
      <c r="AA57" s="21"/>
      <c r="AB57" s="21"/>
      <c r="AC57" s="21"/>
      <c r="AD57" s="21"/>
      <c r="AE57" s="21"/>
      <c r="AF57" s="21"/>
      <c r="AG57" s="21"/>
      <c r="AH57" s="30"/>
      <c r="AI57" s="30"/>
      <c r="AJ57" s="21"/>
      <c r="AK57" s="21"/>
      <c r="AL57" s="21"/>
      <c r="AM57" s="30">
        <f>AM56</f>
        <v>419.32</v>
      </c>
      <c r="AN57" s="30">
        <f>Q57</f>
        <v>419.31993666666665</v>
      </c>
      <c r="AO57" s="30"/>
      <c r="AP57" s="21"/>
      <c r="AQ57" s="21">
        <f t="shared" si="10"/>
        <v>419.26800000000003</v>
      </c>
      <c r="AR57" s="21">
        <f t="shared" si="11"/>
        <v>419.33199999999999</v>
      </c>
    </row>
    <row r="58" spans="10:44">
      <c r="J58" s="5">
        <v>3</v>
      </c>
      <c r="K58" s="23">
        <f t="shared" si="12"/>
        <v>331.14</v>
      </c>
      <c r="L58" s="24">
        <f t="shared" si="5"/>
        <v>8</v>
      </c>
      <c r="M58" s="5">
        <f t="shared" si="6"/>
        <v>419.32</v>
      </c>
      <c r="N58" s="25">
        <f t="shared" si="7"/>
        <v>-1.1111111111101006E-4</v>
      </c>
      <c r="O58" s="26">
        <f t="shared" si="8"/>
        <v>16.139999999999986</v>
      </c>
      <c r="P58" s="27">
        <f t="shared" si="9"/>
        <v>419.31820666666664</v>
      </c>
      <c r="Q58" s="27">
        <f t="shared" si="13"/>
        <v>419.31903999999997</v>
      </c>
      <c r="R58" s="5"/>
      <c r="S58" s="21"/>
      <c r="T58" s="21"/>
      <c r="U58" s="21"/>
      <c r="V58" s="21"/>
      <c r="W58" s="21"/>
      <c r="X58" s="21"/>
      <c r="Y58" s="21"/>
      <c r="Z58" s="21"/>
      <c r="AA58" s="21"/>
      <c r="AB58" s="21"/>
      <c r="AC58" s="21"/>
      <c r="AD58" s="21"/>
      <c r="AE58" s="21"/>
      <c r="AF58" s="21"/>
      <c r="AG58" s="21"/>
      <c r="AH58" s="30"/>
      <c r="AI58" s="30"/>
      <c r="AJ58" s="21"/>
      <c r="AK58" s="21"/>
      <c r="AL58" s="21"/>
      <c r="AM58" s="30"/>
      <c r="AN58" s="30">
        <f>AN57</f>
        <v>419.31993666666665</v>
      </c>
      <c r="AO58" s="30">
        <f>Q58</f>
        <v>419.31903999999997</v>
      </c>
      <c r="AP58" s="21"/>
      <c r="AQ58" s="21">
        <f t="shared" si="10"/>
        <v>419.26800000000003</v>
      </c>
      <c r="AR58" s="21">
        <f t="shared" si="11"/>
        <v>419.33199999999999</v>
      </c>
    </row>
    <row r="59" spans="10:44">
      <c r="J59" s="5">
        <v>2</v>
      </c>
      <c r="K59" s="23">
        <f t="shared" si="12"/>
        <v>346.14</v>
      </c>
      <c r="L59" s="24">
        <f t="shared" si="5"/>
        <v>8</v>
      </c>
      <c r="M59" s="5">
        <f>VLOOKUP(L59, $H$11:$K$27, 4, FALSE)</f>
        <v>419.32</v>
      </c>
      <c r="N59" s="25">
        <f t="shared" si="7"/>
        <v>-1.1111111111101006E-4</v>
      </c>
      <c r="O59" s="26">
        <f t="shared" si="8"/>
        <v>31.139999999999986</v>
      </c>
      <c r="P59" s="27">
        <f t="shared" si="9"/>
        <v>419.31653999999997</v>
      </c>
      <c r="Q59" s="27">
        <f>(P57+P59)/2</f>
        <v>419.31820666666664</v>
      </c>
      <c r="R59" s="5"/>
      <c r="S59" s="31"/>
      <c r="T59" s="31"/>
      <c r="U59" s="31"/>
      <c r="V59" s="31"/>
      <c r="W59" s="31"/>
      <c r="X59" s="31"/>
      <c r="Y59" s="31"/>
      <c r="Z59" s="31"/>
      <c r="AA59" s="31"/>
      <c r="AB59" s="31"/>
      <c r="AC59" s="31"/>
      <c r="AD59" s="31"/>
      <c r="AE59" s="31"/>
      <c r="AF59" s="31"/>
      <c r="AG59" s="31"/>
      <c r="AH59" s="31"/>
      <c r="AI59" s="32"/>
      <c r="AJ59" s="32"/>
      <c r="AK59" s="32"/>
      <c r="AL59" s="32"/>
      <c r="AM59" s="32"/>
      <c r="AN59" s="32"/>
      <c r="AO59" s="32">
        <f>AO58</f>
        <v>419.31903999999997</v>
      </c>
      <c r="AP59" s="32">
        <f>Q59</f>
        <v>419.31820666666664</v>
      </c>
      <c r="AQ59" s="31">
        <f t="shared" si="10"/>
        <v>419.26800000000003</v>
      </c>
      <c r="AR59" s="31">
        <f t="shared" si="11"/>
        <v>419.33199999999999</v>
      </c>
    </row>
    <row r="62" spans="10:44">
      <c r="J62" s="33"/>
      <c r="K62" s="33"/>
      <c r="L62" s="33"/>
      <c r="M62" s="33"/>
      <c r="N62" s="33"/>
      <c r="O62" s="33"/>
      <c r="P62" s="33"/>
      <c r="Q62" s="33"/>
      <c r="R62" s="33"/>
      <c r="S62" s="5"/>
      <c r="T62" s="33"/>
      <c r="U62" s="33"/>
      <c r="V62" s="33"/>
      <c r="W62" s="33"/>
      <c r="X62" s="33"/>
      <c r="Y62" s="33"/>
      <c r="Z62" s="33"/>
      <c r="AA62" s="33"/>
      <c r="AB62" s="33"/>
      <c r="AC62" s="33"/>
    </row>
    <row r="63" spans="10:44">
      <c r="J63" s="33"/>
      <c r="K63" s="33"/>
      <c r="L63" s="33"/>
      <c r="M63" s="33"/>
      <c r="N63" s="33"/>
      <c r="O63" s="33"/>
      <c r="P63" s="33"/>
      <c r="Q63" s="33"/>
      <c r="R63" s="33"/>
      <c r="S63" s="5"/>
      <c r="T63" s="33"/>
      <c r="U63" s="33"/>
      <c r="V63" s="33"/>
      <c r="W63" s="33"/>
      <c r="X63" s="33"/>
      <c r="Y63" s="33"/>
      <c r="Z63" s="33"/>
      <c r="AA63" s="33"/>
      <c r="AB63" s="33"/>
      <c r="AC63" s="33"/>
    </row>
    <row r="64" spans="10:44">
      <c r="J64" s="33"/>
      <c r="K64" s="33"/>
      <c r="L64" s="33"/>
      <c r="M64" s="33"/>
      <c r="N64" s="33"/>
      <c r="O64" s="33"/>
      <c r="P64" s="33"/>
      <c r="Q64" s="33"/>
      <c r="R64" s="33"/>
      <c r="S64" s="5"/>
      <c r="T64" s="33"/>
      <c r="U64" s="33"/>
      <c r="V64" s="33"/>
      <c r="W64" s="33"/>
      <c r="X64" s="33"/>
      <c r="Y64" s="33"/>
      <c r="Z64" s="33"/>
      <c r="AA64" s="33"/>
      <c r="AB64" s="33"/>
      <c r="AC64" s="33"/>
    </row>
    <row r="65" spans="10:29">
      <c r="J65" s="33"/>
      <c r="K65" s="33"/>
      <c r="L65" s="33"/>
      <c r="M65" s="33"/>
      <c r="N65" s="33"/>
      <c r="O65" s="33"/>
      <c r="P65" s="33"/>
      <c r="Q65" s="33"/>
      <c r="R65" s="33"/>
      <c r="S65" s="5"/>
      <c r="T65" s="33"/>
      <c r="U65" s="33"/>
      <c r="V65" s="33"/>
      <c r="W65" s="33"/>
      <c r="X65" s="33"/>
      <c r="Y65" s="33"/>
      <c r="Z65" s="33"/>
      <c r="AA65" s="33"/>
      <c r="AB65" s="33"/>
      <c r="AC65" s="33"/>
    </row>
    <row r="66" spans="10:29">
      <c r="J66" s="33"/>
      <c r="K66" s="33"/>
      <c r="L66" s="33"/>
      <c r="M66" s="33"/>
      <c r="N66" s="33"/>
      <c r="O66" s="33"/>
      <c r="P66" s="33"/>
      <c r="Q66" s="33"/>
      <c r="R66" s="33"/>
      <c r="S66" s="5"/>
      <c r="T66" s="33"/>
      <c r="U66" s="33"/>
      <c r="V66" s="33"/>
      <c r="W66" s="33"/>
      <c r="X66" s="33"/>
      <c r="Y66" s="33"/>
      <c r="Z66" s="33"/>
      <c r="AA66" s="33"/>
      <c r="AB66" s="33"/>
      <c r="AC66" s="33"/>
    </row>
    <row r="67" spans="10:29">
      <c r="J67" s="33"/>
      <c r="K67" s="33"/>
      <c r="L67" s="33"/>
      <c r="M67" s="33"/>
      <c r="N67" s="33"/>
      <c r="O67" s="33"/>
      <c r="P67" s="33"/>
      <c r="Q67" s="33"/>
      <c r="R67" s="33"/>
      <c r="S67" s="5"/>
      <c r="T67" s="33"/>
      <c r="U67" s="33"/>
      <c r="V67" s="33"/>
      <c r="W67" s="33"/>
      <c r="X67" s="33"/>
      <c r="Y67" s="33"/>
      <c r="Z67" s="33"/>
      <c r="AA67" s="33"/>
      <c r="AB67" s="33"/>
      <c r="AC67" s="33"/>
    </row>
    <row r="68" spans="10:29">
      <c r="J68" s="33"/>
      <c r="K68" s="33"/>
      <c r="L68" s="33"/>
      <c r="M68" s="33"/>
      <c r="N68" s="33"/>
      <c r="O68" s="33"/>
      <c r="P68" s="33"/>
      <c r="Q68" s="33"/>
      <c r="R68" s="33"/>
      <c r="S68" s="5"/>
      <c r="T68" s="33"/>
      <c r="U68" s="33"/>
      <c r="V68" s="33"/>
      <c r="W68" s="33"/>
      <c r="X68" s="33"/>
      <c r="Y68" s="33"/>
      <c r="Z68" s="33"/>
      <c r="AA68" s="33"/>
      <c r="AB68" s="33"/>
      <c r="AC68" s="33"/>
    </row>
    <row r="69" spans="10:29">
      <c r="J69" s="33"/>
      <c r="K69" s="33"/>
      <c r="L69" s="33"/>
      <c r="M69" s="33"/>
      <c r="N69" s="33"/>
      <c r="O69" s="33"/>
      <c r="P69" s="33"/>
      <c r="Q69" s="33"/>
      <c r="R69" s="33"/>
      <c r="S69" s="5"/>
      <c r="T69" s="33"/>
      <c r="U69" s="33"/>
      <c r="V69" s="33"/>
      <c r="W69" s="33"/>
      <c r="X69" s="33"/>
      <c r="Y69" s="33"/>
      <c r="Z69" s="33"/>
      <c r="AA69" s="33"/>
      <c r="AB69" s="33"/>
      <c r="AC69" s="33"/>
    </row>
    <row r="70" spans="10:29">
      <c r="J70" s="33"/>
      <c r="K70" s="33"/>
      <c r="L70" s="33"/>
      <c r="M70" s="33"/>
      <c r="N70" s="33"/>
      <c r="O70" s="33"/>
      <c r="P70" s="33"/>
      <c r="Q70" s="33"/>
      <c r="R70" s="33"/>
      <c r="S70" s="5"/>
      <c r="T70" s="33"/>
      <c r="U70" s="33"/>
      <c r="V70" s="33"/>
      <c r="W70" s="33"/>
      <c r="X70" s="33"/>
      <c r="Y70" s="33"/>
      <c r="Z70" s="33"/>
      <c r="AA70" s="33"/>
      <c r="AB70" s="33"/>
      <c r="AC70" s="33"/>
    </row>
    <row r="71" spans="10:29">
      <c r="J71" s="33"/>
      <c r="K71" s="33"/>
      <c r="L71" s="33"/>
      <c r="M71" s="33"/>
      <c r="N71" s="33"/>
      <c r="O71" s="33"/>
      <c r="P71" s="33"/>
      <c r="Q71" s="33"/>
      <c r="R71" s="33"/>
      <c r="S71" s="5"/>
      <c r="T71" s="33"/>
      <c r="U71" s="33"/>
      <c r="V71" s="33"/>
      <c r="W71" s="33"/>
      <c r="X71" s="33"/>
      <c r="Y71" s="33"/>
      <c r="Z71" s="33"/>
      <c r="AA71" s="33"/>
      <c r="AB71" s="33"/>
      <c r="AC71" s="33"/>
    </row>
    <row r="72" spans="10:29">
      <c r="J72" s="33"/>
      <c r="K72" s="33"/>
      <c r="L72" s="33"/>
      <c r="M72" s="33"/>
      <c r="N72" s="33"/>
      <c r="O72" s="33"/>
      <c r="P72" s="33"/>
      <c r="Q72" s="33"/>
      <c r="R72" s="33"/>
      <c r="S72" s="5"/>
      <c r="T72" s="33"/>
      <c r="U72" s="33"/>
      <c r="V72" s="33"/>
      <c r="W72" s="33"/>
      <c r="X72" s="33"/>
      <c r="Y72" s="33"/>
      <c r="Z72" s="33"/>
      <c r="AA72" s="33"/>
      <c r="AB72" s="33"/>
      <c r="AC72" s="33"/>
    </row>
    <row r="73" spans="10:29">
      <c r="J73" s="33"/>
      <c r="K73" s="33"/>
      <c r="L73" s="33"/>
      <c r="M73" s="33"/>
      <c r="N73" s="33"/>
      <c r="O73" s="33"/>
      <c r="P73" s="33"/>
      <c r="Q73" s="33"/>
      <c r="R73" s="33"/>
      <c r="S73" s="5"/>
      <c r="T73" s="33"/>
      <c r="U73" s="33"/>
      <c r="V73" s="33"/>
      <c r="W73" s="33"/>
      <c r="X73" s="33"/>
      <c r="Y73" s="33"/>
      <c r="Z73" s="33"/>
      <c r="AA73" s="33"/>
      <c r="AB73" s="33"/>
      <c r="AC73" s="33"/>
    </row>
    <row r="74" spans="10:29">
      <c r="J74" s="33"/>
      <c r="K74" s="33"/>
      <c r="L74" s="33"/>
      <c r="M74" s="33"/>
      <c r="N74" s="33"/>
      <c r="O74" s="33"/>
      <c r="P74" s="33"/>
      <c r="Q74" s="33"/>
      <c r="R74" s="33"/>
      <c r="S74" s="5"/>
      <c r="T74" s="33"/>
      <c r="U74" s="33"/>
      <c r="V74" s="33"/>
      <c r="W74" s="33"/>
      <c r="X74" s="33"/>
      <c r="Y74" s="33"/>
      <c r="Z74" s="33"/>
      <c r="AA74" s="33"/>
      <c r="AB74" s="33"/>
      <c r="AC74" s="33"/>
    </row>
    <row r="75" spans="10:29">
      <c r="J75" s="33"/>
      <c r="K75" s="33"/>
      <c r="L75" s="33"/>
      <c r="M75" s="33"/>
      <c r="N75" s="33"/>
      <c r="O75" s="33"/>
      <c r="P75" s="33"/>
      <c r="Q75" s="33"/>
      <c r="R75" s="33"/>
      <c r="S75" s="5"/>
      <c r="T75" s="33"/>
      <c r="U75" s="33"/>
      <c r="V75" s="33"/>
      <c r="W75" s="33"/>
      <c r="X75" s="33"/>
      <c r="Y75" s="33"/>
      <c r="Z75" s="33"/>
      <c r="AA75" s="33"/>
      <c r="AB75" s="33"/>
      <c r="AC75" s="33"/>
    </row>
    <row r="76" spans="10:29">
      <c r="J76" s="33"/>
      <c r="K76" s="33"/>
      <c r="L76" s="33"/>
      <c r="M76" s="33"/>
      <c r="N76" s="33"/>
      <c r="O76" s="33"/>
      <c r="P76" s="33"/>
      <c r="Q76" s="33"/>
      <c r="R76" s="33"/>
      <c r="S76" s="5"/>
      <c r="T76" s="33"/>
      <c r="U76" s="33"/>
      <c r="V76" s="33"/>
      <c r="W76" s="33"/>
      <c r="X76" s="33"/>
      <c r="Y76" s="33"/>
      <c r="Z76" s="33"/>
      <c r="AA76" s="33"/>
      <c r="AB76" s="33"/>
      <c r="AC76" s="33"/>
    </row>
    <row r="77" spans="10:29">
      <c r="J77" s="33"/>
      <c r="K77" s="33"/>
      <c r="L77" s="33"/>
      <c r="M77" s="33"/>
      <c r="N77" s="33"/>
      <c r="O77" s="33"/>
      <c r="P77" s="33"/>
      <c r="Q77" s="33"/>
      <c r="R77" s="33"/>
      <c r="S77" s="5"/>
      <c r="T77" s="33"/>
      <c r="U77" s="33"/>
      <c r="V77" s="33"/>
      <c r="W77" s="33"/>
      <c r="X77" s="33"/>
      <c r="Y77" s="33"/>
      <c r="Z77" s="33"/>
      <c r="AA77" s="33"/>
      <c r="AB77" s="33"/>
      <c r="AC77" s="33"/>
    </row>
    <row r="78" spans="10:29">
      <c r="J78" s="33"/>
      <c r="K78" s="33"/>
      <c r="L78" s="33"/>
      <c r="M78" s="33"/>
      <c r="N78" s="33"/>
      <c r="O78" s="33"/>
      <c r="P78" s="33"/>
      <c r="Q78" s="33"/>
      <c r="R78" s="33"/>
      <c r="S78" s="5"/>
      <c r="T78" s="33"/>
      <c r="U78" s="33"/>
      <c r="V78" s="33"/>
      <c r="W78" s="33"/>
      <c r="X78" s="33"/>
      <c r="Y78" s="33"/>
      <c r="Z78" s="33"/>
      <c r="AA78" s="33"/>
      <c r="AB78" s="33"/>
      <c r="AC78" s="33"/>
    </row>
    <row r="79" spans="10:29">
      <c r="J79" s="33"/>
      <c r="K79" s="33"/>
      <c r="L79" s="33"/>
      <c r="M79" s="33"/>
      <c r="N79" s="33"/>
      <c r="O79" s="33"/>
      <c r="P79" s="33"/>
      <c r="Q79" s="33"/>
      <c r="R79" s="33"/>
      <c r="S79" s="5"/>
      <c r="T79" s="33"/>
      <c r="U79" s="33"/>
      <c r="V79" s="33"/>
      <c r="W79" s="33"/>
      <c r="X79" s="33"/>
      <c r="Y79" s="33"/>
      <c r="Z79" s="33"/>
      <c r="AA79" s="33"/>
      <c r="AB79" s="33"/>
      <c r="AC79" s="33"/>
    </row>
    <row r="80" spans="10:29">
      <c r="J80" s="33"/>
      <c r="K80" s="33"/>
      <c r="L80" s="33"/>
      <c r="M80" s="33"/>
      <c r="N80" s="33"/>
      <c r="O80" s="33"/>
      <c r="P80" s="33"/>
      <c r="Q80" s="33"/>
      <c r="R80" s="33"/>
      <c r="S80" s="5"/>
      <c r="T80" s="33"/>
      <c r="U80" s="33"/>
      <c r="V80" s="33"/>
      <c r="W80" s="33"/>
      <c r="X80" s="33"/>
      <c r="Y80" s="33"/>
      <c r="Z80" s="33"/>
      <c r="AA80" s="33"/>
      <c r="AB80" s="33"/>
      <c r="AC80" s="33"/>
    </row>
    <row r="81" spans="10:29">
      <c r="J81" s="33"/>
      <c r="K81" s="33"/>
      <c r="L81" s="33"/>
      <c r="M81" s="33"/>
      <c r="N81" s="33"/>
      <c r="O81" s="33"/>
      <c r="P81" s="33"/>
      <c r="Q81" s="33"/>
      <c r="R81" s="33"/>
      <c r="S81" s="5"/>
      <c r="T81" s="33"/>
      <c r="U81" s="33"/>
      <c r="V81" s="33"/>
      <c r="W81" s="33"/>
      <c r="X81" s="33"/>
      <c r="Y81" s="33"/>
      <c r="Z81" s="33"/>
      <c r="AA81" s="33"/>
      <c r="AB81" s="33"/>
      <c r="AC81" s="33"/>
    </row>
    <row r="82" spans="10:29">
      <c r="J82" s="33"/>
      <c r="K82" s="33"/>
      <c r="L82" s="33"/>
      <c r="M82" s="33"/>
      <c r="N82" s="33"/>
      <c r="O82" s="33"/>
      <c r="P82" s="33"/>
      <c r="Q82" s="33"/>
      <c r="R82" s="33"/>
      <c r="S82" s="5"/>
      <c r="T82" s="33"/>
      <c r="U82" s="33"/>
      <c r="V82" s="33"/>
      <c r="W82" s="33"/>
      <c r="X82" s="33"/>
      <c r="Y82" s="33"/>
      <c r="Z82" s="33"/>
      <c r="AA82" s="33"/>
      <c r="AB82" s="33"/>
      <c r="AC82" s="33"/>
    </row>
    <row r="83" spans="10:29">
      <c r="J83" s="33"/>
      <c r="K83" s="33"/>
      <c r="L83" s="33"/>
      <c r="M83" s="33"/>
      <c r="N83" s="33"/>
      <c r="O83" s="33"/>
      <c r="P83" s="33"/>
      <c r="Q83" s="33"/>
      <c r="R83" s="33"/>
      <c r="S83" s="5"/>
      <c r="T83" s="33"/>
      <c r="U83" s="33"/>
      <c r="V83" s="33"/>
      <c r="W83" s="33"/>
      <c r="X83" s="33"/>
      <c r="Y83" s="33"/>
      <c r="Z83" s="33"/>
      <c r="AA83" s="33"/>
      <c r="AB83" s="33"/>
      <c r="AC83" s="33"/>
    </row>
    <row r="84" spans="10:29">
      <c r="J84" s="33"/>
      <c r="K84" s="33"/>
      <c r="L84" s="33"/>
      <c r="M84" s="33"/>
      <c r="N84" s="33"/>
      <c r="O84" s="33"/>
      <c r="P84" s="33"/>
      <c r="Q84" s="33"/>
      <c r="R84" s="33"/>
      <c r="S84" s="5"/>
      <c r="T84" s="33"/>
      <c r="U84" s="33"/>
      <c r="V84" s="33"/>
      <c r="W84" s="33"/>
      <c r="X84" s="33"/>
      <c r="Y84" s="33"/>
      <c r="Z84" s="33"/>
      <c r="AA84" s="33"/>
      <c r="AB84" s="33"/>
      <c r="AC84" s="33"/>
    </row>
    <row r="85" spans="10:29">
      <c r="J85" s="33"/>
      <c r="K85" s="33"/>
      <c r="L85" s="33"/>
      <c r="M85" s="33"/>
      <c r="N85" s="33"/>
      <c r="O85" s="33"/>
      <c r="P85" s="33"/>
      <c r="Q85" s="33"/>
      <c r="R85" s="33"/>
      <c r="S85" s="5"/>
      <c r="T85" s="33"/>
      <c r="U85" s="33"/>
      <c r="V85" s="33"/>
      <c r="W85" s="33"/>
      <c r="X85" s="33"/>
      <c r="Y85" s="33"/>
      <c r="Z85" s="33"/>
      <c r="AA85" s="33"/>
      <c r="AB85" s="33"/>
      <c r="AC85" s="33"/>
    </row>
    <row r="86" spans="10:29">
      <c r="J86" s="33"/>
      <c r="K86" s="33"/>
      <c r="L86" s="33"/>
      <c r="M86" s="33"/>
      <c r="N86" s="33"/>
      <c r="O86" s="33"/>
      <c r="P86" s="33"/>
      <c r="Q86" s="33"/>
      <c r="R86" s="33"/>
      <c r="S86" s="5"/>
      <c r="T86" s="33"/>
      <c r="U86" s="33"/>
      <c r="V86" s="33"/>
      <c r="W86" s="33"/>
      <c r="X86" s="33"/>
      <c r="Y86" s="33"/>
      <c r="Z86" s="33"/>
      <c r="AA86" s="33"/>
      <c r="AB86" s="33"/>
      <c r="AC86" s="33"/>
    </row>
    <row r="87" spans="10:29">
      <c r="J87" s="33"/>
      <c r="K87" s="33"/>
      <c r="L87" s="33"/>
      <c r="M87" s="33"/>
      <c r="N87" s="33"/>
      <c r="O87" s="33"/>
      <c r="P87" s="33"/>
      <c r="Q87" s="33"/>
      <c r="R87" s="33"/>
      <c r="S87" s="5"/>
      <c r="T87" s="33"/>
      <c r="U87" s="33"/>
      <c r="V87" s="33"/>
      <c r="W87" s="33"/>
      <c r="X87" s="33"/>
      <c r="Y87" s="33"/>
      <c r="Z87" s="33"/>
      <c r="AA87" s="33"/>
      <c r="AB87" s="33"/>
      <c r="AC87" s="33"/>
    </row>
    <row r="88" spans="10:29">
      <c r="J88" s="33"/>
      <c r="K88" s="33"/>
      <c r="L88" s="33"/>
      <c r="M88" s="33"/>
      <c r="N88" s="33"/>
      <c r="O88" s="33"/>
      <c r="P88" s="33"/>
      <c r="Q88" s="33"/>
      <c r="R88" s="33"/>
      <c r="S88" s="5"/>
      <c r="T88" s="33"/>
      <c r="U88" s="33"/>
      <c r="V88" s="33"/>
      <c r="W88" s="33"/>
      <c r="X88" s="33"/>
      <c r="Y88" s="33"/>
      <c r="Z88" s="33"/>
      <c r="AA88" s="33"/>
      <c r="AB88" s="33"/>
      <c r="AC88" s="33"/>
    </row>
    <row r="89" spans="10:29">
      <c r="J89" s="33"/>
      <c r="K89" s="33"/>
      <c r="L89" s="33"/>
      <c r="M89" s="33"/>
      <c r="N89" s="33"/>
      <c r="O89" s="33"/>
      <c r="P89" s="33"/>
      <c r="Q89" s="33"/>
      <c r="R89" s="33"/>
      <c r="S89" s="5"/>
      <c r="T89" s="33"/>
      <c r="U89" s="33"/>
      <c r="V89" s="33"/>
      <c r="W89" s="33"/>
      <c r="X89" s="33"/>
      <c r="Y89" s="33"/>
      <c r="Z89" s="33"/>
      <c r="AA89" s="33"/>
      <c r="AB89" s="33"/>
      <c r="AC89" s="33"/>
    </row>
    <row r="90" spans="10:29">
      <c r="J90" s="33"/>
      <c r="K90" s="33"/>
      <c r="L90" s="33"/>
      <c r="M90" s="33"/>
      <c r="N90" s="33"/>
      <c r="O90" s="33"/>
      <c r="P90" s="33"/>
      <c r="Q90" s="33"/>
      <c r="R90" s="33"/>
      <c r="S90" s="5"/>
      <c r="T90" s="33"/>
      <c r="U90" s="33"/>
      <c r="V90" s="33"/>
      <c r="W90" s="33"/>
      <c r="X90" s="33"/>
      <c r="Y90" s="33"/>
      <c r="Z90" s="33"/>
      <c r="AA90" s="33"/>
      <c r="AB90" s="33"/>
      <c r="AC90" s="33"/>
    </row>
  </sheetData>
  <mergeCells count="1">
    <mergeCell ref="J9:J10"/>
  </mergeCells>
  <phoneticPr fontId="2"/>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C000"/>
  </sheetPr>
  <dimension ref="A1:AR118"/>
  <sheetViews>
    <sheetView zoomScale="70" zoomScaleNormal="70" workbookViewId="0">
      <selection activeCell="M11" sqref="M11"/>
    </sheetView>
  </sheetViews>
  <sheetFormatPr defaultRowHeight="15"/>
  <cols>
    <col min="1" max="1" width="24.42578125" customWidth="1"/>
    <col min="2" max="7" width="9" customWidth="1"/>
    <col min="8" max="8" width="9.140625" customWidth="1"/>
    <col min="10" max="14" width="9" style="5"/>
  </cols>
  <sheetData>
    <row r="1" spans="1:24">
      <c r="A1" t="s">
        <v>838</v>
      </c>
    </row>
    <row r="2" spans="1:24">
      <c r="A2" s="1" t="s">
        <v>449</v>
      </c>
      <c r="B2" t="s">
        <v>450</v>
      </c>
      <c r="C2">
        <v>835.25800000000004</v>
      </c>
      <c r="D2" t="s">
        <v>451</v>
      </c>
      <c r="E2">
        <v>835.3</v>
      </c>
    </row>
    <row r="3" spans="1:24">
      <c r="A3" s="1" t="s">
        <v>839</v>
      </c>
      <c r="B3" t="s">
        <v>408</v>
      </c>
      <c r="C3">
        <v>-4.2000000000000003E-2</v>
      </c>
      <c r="D3" t="s">
        <v>453</v>
      </c>
      <c r="E3">
        <v>6.4000000000000001E-2</v>
      </c>
      <c r="F3" t="s">
        <v>406</v>
      </c>
    </row>
    <row r="4" spans="1:24">
      <c r="A4" s="122" t="s">
        <v>840</v>
      </c>
      <c r="B4" t="s">
        <v>455</v>
      </c>
      <c r="C4">
        <v>-6.4000000000000001E-2</v>
      </c>
      <c r="J4" s="5" t="s">
        <v>184</v>
      </c>
    </row>
    <row r="5" spans="1:24">
      <c r="L5" s="6" t="s">
        <v>1</v>
      </c>
      <c r="M5" s="6">
        <v>835.3</v>
      </c>
    </row>
    <row r="6" spans="1:24">
      <c r="A6" t="s">
        <v>873</v>
      </c>
      <c r="J6" s="132" t="s">
        <v>376</v>
      </c>
      <c r="L6" s="6" t="s">
        <v>2</v>
      </c>
      <c r="M6" s="13">
        <f>M5+0.064</f>
        <v>835.36399999999992</v>
      </c>
    </row>
    <row r="7" spans="1:24">
      <c r="A7" t="s">
        <v>449</v>
      </c>
      <c r="B7" t="s">
        <v>450</v>
      </c>
      <c r="C7">
        <v>835.27099999999996</v>
      </c>
      <c r="D7" t="s">
        <v>451</v>
      </c>
      <c r="E7">
        <v>835.3</v>
      </c>
      <c r="J7" s="33" t="s">
        <v>307</v>
      </c>
      <c r="L7" s="6" t="s">
        <v>3</v>
      </c>
      <c r="M7" s="13">
        <f>M5-0.064</f>
        <v>835.23599999999999</v>
      </c>
    </row>
    <row r="8" spans="1:24">
      <c r="A8" t="s">
        <v>874</v>
      </c>
      <c r="B8" t="s">
        <v>408</v>
      </c>
      <c r="C8">
        <v>-2.9000000000000001E-2</v>
      </c>
      <c r="D8" t="s">
        <v>453</v>
      </c>
      <c r="E8">
        <v>6.4000000000000001E-2</v>
      </c>
      <c r="F8" t="s">
        <v>406</v>
      </c>
      <c r="J8" s="5">
        <f>IF(J7="Front", 0, 49)</f>
        <v>49</v>
      </c>
    </row>
    <row r="9" spans="1:24">
      <c r="A9" s="123" t="s">
        <v>875</v>
      </c>
      <c r="B9" t="s">
        <v>455</v>
      </c>
      <c r="C9">
        <v>-6.4000000000000001E-2</v>
      </c>
      <c r="H9" s="5"/>
      <c r="I9" s="9" t="s">
        <v>4</v>
      </c>
      <c r="J9" s="144" t="s">
        <v>185</v>
      </c>
      <c r="K9" s="131" t="str">
        <f>"CMM - "&amp;J7</f>
        <v>CMM - Rear</v>
      </c>
      <c r="L9" s="10" t="s">
        <v>7</v>
      </c>
      <c r="M9" s="10" t="s">
        <v>8</v>
      </c>
      <c r="P9" s="11" t="s">
        <v>9</v>
      </c>
      <c r="Q9" s="2"/>
      <c r="S9" s="5"/>
      <c r="T9" s="9" t="str">
        <f t="shared" ref="T9:V27" si="0">I9</f>
        <v>Angle</v>
      </c>
      <c r="U9" s="144" t="str">
        <f t="shared" si="0"/>
        <v>246
Position</v>
      </c>
      <c r="V9" s="12" t="s">
        <v>303</v>
      </c>
      <c r="W9" s="12" t="s">
        <v>307</v>
      </c>
      <c r="X9" s="12" t="s">
        <v>308</v>
      </c>
    </row>
    <row r="10" spans="1:24">
      <c r="A10" t="s">
        <v>1034</v>
      </c>
      <c r="C10" t="s">
        <v>411</v>
      </c>
      <c r="H10" s="9" t="s">
        <v>10</v>
      </c>
      <c r="I10" s="9" t="s">
        <v>11</v>
      </c>
      <c r="J10" s="145"/>
      <c r="K10" s="10" t="s">
        <v>12</v>
      </c>
      <c r="L10" s="10" t="s">
        <v>12</v>
      </c>
      <c r="M10" s="10" t="s">
        <v>12</v>
      </c>
      <c r="P10" s="11" t="s">
        <v>13</v>
      </c>
      <c r="Q10" s="2"/>
      <c r="S10" s="9" t="str">
        <f t="shared" ref="S10:S27" si="1">H10</f>
        <v>Area#</v>
      </c>
      <c r="T10" s="9" t="str">
        <f t="shared" si="0"/>
        <v>[deg]</v>
      </c>
      <c r="U10" s="145">
        <f t="shared" si="0"/>
        <v>0</v>
      </c>
      <c r="V10" s="12" t="str">
        <f t="shared" si="0"/>
        <v>[mm]</v>
      </c>
      <c r="W10" s="12" t="str">
        <f t="shared" ref="W10:X10" si="2">K10</f>
        <v>[mm]</v>
      </c>
      <c r="X10" s="12" t="str">
        <f t="shared" si="2"/>
        <v>[mm]</v>
      </c>
    </row>
    <row r="11" spans="1:24">
      <c r="A11" s="90" t="s">
        <v>412</v>
      </c>
      <c r="B11" s="90" t="s">
        <v>413</v>
      </c>
      <c r="C11" s="90">
        <v>417.61399999999998</v>
      </c>
      <c r="H11" s="13">
        <v>1</v>
      </c>
      <c r="I11" s="13">
        <v>0</v>
      </c>
      <c r="J11" s="10">
        <v>1</v>
      </c>
      <c r="K11" s="14">
        <f ca="1">SQRT(OFFSET($C11, $J$8, 0)^2+OFFSET($C12, $J$8, 0)^2)</f>
        <v>417.62400000119732</v>
      </c>
      <c r="L11" s="142">
        <f>M$7/2-0.116/2</f>
        <v>417.56</v>
      </c>
      <c r="M11" s="142">
        <f>M$6/2+0.116/2</f>
        <v>417.73999999999995</v>
      </c>
      <c r="P11" s="13">
        <f ca="1">K11+K19</f>
        <v>835.2300000023946</v>
      </c>
      <c r="Q11" s="2"/>
      <c r="S11" s="13">
        <f t="shared" si="1"/>
        <v>1</v>
      </c>
      <c r="T11" s="13">
        <f t="shared" si="0"/>
        <v>0</v>
      </c>
      <c r="U11" s="12">
        <f t="shared" si="0"/>
        <v>1</v>
      </c>
      <c r="V11" s="14">
        <f>SQRT($C11^2+$C12^2)</f>
        <v>417.61400000478909</v>
      </c>
      <c r="W11" s="14">
        <f>SQRT(C60^2+C61^2)</f>
        <v>417.62400000119732</v>
      </c>
      <c r="X11" s="14">
        <f>W11-V11</f>
        <v>9.9999964082257975E-3</v>
      </c>
    </row>
    <row r="12" spans="1:24">
      <c r="A12" s="90" t="s">
        <v>841</v>
      </c>
      <c r="B12" s="90" t="s">
        <v>415</v>
      </c>
      <c r="C12" s="90">
        <v>-2E-3</v>
      </c>
      <c r="H12" s="13">
        <v>2</v>
      </c>
      <c r="I12" s="13">
        <f>I11+360/16</f>
        <v>22.5</v>
      </c>
      <c r="J12" s="10">
        <v>16</v>
      </c>
      <c r="K12" s="16">
        <f ca="1">SQRT(OFFSET($C56, $J$8, 0)^2+OFFSET($C57, $J$8, 0)^2)</f>
        <v>417.6620000011971</v>
      </c>
      <c r="L12" s="142">
        <f>L$11</f>
        <v>417.56</v>
      </c>
      <c r="M12" s="142">
        <f>M$11</f>
        <v>417.73999999999995</v>
      </c>
      <c r="P12" s="13">
        <f t="shared" ref="P12:P18" ca="1" si="3">K12+K20</f>
        <v>835.23300020355794</v>
      </c>
      <c r="Q12" s="2"/>
      <c r="S12" s="13">
        <f t="shared" si="1"/>
        <v>2</v>
      </c>
      <c r="T12" s="13">
        <f t="shared" si="0"/>
        <v>22.5</v>
      </c>
      <c r="U12" s="12">
        <f t="shared" si="0"/>
        <v>16</v>
      </c>
      <c r="V12" s="16">
        <f>SQRT($C56^2+$C57^2)</f>
        <v>417.6530000011972</v>
      </c>
      <c r="W12" s="16">
        <f>SQRT(C105^2+C106^2)</f>
        <v>417.6620000011971</v>
      </c>
      <c r="X12" s="14">
        <f t="shared" ref="X12:X26" si="4">W12-V12</f>
        <v>8.9999999999008651E-3</v>
      </c>
    </row>
    <row r="13" spans="1:24">
      <c r="A13" s="121" t="s">
        <v>842</v>
      </c>
      <c r="B13" s="90" t="s">
        <v>417</v>
      </c>
      <c r="C13" s="90">
        <v>-41.271999999999998</v>
      </c>
      <c r="H13" s="13">
        <v>3</v>
      </c>
      <c r="I13" s="13">
        <f t="shared" ref="I13:I26" si="5">I12+360/16</f>
        <v>45</v>
      </c>
      <c r="J13" s="10">
        <v>15</v>
      </c>
      <c r="K13" s="16">
        <f ca="1">SQRT(OFFSET($C53, $J$8, 0)^2+OFFSET($C54, $J$8, 0)^2)</f>
        <v>417.66300000478856</v>
      </c>
      <c r="L13" s="142">
        <f t="shared" ref="L13:M26" si="6">L$11</f>
        <v>417.56</v>
      </c>
      <c r="M13" s="142">
        <f t="shared" si="6"/>
        <v>417.73999999999995</v>
      </c>
      <c r="P13" s="13">
        <f t="shared" ca="1" si="3"/>
        <v>835.28700000598587</v>
      </c>
      <c r="Q13" s="2"/>
      <c r="S13" s="13">
        <f t="shared" si="1"/>
        <v>3</v>
      </c>
      <c r="T13" s="13">
        <f t="shared" si="0"/>
        <v>45</v>
      </c>
      <c r="U13" s="12">
        <f t="shared" si="0"/>
        <v>15</v>
      </c>
      <c r="V13" s="16">
        <f>SQRT($C53^2+$C54^2)</f>
        <v>417.65500000478863</v>
      </c>
      <c r="W13" s="16">
        <f>SQRT(C102^2+C103^2)</f>
        <v>417.66300000478856</v>
      </c>
      <c r="X13" s="14">
        <f t="shared" si="4"/>
        <v>7.9999999999245119E-3</v>
      </c>
    </row>
    <row r="14" spans="1:24">
      <c r="A14" s="90" t="s">
        <v>412</v>
      </c>
      <c r="B14" s="90" t="s">
        <v>413</v>
      </c>
      <c r="C14" s="90">
        <v>417.55500000000001</v>
      </c>
      <c r="D14" s="1"/>
      <c r="H14" s="13">
        <v>4</v>
      </c>
      <c r="I14" s="13">
        <f t="shared" si="5"/>
        <v>67.5</v>
      </c>
      <c r="J14" s="10">
        <v>14</v>
      </c>
      <c r="K14" s="16">
        <f ca="1">SQRT(OFFSET($C50, $J$8, 0)^2+OFFSET($C51, $J$8, 0)^2)</f>
        <v>417.63600001915546</v>
      </c>
      <c r="L14" s="142">
        <f t="shared" si="6"/>
        <v>417.56</v>
      </c>
      <c r="M14" s="142">
        <f t="shared" si="6"/>
        <v>417.73999999999995</v>
      </c>
      <c r="P14" s="13">
        <f t="shared" ca="1" si="3"/>
        <v>835.34400002394352</v>
      </c>
      <c r="Q14" s="2"/>
      <c r="S14" s="13">
        <f t="shared" si="1"/>
        <v>4</v>
      </c>
      <c r="T14" s="13">
        <f t="shared" si="0"/>
        <v>67.5</v>
      </c>
      <c r="U14" s="12">
        <f t="shared" si="0"/>
        <v>14</v>
      </c>
      <c r="V14" s="16">
        <f>SQRT($C50^2+$C51^2)</f>
        <v>417.63100000119721</v>
      </c>
      <c r="W14" s="16">
        <f>SQRT(C99^2+C100^2)</f>
        <v>417.63600001915546</v>
      </c>
      <c r="X14" s="14">
        <f t="shared" si="4"/>
        <v>5.0000179582525561E-3</v>
      </c>
    </row>
    <row r="15" spans="1:24">
      <c r="A15" s="90" t="s">
        <v>843</v>
      </c>
      <c r="B15" s="90" t="s">
        <v>415</v>
      </c>
      <c r="C15" s="90">
        <v>4.0000000000000001E-3</v>
      </c>
      <c r="D15" s="1"/>
      <c r="H15" s="13">
        <v>5</v>
      </c>
      <c r="I15" s="13">
        <f t="shared" si="5"/>
        <v>90</v>
      </c>
      <c r="J15" s="10">
        <v>13</v>
      </c>
      <c r="K15" s="16">
        <f ca="1">SQRT(OFFSET($C47, $J$8, 0)^2+OFFSET($C48, $J$8, 0)^2)</f>
        <v>417.63700000119724</v>
      </c>
      <c r="L15" s="142">
        <f t="shared" si="6"/>
        <v>417.56</v>
      </c>
      <c r="M15" s="142">
        <f t="shared" si="6"/>
        <v>417.73999999999995</v>
      </c>
      <c r="P15" s="13">
        <f t="shared" ca="1" si="3"/>
        <v>835.34700000239422</v>
      </c>
      <c r="Q15" s="2"/>
      <c r="S15" s="13">
        <f t="shared" si="1"/>
        <v>5</v>
      </c>
      <c r="T15" s="13">
        <f t="shared" si="0"/>
        <v>90</v>
      </c>
      <c r="U15" s="12">
        <f t="shared" si="0"/>
        <v>13</v>
      </c>
      <c r="V15" s="16">
        <f>SQRT($C47^2+$C48^2)</f>
        <v>417.63600000119726</v>
      </c>
      <c r="W15" s="16">
        <f>SQRT(C96^2+C97^2)</f>
        <v>417.63700000119724</v>
      </c>
      <c r="X15" s="14">
        <f t="shared" si="4"/>
        <v>9.9999999997635314E-4</v>
      </c>
    </row>
    <row r="16" spans="1:24">
      <c r="A16" s="121" t="s">
        <v>844</v>
      </c>
      <c r="B16" s="90" t="s">
        <v>417</v>
      </c>
      <c r="C16" s="90">
        <v>-41.244999999999997</v>
      </c>
      <c r="D16" s="1"/>
      <c r="H16" s="13">
        <v>6</v>
      </c>
      <c r="I16" s="13">
        <f t="shared" si="5"/>
        <v>112.5</v>
      </c>
      <c r="J16" s="10">
        <v>12</v>
      </c>
      <c r="K16" s="16">
        <f ca="1">SQRT(OFFSET($C44, $J$8, 0)^2+OFFSET($C45, $J$8, 0)^2)</f>
        <v>417.65800000119714</v>
      </c>
      <c r="L16" s="142">
        <f t="shared" si="6"/>
        <v>417.56</v>
      </c>
      <c r="M16" s="142">
        <f t="shared" si="6"/>
        <v>417.73999999999995</v>
      </c>
      <c r="P16" s="13">
        <f t="shared" ca="1" si="3"/>
        <v>835.31200000119713</v>
      </c>
      <c r="Q16" s="2"/>
      <c r="S16" s="13">
        <f t="shared" si="1"/>
        <v>6</v>
      </c>
      <c r="T16" s="13">
        <f t="shared" si="0"/>
        <v>112.5</v>
      </c>
      <c r="U16" s="12">
        <f t="shared" si="0"/>
        <v>12</v>
      </c>
      <c r="V16" s="16">
        <f>SQRT($C44^2+$C45^2)</f>
        <v>417.65000000119716</v>
      </c>
      <c r="W16" s="16">
        <f>SQRT(C93^2+C94^2)</f>
        <v>417.65800000119714</v>
      </c>
      <c r="X16" s="14">
        <f t="shared" si="4"/>
        <v>7.9999999999813554E-3</v>
      </c>
    </row>
    <row r="17" spans="1:44">
      <c r="A17" s="90" t="s">
        <v>412</v>
      </c>
      <c r="B17" s="90" t="s">
        <v>413</v>
      </c>
      <c r="C17" s="90">
        <v>417.56099999999998</v>
      </c>
      <c r="D17" s="1"/>
      <c r="H17" s="13">
        <v>7</v>
      </c>
      <c r="I17" s="13">
        <f t="shared" si="5"/>
        <v>135</v>
      </c>
      <c r="J17" s="10">
        <v>11</v>
      </c>
      <c r="K17" s="16">
        <f ca="1">SQRT(OFFSET($C41, $J$8, 0)^2+OFFSET($C42, $J$8, 0)^2)</f>
        <v>417.64200000119718</v>
      </c>
      <c r="L17" s="142">
        <f t="shared" si="6"/>
        <v>417.56</v>
      </c>
      <c r="M17" s="142">
        <f t="shared" si="6"/>
        <v>417.73999999999995</v>
      </c>
      <c r="P17" s="13">
        <f t="shared" ca="1" si="3"/>
        <v>835.2020000023947</v>
      </c>
      <c r="Q17" s="2"/>
      <c r="S17" s="13">
        <f t="shared" si="1"/>
        <v>7</v>
      </c>
      <c r="T17" s="13">
        <f t="shared" si="0"/>
        <v>135</v>
      </c>
      <c r="U17" s="12">
        <f t="shared" si="0"/>
        <v>11</v>
      </c>
      <c r="V17" s="16">
        <f>SQRT($C41^2+$C42^2)</f>
        <v>417.63400000000001</v>
      </c>
      <c r="W17" s="16">
        <f>SQRT(C90^2+C91^2)</f>
        <v>417.64200000119718</v>
      </c>
      <c r="X17" s="14">
        <f t="shared" si="4"/>
        <v>8.0000011971606E-3</v>
      </c>
    </row>
    <row r="18" spans="1:44">
      <c r="A18" s="90" t="s">
        <v>845</v>
      </c>
      <c r="B18" s="90" t="s">
        <v>415</v>
      </c>
      <c r="C18" s="90">
        <v>1E-3</v>
      </c>
      <c r="D18" s="1"/>
      <c r="H18" s="13">
        <v>8</v>
      </c>
      <c r="I18" s="13">
        <f t="shared" si="5"/>
        <v>157.5</v>
      </c>
      <c r="J18" s="10">
        <v>10</v>
      </c>
      <c r="K18" s="16">
        <f ca="1">SQRT(OFFSET($C38, $J$8, 0)^2+OFFSET($C39, $J$8, 0)^2)</f>
        <v>417.649</v>
      </c>
      <c r="L18" s="142">
        <f t="shared" si="6"/>
        <v>417.56</v>
      </c>
      <c r="M18" s="142">
        <f t="shared" si="6"/>
        <v>417.73999999999995</v>
      </c>
      <c r="P18" s="13">
        <f t="shared" ca="1" si="3"/>
        <v>835.20900001077689</v>
      </c>
      <c r="Q18" s="2"/>
      <c r="S18" s="13">
        <f t="shared" si="1"/>
        <v>8</v>
      </c>
      <c r="T18" s="13">
        <f t="shared" si="0"/>
        <v>157.5</v>
      </c>
      <c r="U18" s="12">
        <f t="shared" si="0"/>
        <v>10</v>
      </c>
      <c r="V18" s="16">
        <f>SQRT($C38^2+$C39^2)</f>
        <v>417.63900000478884</v>
      </c>
      <c r="W18" s="16">
        <f>SQRT(C87^2+C88^2)</f>
        <v>417.649</v>
      </c>
      <c r="X18" s="14">
        <f t="shared" si="4"/>
        <v>9.9999952111602397E-3</v>
      </c>
    </row>
    <row r="19" spans="1:44">
      <c r="A19" s="121" t="s">
        <v>846</v>
      </c>
      <c r="B19" s="90" t="s">
        <v>417</v>
      </c>
      <c r="C19" s="90">
        <v>-41.243000000000002</v>
      </c>
      <c r="D19" s="1"/>
      <c r="H19" s="13">
        <v>9</v>
      </c>
      <c r="I19" s="13">
        <f t="shared" si="5"/>
        <v>180</v>
      </c>
      <c r="J19" s="10">
        <v>9</v>
      </c>
      <c r="K19" s="16">
        <f ca="1">SQRT(OFFSET($C35, $J$8, 0)^2+OFFSET($C36, $J$8, 0)^2)</f>
        <v>417.60600000119729</v>
      </c>
      <c r="L19" s="142">
        <f t="shared" si="6"/>
        <v>417.56</v>
      </c>
      <c r="M19" s="142">
        <f t="shared" si="6"/>
        <v>417.73999999999995</v>
      </c>
      <c r="P19" s="13"/>
      <c r="Q19" s="2"/>
      <c r="S19" s="13">
        <f t="shared" si="1"/>
        <v>9</v>
      </c>
      <c r="T19" s="13">
        <f t="shared" si="0"/>
        <v>180</v>
      </c>
      <c r="U19" s="12">
        <f t="shared" si="0"/>
        <v>9</v>
      </c>
      <c r="V19" s="16">
        <f>SQRT($C35^2+$C36^2)</f>
        <v>417.60100000478923</v>
      </c>
      <c r="W19" s="16">
        <f>SQRT(C84^2+C85^2)</f>
        <v>417.60600000119729</v>
      </c>
      <c r="X19" s="14">
        <f t="shared" si="4"/>
        <v>4.9999964080598147E-3</v>
      </c>
    </row>
    <row r="20" spans="1:44">
      <c r="A20" s="90" t="s">
        <v>412</v>
      </c>
      <c r="B20" s="90" t="s">
        <v>413</v>
      </c>
      <c r="C20" s="90">
        <v>417.64499999999998</v>
      </c>
      <c r="D20" s="1"/>
      <c r="H20" s="13">
        <v>10</v>
      </c>
      <c r="I20" s="13">
        <f t="shared" si="5"/>
        <v>202.5</v>
      </c>
      <c r="J20" s="10">
        <v>8</v>
      </c>
      <c r="K20" s="16">
        <f ca="1">SQRT(OFFSET($C32, $J$8, 0)^2+OFFSET($C33, $J$8, 0)^2)</f>
        <v>417.57100020236084</v>
      </c>
      <c r="L20" s="142">
        <f t="shared" si="6"/>
        <v>417.56</v>
      </c>
      <c r="M20" s="142">
        <f t="shared" si="6"/>
        <v>417.73999999999995</v>
      </c>
      <c r="P20" s="13">
        <f ca="1">MAX(P11:P18)</f>
        <v>835.34700000239422</v>
      </c>
      <c r="Q20" s="13" t="str">
        <f ca="1">IF(P20&gt;M6, CONCATENATE("O/Max ", TEXT(P20-M6, "0.000")), "-")</f>
        <v>-</v>
      </c>
      <c r="S20" s="13">
        <f t="shared" si="1"/>
        <v>10</v>
      </c>
      <c r="T20" s="13">
        <f t="shared" si="0"/>
        <v>202.5</v>
      </c>
      <c r="U20" s="12">
        <f t="shared" si="0"/>
        <v>8</v>
      </c>
      <c r="V20" s="16">
        <f>SQRT($C32^2+$C33^2)</f>
        <v>417.57100000119743</v>
      </c>
      <c r="W20" s="16">
        <f>SQRT(C81^2+C82^2)</f>
        <v>417.57100020236084</v>
      </c>
      <c r="X20" s="14">
        <f t="shared" si="4"/>
        <v>2.0116340238018893E-7</v>
      </c>
    </row>
    <row r="21" spans="1:44">
      <c r="A21" s="90" t="s">
        <v>847</v>
      </c>
      <c r="B21" s="90" t="s">
        <v>415</v>
      </c>
      <c r="C21" s="90">
        <v>0</v>
      </c>
      <c r="D21" s="1"/>
      <c r="H21" s="13">
        <v>11</v>
      </c>
      <c r="I21" s="13">
        <f t="shared" si="5"/>
        <v>225</v>
      </c>
      <c r="J21" s="10">
        <v>7</v>
      </c>
      <c r="K21" s="16">
        <f ca="1">SQRT(OFFSET($C29, $J$8, 0)^2+OFFSET($C30, $J$8, 0)^2)</f>
        <v>417.62400000119732</v>
      </c>
      <c r="L21" s="142">
        <f t="shared" si="6"/>
        <v>417.56</v>
      </c>
      <c r="M21" s="142">
        <f t="shared" si="6"/>
        <v>417.73999999999995</v>
      </c>
      <c r="P21" s="13">
        <f ca="1">MIN(P11:P18)</f>
        <v>835.2020000023947</v>
      </c>
      <c r="Q21" s="13" t="str">
        <f ca="1">IF(P21&lt;M7, CONCATENATE("U/Min ", TEXT(M7-P21, "0.000")), "-")</f>
        <v>U/Min 0.034</v>
      </c>
      <c r="S21" s="13">
        <f t="shared" si="1"/>
        <v>11</v>
      </c>
      <c r="T21" s="13">
        <f t="shared" si="0"/>
        <v>225</v>
      </c>
      <c r="U21" s="12">
        <f t="shared" si="0"/>
        <v>7</v>
      </c>
      <c r="V21" s="16">
        <f>SQRT($C29^2+$C30^2)</f>
        <v>417.62000000119724</v>
      </c>
      <c r="W21" s="16">
        <f>SQRT(C78^2+C79^2)</f>
        <v>417.62400000119732</v>
      </c>
      <c r="X21" s="14">
        <f t="shared" si="4"/>
        <v>4.0000000000759428E-3</v>
      </c>
    </row>
    <row r="22" spans="1:44">
      <c r="A22" s="121" t="s">
        <v>848</v>
      </c>
      <c r="B22" s="90" t="s">
        <v>417</v>
      </c>
      <c r="C22" s="90">
        <v>-41.268000000000001</v>
      </c>
      <c r="D22" s="1"/>
      <c r="H22" s="13">
        <v>12</v>
      </c>
      <c r="I22" s="13">
        <f t="shared" si="5"/>
        <v>247.5</v>
      </c>
      <c r="J22" s="10">
        <v>6</v>
      </c>
      <c r="K22" s="16">
        <f ca="1">SQRT(OFFSET($C26, $J$8, 0)^2+OFFSET($C27, $J$8, 0)^2)</f>
        <v>417.70800000478806</v>
      </c>
      <c r="L22" s="142">
        <f t="shared" si="6"/>
        <v>417.56</v>
      </c>
      <c r="M22" s="142">
        <f t="shared" si="6"/>
        <v>417.73999999999995</v>
      </c>
      <c r="S22" s="13">
        <f t="shared" si="1"/>
        <v>12</v>
      </c>
      <c r="T22" s="13">
        <f t="shared" si="0"/>
        <v>247.5</v>
      </c>
      <c r="U22" s="12">
        <f t="shared" si="0"/>
        <v>6</v>
      </c>
      <c r="V22" s="16">
        <f>SQRT($C26^2+$C27^2)</f>
        <v>417.69500000119706</v>
      </c>
      <c r="W22" s="16">
        <f>SQRT(C75^2+C76^2)</f>
        <v>417.70800000478806</v>
      </c>
      <c r="X22" s="14">
        <f t="shared" si="4"/>
        <v>1.3000003591002951E-2</v>
      </c>
    </row>
    <row r="23" spans="1:44">
      <c r="A23" s="90" t="s">
        <v>412</v>
      </c>
      <c r="B23" s="90" t="s">
        <v>413</v>
      </c>
      <c r="C23" s="90">
        <v>417.69799999999998</v>
      </c>
      <c r="D23" s="1"/>
      <c r="H23" s="13">
        <v>13</v>
      </c>
      <c r="I23" s="13">
        <f t="shared" si="5"/>
        <v>270</v>
      </c>
      <c r="J23" s="10">
        <v>5</v>
      </c>
      <c r="K23" s="16">
        <f ca="1">SQRT(OFFSET($C23, $J$8, 0)^2+OFFSET($C24, $J$8, 0)^2)</f>
        <v>417.71000000119699</v>
      </c>
      <c r="L23" s="142">
        <f t="shared" si="6"/>
        <v>417.56</v>
      </c>
      <c r="M23" s="142">
        <f t="shared" si="6"/>
        <v>417.73999999999995</v>
      </c>
      <c r="S23" s="13">
        <f t="shared" si="1"/>
        <v>13</v>
      </c>
      <c r="T23" s="13">
        <f t="shared" si="0"/>
        <v>270</v>
      </c>
      <c r="U23" s="12">
        <f t="shared" si="0"/>
        <v>5</v>
      </c>
      <c r="V23" s="16">
        <f>SQRT($C23^2+$C24^2)</f>
        <v>417.69800000119704</v>
      </c>
      <c r="W23" s="16">
        <f>SQRT(C72^2+C73^2)</f>
        <v>417.71000000119699</v>
      </c>
      <c r="X23" s="14">
        <f t="shared" si="4"/>
        <v>1.1999999999943611E-2</v>
      </c>
    </row>
    <row r="24" spans="1:44">
      <c r="A24" s="90" t="s">
        <v>849</v>
      </c>
      <c r="B24" s="90" t="s">
        <v>415</v>
      </c>
      <c r="C24" s="90">
        <v>-1E-3</v>
      </c>
      <c r="D24" s="1"/>
      <c r="H24" s="13">
        <v>14</v>
      </c>
      <c r="I24" s="13">
        <f t="shared" si="5"/>
        <v>292.5</v>
      </c>
      <c r="J24" s="10">
        <v>4</v>
      </c>
      <c r="K24" s="16">
        <f ca="1">SQRT(OFFSET($C20, $J$8, 0)^2+OFFSET($C21, $J$8, 0)^2)</f>
        <v>417.654</v>
      </c>
      <c r="L24" s="142">
        <f t="shared" si="6"/>
        <v>417.56</v>
      </c>
      <c r="M24" s="142">
        <f t="shared" si="6"/>
        <v>417.73999999999995</v>
      </c>
      <c r="S24" s="13">
        <f t="shared" si="1"/>
        <v>14</v>
      </c>
      <c r="T24" s="13">
        <f t="shared" si="0"/>
        <v>292.5</v>
      </c>
      <c r="U24" s="12">
        <f t="shared" si="0"/>
        <v>4</v>
      </c>
      <c r="V24" s="16">
        <f>SQRT($C20^2+$C21^2)</f>
        <v>417.64499999999998</v>
      </c>
      <c r="W24" s="16">
        <f>SQRT(C69^2+C70^2)</f>
        <v>417.654</v>
      </c>
      <c r="X24" s="14">
        <f t="shared" si="4"/>
        <v>9.0000000000145519E-3</v>
      </c>
    </row>
    <row r="25" spans="1:44">
      <c r="A25" s="121" t="s">
        <v>850</v>
      </c>
      <c r="B25" s="90" t="s">
        <v>417</v>
      </c>
      <c r="C25" s="90">
        <v>-41.295000000000002</v>
      </c>
      <c r="D25" s="1"/>
      <c r="H25" s="13">
        <v>15</v>
      </c>
      <c r="I25" s="13">
        <f t="shared" si="5"/>
        <v>315</v>
      </c>
      <c r="J25" s="10">
        <v>3</v>
      </c>
      <c r="K25" s="16">
        <f ca="1">SQRT(OFFSET($C17, $J$8, 0)^2+OFFSET($C18, $J$8, 0)^2)</f>
        <v>417.56000000119747</v>
      </c>
      <c r="L25" s="142">
        <f t="shared" si="6"/>
        <v>417.56</v>
      </c>
      <c r="M25" s="142">
        <f t="shared" si="6"/>
        <v>417.73999999999995</v>
      </c>
      <c r="S25" s="13">
        <f t="shared" si="1"/>
        <v>15</v>
      </c>
      <c r="T25" s="13">
        <f t="shared" si="0"/>
        <v>315</v>
      </c>
      <c r="U25" s="12">
        <f t="shared" si="0"/>
        <v>3</v>
      </c>
      <c r="V25" s="16">
        <f>SQRT($C17^2+$C18^2)</f>
        <v>417.56100000119744</v>
      </c>
      <c r="W25" s="16">
        <f>SQRT(C66^2+C67^2)</f>
        <v>417.56000000119747</v>
      </c>
      <c r="X25" s="14">
        <f t="shared" si="4"/>
        <v>-9.9999999997635314E-4</v>
      </c>
    </row>
    <row r="26" spans="1:44">
      <c r="A26" s="90" t="s">
        <v>412</v>
      </c>
      <c r="B26" s="90" t="s">
        <v>413</v>
      </c>
      <c r="C26" s="90">
        <v>417.69499999999999</v>
      </c>
      <c r="D26" s="1"/>
      <c r="H26" s="13">
        <v>16</v>
      </c>
      <c r="I26" s="13">
        <f t="shared" si="5"/>
        <v>337.5</v>
      </c>
      <c r="J26" s="10">
        <v>2</v>
      </c>
      <c r="K26" s="16">
        <f ca="1">SQRT(OFFSET($C14, $J$8, 0)^2+OFFSET($C15, $J$8, 0)^2)</f>
        <v>417.56000001077689</v>
      </c>
      <c r="L26" s="142">
        <f t="shared" si="6"/>
        <v>417.56</v>
      </c>
      <c r="M26" s="142">
        <f t="shared" si="6"/>
        <v>417.73999999999995</v>
      </c>
      <c r="S26" s="13">
        <f t="shared" si="1"/>
        <v>16</v>
      </c>
      <c r="T26" s="13">
        <f t="shared" si="0"/>
        <v>337.5</v>
      </c>
      <c r="U26" s="12">
        <f t="shared" si="0"/>
        <v>2</v>
      </c>
      <c r="V26" s="16">
        <f>SQRT($C14^2+$C15^2)</f>
        <v>417.55500001915914</v>
      </c>
      <c r="W26" s="16">
        <f>SQRT(C63^2+C64^2)</f>
        <v>417.56000001077689</v>
      </c>
      <c r="X26" s="14">
        <f t="shared" si="4"/>
        <v>4.9999916177512205E-3</v>
      </c>
    </row>
    <row r="27" spans="1:44">
      <c r="A27" s="90" t="s">
        <v>851</v>
      </c>
      <c r="B27" s="90" t="s">
        <v>415</v>
      </c>
      <c r="C27" s="90">
        <v>-1E-3</v>
      </c>
      <c r="D27" s="1"/>
      <c r="H27" s="13">
        <v>17</v>
      </c>
      <c r="I27" s="13">
        <v>360</v>
      </c>
      <c r="J27" s="10">
        <v>1</v>
      </c>
      <c r="K27" s="15">
        <f ca="1">K11</f>
        <v>417.62400000119732</v>
      </c>
      <c r="P27" s="19" t="s">
        <v>271</v>
      </c>
      <c r="Q27" s="19" t="str">
        <f ca="1">M30</f>
        <v>-</v>
      </c>
      <c r="R27" s="19"/>
      <c r="S27" s="13">
        <f t="shared" si="1"/>
        <v>17</v>
      </c>
      <c r="T27" s="13">
        <f t="shared" si="0"/>
        <v>360</v>
      </c>
      <c r="U27" s="12">
        <f t="shared" si="0"/>
        <v>1</v>
      </c>
      <c r="V27" s="15"/>
      <c r="W27" s="15"/>
      <c r="X27" s="15"/>
    </row>
    <row r="28" spans="1:44">
      <c r="A28" s="121" t="s">
        <v>852</v>
      </c>
      <c r="B28" s="90" t="s">
        <v>417</v>
      </c>
      <c r="C28" s="90">
        <v>-41.287999999999997</v>
      </c>
      <c r="D28" s="1"/>
      <c r="J28" s="10" t="s">
        <v>14</v>
      </c>
      <c r="K28" s="5">
        <f ca="1">MAX(K11:K26)</f>
        <v>417.71000000119699</v>
      </c>
      <c r="L28" s="15">
        <f ca="1">K28*2</f>
        <v>835.42000000239398</v>
      </c>
      <c r="M28" s="15" t="str">
        <f ca="1">IF(K28&gt;M26, "O/Max "&amp;TEXT(2*K28-2*M26, "0.000"), "-")</f>
        <v>-</v>
      </c>
      <c r="P28" s="19" t="s">
        <v>60</v>
      </c>
      <c r="Q28" s="19" t="str">
        <f ca="1">M28</f>
        <v>-</v>
      </c>
      <c r="R28" s="19"/>
      <c r="U28" s="12" t="s">
        <v>252</v>
      </c>
      <c r="V28" s="15">
        <f>MAX(V11:V26)</f>
        <v>417.69800000119704</v>
      </c>
      <c r="W28" s="15">
        <f>MAX(W11:W26)</f>
        <v>417.71000000119699</v>
      </c>
      <c r="X28" s="15">
        <f>MAX(X11:X26)</f>
        <v>1.3000003591002951E-2</v>
      </c>
      <c r="Y28">
        <f>INDEX(U$11:U$26,MATCH(X28,X$11:X$26,0))</f>
        <v>6</v>
      </c>
    </row>
    <row r="29" spans="1:44">
      <c r="A29" s="90" t="s">
        <v>412</v>
      </c>
      <c r="B29" s="90" t="s">
        <v>413</v>
      </c>
      <c r="C29" s="90">
        <v>417.62</v>
      </c>
      <c r="D29" s="1"/>
      <c r="J29" s="10" t="s">
        <v>15</v>
      </c>
      <c r="K29" s="15">
        <f ca="1">MIN(K11:K26)</f>
        <v>417.56000000119747</v>
      </c>
      <c r="L29" s="15">
        <f ca="1">K29*2</f>
        <v>835.12000000239493</v>
      </c>
      <c r="M29" s="15" t="str">
        <f ca="1">IF(K29&lt;L26, "U/Min "&amp;TEXT(2*L26-2*K29, "0.000"), "-")</f>
        <v>-</v>
      </c>
      <c r="P29" s="19" t="s">
        <v>62</v>
      </c>
      <c r="Q29" s="19" t="str">
        <f ca="1">M29</f>
        <v>-</v>
      </c>
      <c r="R29" s="19"/>
      <c r="U29" s="12" t="s">
        <v>253</v>
      </c>
      <c r="V29" s="15">
        <f>MIN(V11:V26)</f>
        <v>417.55500001915914</v>
      </c>
      <c r="W29" s="15">
        <f>MIN(W11:W26)</f>
        <v>417.56000000119747</v>
      </c>
      <c r="X29" s="15">
        <f>MIN(X11:X26)</f>
        <v>-9.9999999997635314E-4</v>
      </c>
      <c r="Y29">
        <f>INDEX(U$11:U$26,MATCH(X29,X$11:X$26,0))</f>
        <v>3</v>
      </c>
    </row>
    <row r="30" spans="1:44">
      <c r="A30" s="90" t="s">
        <v>853</v>
      </c>
      <c r="B30" s="90" t="s">
        <v>415</v>
      </c>
      <c r="C30" s="90">
        <v>-1E-3</v>
      </c>
      <c r="D30" s="1"/>
      <c r="J30" s="17" t="s">
        <v>17</v>
      </c>
      <c r="K30" s="16">
        <f ca="1">AVERAGE(K11:K26)*2</f>
        <v>835.27050003158058</v>
      </c>
      <c r="L30" s="15"/>
      <c r="M30" s="15" t="str">
        <f ca="1">IF(K30&gt;M6, "O/Max "&amp;TEXT(K30-M6, "0.000"), IF(K30&lt;M7, "U/Min "&amp;TEXT(M7-K30, "0.000"), "-"))</f>
        <v>-</v>
      </c>
      <c r="P30" s="19" t="s">
        <v>18</v>
      </c>
      <c r="Q30" s="19" t="str">
        <f ca="1">M31</f>
        <v>O/Max 0.020</v>
      </c>
      <c r="R30" s="19"/>
    </row>
    <row r="31" spans="1:44">
      <c r="A31" s="121" t="s">
        <v>854</v>
      </c>
      <c r="B31" s="90" t="s">
        <v>417</v>
      </c>
      <c r="C31" s="90">
        <v>-41.264000000000003</v>
      </c>
      <c r="D31" s="1"/>
      <c r="J31" s="10" t="s">
        <v>18</v>
      </c>
      <c r="K31" s="18">
        <f ca="1">K28-K29</f>
        <v>0.14999999999952252</v>
      </c>
      <c r="L31" s="15"/>
      <c r="M31" s="15" t="str">
        <f ca="1">IF(K31&gt;0.13, "O/Max "&amp;TEXT(K31-0.13, "0.000"), "-")</f>
        <v>O/Max 0.020</v>
      </c>
      <c r="N31" s="5" t="s">
        <v>20</v>
      </c>
    </row>
    <row r="32" spans="1:44">
      <c r="A32" s="90" t="s">
        <v>412</v>
      </c>
      <c r="B32" s="90" t="s">
        <v>413</v>
      </c>
      <c r="C32" s="90">
        <v>417.57100000000003</v>
      </c>
      <c r="D32" s="1"/>
      <c r="J32" s="13"/>
      <c r="K32" s="13"/>
      <c r="L32" s="13"/>
      <c r="M32" s="13"/>
      <c r="N32" s="13"/>
      <c r="O32" s="2"/>
      <c r="P32" s="2"/>
      <c r="Q32" s="2"/>
      <c r="R32" s="2"/>
      <c r="S32" s="34" t="s">
        <v>186</v>
      </c>
      <c r="T32" s="2"/>
      <c r="U32" s="2"/>
      <c r="V32" s="2"/>
      <c r="W32" s="2"/>
      <c r="X32" s="2"/>
      <c r="Y32" s="2"/>
      <c r="Z32" s="2"/>
      <c r="AA32" s="2"/>
      <c r="AB32" s="2"/>
      <c r="AC32" s="2"/>
      <c r="AD32" s="2"/>
      <c r="AE32" s="2"/>
      <c r="AF32" s="2"/>
      <c r="AG32" s="2"/>
      <c r="AH32" s="2"/>
      <c r="AI32" s="2"/>
      <c r="AJ32" s="2"/>
      <c r="AK32" s="2"/>
      <c r="AL32" s="2"/>
      <c r="AM32" s="2"/>
      <c r="AN32" s="2"/>
      <c r="AO32" s="2"/>
      <c r="AP32" s="2"/>
      <c r="AQ32" s="2"/>
      <c r="AR32" s="2"/>
    </row>
    <row r="33" spans="1:44">
      <c r="A33" s="90" t="s">
        <v>855</v>
      </c>
      <c r="B33" s="90" t="s">
        <v>415</v>
      </c>
      <c r="C33" s="90">
        <v>-1E-3</v>
      </c>
      <c r="D33" s="1"/>
      <c r="J33" s="5" t="s">
        <v>187</v>
      </c>
      <c r="M33" s="5" t="s">
        <v>52</v>
      </c>
      <c r="N33" s="5">
        <f>360/24</f>
        <v>15</v>
      </c>
      <c r="O33" s="9" t="s">
        <v>188</v>
      </c>
      <c r="P33" s="5" t="s">
        <v>189</v>
      </c>
      <c r="Q33" s="5">
        <v>-6.36</v>
      </c>
      <c r="R33" s="9" t="s">
        <v>24</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v>24</v>
      </c>
      <c r="AQ33" s="5"/>
      <c r="AR33" s="5"/>
    </row>
    <row r="34" spans="1:44">
      <c r="A34" s="121" t="s">
        <v>856</v>
      </c>
      <c r="B34" s="90" t="s">
        <v>417</v>
      </c>
      <c r="C34" s="90">
        <v>-41.249000000000002</v>
      </c>
      <c r="D34" s="1"/>
      <c r="K34" s="9" t="s">
        <v>83</v>
      </c>
      <c r="M34" s="9" t="s">
        <v>29</v>
      </c>
      <c r="N34" s="9" t="s">
        <v>190</v>
      </c>
      <c r="O34" s="9" t="s">
        <v>86</v>
      </c>
      <c r="P34" s="9" t="s">
        <v>87</v>
      </c>
      <c r="Q34" s="9" t="s">
        <v>191</v>
      </c>
      <c r="R34" s="5"/>
      <c r="S34" s="20" t="str">
        <f ca="1">CONCATENATE($S$32, "#", OFFSET($J$35, S33, 0))</f>
        <v>Stg.4 Shroud Fwd#1</v>
      </c>
      <c r="T34" s="20" t="str">
        <f t="shared" ref="T34:AP34" ca="1" si="7">CONCATENATE($S$32, "#", OFFSET($J$35, T33, 0))</f>
        <v>Stg.4 Shroud Fwd#24</v>
      </c>
      <c r="U34" s="20" t="str">
        <f t="shared" ca="1" si="7"/>
        <v>Stg.4 Shroud Fwd#23</v>
      </c>
      <c r="V34" s="20" t="str">
        <f t="shared" ca="1" si="7"/>
        <v>Stg.4 Shroud Fwd#22</v>
      </c>
      <c r="W34" s="20" t="str">
        <f t="shared" ca="1" si="7"/>
        <v>Stg.4 Shroud Fwd#21</v>
      </c>
      <c r="X34" s="20" t="str">
        <f t="shared" ca="1" si="7"/>
        <v>Stg.4 Shroud Fwd#20</v>
      </c>
      <c r="Y34" s="20" t="str">
        <f t="shared" ca="1" si="7"/>
        <v>Stg.4 Shroud Fwd#19</v>
      </c>
      <c r="Z34" s="20" t="str">
        <f t="shared" ca="1" si="7"/>
        <v>Stg.4 Shroud Fwd#18</v>
      </c>
      <c r="AA34" s="20" t="str">
        <f t="shared" ca="1" si="7"/>
        <v>Stg.4 Shroud Fwd#17</v>
      </c>
      <c r="AB34" s="20" t="str">
        <f t="shared" ca="1" si="7"/>
        <v>Stg.4 Shroud Fwd#16</v>
      </c>
      <c r="AC34" s="20" t="str">
        <f t="shared" ca="1" si="7"/>
        <v>Stg.4 Shroud Fwd#15</v>
      </c>
      <c r="AD34" s="20" t="str">
        <f t="shared" ca="1" si="7"/>
        <v>Stg.4 Shroud Fwd#14</v>
      </c>
      <c r="AE34" s="20" t="str">
        <f t="shared" ca="1" si="7"/>
        <v>Stg.4 Shroud Fwd#13</v>
      </c>
      <c r="AF34" s="20" t="str">
        <f t="shared" ca="1" si="7"/>
        <v>Stg.4 Shroud Fwd#12</v>
      </c>
      <c r="AG34" s="20" t="str">
        <f t="shared" ca="1" si="7"/>
        <v>Stg.4 Shroud Fwd#11</v>
      </c>
      <c r="AH34" s="20" t="str">
        <f t="shared" ca="1" si="7"/>
        <v>Stg.4 Shroud Fwd#10</v>
      </c>
      <c r="AI34" s="20" t="str">
        <f t="shared" ca="1" si="7"/>
        <v>Stg.4 Shroud Fwd#9</v>
      </c>
      <c r="AJ34" s="20" t="str">
        <f t="shared" ca="1" si="7"/>
        <v>Stg.4 Shroud Fwd#8</v>
      </c>
      <c r="AK34" s="20" t="str">
        <f t="shared" ca="1" si="7"/>
        <v>Stg.4 Shroud Fwd#7</v>
      </c>
      <c r="AL34" s="20" t="str">
        <f t="shared" ca="1" si="7"/>
        <v>Stg.4 Shroud Fwd#6</v>
      </c>
      <c r="AM34" s="20" t="str">
        <f t="shared" ca="1" si="7"/>
        <v>Stg.4 Shroud Fwd#5</v>
      </c>
      <c r="AN34" s="20" t="str">
        <f t="shared" ca="1" si="7"/>
        <v>Stg.4 Shroud Fwd#4</v>
      </c>
      <c r="AO34" s="20" t="str">
        <f t="shared" ca="1" si="7"/>
        <v>Stg.4 Shroud Fwd#3</v>
      </c>
      <c r="AP34" s="20" t="str">
        <f t="shared" ca="1" si="7"/>
        <v>Stg.4 Shroud Fwd#2</v>
      </c>
      <c r="AQ34" s="20" t="s">
        <v>89</v>
      </c>
      <c r="AR34" s="20" t="s">
        <v>90</v>
      </c>
    </row>
    <row r="35" spans="1:44">
      <c r="A35" s="90" t="s">
        <v>412</v>
      </c>
      <c r="B35" s="90" t="s">
        <v>413</v>
      </c>
      <c r="C35" s="90">
        <v>417.601</v>
      </c>
      <c r="D35" s="1"/>
      <c r="J35" s="9" t="s">
        <v>192</v>
      </c>
      <c r="K35" s="9" t="s">
        <v>193</v>
      </c>
      <c r="L35" s="9" t="s">
        <v>93</v>
      </c>
      <c r="M35" s="9" t="s">
        <v>13</v>
      </c>
      <c r="N35" s="9" t="s">
        <v>144</v>
      </c>
      <c r="O35" s="9" t="s">
        <v>11</v>
      </c>
      <c r="P35" s="9" t="s">
        <v>13</v>
      </c>
      <c r="Q35" s="9" t="s">
        <v>182</v>
      </c>
      <c r="R35" s="5"/>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2" t="s">
        <v>13</v>
      </c>
      <c r="AR35" s="22" t="s">
        <v>13</v>
      </c>
    </row>
    <row r="36" spans="1:44">
      <c r="A36" s="90" t="s">
        <v>857</v>
      </c>
      <c r="B36" s="90" t="s">
        <v>415</v>
      </c>
      <c r="C36" s="90">
        <v>-2E-3</v>
      </c>
      <c r="D36" s="1"/>
      <c r="J36" s="5">
        <v>1</v>
      </c>
      <c r="K36" s="23">
        <f>IF(Q33&lt;0, 360+$Q$33, $Q$33)</f>
        <v>353.64</v>
      </c>
      <c r="L36" s="24">
        <f>MATCH($K36, $I$11:$I$27, 1)</f>
        <v>16</v>
      </c>
      <c r="M36" s="5">
        <f ca="1">VLOOKUP(L36, $H$11:$K$27, 4, FALSE)</f>
        <v>417.56000001077689</v>
      </c>
      <c r="N36" s="25">
        <f ca="1">(VLOOKUP(L36+1, $H$11:$K$27, 4, FALSE) - VLOOKUP(L36, $H$11:$K$27, 4, FALSE))/(VLOOKUP(L36+1, $H$11:$K$27, 2, FALSE) - VLOOKUP(L36, $H$11:$K$27, 2, FALSE))</f>
        <v>2.8444440186856609E-3</v>
      </c>
      <c r="O36" s="26">
        <f>K36-VLOOKUP(L36, $H$11:$I$27, 2, FALSE)</f>
        <v>16.139999999999986</v>
      </c>
      <c r="P36" s="27">
        <f ca="1">M36+N36*O36</f>
        <v>417.60590933723847</v>
      </c>
      <c r="Q36" s="27">
        <f ca="1">(P36+P59)/2</f>
        <v>417.58457600709835</v>
      </c>
      <c r="R36" s="5"/>
      <c r="S36" s="28">
        <f ca="1">Q36</f>
        <v>417.58457600709835</v>
      </c>
      <c r="T36" s="29"/>
      <c r="U36" s="29"/>
      <c r="V36" s="29"/>
      <c r="W36" s="29"/>
      <c r="X36" s="29"/>
      <c r="Y36" s="29"/>
      <c r="Z36" s="29"/>
      <c r="AA36" s="29"/>
      <c r="AB36" s="29"/>
      <c r="AC36" s="29"/>
      <c r="AD36" s="29"/>
      <c r="AE36" s="29"/>
      <c r="AF36" s="29"/>
      <c r="AG36" s="29"/>
      <c r="AH36" s="29"/>
      <c r="AI36" s="29"/>
      <c r="AJ36" s="28"/>
      <c r="AK36" s="28"/>
      <c r="AL36" s="28"/>
      <c r="AM36" s="28"/>
      <c r="AN36" s="28"/>
      <c r="AO36" s="28"/>
      <c r="AP36" s="28">
        <f ca="1">AP59</f>
        <v>417.57490667224192</v>
      </c>
      <c r="AQ36" s="29">
        <f>M$7/2</f>
        <v>417.61799999999999</v>
      </c>
      <c r="AR36" s="29">
        <f>M$6/2</f>
        <v>417.68199999999996</v>
      </c>
    </row>
    <row r="37" spans="1:44">
      <c r="A37" s="121" t="s">
        <v>858</v>
      </c>
      <c r="B37" s="90" t="s">
        <v>417</v>
      </c>
      <c r="C37" s="90">
        <v>-41.261000000000003</v>
      </c>
      <c r="D37" s="1"/>
      <c r="J37" s="5">
        <v>24</v>
      </c>
      <c r="K37" s="23">
        <f>IF(K36+$N$33&gt;360, K36+$N$33-360, K36+$N$33)</f>
        <v>8.6399999999999864</v>
      </c>
      <c r="L37" s="24">
        <f t="shared" ref="L37:L59" si="8">MATCH($K37, $I$11:$I$27, 1)</f>
        <v>1</v>
      </c>
      <c r="M37" s="5">
        <f t="shared" ref="M37:M58" ca="1" si="9">VLOOKUP(L37, $H$11:$K$27, 4, FALSE)</f>
        <v>417.62400000119732</v>
      </c>
      <c r="N37" s="25">
        <f t="shared" ref="N37:N59" ca="1" si="10">(VLOOKUP(L37+1, $H$11:$K$27, 4, FALSE) - VLOOKUP(L37, $H$11:$K$27, 4, FALSE))/(VLOOKUP(L37+1, $H$11:$K$27, 2, FALSE) - VLOOKUP(L37, $H$11:$K$27, 2, FALSE))</f>
        <v>1.6888888888792685E-3</v>
      </c>
      <c r="O37" s="26">
        <f t="shared" ref="O37:O59" si="11">K37-VLOOKUP(L37, $H$11:$I$27, 2, FALSE)</f>
        <v>8.6399999999999864</v>
      </c>
      <c r="P37" s="27">
        <f t="shared" ref="P37:P59" ca="1" si="12">M37+N37*O37</f>
        <v>417.63859200119725</v>
      </c>
      <c r="Q37" s="27">
        <f ca="1">(P36+P37)/2</f>
        <v>417.62225066921786</v>
      </c>
      <c r="R37" s="5"/>
      <c r="S37" s="30">
        <f ca="1">S36</f>
        <v>417.58457600709835</v>
      </c>
      <c r="T37" s="30">
        <f ca="1">Q37</f>
        <v>417.62225066921786</v>
      </c>
      <c r="U37" s="21"/>
      <c r="V37" s="21"/>
      <c r="W37" s="21"/>
      <c r="X37" s="21"/>
      <c r="Y37" s="21"/>
      <c r="Z37" s="21"/>
      <c r="AA37" s="21"/>
      <c r="AB37" s="21"/>
      <c r="AC37" s="21"/>
      <c r="AD37" s="21"/>
      <c r="AE37" s="21"/>
      <c r="AF37" s="21"/>
      <c r="AG37" s="21"/>
      <c r="AH37" s="21"/>
      <c r="AI37" s="21"/>
      <c r="AJ37" s="21"/>
      <c r="AK37" s="21"/>
      <c r="AL37" s="21"/>
      <c r="AM37" s="21"/>
      <c r="AN37" s="21"/>
      <c r="AO37" s="21"/>
      <c r="AP37" s="21"/>
      <c r="AQ37" s="21">
        <f t="shared" ref="AQ37:AQ59" si="13">M$7/2</f>
        <v>417.61799999999999</v>
      </c>
      <c r="AR37" s="21">
        <f t="shared" ref="AR37:AR59" si="14">M$6/2</f>
        <v>417.68199999999996</v>
      </c>
    </row>
    <row r="38" spans="1:44">
      <c r="A38" s="90" t="s">
        <v>412</v>
      </c>
      <c r="B38" s="90" t="s">
        <v>413</v>
      </c>
      <c r="C38" s="90">
        <v>417.63900000000001</v>
      </c>
      <c r="D38" s="1"/>
      <c r="J38" s="5">
        <v>23</v>
      </c>
      <c r="K38" s="23">
        <f t="shared" ref="K38:K59" si="15">IF(K37+$N$33&gt;360, K37+$N$33-360, K37+$N$33)</f>
        <v>23.639999999999986</v>
      </c>
      <c r="L38" s="24">
        <f t="shared" si="8"/>
        <v>2</v>
      </c>
      <c r="M38" s="5">
        <f t="shared" ca="1" si="9"/>
        <v>417.6620000011971</v>
      </c>
      <c r="N38" s="25">
        <f t="shared" ca="1" si="10"/>
        <v>4.4444604064766384E-5</v>
      </c>
      <c r="O38" s="26">
        <f t="shared" si="11"/>
        <v>1.1399999999999864</v>
      </c>
      <c r="P38" s="27">
        <f t="shared" ca="1" si="12"/>
        <v>417.66205066804571</v>
      </c>
      <c r="Q38" s="27">
        <f t="shared" ref="Q38:Q58" ca="1" si="16">(P37+P38)/2</f>
        <v>417.65032133462148</v>
      </c>
      <c r="R38" s="5"/>
      <c r="S38" s="21"/>
      <c r="T38" s="30">
        <f ca="1">T37</f>
        <v>417.62225066921786</v>
      </c>
      <c r="U38" s="30">
        <f ca="1">Q38</f>
        <v>417.65032133462148</v>
      </c>
      <c r="V38" s="21"/>
      <c r="W38" s="21"/>
      <c r="X38" s="21"/>
      <c r="Y38" s="21"/>
      <c r="Z38" s="21"/>
      <c r="AA38" s="21"/>
      <c r="AB38" s="21"/>
      <c r="AC38" s="21"/>
      <c r="AD38" s="21"/>
      <c r="AE38" s="21"/>
      <c r="AF38" s="21"/>
      <c r="AG38" s="21"/>
      <c r="AH38" s="21"/>
      <c r="AI38" s="21"/>
      <c r="AJ38" s="21"/>
      <c r="AK38" s="21"/>
      <c r="AL38" s="21"/>
      <c r="AM38" s="21"/>
      <c r="AN38" s="21"/>
      <c r="AO38" s="21"/>
      <c r="AP38" s="21"/>
      <c r="AQ38" s="21">
        <f t="shared" si="13"/>
        <v>417.61799999999999</v>
      </c>
      <c r="AR38" s="21">
        <f t="shared" si="14"/>
        <v>417.68199999999996</v>
      </c>
    </row>
    <row r="39" spans="1:44">
      <c r="A39" s="90" t="s">
        <v>859</v>
      </c>
      <c r="B39" s="90" t="s">
        <v>415</v>
      </c>
      <c r="C39" s="90">
        <v>2E-3</v>
      </c>
      <c r="D39" s="1"/>
      <c r="J39" s="5">
        <v>22</v>
      </c>
      <c r="K39" s="23">
        <f t="shared" si="15"/>
        <v>38.639999999999986</v>
      </c>
      <c r="L39" s="24">
        <f t="shared" si="8"/>
        <v>2</v>
      </c>
      <c r="M39" s="5">
        <f t="shared" ca="1" si="9"/>
        <v>417.6620000011971</v>
      </c>
      <c r="N39" s="25">
        <f t="shared" ca="1" si="10"/>
        <v>4.4444604064766384E-5</v>
      </c>
      <c r="O39" s="26">
        <f t="shared" si="11"/>
        <v>16.139999999999986</v>
      </c>
      <c r="P39" s="27">
        <f t="shared" ca="1" si="12"/>
        <v>417.6627173371067</v>
      </c>
      <c r="Q39" s="27">
        <f t="shared" ca="1" si="16"/>
        <v>417.66238400257623</v>
      </c>
      <c r="R39" s="5"/>
      <c r="S39" s="21"/>
      <c r="T39" s="21"/>
      <c r="U39" s="30">
        <f ca="1">U38</f>
        <v>417.65032133462148</v>
      </c>
      <c r="V39" s="30">
        <f ca="1">Q39</f>
        <v>417.66238400257623</v>
      </c>
      <c r="W39" s="21"/>
      <c r="X39" s="21"/>
      <c r="Y39" s="21"/>
      <c r="Z39" s="21"/>
      <c r="AA39" s="21"/>
      <c r="AB39" s="21"/>
      <c r="AC39" s="21"/>
      <c r="AD39" s="21"/>
      <c r="AE39" s="21"/>
      <c r="AF39" s="21"/>
      <c r="AG39" s="21"/>
      <c r="AH39" s="21"/>
      <c r="AI39" s="21"/>
      <c r="AJ39" s="21"/>
      <c r="AK39" s="21"/>
      <c r="AL39" s="21"/>
      <c r="AM39" s="21"/>
      <c r="AN39" s="21"/>
      <c r="AO39" s="21"/>
      <c r="AP39" s="21"/>
      <c r="AQ39" s="21">
        <f t="shared" si="13"/>
        <v>417.61799999999999</v>
      </c>
      <c r="AR39" s="21">
        <f t="shared" si="14"/>
        <v>417.68199999999996</v>
      </c>
    </row>
    <row r="40" spans="1:44">
      <c r="A40" s="121" t="s">
        <v>860</v>
      </c>
      <c r="B40" s="90" t="s">
        <v>417</v>
      </c>
      <c r="C40" s="90">
        <v>-41.274000000000001</v>
      </c>
      <c r="D40" s="1"/>
      <c r="J40" s="5">
        <v>21</v>
      </c>
      <c r="K40" s="23">
        <f t="shared" si="15"/>
        <v>53.639999999999986</v>
      </c>
      <c r="L40" s="24">
        <f t="shared" si="8"/>
        <v>3</v>
      </c>
      <c r="M40" s="5">
        <f t="shared" ca="1" si="9"/>
        <v>417.66300000478856</v>
      </c>
      <c r="N40" s="25">
        <f t="shared" ca="1" si="10"/>
        <v>-1.1999993614709738E-3</v>
      </c>
      <c r="O40" s="26">
        <f t="shared" si="11"/>
        <v>8.6399999999999864</v>
      </c>
      <c r="P40" s="27">
        <f t="shared" ca="1" si="12"/>
        <v>417.65263201030547</v>
      </c>
      <c r="Q40" s="27">
        <f t="shared" ca="1" si="16"/>
        <v>417.65767467370608</v>
      </c>
      <c r="R40" s="5"/>
      <c r="S40" s="21"/>
      <c r="T40" s="21"/>
      <c r="U40" s="21"/>
      <c r="V40" s="30">
        <f ca="1">V39</f>
        <v>417.66238400257623</v>
      </c>
      <c r="W40" s="30">
        <f ca="1">Q40</f>
        <v>417.65767467370608</v>
      </c>
      <c r="X40" s="21"/>
      <c r="Y40" s="21"/>
      <c r="Z40" s="21"/>
      <c r="AA40" s="21"/>
      <c r="AB40" s="21"/>
      <c r="AC40" s="21"/>
      <c r="AD40" s="21"/>
      <c r="AE40" s="21"/>
      <c r="AF40" s="21"/>
      <c r="AG40" s="21"/>
      <c r="AH40" s="21"/>
      <c r="AI40" s="21"/>
      <c r="AJ40" s="21"/>
      <c r="AK40" s="21"/>
      <c r="AL40" s="21"/>
      <c r="AM40" s="21"/>
      <c r="AN40" s="21"/>
      <c r="AO40" s="21"/>
      <c r="AP40" s="21"/>
      <c r="AQ40" s="21">
        <f t="shared" si="13"/>
        <v>417.61799999999999</v>
      </c>
      <c r="AR40" s="21">
        <f t="shared" si="14"/>
        <v>417.68199999999996</v>
      </c>
    </row>
    <row r="41" spans="1:44">
      <c r="A41" s="90" t="s">
        <v>412</v>
      </c>
      <c r="B41" s="90" t="s">
        <v>413</v>
      </c>
      <c r="C41" s="90">
        <v>417.63400000000001</v>
      </c>
      <c r="D41" s="1"/>
      <c r="J41" s="5">
        <v>20</v>
      </c>
      <c r="K41" s="23">
        <f t="shared" si="15"/>
        <v>68.639999999999986</v>
      </c>
      <c r="L41" s="24">
        <f t="shared" si="8"/>
        <v>4</v>
      </c>
      <c r="M41" s="5">
        <f t="shared" ca="1" si="9"/>
        <v>417.63600001915546</v>
      </c>
      <c r="N41" s="25">
        <f t="shared" ca="1" si="10"/>
        <v>4.4443646301159686E-5</v>
      </c>
      <c r="O41" s="26">
        <f t="shared" si="11"/>
        <v>1.1399999999999864</v>
      </c>
      <c r="P41" s="27">
        <f t="shared" ca="1" si="12"/>
        <v>417.63605068491222</v>
      </c>
      <c r="Q41" s="27">
        <f t="shared" ca="1" si="16"/>
        <v>417.64434134760882</v>
      </c>
      <c r="R41" s="5"/>
      <c r="S41" s="21"/>
      <c r="T41" s="21"/>
      <c r="U41" s="21"/>
      <c r="V41" s="21"/>
      <c r="W41" s="30">
        <f ca="1">W40</f>
        <v>417.65767467370608</v>
      </c>
      <c r="X41" s="30">
        <f ca="1">Q41</f>
        <v>417.64434134760882</v>
      </c>
      <c r="Y41" s="21"/>
      <c r="Z41" s="21"/>
      <c r="AA41" s="21"/>
      <c r="AB41" s="21"/>
      <c r="AC41" s="21"/>
      <c r="AD41" s="21"/>
      <c r="AE41" s="21"/>
      <c r="AF41" s="21"/>
      <c r="AG41" s="21"/>
      <c r="AH41" s="21"/>
      <c r="AI41" s="21"/>
      <c r="AJ41" s="21"/>
      <c r="AK41" s="21"/>
      <c r="AL41" s="21"/>
      <c r="AM41" s="21"/>
      <c r="AN41" s="21"/>
      <c r="AO41" s="21"/>
      <c r="AP41" s="21"/>
      <c r="AQ41" s="21">
        <f t="shared" si="13"/>
        <v>417.61799999999999</v>
      </c>
      <c r="AR41" s="21">
        <f t="shared" si="14"/>
        <v>417.68199999999996</v>
      </c>
    </row>
    <row r="42" spans="1:44">
      <c r="A42" s="90" t="s">
        <v>861</v>
      </c>
      <c r="B42" s="90" t="s">
        <v>415</v>
      </c>
      <c r="C42" s="90">
        <v>0</v>
      </c>
      <c r="D42" s="1"/>
      <c r="J42" s="5">
        <v>19</v>
      </c>
      <c r="K42" s="23">
        <f t="shared" si="15"/>
        <v>83.639999999999986</v>
      </c>
      <c r="L42" s="24">
        <f t="shared" si="8"/>
        <v>4</v>
      </c>
      <c r="M42" s="5">
        <f t="shared" ca="1" si="9"/>
        <v>417.63600001915546</v>
      </c>
      <c r="N42" s="25">
        <f t="shared" ca="1" si="10"/>
        <v>4.4443646301159686E-5</v>
      </c>
      <c r="O42" s="26">
        <f t="shared" si="11"/>
        <v>16.139999999999986</v>
      </c>
      <c r="P42" s="27">
        <f t="shared" ca="1" si="12"/>
        <v>417.63671733960678</v>
      </c>
      <c r="Q42" s="27">
        <f t="shared" ca="1" si="16"/>
        <v>417.6363840122595</v>
      </c>
      <c r="R42" s="5"/>
      <c r="S42" s="21"/>
      <c r="T42" s="21"/>
      <c r="U42" s="21"/>
      <c r="V42" s="21"/>
      <c r="W42" s="21"/>
      <c r="X42" s="30">
        <f ca="1">X41</f>
        <v>417.64434134760882</v>
      </c>
      <c r="Y42" s="30">
        <f ca="1">Q42</f>
        <v>417.6363840122595</v>
      </c>
      <c r="Z42" s="21"/>
      <c r="AA42" s="21"/>
      <c r="AB42" s="21"/>
      <c r="AC42" s="21"/>
      <c r="AD42" s="21"/>
      <c r="AE42" s="21"/>
      <c r="AF42" s="21"/>
      <c r="AG42" s="21"/>
      <c r="AH42" s="21"/>
      <c r="AI42" s="21"/>
      <c r="AJ42" s="21"/>
      <c r="AK42" s="21"/>
      <c r="AL42" s="21"/>
      <c r="AM42" s="21"/>
      <c r="AN42" s="21"/>
      <c r="AO42" s="21"/>
      <c r="AP42" s="21"/>
      <c r="AQ42" s="21">
        <f t="shared" si="13"/>
        <v>417.61799999999999</v>
      </c>
      <c r="AR42" s="21">
        <f t="shared" si="14"/>
        <v>417.68199999999996</v>
      </c>
    </row>
    <row r="43" spans="1:44">
      <c r="A43" s="121" t="s">
        <v>862</v>
      </c>
      <c r="B43" s="90" t="s">
        <v>417</v>
      </c>
      <c r="C43" s="90">
        <v>-41.28</v>
      </c>
      <c r="D43" s="1"/>
      <c r="J43" s="5">
        <v>18</v>
      </c>
      <c r="K43" s="23">
        <f t="shared" si="15"/>
        <v>98.639999999999986</v>
      </c>
      <c r="L43" s="24">
        <f t="shared" si="8"/>
        <v>5</v>
      </c>
      <c r="M43" s="5">
        <f t="shared" ca="1" si="9"/>
        <v>417.63700000119724</v>
      </c>
      <c r="N43" s="25">
        <f t="shared" ca="1" si="10"/>
        <v>9.3333333332894751E-4</v>
      </c>
      <c r="O43" s="26">
        <f t="shared" si="11"/>
        <v>8.6399999999999864</v>
      </c>
      <c r="P43" s="27">
        <f t="shared" ca="1" si="12"/>
        <v>417.64506400119723</v>
      </c>
      <c r="Q43" s="27">
        <f t="shared" ca="1" si="16"/>
        <v>417.64089067040197</v>
      </c>
      <c r="R43" s="5"/>
      <c r="S43" s="21"/>
      <c r="T43" s="21"/>
      <c r="U43" s="21"/>
      <c r="V43" s="21"/>
      <c r="W43" s="21"/>
      <c r="X43" s="21"/>
      <c r="Y43" s="30">
        <f ca="1">Y42</f>
        <v>417.6363840122595</v>
      </c>
      <c r="Z43" s="30">
        <f ca="1">Q43</f>
        <v>417.64089067040197</v>
      </c>
      <c r="AA43" s="21"/>
      <c r="AB43" s="21"/>
      <c r="AC43" s="21"/>
      <c r="AD43" s="21"/>
      <c r="AE43" s="21"/>
      <c r="AF43" s="21"/>
      <c r="AG43" s="21"/>
      <c r="AH43" s="21"/>
      <c r="AI43" s="21"/>
      <c r="AJ43" s="21"/>
      <c r="AK43" s="21"/>
      <c r="AL43" s="21"/>
      <c r="AM43" s="21"/>
      <c r="AN43" s="21"/>
      <c r="AO43" s="21"/>
      <c r="AP43" s="21"/>
      <c r="AQ43" s="21">
        <f t="shared" si="13"/>
        <v>417.61799999999999</v>
      </c>
      <c r="AR43" s="21">
        <f t="shared" si="14"/>
        <v>417.68199999999996</v>
      </c>
    </row>
    <row r="44" spans="1:44">
      <c r="A44" s="90" t="s">
        <v>412</v>
      </c>
      <c r="B44" s="90" t="s">
        <v>413</v>
      </c>
      <c r="C44" s="90">
        <v>417.65</v>
      </c>
      <c r="D44" s="1"/>
      <c r="J44" s="5">
        <v>17</v>
      </c>
      <c r="K44" s="23">
        <f t="shared" si="15"/>
        <v>113.63999999999999</v>
      </c>
      <c r="L44" s="24">
        <f t="shared" si="8"/>
        <v>6</v>
      </c>
      <c r="M44" s="5">
        <f t="shared" ca="1" si="9"/>
        <v>417.65800000119714</v>
      </c>
      <c r="N44" s="25">
        <f t="shared" ca="1" si="10"/>
        <v>-7.1111111110945383E-4</v>
      </c>
      <c r="O44" s="26">
        <f t="shared" si="11"/>
        <v>1.1399999999999864</v>
      </c>
      <c r="P44" s="27">
        <f t="shared" ca="1" si="12"/>
        <v>417.65718933453047</v>
      </c>
      <c r="Q44" s="27">
        <f t="shared" ca="1" si="16"/>
        <v>417.65112666786388</v>
      </c>
      <c r="R44" s="5"/>
      <c r="S44" s="21"/>
      <c r="T44" s="21"/>
      <c r="U44" s="21"/>
      <c r="V44" s="21"/>
      <c r="W44" s="21"/>
      <c r="X44" s="21"/>
      <c r="Y44" s="21"/>
      <c r="Z44" s="30">
        <f ca="1">Z43</f>
        <v>417.64089067040197</v>
      </c>
      <c r="AA44" s="30">
        <f ca="1">Q44</f>
        <v>417.65112666786388</v>
      </c>
      <c r="AB44" s="21"/>
      <c r="AC44" s="21"/>
      <c r="AD44" s="21"/>
      <c r="AE44" s="21"/>
      <c r="AF44" s="21"/>
      <c r="AG44" s="21"/>
      <c r="AH44" s="21"/>
      <c r="AI44" s="21"/>
      <c r="AJ44" s="21"/>
      <c r="AK44" s="21"/>
      <c r="AL44" s="21"/>
      <c r="AM44" s="21"/>
      <c r="AN44" s="21"/>
      <c r="AO44" s="21"/>
      <c r="AP44" s="21"/>
      <c r="AQ44" s="21">
        <f t="shared" si="13"/>
        <v>417.61799999999999</v>
      </c>
      <c r="AR44" s="21">
        <f t="shared" si="14"/>
        <v>417.68199999999996</v>
      </c>
    </row>
    <row r="45" spans="1:44">
      <c r="A45" s="90" t="s">
        <v>863</v>
      </c>
      <c r="B45" s="90" t="s">
        <v>415</v>
      </c>
      <c r="C45" s="90">
        <v>1E-3</v>
      </c>
      <c r="D45" s="1"/>
      <c r="J45" s="5">
        <v>16</v>
      </c>
      <c r="K45" s="23">
        <f t="shared" si="15"/>
        <v>128.63999999999999</v>
      </c>
      <c r="L45" s="24">
        <f t="shared" si="8"/>
        <v>6</v>
      </c>
      <c r="M45" s="5">
        <f t="shared" ca="1" si="9"/>
        <v>417.65800000119714</v>
      </c>
      <c r="N45" s="25">
        <f t="shared" ca="1" si="10"/>
        <v>-7.1111111110945383E-4</v>
      </c>
      <c r="O45" s="26">
        <f t="shared" si="11"/>
        <v>16.139999999999986</v>
      </c>
      <c r="P45" s="27">
        <f t="shared" ca="1" si="12"/>
        <v>417.64652266786385</v>
      </c>
      <c r="Q45" s="27">
        <f t="shared" ca="1" si="16"/>
        <v>417.65185600119719</v>
      </c>
      <c r="R45" s="5"/>
      <c r="S45" s="21"/>
      <c r="T45" s="21"/>
      <c r="U45" s="21"/>
      <c r="V45" s="21"/>
      <c r="W45" s="21"/>
      <c r="X45" s="21"/>
      <c r="Y45" s="21"/>
      <c r="Z45" s="21"/>
      <c r="AA45" s="30">
        <f ca="1">AA44</f>
        <v>417.65112666786388</v>
      </c>
      <c r="AB45" s="30">
        <f ca="1">Q45</f>
        <v>417.65185600119719</v>
      </c>
      <c r="AC45" s="21"/>
      <c r="AD45" s="21"/>
      <c r="AE45" s="21"/>
      <c r="AF45" s="21"/>
      <c r="AG45" s="21"/>
      <c r="AH45" s="21"/>
      <c r="AI45" s="21"/>
      <c r="AJ45" s="21"/>
      <c r="AK45" s="21"/>
      <c r="AL45" s="21"/>
      <c r="AM45" s="21"/>
      <c r="AN45" s="21"/>
      <c r="AO45" s="21"/>
      <c r="AP45" s="21"/>
      <c r="AQ45" s="21">
        <f t="shared" si="13"/>
        <v>417.61799999999999</v>
      </c>
      <c r="AR45" s="21">
        <f t="shared" si="14"/>
        <v>417.68199999999996</v>
      </c>
    </row>
    <row r="46" spans="1:44">
      <c r="A46" s="121" t="s">
        <v>864</v>
      </c>
      <c r="B46" s="90" t="s">
        <v>417</v>
      </c>
      <c r="C46" s="90">
        <v>-41.276000000000003</v>
      </c>
      <c r="D46" s="1"/>
      <c r="J46" s="5">
        <v>15</v>
      </c>
      <c r="K46" s="23">
        <f t="shared" si="15"/>
        <v>143.63999999999999</v>
      </c>
      <c r="L46" s="24">
        <f t="shared" si="8"/>
        <v>7</v>
      </c>
      <c r="M46" s="5">
        <f t="shared" ca="1" si="9"/>
        <v>417.64200000119718</v>
      </c>
      <c r="N46" s="25">
        <f t="shared" ca="1" si="10"/>
        <v>3.1111105790336698E-4</v>
      </c>
      <c r="O46" s="26">
        <f t="shared" si="11"/>
        <v>8.6399999999999864</v>
      </c>
      <c r="P46" s="27">
        <f t="shared" ca="1" si="12"/>
        <v>417.64468800073746</v>
      </c>
      <c r="Q46" s="27">
        <f t="shared" ca="1" si="16"/>
        <v>417.64560533430063</v>
      </c>
      <c r="R46" s="5"/>
      <c r="S46" s="21"/>
      <c r="T46" s="21"/>
      <c r="U46" s="21"/>
      <c r="V46" s="21"/>
      <c r="W46" s="21"/>
      <c r="X46" s="21"/>
      <c r="Y46" s="21"/>
      <c r="Z46" s="21"/>
      <c r="AA46" s="21"/>
      <c r="AB46" s="30">
        <f ca="1">AB45</f>
        <v>417.65185600119719</v>
      </c>
      <c r="AC46" s="30">
        <f ca="1">Q46</f>
        <v>417.64560533430063</v>
      </c>
      <c r="AD46" s="21"/>
      <c r="AE46" s="21"/>
      <c r="AF46" s="21"/>
      <c r="AG46" s="21"/>
      <c r="AH46" s="21"/>
      <c r="AI46" s="21"/>
      <c r="AJ46" s="21"/>
      <c r="AK46" s="21"/>
      <c r="AL46" s="21"/>
      <c r="AM46" s="21"/>
      <c r="AN46" s="21"/>
      <c r="AO46" s="21"/>
      <c r="AP46" s="21"/>
      <c r="AQ46" s="21">
        <f t="shared" si="13"/>
        <v>417.61799999999999</v>
      </c>
      <c r="AR46" s="21">
        <f t="shared" si="14"/>
        <v>417.68199999999996</v>
      </c>
    </row>
    <row r="47" spans="1:44">
      <c r="A47" s="90" t="s">
        <v>412</v>
      </c>
      <c r="B47" s="90" t="s">
        <v>413</v>
      </c>
      <c r="C47" s="90">
        <v>417.63600000000002</v>
      </c>
      <c r="D47" s="1"/>
      <c r="J47" s="5">
        <v>14</v>
      </c>
      <c r="K47" s="23">
        <f t="shared" si="15"/>
        <v>158.63999999999999</v>
      </c>
      <c r="L47" s="24">
        <f t="shared" si="8"/>
        <v>8</v>
      </c>
      <c r="M47" s="5">
        <f t="shared" ca="1" si="9"/>
        <v>417.649</v>
      </c>
      <c r="N47" s="25">
        <f t="shared" ca="1" si="10"/>
        <v>-1.911111057898375E-3</v>
      </c>
      <c r="O47" s="26">
        <f t="shared" si="11"/>
        <v>1.1399999999999864</v>
      </c>
      <c r="P47" s="27">
        <f t="shared" ca="1" si="12"/>
        <v>417.64682133339397</v>
      </c>
      <c r="Q47" s="27">
        <f t="shared" ca="1" si="16"/>
        <v>417.64575466706572</v>
      </c>
      <c r="R47" s="5"/>
      <c r="S47" s="21"/>
      <c r="T47" s="21"/>
      <c r="U47" s="21"/>
      <c r="V47" s="21"/>
      <c r="W47" s="21"/>
      <c r="X47" s="21"/>
      <c r="Y47" s="21"/>
      <c r="Z47" s="21"/>
      <c r="AA47" s="21"/>
      <c r="AB47" s="21"/>
      <c r="AC47" s="30">
        <f ca="1">AC46</f>
        <v>417.64560533430063</v>
      </c>
      <c r="AD47" s="30">
        <f ca="1">Q47</f>
        <v>417.64575466706572</v>
      </c>
      <c r="AE47" s="21"/>
      <c r="AF47" s="21"/>
      <c r="AG47" s="21"/>
      <c r="AH47" s="21"/>
      <c r="AI47" s="21"/>
      <c r="AJ47" s="21"/>
      <c r="AK47" s="21"/>
      <c r="AL47" s="21"/>
      <c r="AM47" s="21"/>
      <c r="AN47" s="21"/>
      <c r="AO47" s="21"/>
      <c r="AP47" s="21"/>
      <c r="AQ47" s="21">
        <f t="shared" si="13"/>
        <v>417.61799999999999</v>
      </c>
      <c r="AR47" s="21">
        <f t="shared" si="14"/>
        <v>417.68199999999996</v>
      </c>
    </row>
    <row r="48" spans="1:44">
      <c r="A48" s="90" t="s">
        <v>865</v>
      </c>
      <c r="B48" s="90" t="s">
        <v>415</v>
      </c>
      <c r="C48" s="90">
        <v>-1E-3</v>
      </c>
      <c r="D48" s="1"/>
      <c r="J48" s="5">
        <v>13</v>
      </c>
      <c r="K48" s="23">
        <f t="shared" si="15"/>
        <v>173.64</v>
      </c>
      <c r="L48" s="24">
        <f t="shared" si="8"/>
        <v>8</v>
      </c>
      <c r="M48" s="5">
        <f t="shared" ca="1" si="9"/>
        <v>417.649</v>
      </c>
      <c r="N48" s="25">
        <f t="shared" ca="1" si="10"/>
        <v>-1.911111057898375E-3</v>
      </c>
      <c r="O48" s="26">
        <f t="shared" si="11"/>
        <v>16.139999999999986</v>
      </c>
      <c r="P48" s="27">
        <f t="shared" ca="1" si="12"/>
        <v>417.61815466752552</v>
      </c>
      <c r="Q48" s="27">
        <f t="shared" ca="1" si="16"/>
        <v>417.63248800045972</v>
      </c>
      <c r="R48" s="5"/>
      <c r="S48" s="21"/>
      <c r="T48" s="21"/>
      <c r="U48" s="21"/>
      <c r="V48" s="21"/>
      <c r="W48" s="21"/>
      <c r="X48" s="21"/>
      <c r="Y48" s="21"/>
      <c r="Z48" s="21"/>
      <c r="AA48" s="21"/>
      <c r="AB48" s="21"/>
      <c r="AC48" s="21"/>
      <c r="AD48" s="30">
        <f ca="1">AD47</f>
        <v>417.64575466706572</v>
      </c>
      <c r="AE48" s="30">
        <f ca="1">Q48</f>
        <v>417.63248800045972</v>
      </c>
      <c r="AF48" s="21"/>
      <c r="AG48" s="21"/>
      <c r="AH48" s="21"/>
      <c r="AI48" s="21"/>
      <c r="AJ48" s="21"/>
      <c r="AK48" s="21"/>
      <c r="AL48" s="21"/>
      <c r="AM48" s="21"/>
      <c r="AN48" s="21"/>
      <c r="AO48" s="21"/>
      <c r="AP48" s="21"/>
      <c r="AQ48" s="21">
        <f t="shared" si="13"/>
        <v>417.61799999999999</v>
      </c>
      <c r="AR48" s="21">
        <f t="shared" si="14"/>
        <v>417.68199999999996</v>
      </c>
    </row>
    <row r="49" spans="1:44">
      <c r="A49" s="121" t="s">
        <v>866</v>
      </c>
      <c r="B49" s="90" t="s">
        <v>417</v>
      </c>
      <c r="C49" s="90">
        <v>-41.274000000000001</v>
      </c>
      <c r="D49" s="1"/>
      <c r="J49" s="5">
        <v>12</v>
      </c>
      <c r="K49" s="23">
        <f t="shared" si="15"/>
        <v>188.64</v>
      </c>
      <c r="L49" s="24">
        <f t="shared" si="8"/>
        <v>9</v>
      </c>
      <c r="M49" s="5">
        <f t="shared" ca="1" si="9"/>
        <v>417.60600000119729</v>
      </c>
      <c r="N49" s="25">
        <f t="shared" ca="1" si="10"/>
        <v>-1.5555466149534266E-3</v>
      </c>
      <c r="O49" s="26">
        <f t="shared" si="11"/>
        <v>8.6399999999999864</v>
      </c>
      <c r="P49" s="27">
        <f t="shared" ca="1" si="12"/>
        <v>417.59256007844408</v>
      </c>
      <c r="Q49" s="27">
        <f t="shared" ca="1" si="16"/>
        <v>417.60535737298483</v>
      </c>
      <c r="R49" s="5"/>
      <c r="S49" s="21"/>
      <c r="T49" s="21"/>
      <c r="U49" s="21"/>
      <c r="V49" s="21"/>
      <c r="W49" s="21"/>
      <c r="X49" s="21"/>
      <c r="Y49" s="21"/>
      <c r="Z49" s="21"/>
      <c r="AA49" s="21"/>
      <c r="AB49" s="21"/>
      <c r="AC49" s="21"/>
      <c r="AD49" s="21"/>
      <c r="AE49" s="30">
        <f ca="1">AE48</f>
        <v>417.63248800045972</v>
      </c>
      <c r="AF49" s="30">
        <f ca="1">Q49</f>
        <v>417.60535737298483</v>
      </c>
      <c r="AG49" s="21"/>
      <c r="AH49" s="21"/>
      <c r="AI49" s="21"/>
      <c r="AJ49" s="21"/>
      <c r="AK49" s="21"/>
      <c r="AL49" s="21"/>
      <c r="AM49" s="21"/>
      <c r="AN49" s="21"/>
      <c r="AO49" s="21"/>
      <c r="AP49" s="21"/>
      <c r="AQ49" s="21">
        <f t="shared" si="13"/>
        <v>417.61799999999999</v>
      </c>
      <c r="AR49" s="21">
        <f t="shared" si="14"/>
        <v>417.68199999999996</v>
      </c>
    </row>
    <row r="50" spans="1:44">
      <c r="A50" s="90" t="s">
        <v>412</v>
      </c>
      <c r="B50" s="90" t="s">
        <v>413</v>
      </c>
      <c r="C50" s="90">
        <v>417.63099999999997</v>
      </c>
      <c r="D50" s="1"/>
      <c r="J50" s="5">
        <v>11</v>
      </c>
      <c r="K50" s="23">
        <f t="shared" si="15"/>
        <v>203.64</v>
      </c>
      <c r="L50" s="24">
        <f t="shared" si="8"/>
        <v>10</v>
      </c>
      <c r="M50" s="5">
        <f t="shared" ca="1" si="9"/>
        <v>417.57100020236084</v>
      </c>
      <c r="N50" s="25">
        <f t="shared" ca="1" si="10"/>
        <v>2.35554661495472E-3</v>
      </c>
      <c r="O50" s="26">
        <f t="shared" si="11"/>
        <v>1.1399999999999864</v>
      </c>
      <c r="P50" s="27">
        <f t="shared" ca="1" si="12"/>
        <v>417.5736855255019</v>
      </c>
      <c r="Q50" s="27">
        <f t="shared" ca="1" si="16"/>
        <v>417.58312280197299</v>
      </c>
      <c r="R50" s="5"/>
      <c r="S50" s="21"/>
      <c r="T50" s="21"/>
      <c r="U50" s="21"/>
      <c r="V50" s="21"/>
      <c r="W50" s="21"/>
      <c r="X50" s="21"/>
      <c r="Y50" s="21"/>
      <c r="Z50" s="21"/>
      <c r="AA50" s="21"/>
      <c r="AB50" s="21"/>
      <c r="AC50" s="21"/>
      <c r="AD50" s="21"/>
      <c r="AE50" s="21"/>
      <c r="AF50" s="30">
        <f ca="1">AF49</f>
        <v>417.60535737298483</v>
      </c>
      <c r="AG50" s="30">
        <f ca="1">Q50</f>
        <v>417.58312280197299</v>
      </c>
      <c r="AH50" s="21"/>
      <c r="AI50" s="21"/>
      <c r="AJ50" s="21"/>
      <c r="AK50" s="21"/>
      <c r="AL50" s="21"/>
      <c r="AM50" s="21"/>
      <c r="AN50" s="21"/>
      <c r="AO50" s="21"/>
      <c r="AP50" s="21"/>
      <c r="AQ50" s="21">
        <f t="shared" si="13"/>
        <v>417.61799999999999</v>
      </c>
      <c r="AR50" s="21">
        <f t="shared" si="14"/>
        <v>417.68199999999996</v>
      </c>
    </row>
    <row r="51" spans="1:44">
      <c r="A51" s="90" t="s">
        <v>867</v>
      </c>
      <c r="B51" s="90" t="s">
        <v>415</v>
      </c>
      <c r="C51" s="90">
        <v>-1E-3</v>
      </c>
      <c r="D51" s="1"/>
      <c r="J51" s="5">
        <v>10</v>
      </c>
      <c r="K51" s="23">
        <f t="shared" si="15"/>
        <v>218.64</v>
      </c>
      <c r="L51" s="24">
        <f t="shared" si="8"/>
        <v>10</v>
      </c>
      <c r="M51" s="5">
        <f t="shared" ca="1" si="9"/>
        <v>417.57100020236084</v>
      </c>
      <c r="N51" s="25">
        <f t="shared" ca="1" si="10"/>
        <v>2.35554661495472E-3</v>
      </c>
      <c r="O51" s="26">
        <f t="shared" si="11"/>
        <v>16.139999999999986</v>
      </c>
      <c r="P51" s="27">
        <f t="shared" ca="1" si="12"/>
        <v>417.60901872472618</v>
      </c>
      <c r="Q51" s="27">
        <f t="shared" ca="1" si="16"/>
        <v>417.59135212511404</v>
      </c>
      <c r="R51" s="5"/>
      <c r="S51" s="21"/>
      <c r="T51" s="21"/>
      <c r="U51" s="21"/>
      <c r="V51" s="21"/>
      <c r="W51" s="21"/>
      <c r="X51" s="21"/>
      <c r="Y51" s="21"/>
      <c r="Z51" s="21"/>
      <c r="AA51" s="21"/>
      <c r="AB51" s="21"/>
      <c r="AC51" s="21"/>
      <c r="AD51" s="21"/>
      <c r="AE51" s="21"/>
      <c r="AF51" s="21"/>
      <c r="AG51" s="30">
        <f ca="1">AG50</f>
        <v>417.58312280197299</v>
      </c>
      <c r="AH51" s="30">
        <f ca="1">Q51</f>
        <v>417.59135212511404</v>
      </c>
      <c r="AI51" s="21"/>
      <c r="AJ51" s="21"/>
      <c r="AK51" s="21"/>
      <c r="AL51" s="21"/>
      <c r="AM51" s="21"/>
      <c r="AN51" s="21"/>
      <c r="AO51" s="21"/>
      <c r="AP51" s="21"/>
      <c r="AQ51" s="21">
        <f t="shared" si="13"/>
        <v>417.61799999999999</v>
      </c>
      <c r="AR51" s="21">
        <f t="shared" si="14"/>
        <v>417.68199999999996</v>
      </c>
    </row>
    <row r="52" spans="1:44">
      <c r="A52" s="121" t="s">
        <v>868</v>
      </c>
      <c r="B52" s="90" t="s">
        <v>417</v>
      </c>
      <c r="C52" s="90">
        <v>-41.280999999999999</v>
      </c>
      <c r="D52" s="1"/>
      <c r="J52" s="5">
        <v>9</v>
      </c>
      <c r="K52" s="23">
        <f t="shared" si="15"/>
        <v>233.64</v>
      </c>
      <c r="L52" s="24">
        <f t="shared" si="8"/>
        <v>11</v>
      </c>
      <c r="M52" s="5">
        <f t="shared" ca="1" si="9"/>
        <v>417.62400000119732</v>
      </c>
      <c r="N52" s="25">
        <f t="shared" ca="1" si="10"/>
        <v>3.733333492922005E-3</v>
      </c>
      <c r="O52" s="26">
        <f t="shared" si="11"/>
        <v>8.6399999999999864</v>
      </c>
      <c r="P52" s="27">
        <f t="shared" ca="1" si="12"/>
        <v>417.65625600257619</v>
      </c>
      <c r="Q52" s="27">
        <f t="shared" ca="1" si="16"/>
        <v>417.63263736365116</v>
      </c>
      <c r="R52" s="5"/>
      <c r="S52" s="21"/>
      <c r="T52" s="21"/>
      <c r="U52" s="21"/>
      <c r="V52" s="21"/>
      <c r="W52" s="21"/>
      <c r="X52" s="21"/>
      <c r="Y52" s="21"/>
      <c r="Z52" s="21"/>
      <c r="AA52" s="21"/>
      <c r="AB52" s="21"/>
      <c r="AC52" s="21"/>
      <c r="AD52" s="21"/>
      <c r="AE52" s="21"/>
      <c r="AF52" s="21"/>
      <c r="AG52" s="21"/>
      <c r="AH52" s="30">
        <f ca="1">AH51</f>
        <v>417.59135212511404</v>
      </c>
      <c r="AI52" s="30">
        <f ca="1">Q52</f>
        <v>417.63263736365116</v>
      </c>
      <c r="AJ52" s="21"/>
      <c r="AK52" s="21"/>
      <c r="AL52" s="21"/>
      <c r="AM52" s="21"/>
      <c r="AN52" s="21"/>
      <c r="AO52" s="21"/>
      <c r="AP52" s="21"/>
      <c r="AQ52" s="21">
        <f t="shared" si="13"/>
        <v>417.61799999999999</v>
      </c>
      <c r="AR52" s="21">
        <f t="shared" si="14"/>
        <v>417.68199999999996</v>
      </c>
    </row>
    <row r="53" spans="1:44">
      <c r="A53" s="90" t="s">
        <v>412</v>
      </c>
      <c r="B53" s="90" t="s">
        <v>413</v>
      </c>
      <c r="C53" s="90">
        <v>417.65499999999997</v>
      </c>
      <c r="D53" s="1"/>
      <c r="J53" s="5">
        <v>8</v>
      </c>
      <c r="K53" s="23">
        <f t="shared" si="15"/>
        <v>248.64</v>
      </c>
      <c r="L53" s="24">
        <f t="shared" si="8"/>
        <v>12</v>
      </c>
      <c r="M53" s="5">
        <f t="shared" ca="1" si="9"/>
        <v>417.70800000478806</v>
      </c>
      <c r="N53" s="25">
        <f t="shared" ca="1" si="10"/>
        <v>8.8888729285625033E-5</v>
      </c>
      <c r="O53" s="26">
        <f t="shared" si="11"/>
        <v>1.1399999999999864</v>
      </c>
      <c r="P53" s="27">
        <f t="shared" ca="1" si="12"/>
        <v>417.70810133793947</v>
      </c>
      <c r="Q53" s="27">
        <f t="shared" ca="1" si="16"/>
        <v>417.68217867025783</v>
      </c>
      <c r="R53" s="5"/>
      <c r="S53" s="21"/>
      <c r="T53" s="21"/>
      <c r="U53" s="21"/>
      <c r="V53" s="21"/>
      <c r="W53" s="21"/>
      <c r="X53" s="21"/>
      <c r="Y53" s="21"/>
      <c r="Z53" s="21"/>
      <c r="AA53" s="21"/>
      <c r="AB53" s="21"/>
      <c r="AC53" s="21"/>
      <c r="AD53" s="21"/>
      <c r="AE53" s="21"/>
      <c r="AF53" s="21"/>
      <c r="AG53" s="21"/>
      <c r="AH53" s="30"/>
      <c r="AI53" s="30">
        <f ca="1">AI52</f>
        <v>417.63263736365116</v>
      </c>
      <c r="AJ53" s="30">
        <f ca="1">Q53</f>
        <v>417.68217867025783</v>
      </c>
      <c r="AK53" s="21"/>
      <c r="AL53" s="21"/>
      <c r="AM53" s="21"/>
      <c r="AN53" s="21"/>
      <c r="AO53" s="21"/>
      <c r="AP53" s="21"/>
      <c r="AQ53" s="21">
        <f t="shared" si="13"/>
        <v>417.61799999999999</v>
      </c>
      <c r="AR53" s="21">
        <f t="shared" si="14"/>
        <v>417.68199999999996</v>
      </c>
    </row>
    <row r="54" spans="1:44">
      <c r="A54" s="90" t="s">
        <v>869</v>
      </c>
      <c r="B54" s="90" t="s">
        <v>415</v>
      </c>
      <c r="C54" s="90">
        <v>-2E-3</v>
      </c>
      <c r="D54" s="1"/>
      <c r="J54" s="5">
        <v>7</v>
      </c>
      <c r="K54" s="23">
        <f t="shared" si="15"/>
        <v>263.64</v>
      </c>
      <c r="L54" s="24">
        <f t="shared" si="8"/>
        <v>12</v>
      </c>
      <c r="M54" s="5">
        <f t="shared" ca="1" si="9"/>
        <v>417.70800000478806</v>
      </c>
      <c r="N54" s="25">
        <f t="shared" ca="1" si="10"/>
        <v>8.8888729285625033E-5</v>
      </c>
      <c r="O54" s="26">
        <f t="shared" si="11"/>
        <v>16.139999999999986</v>
      </c>
      <c r="P54" s="27">
        <f t="shared" ca="1" si="12"/>
        <v>417.70943466887871</v>
      </c>
      <c r="Q54" s="27">
        <f t="shared" ca="1" si="16"/>
        <v>417.70876800340909</v>
      </c>
      <c r="R54" s="5"/>
      <c r="S54" s="21"/>
      <c r="T54" s="21"/>
      <c r="U54" s="21"/>
      <c r="V54" s="21"/>
      <c r="W54" s="21"/>
      <c r="X54" s="21"/>
      <c r="Y54" s="21"/>
      <c r="Z54" s="21"/>
      <c r="AA54" s="21"/>
      <c r="AB54" s="21"/>
      <c r="AC54" s="21"/>
      <c r="AD54" s="21"/>
      <c r="AE54" s="21"/>
      <c r="AF54" s="21"/>
      <c r="AG54" s="21"/>
      <c r="AH54" s="30"/>
      <c r="AI54" s="30"/>
      <c r="AJ54" s="30">
        <f ca="1">AJ53</f>
        <v>417.68217867025783</v>
      </c>
      <c r="AK54" s="30">
        <f ca="1">Q54</f>
        <v>417.70876800340909</v>
      </c>
      <c r="AL54" s="21"/>
      <c r="AM54" s="21"/>
      <c r="AN54" s="21"/>
      <c r="AO54" s="21"/>
      <c r="AP54" s="21"/>
      <c r="AQ54" s="21">
        <f t="shared" si="13"/>
        <v>417.61799999999999</v>
      </c>
      <c r="AR54" s="21">
        <f t="shared" si="14"/>
        <v>417.68199999999996</v>
      </c>
    </row>
    <row r="55" spans="1:44">
      <c r="A55" s="121" t="s">
        <v>870</v>
      </c>
      <c r="B55" s="90" t="s">
        <v>417</v>
      </c>
      <c r="C55" s="90">
        <v>-41.296999999999997</v>
      </c>
      <c r="D55" s="1"/>
      <c r="J55" s="5">
        <v>6</v>
      </c>
      <c r="K55" s="23">
        <f t="shared" si="15"/>
        <v>278.64</v>
      </c>
      <c r="L55" s="24">
        <f t="shared" si="8"/>
        <v>13</v>
      </c>
      <c r="M55" s="5">
        <f t="shared" ca="1" si="9"/>
        <v>417.71000000119699</v>
      </c>
      <c r="N55" s="25">
        <f t="shared" ca="1" si="10"/>
        <v>-2.4888889420885286E-3</v>
      </c>
      <c r="O55" s="26">
        <f t="shared" si="11"/>
        <v>8.6399999999999864</v>
      </c>
      <c r="P55" s="27">
        <f t="shared" ca="1" si="12"/>
        <v>417.68849600073736</v>
      </c>
      <c r="Q55" s="27">
        <f t="shared" ca="1" si="16"/>
        <v>417.69896533480801</v>
      </c>
      <c r="R55" s="5"/>
      <c r="S55" s="21"/>
      <c r="T55" s="21"/>
      <c r="U55" s="21"/>
      <c r="V55" s="21"/>
      <c r="W55" s="21"/>
      <c r="X55" s="21"/>
      <c r="Y55" s="21"/>
      <c r="Z55" s="21"/>
      <c r="AA55" s="21"/>
      <c r="AB55" s="21"/>
      <c r="AC55" s="21"/>
      <c r="AD55" s="21"/>
      <c r="AE55" s="21"/>
      <c r="AF55" s="21"/>
      <c r="AG55" s="21"/>
      <c r="AH55" s="30"/>
      <c r="AI55" s="30"/>
      <c r="AJ55" s="21"/>
      <c r="AK55" s="30">
        <f ca="1">AK54</f>
        <v>417.70876800340909</v>
      </c>
      <c r="AL55" s="30">
        <f ca="1">Q55</f>
        <v>417.69896533480801</v>
      </c>
      <c r="AM55" s="21"/>
      <c r="AN55" s="21"/>
      <c r="AO55" s="21"/>
      <c r="AP55" s="21"/>
      <c r="AQ55" s="21">
        <f t="shared" si="13"/>
        <v>417.61799999999999</v>
      </c>
      <c r="AR55" s="21">
        <f t="shared" si="14"/>
        <v>417.68199999999996</v>
      </c>
    </row>
    <row r="56" spans="1:44">
      <c r="A56" s="90" t="s">
        <v>412</v>
      </c>
      <c r="B56" s="90" t="s">
        <v>413</v>
      </c>
      <c r="C56" s="90">
        <v>417.65300000000002</v>
      </c>
      <c r="D56" s="1"/>
      <c r="J56" s="5">
        <v>5</v>
      </c>
      <c r="K56" s="23">
        <f t="shared" si="15"/>
        <v>293.64</v>
      </c>
      <c r="L56" s="24">
        <f t="shared" si="8"/>
        <v>14</v>
      </c>
      <c r="M56" s="5">
        <f t="shared" ca="1" si="9"/>
        <v>417.654</v>
      </c>
      <c r="N56" s="25">
        <f t="shared" ca="1" si="10"/>
        <v>-4.1777777245569168E-3</v>
      </c>
      <c r="O56" s="26">
        <f t="shared" si="11"/>
        <v>1.1399999999999864</v>
      </c>
      <c r="P56" s="27">
        <f t="shared" ca="1" si="12"/>
        <v>417.64923733339401</v>
      </c>
      <c r="Q56" s="27">
        <f t="shared" ca="1" si="16"/>
        <v>417.66886666706569</v>
      </c>
      <c r="R56" s="5"/>
      <c r="S56" s="21"/>
      <c r="T56" s="21"/>
      <c r="U56" s="21"/>
      <c r="V56" s="21"/>
      <c r="W56" s="21"/>
      <c r="X56" s="21"/>
      <c r="Y56" s="21"/>
      <c r="Z56" s="21"/>
      <c r="AA56" s="21"/>
      <c r="AB56" s="21"/>
      <c r="AC56" s="21"/>
      <c r="AD56" s="21"/>
      <c r="AE56" s="21"/>
      <c r="AF56" s="21"/>
      <c r="AG56" s="21"/>
      <c r="AH56" s="30"/>
      <c r="AI56" s="30"/>
      <c r="AJ56" s="21"/>
      <c r="AK56" s="21"/>
      <c r="AL56" s="30">
        <f ca="1">AL55</f>
        <v>417.69896533480801</v>
      </c>
      <c r="AM56" s="30">
        <f ca="1">Q56</f>
        <v>417.66886666706569</v>
      </c>
      <c r="AN56" s="21"/>
      <c r="AO56" s="21"/>
      <c r="AP56" s="21"/>
      <c r="AQ56" s="21">
        <f t="shared" si="13"/>
        <v>417.61799999999999</v>
      </c>
      <c r="AR56" s="21">
        <f t="shared" si="14"/>
        <v>417.68199999999996</v>
      </c>
    </row>
    <row r="57" spans="1:44">
      <c r="A57" s="90" t="s">
        <v>871</v>
      </c>
      <c r="B57" s="90" t="s">
        <v>415</v>
      </c>
      <c r="C57" s="90">
        <v>1E-3</v>
      </c>
      <c r="D57" s="1"/>
      <c r="J57" s="5">
        <v>4</v>
      </c>
      <c r="K57" s="23">
        <f t="shared" si="15"/>
        <v>308.64</v>
      </c>
      <c r="L57" s="24">
        <f t="shared" si="8"/>
        <v>14</v>
      </c>
      <c r="M57" s="5">
        <f t="shared" ca="1" si="9"/>
        <v>417.654</v>
      </c>
      <c r="N57" s="25">
        <f t="shared" ca="1" si="10"/>
        <v>-4.1777777245569168E-3</v>
      </c>
      <c r="O57" s="26">
        <f t="shared" si="11"/>
        <v>16.139999999999986</v>
      </c>
      <c r="P57" s="27">
        <f t="shared" ca="1" si="12"/>
        <v>417.58657066752562</v>
      </c>
      <c r="Q57" s="27">
        <f t="shared" ca="1" si="16"/>
        <v>417.61790400045982</v>
      </c>
      <c r="R57" s="5"/>
      <c r="S57" s="21"/>
      <c r="T57" s="21"/>
      <c r="U57" s="21"/>
      <c r="V57" s="21"/>
      <c r="W57" s="21"/>
      <c r="X57" s="21"/>
      <c r="Y57" s="21"/>
      <c r="Z57" s="21"/>
      <c r="AA57" s="21"/>
      <c r="AB57" s="21"/>
      <c r="AC57" s="21"/>
      <c r="AD57" s="21"/>
      <c r="AE57" s="21"/>
      <c r="AF57" s="21"/>
      <c r="AG57" s="21"/>
      <c r="AH57" s="30"/>
      <c r="AI57" s="30"/>
      <c r="AJ57" s="21"/>
      <c r="AK57" s="21"/>
      <c r="AL57" s="21"/>
      <c r="AM57" s="30">
        <f ca="1">AM56</f>
        <v>417.66886666706569</v>
      </c>
      <c r="AN57" s="30">
        <f ca="1">Q57</f>
        <v>417.61790400045982</v>
      </c>
      <c r="AO57" s="30"/>
      <c r="AP57" s="21"/>
      <c r="AQ57" s="21">
        <f t="shared" si="13"/>
        <v>417.61799999999999</v>
      </c>
      <c r="AR57" s="21">
        <f t="shared" si="14"/>
        <v>417.68199999999996</v>
      </c>
    </row>
    <row r="58" spans="1:44">
      <c r="A58" s="121" t="s">
        <v>872</v>
      </c>
      <c r="B58" s="90" t="s">
        <v>417</v>
      </c>
      <c r="C58" s="90">
        <v>-41.308</v>
      </c>
      <c r="D58" s="1"/>
      <c r="J58" s="5">
        <v>3</v>
      </c>
      <c r="K58" s="23">
        <f t="shared" si="15"/>
        <v>323.64</v>
      </c>
      <c r="L58" s="24">
        <f t="shared" si="8"/>
        <v>15</v>
      </c>
      <c r="M58" s="5">
        <f t="shared" ca="1" si="9"/>
        <v>417.56000000119747</v>
      </c>
      <c r="N58" s="25">
        <f t="shared" ca="1" si="10"/>
        <v>4.2575215451910887E-10</v>
      </c>
      <c r="O58" s="26">
        <f t="shared" si="11"/>
        <v>8.6399999999999864</v>
      </c>
      <c r="P58" s="27">
        <f t="shared" ca="1" si="12"/>
        <v>417.56000000487597</v>
      </c>
      <c r="Q58" s="27">
        <f t="shared" ca="1" si="16"/>
        <v>417.5732853362008</v>
      </c>
      <c r="R58" s="5"/>
      <c r="S58" s="21"/>
      <c r="T58" s="21"/>
      <c r="U58" s="21"/>
      <c r="V58" s="21"/>
      <c r="W58" s="21"/>
      <c r="X58" s="21"/>
      <c r="Y58" s="21"/>
      <c r="Z58" s="21"/>
      <c r="AA58" s="21"/>
      <c r="AB58" s="21"/>
      <c r="AC58" s="21"/>
      <c r="AD58" s="21"/>
      <c r="AE58" s="21"/>
      <c r="AF58" s="21"/>
      <c r="AG58" s="21"/>
      <c r="AH58" s="30"/>
      <c r="AI58" s="30"/>
      <c r="AJ58" s="21"/>
      <c r="AK58" s="21"/>
      <c r="AL58" s="21"/>
      <c r="AM58" s="30"/>
      <c r="AN58" s="30">
        <f ca="1">AN57</f>
        <v>417.61790400045982</v>
      </c>
      <c r="AO58" s="30">
        <f ca="1">Q58</f>
        <v>417.5732853362008</v>
      </c>
      <c r="AP58" s="21"/>
      <c r="AQ58" s="21">
        <f t="shared" si="13"/>
        <v>417.61799999999999</v>
      </c>
      <c r="AR58" s="21">
        <f t="shared" si="14"/>
        <v>417.68199999999996</v>
      </c>
    </row>
    <row r="59" spans="1:44">
      <c r="A59" s="1" t="s">
        <v>1034</v>
      </c>
      <c r="C59" t="s">
        <v>411</v>
      </c>
      <c r="D59" s="1"/>
      <c r="J59" s="5">
        <v>2</v>
      </c>
      <c r="K59" s="23">
        <f t="shared" si="15"/>
        <v>338.64</v>
      </c>
      <c r="L59" s="24">
        <f t="shared" si="8"/>
        <v>16</v>
      </c>
      <c r="M59" s="5">
        <f ca="1">VLOOKUP(L59, $H$11:$K$27, 4, FALSE)</f>
        <v>417.56000001077689</v>
      </c>
      <c r="N59" s="25">
        <f t="shared" ca="1" si="10"/>
        <v>2.8444440186856609E-3</v>
      </c>
      <c r="O59" s="26">
        <f t="shared" si="11"/>
        <v>1.1399999999999864</v>
      </c>
      <c r="P59" s="27">
        <f t="shared" ca="1" si="12"/>
        <v>417.56324267695817</v>
      </c>
      <c r="Q59" s="27">
        <f ca="1">(P57+P59)/2</f>
        <v>417.57490667224192</v>
      </c>
      <c r="R59" s="5"/>
      <c r="S59" s="31"/>
      <c r="T59" s="31"/>
      <c r="U59" s="31"/>
      <c r="V59" s="31"/>
      <c r="W59" s="31"/>
      <c r="X59" s="31"/>
      <c r="Y59" s="31"/>
      <c r="Z59" s="31"/>
      <c r="AA59" s="31"/>
      <c r="AB59" s="31"/>
      <c r="AC59" s="31"/>
      <c r="AD59" s="31"/>
      <c r="AE59" s="31"/>
      <c r="AF59" s="31"/>
      <c r="AG59" s="31"/>
      <c r="AH59" s="31"/>
      <c r="AI59" s="32"/>
      <c r="AJ59" s="32"/>
      <c r="AK59" s="32"/>
      <c r="AL59" s="32"/>
      <c r="AM59" s="32"/>
      <c r="AN59" s="32"/>
      <c r="AO59" s="32">
        <f ca="1">AO58</f>
        <v>417.5732853362008</v>
      </c>
      <c r="AP59" s="32">
        <f ca="1">Q59</f>
        <v>417.57490667224192</v>
      </c>
      <c r="AQ59" s="31">
        <f t="shared" si="13"/>
        <v>417.61799999999999</v>
      </c>
      <c r="AR59" s="31">
        <f t="shared" si="14"/>
        <v>417.68199999999996</v>
      </c>
    </row>
    <row r="60" spans="1:44">
      <c r="A60" s="90" t="s">
        <v>412</v>
      </c>
      <c r="B60" s="90" t="s">
        <v>413</v>
      </c>
      <c r="C60" s="90">
        <v>417.62400000000002</v>
      </c>
      <c r="D60" s="1"/>
    </row>
    <row r="61" spans="1:44">
      <c r="A61" s="90" t="s">
        <v>876</v>
      </c>
      <c r="B61" s="90" t="s">
        <v>415</v>
      </c>
      <c r="C61" s="90">
        <v>-1E-3</v>
      </c>
      <c r="D61" s="1"/>
    </row>
    <row r="62" spans="1:44">
      <c r="A62" s="121" t="s">
        <v>877</v>
      </c>
      <c r="B62" s="90" t="s">
        <v>417</v>
      </c>
      <c r="C62" s="90">
        <v>-30.771000000000001</v>
      </c>
      <c r="D62" s="1"/>
      <c r="J62" s="33"/>
      <c r="K62" s="33"/>
      <c r="L62" s="33"/>
      <c r="M62" s="33"/>
      <c r="N62" s="33"/>
      <c r="O62" s="33"/>
      <c r="P62" s="33"/>
      <c r="Q62" s="33"/>
      <c r="R62" s="33"/>
      <c r="S62" s="5"/>
      <c r="T62" s="33"/>
      <c r="U62" s="33"/>
      <c r="V62" s="33"/>
      <c r="W62" s="33"/>
      <c r="X62" s="33"/>
      <c r="Y62" s="33"/>
      <c r="Z62" s="33"/>
      <c r="AA62" s="33"/>
      <c r="AB62" s="33"/>
      <c r="AC62" s="33"/>
    </row>
    <row r="63" spans="1:44">
      <c r="A63" s="90" t="s">
        <v>412</v>
      </c>
      <c r="B63" s="90" t="s">
        <v>413</v>
      </c>
      <c r="C63" s="90">
        <v>417.56</v>
      </c>
      <c r="D63" s="1"/>
      <c r="J63" s="33"/>
      <c r="K63" s="33"/>
      <c r="L63" s="33"/>
      <c r="M63" s="33"/>
      <c r="N63" s="33"/>
      <c r="O63" s="33"/>
      <c r="P63" s="33"/>
      <c r="Q63" s="33"/>
      <c r="R63" s="33"/>
      <c r="S63" s="5"/>
      <c r="T63" s="33"/>
      <c r="U63" s="33"/>
      <c r="V63" s="33"/>
      <c r="W63" s="33"/>
      <c r="X63" s="33"/>
      <c r="Y63" s="33"/>
      <c r="Z63" s="33"/>
      <c r="AA63" s="33"/>
      <c r="AB63" s="33"/>
      <c r="AC63" s="33"/>
    </row>
    <row r="64" spans="1:44">
      <c r="A64" s="90" t="s">
        <v>878</v>
      </c>
      <c r="B64" s="90" t="s">
        <v>415</v>
      </c>
      <c r="C64" s="90">
        <v>3.0000000000000001E-3</v>
      </c>
      <c r="D64" s="1"/>
      <c r="J64" s="33"/>
      <c r="K64" s="33"/>
      <c r="L64" s="33"/>
      <c r="M64" s="33"/>
      <c r="N64" s="33"/>
      <c r="O64" s="33"/>
      <c r="P64" s="33"/>
      <c r="Q64" s="33"/>
      <c r="R64" s="33"/>
      <c r="S64" s="5"/>
      <c r="T64" s="33"/>
      <c r="U64" s="33"/>
      <c r="V64" s="33"/>
      <c r="W64" s="33"/>
      <c r="X64" s="33"/>
      <c r="Y64" s="33"/>
      <c r="Z64" s="33"/>
      <c r="AA64" s="33"/>
      <c r="AB64" s="33"/>
      <c r="AC64" s="33"/>
    </row>
    <row r="65" spans="1:29">
      <c r="A65" s="121" t="s">
        <v>879</v>
      </c>
      <c r="B65" s="90" t="s">
        <v>417</v>
      </c>
      <c r="C65" s="90">
        <v>-30.744</v>
      </c>
      <c r="J65" s="33"/>
      <c r="K65" s="33"/>
      <c r="L65" s="33"/>
      <c r="M65" s="33"/>
      <c r="N65" s="33"/>
      <c r="O65" s="33"/>
      <c r="P65" s="33"/>
      <c r="Q65" s="33"/>
      <c r="R65" s="33"/>
      <c r="S65" s="5"/>
      <c r="T65" s="33"/>
      <c r="U65" s="33"/>
      <c r="V65" s="33"/>
      <c r="W65" s="33"/>
      <c r="X65" s="33"/>
      <c r="Y65" s="33"/>
      <c r="Z65" s="33"/>
      <c r="AA65" s="33"/>
      <c r="AB65" s="33"/>
      <c r="AC65" s="33"/>
    </row>
    <row r="66" spans="1:29">
      <c r="A66" s="90" t="s">
        <v>412</v>
      </c>
      <c r="B66" s="90" t="s">
        <v>413</v>
      </c>
      <c r="C66" s="90">
        <v>417.56</v>
      </c>
      <c r="J66" s="33"/>
      <c r="K66" s="33"/>
      <c r="L66" s="33"/>
      <c r="M66" s="33"/>
      <c r="N66" s="33"/>
      <c r="O66" s="33"/>
      <c r="P66" s="33"/>
      <c r="Q66" s="33"/>
      <c r="R66" s="33"/>
      <c r="S66" s="5"/>
      <c r="T66" s="33"/>
      <c r="U66" s="33"/>
      <c r="V66" s="33"/>
      <c r="W66" s="33"/>
      <c r="X66" s="33"/>
      <c r="Y66" s="33"/>
      <c r="Z66" s="33"/>
      <c r="AA66" s="33"/>
      <c r="AB66" s="33"/>
      <c r="AC66" s="33"/>
    </row>
    <row r="67" spans="1:29">
      <c r="A67" s="90" t="s">
        <v>880</v>
      </c>
      <c r="B67" s="90" t="s">
        <v>415</v>
      </c>
      <c r="C67" s="90">
        <v>1E-3</v>
      </c>
      <c r="J67" s="33"/>
      <c r="K67" s="33"/>
      <c r="L67" s="33"/>
      <c r="M67" s="33"/>
      <c r="N67" s="33"/>
      <c r="O67" s="33"/>
      <c r="P67" s="33"/>
      <c r="Q67" s="33"/>
      <c r="R67" s="33"/>
      <c r="S67" s="5"/>
      <c r="T67" s="33"/>
      <c r="U67" s="33"/>
      <c r="V67" s="33"/>
      <c r="W67" s="33"/>
      <c r="X67" s="33"/>
      <c r="Y67" s="33"/>
      <c r="Z67" s="33"/>
      <c r="AA67" s="33"/>
      <c r="AB67" s="33"/>
      <c r="AC67" s="33"/>
    </row>
    <row r="68" spans="1:29">
      <c r="A68" s="121" t="s">
        <v>881</v>
      </c>
      <c r="B68" s="90" t="s">
        <v>417</v>
      </c>
      <c r="C68" s="90">
        <v>-30.742000000000001</v>
      </c>
      <c r="J68" s="33"/>
      <c r="K68" s="33"/>
      <c r="L68" s="33"/>
      <c r="M68" s="33"/>
      <c r="N68" s="33"/>
      <c r="O68" s="33"/>
      <c r="P68" s="33"/>
      <c r="Q68" s="33"/>
      <c r="R68" s="33"/>
      <c r="S68" s="5"/>
      <c r="T68" s="33"/>
      <c r="U68" s="33"/>
      <c r="V68" s="33"/>
      <c r="W68" s="33"/>
      <c r="X68" s="33"/>
      <c r="Y68" s="33"/>
      <c r="Z68" s="33"/>
      <c r="AA68" s="33"/>
      <c r="AB68" s="33"/>
      <c r="AC68" s="33"/>
    </row>
    <row r="69" spans="1:29">
      <c r="A69" s="90" t="s">
        <v>412</v>
      </c>
      <c r="B69" s="90" t="s">
        <v>413</v>
      </c>
      <c r="C69" s="90">
        <v>417.654</v>
      </c>
      <c r="J69" s="33"/>
      <c r="K69" s="33"/>
      <c r="L69" s="33"/>
      <c r="M69" s="33"/>
      <c r="N69" s="33"/>
      <c r="O69" s="33"/>
      <c r="P69" s="33"/>
      <c r="Q69" s="33"/>
      <c r="R69" s="33"/>
      <c r="S69" s="5"/>
      <c r="T69" s="33"/>
      <c r="U69" s="33"/>
      <c r="V69" s="33"/>
      <c r="W69" s="33"/>
      <c r="X69" s="33"/>
      <c r="Y69" s="33"/>
      <c r="Z69" s="33"/>
      <c r="AA69" s="33"/>
      <c r="AB69" s="33"/>
      <c r="AC69" s="33"/>
    </row>
    <row r="70" spans="1:29">
      <c r="A70" s="90" t="s">
        <v>882</v>
      </c>
      <c r="B70" s="90" t="s">
        <v>415</v>
      </c>
      <c r="C70" s="90">
        <v>0</v>
      </c>
      <c r="J70" s="33"/>
      <c r="K70" s="33"/>
      <c r="L70" s="33"/>
      <c r="M70" s="33"/>
      <c r="N70" s="33"/>
      <c r="O70" s="33"/>
      <c r="P70" s="33"/>
      <c r="Q70" s="33"/>
      <c r="R70" s="33"/>
      <c r="S70" s="5"/>
      <c r="T70" s="33"/>
      <c r="U70" s="33"/>
      <c r="V70" s="33"/>
      <c r="W70" s="33"/>
      <c r="X70" s="33"/>
      <c r="Y70" s="33"/>
      <c r="Z70" s="33"/>
      <c r="AA70" s="33"/>
      <c r="AB70" s="33"/>
      <c r="AC70" s="33"/>
    </row>
    <row r="71" spans="1:29">
      <c r="A71" s="121" t="s">
        <v>883</v>
      </c>
      <c r="B71" s="90" t="s">
        <v>417</v>
      </c>
      <c r="C71" s="90">
        <v>-30.768999999999998</v>
      </c>
      <c r="J71" s="33"/>
      <c r="K71" s="33"/>
      <c r="L71" s="33"/>
      <c r="M71" s="33"/>
      <c r="N71" s="33"/>
      <c r="O71" s="33"/>
      <c r="P71" s="33"/>
      <c r="Q71" s="33"/>
      <c r="R71" s="33"/>
      <c r="S71" s="5"/>
      <c r="T71" s="33"/>
      <c r="U71" s="33"/>
      <c r="V71" s="33"/>
      <c r="W71" s="33"/>
      <c r="X71" s="33"/>
      <c r="Y71" s="33"/>
      <c r="Z71" s="33"/>
      <c r="AA71" s="33"/>
      <c r="AB71" s="33"/>
      <c r="AC71" s="33"/>
    </row>
    <row r="72" spans="1:29">
      <c r="A72" s="90" t="s">
        <v>412</v>
      </c>
      <c r="B72" s="90" t="s">
        <v>413</v>
      </c>
      <c r="C72" s="90">
        <v>417.71</v>
      </c>
      <c r="J72" s="33"/>
      <c r="K72" s="33"/>
      <c r="L72" s="33"/>
      <c r="M72" s="33"/>
      <c r="N72" s="33"/>
      <c r="O72" s="33"/>
      <c r="P72" s="33"/>
      <c r="Q72" s="33"/>
      <c r="R72" s="33"/>
      <c r="S72" s="5"/>
      <c r="T72" s="33"/>
      <c r="U72" s="33"/>
      <c r="V72" s="33"/>
      <c r="W72" s="33"/>
      <c r="X72" s="33"/>
      <c r="Y72" s="33"/>
      <c r="Z72" s="33"/>
      <c r="AA72" s="33"/>
      <c r="AB72" s="33"/>
      <c r="AC72" s="33"/>
    </row>
    <row r="73" spans="1:29">
      <c r="A73" s="90" t="s">
        <v>884</v>
      </c>
      <c r="B73" s="90" t="s">
        <v>415</v>
      </c>
      <c r="C73" s="90">
        <v>-1E-3</v>
      </c>
      <c r="J73" s="33"/>
      <c r="K73" s="33"/>
      <c r="L73" s="33"/>
      <c r="M73" s="33"/>
      <c r="N73" s="33"/>
      <c r="O73" s="33"/>
      <c r="P73" s="33"/>
      <c r="Q73" s="33"/>
      <c r="R73" s="33"/>
      <c r="S73" s="5"/>
      <c r="T73" s="33"/>
      <c r="U73" s="33"/>
      <c r="V73" s="33"/>
      <c r="W73" s="33"/>
      <c r="X73" s="33"/>
      <c r="Y73" s="33"/>
      <c r="Z73" s="33"/>
      <c r="AA73" s="33"/>
      <c r="AB73" s="33"/>
      <c r="AC73" s="33"/>
    </row>
    <row r="74" spans="1:29">
      <c r="A74" s="121" t="s">
        <v>885</v>
      </c>
      <c r="B74" s="90" t="s">
        <v>417</v>
      </c>
      <c r="C74" s="90">
        <v>-30.794</v>
      </c>
      <c r="J74" s="33"/>
      <c r="K74" s="33"/>
      <c r="L74" s="33"/>
      <c r="M74" s="33"/>
      <c r="N74" s="33"/>
      <c r="O74" s="33"/>
      <c r="P74" s="33"/>
      <c r="Q74" s="33"/>
      <c r="R74" s="33"/>
      <c r="S74" s="5"/>
      <c r="T74" s="33"/>
      <c r="U74" s="33"/>
      <c r="V74" s="33"/>
      <c r="W74" s="33"/>
      <c r="X74" s="33"/>
      <c r="Y74" s="33"/>
      <c r="Z74" s="33"/>
      <c r="AA74" s="33"/>
      <c r="AB74" s="33"/>
      <c r="AC74" s="33"/>
    </row>
    <row r="75" spans="1:29">
      <c r="A75" s="90" t="s">
        <v>412</v>
      </c>
      <c r="B75" s="90" t="s">
        <v>413</v>
      </c>
      <c r="C75" s="90">
        <v>417.70800000000003</v>
      </c>
      <c r="J75" s="33"/>
      <c r="K75" s="33"/>
      <c r="L75" s="33"/>
      <c r="M75" s="33"/>
      <c r="N75" s="33"/>
      <c r="O75" s="33"/>
      <c r="P75" s="33"/>
      <c r="Q75" s="33"/>
      <c r="R75" s="33"/>
      <c r="S75" s="5"/>
      <c r="T75" s="33"/>
      <c r="U75" s="33"/>
      <c r="V75" s="33"/>
      <c r="W75" s="33"/>
      <c r="X75" s="33"/>
      <c r="Y75" s="33"/>
      <c r="Z75" s="33"/>
      <c r="AA75" s="33"/>
      <c r="AB75" s="33"/>
      <c r="AC75" s="33"/>
    </row>
    <row r="76" spans="1:29">
      <c r="A76" s="90" t="s">
        <v>886</v>
      </c>
      <c r="B76" s="90" t="s">
        <v>415</v>
      </c>
      <c r="C76" s="90">
        <v>2E-3</v>
      </c>
      <c r="J76" s="33"/>
      <c r="K76" s="33"/>
      <c r="L76" s="33"/>
      <c r="M76" s="33"/>
      <c r="N76" s="33"/>
      <c r="O76" s="33"/>
      <c r="P76" s="33"/>
      <c r="Q76" s="33"/>
      <c r="R76" s="33"/>
      <c r="S76" s="5"/>
      <c r="T76" s="33"/>
      <c r="U76" s="33"/>
      <c r="V76" s="33"/>
      <c r="W76" s="33"/>
      <c r="X76" s="33"/>
      <c r="Y76" s="33"/>
      <c r="Z76" s="33"/>
      <c r="AA76" s="33"/>
      <c r="AB76" s="33"/>
      <c r="AC76" s="33"/>
    </row>
    <row r="77" spans="1:29">
      <c r="A77" s="121" t="s">
        <v>887</v>
      </c>
      <c r="B77" s="90" t="s">
        <v>417</v>
      </c>
      <c r="C77" s="90">
        <v>-30.786999999999999</v>
      </c>
      <c r="J77" s="33"/>
      <c r="K77" s="33"/>
      <c r="L77" s="33"/>
      <c r="M77" s="33"/>
      <c r="N77" s="33"/>
      <c r="O77" s="33"/>
      <c r="P77" s="33"/>
      <c r="Q77" s="33"/>
      <c r="R77" s="33"/>
      <c r="S77" s="5"/>
      <c r="T77" s="33"/>
      <c r="U77" s="33"/>
      <c r="V77" s="33"/>
      <c r="W77" s="33"/>
      <c r="X77" s="33"/>
      <c r="Y77" s="33"/>
      <c r="Z77" s="33"/>
      <c r="AA77" s="33"/>
      <c r="AB77" s="33"/>
      <c r="AC77" s="33"/>
    </row>
    <row r="78" spans="1:29">
      <c r="A78" s="90" t="s">
        <v>412</v>
      </c>
      <c r="B78" s="90" t="s">
        <v>413</v>
      </c>
      <c r="C78" s="90">
        <v>417.62400000000002</v>
      </c>
      <c r="J78" s="33"/>
      <c r="K78" s="33"/>
      <c r="L78" s="33"/>
      <c r="M78" s="33"/>
      <c r="N78" s="33"/>
      <c r="O78" s="33"/>
      <c r="P78" s="33"/>
      <c r="Q78" s="33"/>
      <c r="R78" s="33"/>
      <c r="S78" s="5"/>
      <c r="T78" s="33"/>
      <c r="U78" s="33"/>
      <c r="V78" s="33"/>
      <c r="W78" s="33"/>
      <c r="X78" s="33"/>
      <c r="Y78" s="33"/>
      <c r="Z78" s="33"/>
      <c r="AA78" s="33"/>
      <c r="AB78" s="33"/>
      <c r="AC78" s="33"/>
    </row>
    <row r="79" spans="1:29">
      <c r="A79" s="90" t="s">
        <v>888</v>
      </c>
      <c r="B79" s="90" t="s">
        <v>415</v>
      </c>
      <c r="C79" s="90">
        <v>-1E-3</v>
      </c>
      <c r="J79" s="33"/>
      <c r="K79" s="33"/>
      <c r="L79" s="33"/>
      <c r="M79" s="33"/>
      <c r="N79" s="33"/>
      <c r="O79" s="33"/>
      <c r="P79" s="33"/>
      <c r="Q79" s="33"/>
      <c r="R79" s="33"/>
      <c r="S79" s="5"/>
      <c r="T79" s="33"/>
      <c r="U79" s="33"/>
      <c r="V79" s="33"/>
      <c r="W79" s="33"/>
      <c r="X79" s="33"/>
      <c r="Y79" s="33"/>
      <c r="Z79" s="33"/>
      <c r="AA79" s="33"/>
      <c r="AB79" s="33"/>
      <c r="AC79" s="33"/>
    </row>
    <row r="80" spans="1:29">
      <c r="A80" s="121" t="s">
        <v>889</v>
      </c>
      <c r="B80" s="90" t="s">
        <v>417</v>
      </c>
      <c r="C80" s="90">
        <v>-30.763999999999999</v>
      </c>
      <c r="J80" s="33"/>
      <c r="K80" s="33"/>
      <c r="L80" s="33"/>
      <c r="M80" s="33"/>
      <c r="N80" s="33"/>
      <c r="O80" s="33"/>
      <c r="P80" s="33"/>
      <c r="Q80" s="33"/>
      <c r="R80" s="33"/>
      <c r="S80" s="5"/>
      <c r="T80" s="33"/>
      <c r="U80" s="33"/>
      <c r="V80" s="33"/>
      <c r="W80" s="33"/>
      <c r="X80" s="33"/>
      <c r="Y80" s="33"/>
      <c r="Z80" s="33"/>
      <c r="AA80" s="33"/>
      <c r="AB80" s="33"/>
      <c r="AC80" s="33"/>
    </row>
    <row r="81" spans="1:29">
      <c r="A81" s="90" t="s">
        <v>412</v>
      </c>
      <c r="B81" s="90" t="s">
        <v>413</v>
      </c>
      <c r="C81" s="90">
        <v>417.57100000000003</v>
      </c>
      <c r="J81" s="33"/>
      <c r="K81" s="33"/>
      <c r="L81" s="33"/>
      <c r="M81" s="33"/>
      <c r="N81" s="33"/>
      <c r="O81" s="33"/>
      <c r="P81" s="33"/>
      <c r="Q81" s="33"/>
      <c r="R81" s="33"/>
      <c r="S81" s="5"/>
      <c r="T81" s="33"/>
      <c r="U81" s="33"/>
      <c r="V81" s="33"/>
      <c r="W81" s="33"/>
      <c r="X81" s="33"/>
      <c r="Y81" s="33"/>
      <c r="Z81" s="33"/>
      <c r="AA81" s="33"/>
      <c r="AB81" s="33"/>
      <c r="AC81" s="33"/>
    </row>
    <row r="82" spans="1:29">
      <c r="A82" s="90" t="s">
        <v>890</v>
      </c>
      <c r="B82" s="90" t="s">
        <v>415</v>
      </c>
      <c r="C82" s="90">
        <v>-1.2999999999999999E-2</v>
      </c>
      <c r="J82" s="33"/>
      <c r="K82" s="33"/>
      <c r="L82" s="33"/>
      <c r="M82" s="33"/>
      <c r="N82" s="33"/>
      <c r="O82" s="33"/>
      <c r="P82" s="33"/>
      <c r="Q82" s="33"/>
      <c r="R82" s="33"/>
      <c r="S82" s="5"/>
      <c r="T82" s="33"/>
      <c r="U82" s="33"/>
      <c r="V82" s="33"/>
      <c r="W82" s="33"/>
      <c r="X82" s="33"/>
      <c r="Y82" s="33"/>
      <c r="Z82" s="33"/>
      <c r="AA82" s="33"/>
      <c r="AB82" s="33"/>
      <c r="AC82" s="33"/>
    </row>
    <row r="83" spans="1:29">
      <c r="A83" s="121" t="s">
        <v>891</v>
      </c>
      <c r="B83" s="90" t="s">
        <v>417</v>
      </c>
      <c r="C83" s="90">
        <v>-30.748000000000001</v>
      </c>
      <c r="J83" s="33"/>
      <c r="K83" s="33"/>
      <c r="L83" s="33"/>
      <c r="M83" s="33"/>
      <c r="N83" s="33"/>
      <c r="O83" s="33"/>
      <c r="P83" s="33"/>
      <c r="Q83" s="33"/>
      <c r="R83" s="33"/>
      <c r="S83" s="5"/>
      <c r="T83" s="33"/>
      <c r="U83" s="33"/>
      <c r="V83" s="33"/>
      <c r="W83" s="33"/>
      <c r="X83" s="33"/>
      <c r="Y83" s="33"/>
      <c r="Z83" s="33"/>
      <c r="AA83" s="33"/>
      <c r="AB83" s="33"/>
      <c r="AC83" s="33"/>
    </row>
    <row r="84" spans="1:29">
      <c r="A84" s="90" t="s">
        <v>412</v>
      </c>
      <c r="B84" s="90" t="s">
        <v>413</v>
      </c>
      <c r="C84" s="90">
        <v>417.60599999999999</v>
      </c>
      <c r="J84" s="33"/>
      <c r="K84" s="33"/>
      <c r="L84" s="33"/>
      <c r="M84" s="33"/>
      <c r="N84" s="33"/>
      <c r="O84" s="33"/>
      <c r="P84" s="33"/>
      <c r="Q84" s="33"/>
      <c r="R84" s="33"/>
      <c r="S84" s="5"/>
      <c r="T84" s="33"/>
      <c r="U84" s="33"/>
      <c r="V84" s="33"/>
      <c r="W84" s="33"/>
      <c r="X84" s="33"/>
      <c r="Y84" s="33"/>
      <c r="Z84" s="33"/>
      <c r="AA84" s="33"/>
      <c r="AB84" s="33"/>
      <c r="AC84" s="33"/>
    </row>
    <row r="85" spans="1:29">
      <c r="A85" s="90" t="s">
        <v>892</v>
      </c>
      <c r="B85" s="90" t="s">
        <v>415</v>
      </c>
      <c r="C85" s="90">
        <v>-1E-3</v>
      </c>
      <c r="J85" s="33"/>
      <c r="K85" s="33"/>
      <c r="L85" s="33"/>
      <c r="M85" s="33"/>
      <c r="N85" s="33"/>
      <c r="O85" s="33"/>
      <c r="P85" s="33"/>
      <c r="Q85" s="33"/>
      <c r="R85" s="33"/>
      <c r="S85" s="5"/>
      <c r="T85" s="33"/>
      <c r="U85" s="33"/>
      <c r="V85" s="33"/>
      <c r="W85" s="33"/>
      <c r="X85" s="33"/>
      <c r="Y85" s="33"/>
      <c r="Z85" s="33"/>
      <c r="AA85" s="33"/>
      <c r="AB85" s="33"/>
      <c r="AC85" s="33"/>
    </row>
    <row r="86" spans="1:29">
      <c r="A86" s="121" t="s">
        <v>893</v>
      </c>
      <c r="B86" s="90" t="s">
        <v>417</v>
      </c>
      <c r="C86" s="90">
        <v>-30.760999999999999</v>
      </c>
      <c r="J86" s="33"/>
      <c r="K86" s="33"/>
      <c r="L86" s="33"/>
      <c r="M86" s="33"/>
      <c r="N86" s="33"/>
      <c r="O86" s="33"/>
      <c r="P86" s="33"/>
      <c r="Q86" s="33"/>
      <c r="R86" s="33"/>
      <c r="S86" s="5"/>
      <c r="T86" s="33"/>
      <c r="U86" s="33"/>
      <c r="V86" s="33"/>
      <c r="W86" s="33"/>
      <c r="X86" s="33"/>
      <c r="Y86" s="33"/>
      <c r="Z86" s="33"/>
      <c r="AA86" s="33"/>
      <c r="AB86" s="33"/>
      <c r="AC86" s="33"/>
    </row>
    <row r="87" spans="1:29">
      <c r="A87" s="90" t="s">
        <v>412</v>
      </c>
      <c r="B87" s="90" t="s">
        <v>413</v>
      </c>
      <c r="C87" s="90">
        <v>417.649</v>
      </c>
      <c r="J87" s="33"/>
      <c r="K87" s="33"/>
      <c r="L87" s="33"/>
      <c r="M87" s="33"/>
      <c r="N87" s="33"/>
      <c r="O87" s="33"/>
      <c r="P87" s="33"/>
      <c r="Q87" s="33"/>
      <c r="R87" s="33"/>
      <c r="S87" s="5"/>
      <c r="T87" s="33"/>
      <c r="U87" s="33"/>
      <c r="V87" s="33"/>
      <c r="W87" s="33"/>
      <c r="X87" s="33"/>
      <c r="Y87" s="33"/>
      <c r="Z87" s="33"/>
      <c r="AA87" s="33"/>
      <c r="AB87" s="33"/>
      <c r="AC87" s="33"/>
    </row>
    <row r="88" spans="1:29">
      <c r="A88" s="90" t="s">
        <v>894</v>
      </c>
      <c r="B88" s="90" t="s">
        <v>415</v>
      </c>
      <c r="C88" s="90">
        <v>0</v>
      </c>
      <c r="J88" s="33"/>
      <c r="K88" s="33"/>
      <c r="L88" s="33"/>
      <c r="M88" s="33"/>
      <c r="N88" s="33"/>
      <c r="O88" s="33"/>
      <c r="P88" s="33"/>
      <c r="Q88" s="33"/>
      <c r="R88" s="33"/>
      <c r="S88" s="5"/>
      <c r="T88" s="33"/>
      <c r="U88" s="33"/>
      <c r="V88" s="33"/>
      <c r="W88" s="33"/>
      <c r="X88" s="33"/>
      <c r="Y88" s="33"/>
      <c r="Z88" s="33"/>
      <c r="AA88" s="33"/>
      <c r="AB88" s="33"/>
      <c r="AC88" s="33"/>
    </row>
    <row r="89" spans="1:29">
      <c r="A89" s="121" t="s">
        <v>895</v>
      </c>
      <c r="B89" s="90" t="s">
        <v>417</v>
      </c>
      <c r="C89" s="90">
        <v>-30.774000000000001</v>
      </c>
      <c r="J89" s="33"/>
      <c r="K89" s="33"/>
      <c r="L89" s="33"/>
      <c r="M89" s="33"/>
      <c r="N89" s="33"/>
      <c r="O89" s="33"/>
      <c r="P89" s="33"/>
      <c r="Q89" s="33"/>
      <c r="R89" s="33"/>
      <c r="S89" s="5"/>
      <c r="T89" s="33"/>
      <c r="U89" s="33"/>
      <c r="V89" s="33"/>
      <c r="W89" s="33"/>
      <c r="X89" s="33"/>
      <c r="Y89" s="33"/>
      <c r="Z89" s="33"/>
      <c r="AA89" s="33"/>
      <c r="AB89" s="33"/>
      <c r="AC89" s="33"/>
    </row>
    <row r="90" spans="1:29">
      <c r="A90" s="90" t="s">
        <v>412</v>
      </c>
      <c r="B90" s="90" t="s">
        <v>413</v>
      </c>
      <c r="C90" s="90">
        <v>417.642</v>
      </c>
      <c r="J90" s="33"/>
      <c r="K90" s="33"/>
      <c r="L90" s="33"/>
      <c r="M90" s="33"/>
      <c r="N90" s="33"/>
      <c r="O90" s="33"/>
      <c r="P90" s="33"/>
      <c r="Q90" s="33"/>
      <c r="R90" s="33"/>
      <c r="S90" s="5"/>
      <c r="T90" s="33"/>
      <c r="U90" s="33"/>
      <c r="V90" s="33"/>
      <c r="W90" s="33"/>
      <c r="X90" s="33"/>
      <c r="Y90" s="33"/>
      <c r="Z90" s="33"/>
      <c r="AA90" s="33"/>
      <c r="AB90" s="33"/>
      <c r="AC90" s="33"/>
    </row>
    <row r="91" spans="1:29">
      <c r="A91" s="90" t="s">
        <v>896</v>
      </c>
      <c r="B91" s="90" t="s">
        <v>415</v>
      </c>
      <c r="C91" s="90">
        <v>-1E-3</v>
      </c>
    </row>
    <row r="92" spans="1:29">
      <c r="A92" s="121" t="s">
        <v>897</v>
      </c>
      <c r="B92" s="90" t="s">
        <v>417</v>
      </c>
      <c r="C92" s="90">
        <v>-30.78</v>
      </c>
    </row>
    <row r="93" spans="1:29">
      <c r="A93" s="90" t="s">
        <v>412</v>
      </c>
      <c r="B93" s="90" t="s">
        <v>413</v>
      </c>
      <c r="C93" s="90">
        <v>417.65800000000002</v>
      </c>
    </row>
    <row r="94" spans="1:29">
      <c r="A94" s="90" t="s">
        <v>898</v>
      </c>
      <c r="B94" s="90" t="s">
        <v>415</v>
      </c>
      <c r="C94" s="90">
        <v>1E-3</v>
      </c>
    </row>
    <row r="95" spans="1:29">
      <c r="A95" s="121" t="s">
        <v>899</v>
      </c>
      <c r="B95" s="90" t="s">
        <v>417</v>
      </c>
      <c r="C95" s="90">
        <v>-30.774999999999999</v>
      </c>
    </row>
    <row r="96" spans="1:29">
      <c r="A96" s="90" t="s">
        <v>412</v>
      </c>
      <c r="B96" s="90" t="s">
        <v>413</v>
      </c>
      <c r="C96" s="90">
        <v>417.637</v>
      </c>
    </row>
    <row r="97" spans="1:3">
      <c r="A97" s="90" t="s">
        <v>900</v>
      </c>
      <c r="B97" s="90" t="s">
        <v>415</v>
      </c>
      <c r="C97" s="90">
        <v>-1E-3</v>
      </c>
    </row>
    <row r="98" spans="1:3">
      <c r="A98" s="121" t="s">
        <v>901</v>
      </c>
      <c r="B98" s="90" t="s">
        <v>417</v>
      </c>
      <c r="C98" s="90">
        <v>-30.773</v>
      </c>
    </row>
    <row r="99" spans="1:3">
      <c r="A99" s="90" t="s">
        <v>412</v>
      </c>
      <c r="B99" s="90" t="s">
        <v>413</v>
      </c>
      <c r="C99" s="90">
        <v>417.63600000000002</v>
      </c>
    </row>
    <row r="100" spans="1:3">
      <c r="A100" s="90" t="s">
        <v>902</v>
      </c>
      <c r="B100" s="90" t="s">
        <v>415</v>
      </c>
      <c r="C100" s="90">
        <v>-4.0000000000000001E-3</v>
      </c>
    </row>
    <row r="101" spans="1:3">
      <c r="A101" s="121" t="s">
        <v>903</v>
      </c>
      <c r="B101" s="90" t="s">
        <v>417</v>
      </c>
      <c r="C101" s="90">
        <v>-30.78</v>
      </c>
    </row>
    <row r="102" spans="1:3">
      <c r="A102" s="90" t="s">
        <v>412</v>
      </c>
      <c r="B102" s="90" t="s">
        <v>413</v>
      </c>
      <c r="C102" s="90">
        <v>417.66300000000001</v>
      </c>
    </row>
    <row r="103" spans="1:3">
      <c r="A103" s="90" t="s">
        <v>904</v>
      </c>
      <c r="B103" s="90" t="s">
        <v>415</v>
      </c>
      <c r="C103" s="90">
        <v>-2E-3</v>
      </c>
    </row>
    <row r="104" spans="1:3">
      <c r="A104" s="121" t="s">
        <v>905</v>
      </c>
      <c r="B104" s="90" t="s">
        <v>417</v>
      </c>
      <c r="C104" s="90">
        <v>-30.797000000000001</v>
      </c>
    </row>
    <row r="105" spans="1:3">
      <c r="A105" s="90" t="s">
        <v>412</v>
      </c>
      <c r="B105" s="90" t="s">
        <v>413</v>
      </c>
      <c r="C105" s="90">
        <v>417.66199999999998</v>
      </c>
    </row>
    <row r="106" spans="1:3">
      <c r="A106" s="90" t="s">
        <v>906</v>
      </c>
      <c r="B106" s="90" t="s">
        <v>415</v>
      </c>
      <c r="C106" s="90">
        <v>1E-3</v>
      </c>
    </row>
    <row r="107" spans="1:3">
      <c r="A107" s="121" t="s">
        <v>907</v>
      </c>
      <c r="B107" s="90" t="s">
        <v>417</v>
      </c>
      <c r="C107" s="90">
        <v>-30.806000000000001</v>
      </c>
    </row>
    <row r="108" spans="1:3">
      <c r="A108" s="1"/>
    </row>
    <row r="109" spans="1:3">
      <c r="A109" s="1"/>
    </row>
    <row r="110" spans="1:3">
      <c r="A110" s="1"/>
    </row>
    <row r="111" spans="1:3">
      <c r="A111" s="1"/>
    </row>
    <row r="112" spans="1:3">
      <c r="A112" s="1"/>
    </row>
    <row r="113" spans="1:1">
      <c r="A113" s="1"/>
    </row>
    <row r="114" spans="1:1">
      <c r="A114" s="1"/>
    </row>
    <row r="115" spans="1:1">
      <c r="A115" s="1"/>
    </row>
    <row r="116" spans="1:1">
      <c r="A116" s="1"/>
    </row>
    <row r="117" spans="1:1">
      <c r="A117" s="1"/>
    </row>
    <row r="118" spans="1:1">
      <c r="A118" s="1"/>
    </row>
  </sheetData>
  <mergeCells count="2">
    <mergeCell ref="J9:J10"/>
    <mergeCell ref="U9:U10"/>
  </mergeCells>
  <phoneticPr fontId="2"/>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Graph!$B$386:$B$387</xm:f>
          </x14:formula1>
          <xm:sqref>J7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92D050"/>
  </sheetPr>
  <dimension ref="A1:AX123"/>
  <sheetViews>
    <sheetView zoomScale="70" zoomScaleNormal="70" workbookViewId="0">
      <selection activeCell="M11" sqref="M11"/>
    </sheetView>
  </sheetViews>
  <sheetFormatPr defaultRowHeight="15"/>
  <cols>
    <col min="1" max="1" width="24.42578125" customWidth="1"/>
    <col min="2" max="9" width="9" customWidth="1"/>
    <col min="10" max="14" width="9" style="5"/>
  </cols>
  <sheetData>
    <row r="1" spans="1:27">
      <c r="A1" s="90" t="s">
        <v>908</v>
      </c>
      <c r="B1" s="90"/>
      <c r="C1" s="90"/>
      <c r="D1" s="90"/>
      <c r="E1" s="90"/>
      <c r="F1" s="90"/>
      <c r="G1" s="90"/>
      <c r="Y1" s="2"/>
      <c r="Z1" s="2"/>
      <c r="AA1" s="2"/>
    </row>
    <row r="2" spans="1:27">
      <c r="A2" s="90" t="s">
        <v>449</v>
      </c>
      <c r="B2" s="90" t="s">
        <v>450</v>
      </c>
      <c r="C2" s="90">
        <v>838.67600000000004</v>
      </c>
      <c r="D2" s="90" t="s">
        <v>451</v>
      </c>
      <c r="E2" s="90">
        <v>838.7</v>
      </c>
      <c r="F2" s="90"/>
      <c r="G2" s="90"/>
      <c r="Y2" s="2"/>
      <c r="Z2" s="2"/>
      <c r="AA2" s="2"/>
    </row>
    <row r="3" spans="1:27">
      <c r="A3" s="90" t="s">
        <v>909</v>
      </c>
      <c r="B3" s="90" t="s">
        <v>408</v>
      </c>
      <c r="C3" s="90">
        <v>-2.4E-2</v>
      </c>
      <c r="D3" s="90" t="s">
        <v>453</v>
      </c>
      <c r="E3" s="90">
        <v>6.4000000000000001E-2</v>
      </c>
      <c r="F3" s="90" t="s">
        <v>406</v>
      </c>
      <c r="G3" s="90"/>
      <c r="Y3" s="2"/>
      <c r="Z3" s="2"/>
      <c r="AA3" s="2"/>
    </row>
    <row r="4" spans="1:27">
      <c r="A4" s="121" t="s">
        <v>910</v>
      </c>
      <c r="B4" s="90" t="s">
        <v>455</v>
      </c>
      <c r="C4" s="90">
        <v>-6.4000000000000001E-2</v>
      </c>
      <c r="D4" s="90"/>
      <c r="E4" s="90"/>
      <c r="F4" s="90"/>
      <c r="G4" s="90"/>
      <c r="J4" s="5" t="s">
        <v>194</v>
      </c>
      <c r="Y4" s="2"/>
      <c r="Z4" s="2"/>
      <c r="AA4" s="2"/>
    </row>
    <row r="5" spans="1:27">
      <c r="A5" s="90" t="s">
        <v>1034</v>
      </c>
      <c r="B5" s="90"/>
      <c r="C5" s="90" t="s">
        <v>411</v>
      </c>
      <c r="D5" s="90"/>
      <c r="E5" s="90"/>
      <c r="F5" s="90"/>
      <c r="G5" s="90"/>
      <c r="L5" s="6" t="s">
        <v>1</v>
      </c>
      <c r="M5" s="6">
        <v>838.7</v>
      </c>
      <c r="N5" s="5" t="s">
        <v>65</v>
      </c>
      <c r="O5" s="5"/>
      <c r="Y5" s="2"/>
      <c r="Z5" s="2"/>
      <c r="AA5" s="2"/>
    </row>
    <row r="6" spans="1:27">
      <c r="A6" s="90" t="s">
        <v>412</v>
      </c>
      <c r="B6" s="90" t="s">
        <v>413</v>
      </c>
      <c r="C6" s="90">
        <v>419.32299999999998</v>
      </c>
      <c r="D6" s="90"/>
      <c r="E6" s="90"/>
      <c r="F6" s="90"/>
      <c r="G6" s="90"/>
      <c r="L6" s="6" t="s">
        <v>2</v>
      </c>
      <c r="M6" s="13">
        <f>M5+0.064</f>
        <v>838.76400000000001</v>
      </c>
      <c r="N6" s="5" t="s">
        <v>2</v>
      </c>
      <c r="O6" s="5">
        <v>838.83199999999999</v>
      </c>
      <c r="P6" s="56" t="str">
        <f>CONCATENATE("O/Max ", TEXT(O6-M6, "0.###"))</f>
        <v>O/Max 0.068</v>
      </c>
      <c r="Y6" s="2"/>
      <c r="Z6" s="2"/>
      <c r="AA6" s="2"/>
    </row>
    <row r="7" spans="1:27">
      <c r="A7" s="90" t="s">
        <v>911</v>
      </c>
      <c r="B7" s="90" t="s">
        <v>415</v>
      </c>
      <c r="C7" s="90">
        <v>0</v>
      </c>
      <c r="D7" s="90"/>
      <c r="E7" s="90"/>
      <c r="F7" s="90"/>
      <c r="G7" s="90"/>
      <c r="L7" s="6" t="s">
        <v>3</v>
      </c>
      <c r="M7" s="13">
        <f>M5-0.064</f>
        <v>838.63600000000008</v>
      </c>
      <c r="N7" s="5" t="s">
        <v>3</v>
      </c>
      <c r="O7" s="5">
        <v>838.48400000000004</v>
      </c>
      <c r="P7" s="56" t="str">
        <f>CONCATENATE("U/Min ", TEXT(ABS(O7-M7), "0.###"))</f>
        <v>U/Min 0.152</v>
      </c>
      <c r="Y7" s="2"/>
      <c r="Z7" s="2"/>
      <c r="AA7" s="2"/>
    </row>
    <row r="8" spans="1:27">
      <c r="A8" s="121" t="s">
        <v>912</v>
      </c>
      <c r="B8" s="90" t="s">
        <v>417</v>
      </c>
      <c r="C8" s="90">
        <v>-37</v>
      </c>
      <c r="D8" s="90"/>
      <c r="E8" s="90"/>
      <c r="F8" s="90"/>
      <c r="G8" s="90"/>
      <c r="Y8" s="2"/>
      <c r="Z8" s="2"/>
      <c r="AA8" s="2"/>
    </row>
    <row r="9" spans="1:27">
      <c r="A9" s="90" t="s">
        <v>412</v>
      </c>
      <c r="B9" s="90" t="s">
        <v>413</v>
      </c>
      <c r="C9" s="90">
        <v>419.26900000000001</v>
      </c>
      <c r="D9" s="90"/>
      <c r="E9" s="90"/>
      <c r="F9" s="90"/>
      <c r="G9" s="90"/>
      <c r="H9" s="5"/>
      <c r="I9" s="9" t="s">
        <v>195</v>
      </c>
      <c r="J9" s="144" t="s">
        <v>196</v>
      </c>
      <c r="K9" s="10" t="s">
        <v>6</v>
      </c>
      <c r="L9" s="10" t="s">
        <v>7</v>
      </c>
      <c r="M9" s="10" t="s">
        <v>8</v>
      </c>
      <c r="P9" s="11" t="s">
        <v>197</v>
      </c>
      <c r="Q9" s="2"/>
      <c r="Y9" s="13"/>
      <c r="Z9" s="13" t="s">
        <v>275</v>
      </c>
      <c r="AA9" s="13" t="s">
        <v>276</v>
      </c>
    </row>
    <row r="10" spans="1:27">
      <c r="A10" s="90" t="s">
        <v>913</v>
      </c>
      <c r="B10" s="90" t="s">
        <v>415</v>
      </c>
      <c r="C10" s="90">
        <v>1E-3</v>
      </c>
      <c r="D10" s="90"/>
      <c r="E10" s="90"/>
      <c r="F10" s="90"/>
      <c r="G10" s="90"/>
      <c r="H10" s="9" t="s">
        <v>198</v>
      </c>
      <c r="I10" s="9" t="s">
        <v>199</v>
      </c>
      <c r="J10" s="145"/>
      <c r="K10" s="10" t="s">
        <v>12</v>
      </c>
      <c r="L10" s="10" t="s">
        <v>12</v>
      </c>
      <c r="M10" s="10" t="s">
        <v>12</v>
      </c>
      <c r="P10" s="11" t="s">
        <v>200</v>
      </c>
      <c r="Q10" s="2"/>
      <c r="Y10" s="13" t="s">
        <v>277</v>
      </c>
      <c r="Z10" s="13">
        <f t="shared" ref="Z10:AA11" si="0">AW95</f>
        <v>7</v>
      </c>
      <c r="AA10" s="13">
        <f t="shared" si="0"/>
        <v>19</v>
      </c>
    </row>
    <row r="11" spans="1:27">
      <c r="A11" s="121" t="s">
        <v>914</v>
      </c>
      <c r="B11" s="90" t="s">
        <v>417</v>
      </c>
      <c r="C11" s="90">
        <v>-37</v>
      </c>
      <c r="D11" s="90"/>
      <c r="E11" s="90"/>
      <c r="F11" s="90"/>
      <c r="G11" s="90"/>
      <c r="H11" s="13">
        <v>1</v>
      </c>
      <c r="I11" s="13">
        <v>0</v>
      </c>
      <c r="J11" s="10">
        <v>1</v>
      </c>
      <c r="K11" s="14">
        <f>SQRT(C6^2+C7^2)</f>
        <v>419.32299999999998</v>
      </c>
      <c r="L11" s="142">
        <f>M$7/2-0.116/2</f>
        <v>419.26000000000005</v>
      </c>
      <c r="M11" s="142">
        <f>M$6/2+0.116/2</f>
        <v>419.44</v>
      </c>
      <c r="P11" s="13">
        <f>K11+K19</f>
        <v>838.63099999999997</v>
      </c>
      <c r="Q11" s="2"/>
      <c r="Y11" s="13" t="s">
        <v>278</v>
      </c>
      <c r="Z11" s="13">
        <f t="shared" si="0"/>
        <v>3</v>
      </c>
      <c r="AA11" s="13">
        <f t="shared" si="0"/>
        <v>23</v>
      </c>
    </row>
    <row r="12" spans="1:27">
      <c r="A12" s="90" t="s">
        <v>412</v>
      </c>
      <c r="B12" s="90" t="s">
        <v>413</v>
      </c>
      <c r="C12" s="90">
        <v>419.27199999999999</v>
      </c>
      <c r="D12" s="90"/>
      <c r="E12" s="90"/>
      <c r="F12" s="90"/>
      <c r="G12" s="90"/>
      <c r="H12" s="13">
        <v>2</v>
      </c>
      <c r="I12" s="13">
        <f>I11+360/16</f>
        <v>22.5</v>
      </c>
      <c r="J12" s="10">
        <v>16</v>
      </c>
      <c r="K12" s="16">
        <f>SQRT(C51^2+C52^2)</f>
        <v>419.36100000476915</v>
      </c>
      <c r="L12" s="142">
        <f>L$11</f>
        <v>419.26000000000005</v>
      </c>
      <c r="M12" s="142">
        <f>M$11</f>
        <v>419.44</v>
      </c>
      <c r="P12" s="13">
        <f t="shared" ref="P12:P17" si="1">K12+K20</f>
        <v>838.64000000596161</v>
      </c>
      <c r="Q12" s="2"/>
    </row>
    <row r="13" spans="1:27">
      <c r="A13" s="90" t="s">
        <v>915</v>
      </c>
      <c r="B13" s="90" t="s">
        <v>415</v>
      </c>
      <c r="C13" s="90">
        <v>0</v>
      </c>
      <c r="D13" s="90"/>
      <c r="E13" s="90"/>
      <c r="F13" s="90"/>
      <c r="G13" s="90"/>
      <c r="H13" s="13">
        <v>3</v>
      </c>
      <c r="I13" s="13">
        <f t="shared" ref="I13:I26" si="2">I12+360/16</f>
        <v>45</v>
      </c>
      <c r="J13" s="10">
        <v>15</v>
      </c>
      <c r="K13" s="16">
        <f>SQRT(C48^2+C49^2)</f>
        <v>419.3650000011923</v>
      </c>
      <c r="L13" s="142">
        <f t="shared" ref="L13:M26" si="3">L$11</f>
        <v>419.26000000000005</v>
      </c>
      <c r="M13" s="142">
        <f t="shared" si="3"/>
        <v>419.44</v>
      </c>
      <c r="P13" s="13">
        <f t="shared" si="1"/>
        <v>838.68800000119222</v>
      </c>
      <c r="Q13" s="2"/>
    </row>
    <row r="14" spans="1:27">
      <c r="A14" s="121" t="s">
        <v>916</v>
      </c>
      <c r="B14" s="90" t="s">
        <v>417</v>
      </c>
      <c r="C14" s="90">
        <v>-37</v>
      </c>
      <c r="D14" s="90"/>
      <c r="E14" s="90"/>
      <c r="F14" s="90"/>
      <c r="G14" s="90"/>
      <c r="H14" s="13">
        <v>4</v>
      </c>
      <c r="I14" s="13">
        <f t="shared" si="2"/>
        <v>67.5</v>
      </c>
      <c r="J14" s="10">
        <v>14</v>
      </c>
      <c r="K14" s="16">
        <f>SQRT(C45^2+C46^2)</f>
        <v>419.33800000000002</v>
      </c>
      <c r="L14" s="142">
        <f t="shared" si="3"/>
        <v>419.26000000000005</v>
      </c>
      <c r="M14" s="142">
        <f t="shared" si="3"/>
        <v>419.44</v>
      </c>
      <c r="P14" s="13">
        <f t="shared" si="1"/>
        <v>838.7420000011922</v>
      </c>
      <c r="Q14" s="2"/>
    </row>
    <row r="15" spans="1:27">
      <c r="A15" s="90" t="s">
        <v>412</v>
      </c>
      <c r="B15" s="90" t="s">
        <v>413</v>
      </c>
      <c r="C15" s="90">
        <v>419.35399999999998</v>
      </c>
      <c r="D15" s="90"/>
      <c r="E15" s="90"/>
      <c r="F15" s="90"/>
      <c r="G15" s="90"/>
      <c r="H15" s="13">
        <v>5</v>
      </c>
      <c r="I15" s="13">
        <f t="shared" si="2"/>
        <v>90</v>
      </c>
      <c r="J15" s="10">
        <v>13</v>
      </c>
      <c r="K15" s="16">
        <f>SQRT(C42^2+C43^2)</f>
        <v>419.34300000000002</v>
      </c>
      <c r="L15" s="142">
        <f t="shared" si="3"/>
        <v>419.26000000000005</v>
      </c>
      <c r="M15" s="142">
        <f t="shared" si="3"/>
        <v>419.44</v>
      </c>
      <c r="P15" s="13">
        <f t="shared" si="1"/>
        <v>838.76099999999997</v>
      </c>
      <c r="Q15" s="2"/>
    </row>
    <row r="16" spans="1:27">
      <c r="A16" s="90" t="s">
        <v>917</v>
      </c>
      <c r="B16" s="90" t="s">
        <v>415</v>
      </c>
      <c r="C16" s="90">
        <v>1E-3</v>
      </c>
      <c r="D16" s="90"/>
      <c r="E16" s="90"/>
      <c r="F16" s="90"/>
      <c r="G16" s="90"/>
      <c r="H16" s="13">
        <v>6</v>
      </c>
      <c r="I16" s="13">
        <f t="shared" si="2"/>
        <v>112.5</v>
      </c>
      <c r="J16" s="10">
        <v>12</v>
      </c>
      <c r="K16" s="16">
        <f>SQRT(C39^2+C40^2)</f>
        <v>419.36</v>
      </c>
      <c r="L16" s="142">
        <f t="shared" si="3"/>
        <v>419.26000000000005</v>
      </c>
      <c r="M16" s="142">
        <f t="shared" si="3"/>
        <v>419.44</v>
      </c>
      <c r="P16" s="13">
        <f t="shared" si="1"/>
        <v>838.71400000119229</v>
      </c>
      <c r="Q16" s="2"/>
    </row>
    <row r="17" spans="1:19">
      <c r="A17" s="121" t="s">
        <v>918</v>
      </c>
      <c r="B17" s="90" t="s">
        <v>417</v>
      </c>
      <c r="C17" s="90">
        <v>-37.000999999999998</v>
      </c>
      <c r="D17" s="90"/>
      <c r="E17" s="90"/>
      <c r="F17" s="90"/>
      <c r="G17" s="90"/>
      <c r="H17" s="13">
        <v>7</v>
      </c>
      <c r="I17" s="13">
        <f t="shared" si="2"/>
        <v>135</v>
      </c>
      <c r="J17" s="10">
        <v>11</v>
      </c>
      <c r="K17" s="16">
        <f>SQRT(C36^2+C37^2)</f>
        <v>419.3410000047694</v>
      </c>
      <c r="L17" s="142">
        <f t="shared" si="3"/>
        <v>419.26000000000005</v>
      </c>
      <c r="M17" s="142">
        <f t="shared" si="3"/>
        <v>419.44</v>
      </c>
      <c r="P17" s="13">
        <f t="shared" si="1"/>
        <v>838.61300000476945</v>
      </c>
      <c r="Q17" s="2"/>
    </row>
    <row r="18" spans="1:19">
      <c r="A18" s="90" t="s">
        <v>412</v>
      </c>
      <c r="B18" s="90" t="s">
        <v>413</v>
      </c>
      <c r="C18" s="90">
        <v>419.41800000000001</v>
      </c>
      <c r="D18" s="90"/>
      <c r="E18" s="90"/>
      <c r="F18" s="90"/>
      <c r="G18" s="90"/>
      <c r="H18" s="13">
        <v>8</v>
      </c>
      <c r="I18" s="13">
        <f t="shared" si="2"/>
        <v>157.5</v>
      </c>
      <c r="J18" s="10">
        <v>10</v>
      </c>
      <c r="K18" s="16">
        <f>SQRT(C33^2+C34^2)</f>
        <v>419.34700001073099</v>
      </c>
      <c r="L18" s="142">
        <f t="shared" si="3"/>
        <v>419.26000000000005</v>
      </c>
      <c r="M18" s="142">
        <f t="shared" si="3"/>
        <v>419.44</v>
      </c>
      <c r="P18" s="13">
        <f>K18+K26</f>
        <v>838.61600001192357</v>
      </c>
      <c r="Q18" s="2"/>
    </row>
    <row r="19" spans="1:19">
      <c r="A19" s="90" t="s">
        <v>919</v>
      </c>
      <c r="B19" s="90" t="s">
        <v>415</v>
      </c>
      <c r="C19" s="90">
        <v>0</v>
      </c>
      <c r="D19" s="90"/>
      <c r="E19" s="90"/>
      <c r="F19" s="90"/>
      <c r="G19" s="90"/>
      <c r="H19" s="13">
        <v>9</v>
      </c>
      <c r="I19" s="13">
        <f t="shared" si="2"/>
        <v>180</v>
      </c>
      <c r="J19" s="10">
        <v>9</v>
      </c>
      <c r="K19" s="16">
        <f>SQRT(C30^2+C31^2)</f>
        <v>419.30799999999999</v>
      </c>
      <c r="L19" s="142">
        <f t="shared" si="3"/>
        <v>419.26000000000005</v>
      </c>
      <c r="M19" s="142">
        <f t="shared" si="3"/>
        <v>419.44</v>
      </c>
      <c r="P19" s="13"/>
      <c r="Q19" s="2"/>
    </row>
    <row r="20" spans="1:19">
      <c r="A20" s="121" t="s">
        <v>920</v>
      </c>
      <c r="B20" s="90" t="s">
        <v>417</v>
      </c>
      <c r="C20" s="90">
        <v>-37</v>
      </c>
      <c r="D20" s="90"/>
      <c r="E20" s="90"/>
      <c r="F20" s="90"/>
      <c r="G20" s="90"/>
      <c r="H20" s="13">
        <v>10</v>
      </c>
      <c r="I20" s="13">
        <f t="shared" si="2"/>
        <v>202.5</v>
      </c>
      <c r="J20" s="10">
        <v>8</v>
      </c>
      <c r="K20" s="16">
        <f>SQRT(C27^2+C28^2)</f>
        <v>419.27900000119251</v>
      </c>
      <c r="L20" s="142">
        <f t="shared" si="3"/>
        <v>419.26000000000005</v>
      </c>
      <c r="M20" s="142">
        <f t="shared" si="3"/>
        <v>419.44</v>
      </c>
      <c r="P20" s="13">
        <f>MAX(P11:P18)</f>
        <v>838.76099999999997</v>
      </c>
      <c r="Q20" s="13" t="str">
        <f>IF(P20&gt;M6, CONCATENATE("O/Max ", TEXT(P20-M6, "0.000")), "-")</f>
        <v>-</v>
      </c>
    </row>
    <row r="21" spans="1:19">
      <c r="A21" s="90" t="s">
        <v>412</v>
      </c>
      <c r="B21" s="90" t="s">
        <v>413</v>
      </c>
      <c r="C21" s="90">
        <v>419.404</v>
      </c>
      <c r="D21" s="90"/>
      <c r="E21" s="90"/>
      <c r="F21" s="90"/>
      <c r="G21" s="90"/>
      <c r="H21" s="13">
        <v>11</v>
      </c>
      <c r="I21" s="13">
        <f t="shared" si="2"/>
        <v>225</v>
      </c>
      <c r="J21" s="10">
        <v>7</v>
      </c>
      <c r="K21" s="16">
        <f>SQRT(C24^2+C25^2)</f>
        <v>419.32299999999998</v>
      </c>
      <c r="L21" s="142">
        <f t="shared" si="3"/>
        <v>419.26000000000005</v>
      </c>
      <c r="M21" s="142">
        <f t="shared" si="3"/>
        <v>419.44</v>
      </c>
      <c r="P21" s="13">
        <f>MIN(P11:P18)</f>
        <v>838.61300000476945</v>
      </c>
      <c r="Q21" s="13" t="str">
        <f>IF(P21&lt;M7, CONCATENATE("U/Min ", TEXT(M7-P21, "0.000")), "-")</f>
        <v>U/Min 0.023</v>
      </c>
    </row>
    <row r="22" spans="1:19">
      <c r="A22" s="90" t="s">
        <v>921</v>
      </c>
      <c r="B22" s="90" t="s">
        <v>415</v>
      </c>
      <c r="C22" s="90">
        <v>-1E-3</v>
      </c>
      <c r="D22" s="90"/>
      <c r="E22" s="90"/>
      <c r="F22" s="90"/>
      <c r="G22" s="90"/>
      <c r="H22" s="13">
        <v>12</v>
      </c>
      <c r="I22" s="13">
        <f t="shared" si="2"/>
        <v>247.5</v>
      </c>
      <c r="J22" s="10">
        <v>6</v>
      </c>
      <c r="K22" s="16">
        <f>SQRT(C21^2+C22^2)</f>
        <v>419.40400000119217</v>
      </c>
      <c r="L22" s="142">
        <f t="shared" si="3"/>
        <v>419.26000000000005</v>
      </c>
      <c r="M22" s="142">
        <f t="shared" si="3"/>
        <v>419.44</v>
      </c>
    </row>
    <row r="23" spans="1:19">
      <c r="A23" s="121" t="s">
        <v>922</v>
      </c>
      <c r="B23" s="90" t="s">
        <v>417</v>
      </c>
      <c r="C23" s="90">
        <v>-37</v>
      </c>
      <c r="D23" s="90"/>
      <c r="E23" s="90"/>
      <c r="F23" s="90"/>
      <c r="G23" s="90"/>
      <c r="H23" s="13">
        <v>13</v>
      </c>
      <c r="I23" s="13">
        <f t="shared" si="2"/>
        <v>270</v>
      </c>
      <c r="J23" s="10">
        <v>5</v>
      </c>
      <c r="K23" s="16">
        <f>SQRT(C18^2+C19^2)</f>
        <v>419.41800000000001</v>
      </c>
      <c r="L23" s="142">
        <f t="shared" si="3"/>
        <v>419.26000000000005</v>
      </c>
      <c r="M23" s="142">
        <f t="shared" si="3"/>
        <v>419.44</v>
      </c>
    </row>
    <row r="24" spans="1:19">
      <c r="A24" s="90" t="s">
        <v>412</v>
      </c>
      <c r="B24" s="90" t="s">
        <v>413</v>
      </c>
      <c r="C24" s="90">
        <v>419.32299999999998</v>
      </c>
      <c r="D24" s="90"/>
      <c r="E24" s="90"/>
      <c r="F24" s="90"/>
      <c r="G24" s="90"/>
      <c r="H24" s="13">
        <v>14</v>
      </c>
      <c r="I24" s="13">
        <f t="shared" si="2"/>
        <v>292.5</v>
      </c>
      <c r="J24" s="10">
        <v>4</v>
      </c>
      <c r="K24" s="16">
        <f>SQRT(C15^2+C16^2)</f>
        <v>419.35400000119233</v>
      </c>
      <c r="L24" s="142">
        <f t="shared" si="3"/>
        <v>419.26000000000005</v>
      </c>
      <c r="M24" s="142">
        <f t="shared" si="3"/>
        <v>419.44</v>
      </c>
    </row>
    <row r="25" spans="1:19">
      <c r="A25" s="90" t="s">
        <v>923</v>
      </c>
      <c r="B25" s="90" t="s">
        <v>415</v>
      </c>
      <c r="C25" s="90">
        <v>0</v>
      </c>
      <c r="D25" s="90"/>
      <c r="E25" s="90"/>
      <c r="F25" s="90"/>
      <c r="G25" s="90"/>
      <c r="H25" s="13">
        <v>15</v>
      </c>
      <c r="I25" s="13">
        <f t="shared" si="2"/>
        <v>315</v>
      </c>
      <c r="J25" s="10">
        <v>3</v>
      </c>
      <c r="K25" s="16">
        <f>SQRT(C12^2+C13^2)</f>
        <v>419.27199999999999</v>
      </c>
      <c r="L25" s="142">
        <f t="shared" si="3"/>
        <v>419.26000000000005</v>
      </c>
      <c r="M25" s="142">
        <f t="shared" si="3"/>
        <v>419.44</v>
      </c>
    </row>
    <row r="26" spans="1:19">
      <c r="A26" s="121" t="s">
        <v>924</v>
      </c>
      <c r="B26" s="90" t="s">
        <v>417</v>
      </c>
      <c r="C26" s="90">
        <v>-37</v>
      </c>
      <c r="D26" s="90"/>
      <c r="E26" s="90"/>
      <c r="F26" s="90"/>
      <c r="G26" s="90"/>
      <c r="H26" s="13">
        <v>16</v>
      </c>
      <c r="I26" s="13">
        <f t="shared" si="2"/>
        <v>337.5</v>
      </c>
      <c r="J26" s="10">
        <v>2</v>
      </c>
      <c r="K26" s="16">
        <f>SQRT(C9^2+C10^2)</f>
        <v>419.26900000119258</v>
      </c>
      <c r="L26" s="142">
        <f t="shared" si="3"/>
        <v>419.26000000000005</v>
      </c>
      <c r="M26" s="142">
        <f t="shared" si="3"/>
        <v>419.44</v>
      </c>
    </row>
    <row r="27" spans="1:19">
      <c r="A27" s="90" t="s">
        <v>412</v>
      </c>
      <c r="B27" s="90" t="s">
        <v>413</v>
      </c>
      <c r="C27" s="90">
        <v>419.279</v>
      </c>
      <c r="D27" s="90"/>
      <c r="E27" s="90"/>
      <c r="F27" s="90"/>
      <c r="G27" s="90"/>
      <c r="H27" s="13">
        <v>17</v>
      </c>
      <c r="I27" s="13">
        <v>360</v>
      </c>
      <c r="J27" s="10">
        <v>1</v>
      </c>
      <c r="K27" s="15">
        <f>K11</f>
        <v>419.32299999999998</v>
      </c>
      <c r="P27" s="19" t="s">
        <v>271</v>
      </c>
      <c r="Q27" s="19" t="str">
        <f>M30</f>
        <v>-</v>
      </c>
      <c r="R27" s="19"/>
    </row>
    <row r="28" spans="1:19">
      <c r="A28" s="90" t="s">
        <v>925</v>
      </c>
      <c r="B28" s="90" t="s">
        <v>415</v>
      </c>
      <c r="C28" s="90">
        <v>-1E-3</v>
      </c>
      <c r="D28" s="90"/>
      <c r="E28" s="90"/>
      <c r="F28" s="90"/>
      <c r="G28" s="90"/>
      <c r="J28" s="10" t="s">
        <v>14</v>
      </c>
      <c r="K28" s="16">
        <f>MAX(K11:K26)</f>
        <v>419.41800000000001</v>
      </c>
      <c r="L28" s="15">
        <f>K28*2</f>
        <v>838.83600000000001</v>
      </c>
      <c r="M28" s="15" t="str">
        <f>IF(K28&gt;M26, "O/Max "&amp;TEXT(2*K28-2*M26, "0.000"), "-")</f>
        <v>-</v>
      </c>
      <c r="P28" s="19" t="s">
        <v>60</v>
      </c>
      <c r="Q28" s="19" t="str">
        <f>M28</f>
        <v>-</v>
      </c>
      <c r="R28" s="19"/>
    </row>
    <row r="29" spans="1:19">
      <c r="A29" s="121" t="s">
        <v>926</v>
      </c>
      <c r="B29" s="90" t="s">
        <v>417</v>
      </c>
      <c r="C29" s="90">
        <v>-37.000999999999998</v>
      </c>
      <c r="D29" s="90"/>
      <c r="E29" s="90"/>
      <c r="F29" s="90"/>
      <c r="G29" s="90"/>
      <c r="J29" s="10" t="s">
        <v>15</v>
      </c>
      <c r="K29" s="16">
        <f>MIN(K11:K26)</f>
        <v>419.26900000119258</v>
      </c>
      <c r="L29" s="15">
        <f>K29*2</f>
        <v>838.53800000238516</v>
      </c>
      <c r="M29" s="15" t="str">
        <f>IF(K29&lt;L26, "U/Min "&amp;TEXT(2*L26-2*K29, "0.000"), "-")</f>
        <v>-</v>
      </c>
      <c r="O29" s="5" t="s">
        <v>73</v>
      </c>
      <c r="P29" s="19" t="s">
        <v>62</v>
      </c>
      <c r="Q29" s="19" t="str">
        <f>M29</f>
        <v>-</v>
      </c>
      <c r="R29" s="19"/>
    </row>
    <row r="30" spans="1:19">
      <c r="A30" s="90" t="s">
        <v>412</v>
      </c>
      <c r="B30" s="90" t="s">
        <v>413</v>
      </c>
      <c r="C30" s="90">
        <v>419.30799999999999</v>
      </c>
      <c r="D30" s="90"/>
      <c r="E30" s="90"/>
      <c r="F30" s="90"/>
      <c r="G30" s="90"/>
      <c r="J30" s="10" t="s">
        <v>17</v>
      </c>
      <c r="K30" s="16">
        <f>AVERAGE(K11:K26)*2</f>
        <v>838.67562500327892</v>
      </c>
      <c r="L30" s="15"/>
      <c r="M30" s="15" t="str">
        <f>IF(K30&gt;M6, "O/Max "&amp;TEXT(K30-M6, "0.000"), IF(K30&lt;M7, "U/Min "&amp;TEXT(M7-K30, "0.000"), "-"))</f>
        <v>-</v>
      </c>
      <c r="O30" s="15" t="str">
        <f>IF(K30&gt;O6, CONCATENATE("O/Max ", TEXT(K30-O6, "0.###")), IF(K30&lt;O7, CONCATENATE("U/Min ", TEXT(O7-K30, "0.###")), "-"))</f>
        <v>-</v>
      </c>
      <c r="P30" s="19" t="s">
        <v>18</v>
      </c>
      <c r="Q30" s="19" t="str">
        <f>M31</f>
        <v>O/Max 0.019</v>
      </c>
      <c r="R30" s="19"/>
    </row>
    <row r="31" spans="1:19">
      <c r="A31" s="90" t="s">
        <v>927</v>
      </c>
      <c r="B31" s="90" t="s">
        <v>415</v>
      </c>
      <c r="C31" s="90">
        <v>0</v>
      </c>
      <c r="D31" s="90"/>
      <c r="E31" s="90"/>
      <c r="F31" s="90"/>
      <c r="G31" s="90"/>
      <c r="J31" s="10" t="s">
        <v>18</v>
      </c>
      <c r="K31" s="18">
        <f>K28-K29</f>
        <v>0.14899999880742598</v>
      </c>
      <c r="L31" s="15"/>
      <c r="M31" s="15" t="str">
        <f>IF(K31&gt;0.13, "O/Max "&amp;TEXT(K31-0.13, "0.000"), "-")</f>
        <v>O/Max 0.019</v>
      </c>
      <c r="N31" s="5" t="s">
        <v>20</v>
      </c>
    </row>
    <row r="32" spans="1:19">
      <c r="A32" s="121" t="s">
        <v>928</v>
      </c>
      <c r="B32" s="90" t="s">
        <v>417</v>
      </c>
      <c r="C32" s="90">
        <v>-37</v>
      </c>
      <c r="D32" s="90"/>
      <c r="E32" s="90"/>
      <c r="F32" s="90"/>
      <c r="G32" s="90"/>
      <c r="S32" s="19" t="s">
        <v>201</v>
      </c>
    </row>
    <row r="33" spans="1:44">
      <c r="A33" s="90" t="s">
        <v>412</v>
      </c>
      <c r="B33" s="90" t="s">
        <v>413</v>
      </c>
      <c r="C33" s="90">
        <v>419.34699999999998</v>
      </c>
      <c r="D33" s="90"/>
      <c r="E33" s="90"/>
      <c r="F33" s="90"/>
      <c r="G33" s="90"/>
      <c r="J33" s="5" t="s">
        <v>202</v>
      </c>
      <c r="M33" s="5" t="s">
        <v>52</v>
      </c>
      <c r="N33" s="5">
        <f>360/24</f>
        <v>15</v>
      </c>
      <c r="O33" s="9" t="s">
        <v>203</v>
      </c>
      <c r="P33" s="5" t="s">
        <v>204</v>
      </c>
      <c r="Q33" s="5">
        <f>'245'!$Q$33</f>
        <v>1.1399999999999999</v>
      </c>
      <c r="R33" s="9" t="s">
        <v>203</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v>24</v>
      </c>
      <c r="AQ33" s="5"/>
      <c r="AR33" s="5"/>
    </row>
    <row r="34" spans="1:44">
      <c r="A34" s="90" t="s">
        <v>929</v>
      </c>
      <c r="B34" s="90" t="s">
        <v>415</v>
      </c>
      <c r="C34" s="90">
        <v>3.0000000000000001E-3</v>
      </c>
      <c r="D34" s="90"/>
      <c r="E34" s="90"/>
      <c r="F34" s="90"/>
      <c r="G34" s="90"/>
      <c r="K34" s="9" t="s">
        <v>205</v>
      </c>
      <c r="M34" s="9" t="s">
        <v>206</v>
      </c>
      <c r="N34" s="9" t="s">
        <v>190</v>
      </c>
      <c r="O34" s="9" t="s">
        <v>207</v>
      </c>
      <c r="P34" s="9" t="s">
        <v>208</v>
      </c>
      <c r="Q34" s="9" t="s">
        <v>209</v>
      </c>
      <c r="R34" s="5"/>
      <c r="S34" s="20" t="str">
        <f ca="1">CONCATENATE($S$32, "#", OFFSET($J$35, S33, 0))</f>
        <v>Stg.4 Nozzle Aft#1</v>
      </c>
      <c r="T34" s="20" t="str">
        <f t="shared" ref="T34:AP34" ca="1" si="4">CONCATENATE($S$32, "#", OFFSET($J$35, T33, 0))</f>
        <v>Stg.4 Nozzle Aft#24</v>
      </c>
      <c r="U34" s="20" t="str">
        <f t="shared" ca="1" si="4"/>
        <v>Stg.4 Nozzle Aft#23</v>
      </c>
      <c r="V34" s="20" t="str">
        <f t="shared" ca="1" si="4"/>
        <v>Stg.4 Nozzle Aft#22</v>
      </c>
      <c r="W34" s="20" t="str">
        <f t="shared" ca="1" si="4"/>
        <v>Stg.4 Nozzle Aft#21</v>
      </c>
      <c r="X34" s="20" t="str">
        <f t="shared" ca="1" si="4"/>
        <v>Stg.4 Nozzle Aft#20</v>
      </c>
      <c r="Y34" s="20" t="str">
        <f t="shared" ca="1" si="4"/>
        <v>Stg.4 Nozzle Aft#19</v>
      </c>
      <c r="Z34" s="20" t="str">
        <f t="shared" ca="1" si="4"/>
        <v>Stg.4 Nozzle Aft#18</v>
      </c>
      <c r="AA34" s="20" t="str">
        <f t="shared" ca="1" si="4"/>
        <v>Stg.4 Nozzle Aft#17</v>
      </c>
      <c r="AB34" s="20" t="str">
        <f t="shared" ca="1" si="4"/>
        <v>Stg.4 Nozzle Aft#16</v>
      </c>
      <c r="AC34" s="20" t="str">
        <f t="shared" ca="1" si="4"/>
        <v>Stg.4 Nozzle Aft#15</v>
      </c>
      <c r="AD34" s="20" t="str">
        <f t="shared" ca="1" si="4"/>
        <v>Stg.4 Nozzle Aft#14</v>
      </c>
      <c r="AE34" s="20" t="str">
        <f t="shared" ca="1" si="4"/>
        <v>Stg.4 Nozzle Aft#13</v>
      </c>
      <c r="AF34" s="20" t="str">
        <f t="shared" ca="1" si="4"/>
        <v>Stg.4 Nozzle Aft#12</v>
      </c>
      <c r="AG34" s="20" t="str">
        <f t="shared" ca="1" si="4"/>
        <v>Stg.4 Nozzle Aft#11</v>
      </c>
      <c r="AH34" s="20" t="str">
        <f t="shared" ca="1" si="4"/>
        <v>Stg.4 Nozzle Aft#10</v>
      </c>
      <c r="AI34" s="20" t="str">
        <f t="shared" ca="1" si="4"/>
        <v>Stg.4 Nozzle Aft#9</v>
      </c>
      <c r="AJ34" s="20" t="str">
        <f t="shared" ca="1" si="4"/>
        <v>Stg.4 Nozzle Aft#8</v>
      </c>
      <c r="AK34" s="20" t="str">
        <f t="shared" ca="1" si="4"/>
        <v>Stg.4 Nozzle Aft#7</v>
      </c>
      <c r="AL34" s="20" t="str">
        <f t="shared" ca="1" si="4"/>
        <v>Stg.4 Nozzle Aft#6</v>
      </c>
      <c r="AM34" s="20" t="str">
        <f t="shared" ca="1" si="4"/>
        <v>Stg.4 Nozzle Aft#5</v>
      </c>
      <c r="AN34" s="20" t="str">
        <f t="shared" ca="1" si="4"/>
        <v>Stg.4 Nozzle Aft#4</v>
      </c>
      <c r="AO34" s="20" t="str">
        <f t="shared" ca="1" si="4"/>
        <v>Stg.4 Nozzle Aft#3</v>
      </c>
      <c r="AP34" s="20" t="str">
        <f t="shared" ca="1" si="4"/>
        <v>Stg.4 Nozzle Aft#2</v>
      </c>
      <c r="AQ34" s="20" t="s">
        <v>210</v>
      </c>
      <c r="AR34" s="20" t="s">
        <v>211</v>
      </c>
    </row>
    <row r="35" spans="1:44">
      <c r="A35" s="121" t="s">
        <v>930</v>
      </c>
      <c r="B35" s="90" t="s">
        <v>417</v>
      </c>
      <c r="C35" s="90">
        <v>-37</v>
      </c>
      <c r="D35" s="90"/>
      <c r="E35" s="90"/>
      <c r="F35" s="90"/>
      <c r="G35" s="90"/>
      <c r="J35" s="9" t="s">
        <v>212</v>
      </c>
      <c r="K35" s="9" t="s">
        <v>213</v>
      </c>
      <c r="L35" s="9" t="s">
        <v>214</v>
      </c>
      <c r="M35" s="9" t="s">
        <v>215</v>
      </c>
      <c r="N35" s="9" t="s">
        <v>216</v>
      </c>
      <c r="O35" s="9" t="s">
        <v>213</v>
      </c>
      <c r="P35" s="9" t="s">
        <v>215</v>
      </c>
      <c r="Q35" s="9" t="s">
        <v>215</v>
      </c>
      <c r="R35" s="5"/>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2" t="s">
        <v>215</v>
      </c>
      <c r="AR35" s="22" t="s">
        <v>215</v>
      </c>
    </row>
    <row r="36" spans="1:44">
      <c r="A36" s="90" t="s">
        <v>412</v>
      </c>
      <c r="B36" s="90" t="s">
        <v>413</v>
      </c>
      <c r="C36" s="90">
        <v>419.34100000000001</v>
      </c>
      <c r="D36" s="90"/>
      <c r="E36" s="90"/>
      <c r="F36" s="90"/>
      <c r="G36" s="90"/>
      <c r="J36" s="5">
        <v>1</v>
      </c>
      <c r="K36" s="23">
        <f>IF(Q33&lt;0, 360+$Q$33, $Q$33)</f>
        <v>1.1399999999999999</v>
      </c>
      <c r="L36" s="24">
        <f>MATCH($K36, $I$11:$I$27, 1)</f>
        <v>1</v>
      </c>
      <c r="M36" s="5">
        <f>VLOOKUP(L36, $H$11:$K$27, 4, FALSE)</f>
        <v>419.32299999999998</v>
      </c>
      <c r="N36" s="25">
        <f>(VLOOKUP(L36+1, $H$11:$K$27, 4, FALSE) - VLOOKUP(L36, $H$11:$K$27, 4, FALSE))/(VLOOKUP(L36+1, $H$11:$K$27, 2, FALSE) - VLOOKUP(L36, $H$11:$K$27, 2, FALSE))</f>
        <v>1.688889100852167E-3</v>
      </c>
      <c r="O36" s="26">
        <f>K36-VLOOKUP(L36, $H$11:$I$27, 2, FALSE)</f>
        <v>1.1399999999999999</v>
      </c>
      <c r="P36" s="27">
        <f>M36+N36*O36</f>
        <v>419.32492533357492</v>
      </c>
      <c r="Q36" s="27">
        <f>(P36+P59)/2</f>
        <v>419.30733066715482</v>
      </c>
      <c r="R36" s="5"/>
      <c r="S36" s="28">
        <f>Q36</f>
        <v>419.30733066715482</v>
      </c>
      <c r="T36" s="29"/>
      <c r="U36" s="29"/>
      <c r="V36" s="29"/>
      <c r="W36" s="29"/>
      <c r="X36" s="29"/>
      <c r="Y36" s="29"/>
      <c r="Z36" s="29"/>
      <c r="AA36" s="29"/>
      <c r="AB36" s="29"/>
      <c r="AC36" s="29"/>
      <c r="AD36" s="29"/>
      <c r="AE36" s="29"/>
      <c r="AF36" s="29"/>
      <c r="AG36" s="29"/>
      <c r="AH36" s="29"/>
      <c r="AI36" s="29"/>
      <c r="AJ36" s="28"/>
      <c r="AK36" s="28"/>
      <c r="AL36" s="28"/>
      <c r="AM36" s="28"/>
      <c r="AN36" s="28"/>
      <c r="AO36" s="28"/>
      <c r="AP36" s="28">
        <f>AP59</f>
        <v>419.28079200039753</v>
      </c>
      <c r="AQ36" s="29">
        <f>M$7/2</f>
        <v>419.31800000000004</v>
      </c>
      <c r="AR36" s="29">
        <f>M$6/2</f>
        <v>419.38200000000001</v>
      </c>
    </row>
    <row r="37" spans="1:44">
      <c r="A37" s="90" t="s">
        <v>931</v>
      </c>
      <c r="B37" s="90" t="s">
        <v>415</v>
      </c>
      <c r="C37" s="90">
        <v>2E-3</v>
      </c>
      <c r="D37" s="90"/>
      <c r="E37" s="90"/>
      <c r="F37" s="90"/>
      <c r="G37" s="90"/>
      <c r="J37" s="5">
        <v>24</v>
      </c>
      <c r="K37" s="23">
        <f>IF(K36+$N$33&gt;360, K36+$N$33-360, K36+$N$33)</f>
        <v>16.14</v>
      </c>
      <c r="L37" s="24">
        <f t="shared" ref="L37:L59" si="5">MATCH($K37, $I$11:$I$27, 1)</f>
        <v>1</v>
      </c>
      <c r="M37" s="5">
        <f t="shared" ref="M37:M58" si="6">VLOOKUP(L37, $H$11:$K$27, 4, FALSE)</f>
        <v>419.32299999999998</v>
      </c>
      <c r="N37" s="25">
        <f t="shared" ref="N37:N59" si="7">(VLOOKUP(L37+1, $H$11:$K$27, 4, FALSE) - VLOOKUP(L37, $H$11:$K$27, 4, FALSE))/(VLOOKUP(L37+1, $H$11:$K$27, 2, FALSE) - VLOOKUP(L37, $H$11:$K$27, 2, FALSE))</f>
        <v>1.688889100852167E-3</v>
      </c>
      <c r="O37" s="26">
        <f t="shared" ref="O37:O59" si="8">K37-VLOOKUP(L37, $H$11:$I$27, 2, FALSE)</f>
        <v>16.14</v>
      </c>
      <c r="P37" s="27">
        <f t="shared" ref="P37:P59" si="9">M37+N37*O37</f>
        <v>419.35025867008773</v>
      </c>
      <c r="Q37" s="27">
        <f>(P36+P37)/2</f>
        <v>419.33759200183135</v>
      </c>
      <c r="R37" s="5"/>
      <c r="S37" s="30">
        <f>S36</f>
        <v>419.30733066715482</v>
      </c>
      <c r="T37" s="30">
        <f>Q37</f>
        <v>419.33759200183135</v>
      </c>
      <c r="U37" s="21"/>
      <c r="V37" s="21"/>
      <c r="W37" s="21"/>
      <c r="X37" s="21"/>
      <c r="Y37" s="21"/>
      <c r="Z37" s="21"/>
      <c r="AA37" s="21"/>
      <c r="AB37" s="21"/>
      <c r="AC37" s="21"/>
      <c r="AD37" s="21"/>
      <c r="AE37" s="21"/>
      <c r="AF37" s="21"/>
      <c r="AG37" s="21"/>
      <c r="AH37" s="21"/>
      <c r="AI37" s="21"/>
      <c r="AJ37" s="21"/>
      <c r="AK37" s="21"/>
      <c r="AL37" s="21"/>
      <c r="AM37" s="21"/>
      <c r="AN37" s="21"/>
      <c r="AO37" s="21"/>
      <c r="AP37" s="21"/>
      <c r="AQ37" s="21">
        <f t="shared" ref="AQ37:AQ59" si="10">M$7/2</f>
        <v>419.31800000000004</v>
      </c>
      <c r="AR37" s="21">
        <f t="shared" ref="AR37:AR59" si="11">M$6/2</f>
        <v>419.38200000000001</v>
      </c>
    </row>
    <row r="38" spans="1:44">
      <c r="A38" s="121" t="s">
        <v>932</v>
      </c>
      <c r="B38" s="90" t="s">
        <v>417</v>
      </c>
      <c r="C38" s="90">
        <v>-37.000999999999998</v>
      </c>
      <c r="D38" s="90"/>
      <c r="E38" s="90"/>
      <c r="F38" s="90"/>
      <c r="G38" s="90"/>
      <c r="J38" s="5">
        <v>23</v>
      </c>
      <c r="K38" s="23">
        <f t="shared" ref="K38:K59" si="12">IF(K37+$N$33&gt;360, K37+$N$33-360, K37+$N$33)</f>
        <v>31.14</v>
      </c>
      <c r="L38" s="24">
        <f t="shared" si="5"/>
        <v>2</v>
      </c>
      <c r="M38" s="5">
        <f t="shared" si="6"/>
        <v>419.36100000476915</v>
      </c>
      <c r="N38" s="25">
        <f t="shared" si="7"/>
        <v>1.777776188065319E-4</v>
      </c>
      <c r="O38" s="26">
        <f t="shared" si="8"/>
        <v>8.64</v>
      </c>
      <c r="P38" s="27">
        <f t="shared" si="9"/>
        <v>419.36253600339563</v>
      </c>
      <c r="Q38" s="27">
        <f t="shared" ref="Q38:Q58" si="13">(P37+P38)/2</f>
        <v>419.35639733674168</v>
      </c>
      <c r="R38" s="5"/>
      <c r="S38" s="21"/>
      <c r="T38" s="30">
        <f>T37</f>
        <v>419.33759200183135</v>
      </c>
      <c r="U38" s="30">
        <f>Q38</f>
        <v>419.35639733674168</v>
      </c>
      <c r="V38" s="21"/>
      <c r="W38" s="21"/>
      <c r="X38" s="21"/>
      <c r="Y38" s="21"/>
      <c r="Z38" s="21"/>
      <c r="AA38" s="21"/>
      <c r="AB38" s="21"/>
      <c r="AC38" s="21"/>
      <c r="AD38" s="21"/>
      <c r="AE38" s="21"/>
      <c r="AF38" s="21"/>
      <c r="AG38" s="21"/>
      <c r="AH38" s="21"/>
      <c r="AI38" s="21"/>
      <c r="AJ38" s="21"/>
      <c r="AK38" s="21"/>
      <c r="AL38" s="21"/>
      <c r="AM38" s="21"/>
      <c r="AN38" s="21"/>
      <c r="AO38" s="21"/>
      <c r="AP38" s="21"/>
      <c r="AQ38" s="21">
        <f t="shared" si="10"/>
        <v>419.31800000000004</v>
      </c>
      <c r="AR38" s="21">
        <f t="shared" si="11"/>
        <v>419.38200000000001</v>
      </c>
    </row>
    <row r="39" spans="1:44">
      <c r="A39" s="90" t="s">
        <v>412</v>
      </c>
      <c r="B39" s="90" t="s">
        <v>413</v>
      </c>
      <c r="C39" s="90">
        <v>419.36</v>
      </c>
      <c r="D39" s="90"/>
      <c r="E39" s="90"/>
      <c r="F39" s="90"/>
      <c r="G39" s="90"/>
      <c r="J39" s="5">
        <v>22</v>
      </c>
      <c r="K39" s="23">
        <f t="shared" si="12"/>
        <v>46.14</v>
      </c>
      <c r="L39" s="24">
        <f t="shared" si="5"/>
        <v>3</v>
      </c>
      <c r="M39" s="5">
        <f t="shared" si="6"/>
        <v>419.3650000011923</v>
      </c>
      <c r="N39" s="25">
        <f t="shared" si="7"/>
        <v>-1.2000000529901122E-3</v>
      </c>
      <c r="O39" s="26">
        <f t="shared" si="8"/>
        <v>1.1400000000000006</v>
      </c>
      <c r="P39" s="27">
        <f t="shared" si="9"/>
        <v>419.36363200113192</v>
      </c>
      <c r="Q39" s="27">
        <f t="shared" si="13"/>
        <v>419.3630840022638</v>
      </c>
      <c r="R39" s="5"/>
      <c r="S39" s="21"/>
      <c r="T39" s="21"/>
      <c r="U39" s="30">
        <f>U38</f>
        <v>419.35639733674168</v>
      </c>
      <c r="V39" s="30">
        <f>Q39</f>
        <v>419.3630840022638</v>
      </c>
      <c r="W39" s="21"/>
      <c r="X39" s="21"/>
      <c r="Y39" s="21"/>
      <c r="Z39" s="21"/>
      <c r="AA39" s="21"/>
      <c r="AB39" s="21"/>
      <c r="AC39" s="21"/>
      <c r="AD39" s="21"/>
      <c r="AE39" s="21"/>
      <c r="AF39" s="21"/>
      <c r="AG39" s="21"/>
      <c r="AH39" s="21"/>
      <c r="AI39" s="21"/>
      <c r="AJ39" s="21"/>
      <c r="AK39" s="21"/>
      <c r="AL39" s="21"/>
      <c r="AM39" s="21"/>
      <c r="AN39" s="21"/>
      <c r="AO39" s="21"/>
      <c r="AP39" s="21"/>
      <c r="AQ39" s="21">
        <f t="shared" si="10"/>
        <v>419.31800000000004</v>
      </c>
      <c r="AR39" s="21">
        <f t="shared" si="11"/>
        <v>419.38200000000001</v>
      </c>
    </row>
    <row r="40" spans="1:44">
      <c r="A40" s="90" t="s">
        <v>933</v>
      </c>
      <c r="B40" s="90" t="s">
        <v>415</v>
      </c>
      <c r="C40" s="90">
        <v>0</v>
      </c>
      <c r="D40" s="90"/>
      <c r="E40" s="90"/>
      <c r="F40" s="90"/>
      <c r="G40" s="90"/>
      <c r="J40" s="5">
        <v>21</v>
      </c>
      <c r="K40" s="23">
        <f t="shared" si="12"/>
        <v>61.14</v>
      </c>
      <c r="L40" s="24">
        <f t="shared" si="5"/>
        <v>3</v>
      </c>
      <c r="M40" s="5">
        <f t="shared" si="6"/>
        <v>419.3650000011923</v>
      </c>
      <c r="N40" s="25">
        <f t="shared" si="7"/>
        <v>-1.2000000529901122E-3</v>
      </c>
      <c r="O40" s="26">
        <f t="shared" si="8"/>
        <v>16.14</v>
      </c>
      <c r="P40" s="27">
        <f t="shared" si="9"/>
        <v>419.34563200033705</v>
      </c>
      <c r="Q40" s="27">
        <f t="shared" si="13"/>
        <v>419.35463200073445</v>
      </c>
      <c r="R40" s="5"/>
      <c r="S40" s="21"/>
      <c r="T40" s="21"/>
      <c r="U40" s="21"/>
      <c r="V40" s="30">
        <f>V39</f>
        <v>419.3630840022638</v>
      </c>
      <c r="W40" s="30">
        <f>Q40</f>
        <v>419.35463200073445</v>
      </c>
      <c r="X40" s="21"/>
      <c r="Y40" s="21"/>
      <c r="Z40" s="21"/>
      <c r="AA40" s="21"/>
      <c r="AB40" s="21"/>
      <c r="AC40" s="21"/>
      <c r="AD40" s="21"/>
      <c r="AE40" s="21"/>
      <c r="AF40" s="21"/>
      <c r="AG40" s="21"/>
      <c r="AH40" s="21"/>
      <c r="AI40" s="21"/>
      <c r="AJ40" s="21"/>
      <c r="AK40" s="21"/>
      <c r="AL40" s="21"/>
      <c r="AM40" s="21"/>
      <c r="AN40" s="21"/>
      <c r="AO40" s="21"/>
      <c r="AP40" s="21"/>
      <c r="AQ40" s="21">
        <f t="shared" si="10"/>
        <v>419.31800000000004</v>
      </c>
      <c r="AR40" s="21">
        <f t="shared" si="11"/>
        <v>419.38200000000001</v>
      </c>
    </row>
    <row r="41" spans="1:44">
      <c r="A41" s="121" t="s">
        <v>934</v>
      </c>
      <c r="B41" s="90" t="s">
        <v>417</v>
      </c>
      <c r="C41" s="90">
        <v>-37</v>
      </c>
      <c r="D41" s="90"/>
      <c r="E41" s="90"/>
      <c r="F41" s="90"/>
      <c r="G41" s="90"/>
      <c r="J41" s="5">
        <v>20</v>
      </c>
      <c r="K41" s="23">
        <f t="shared" si="12"/>
        <v>76.14</v>
      </c>
      <c r="L41" s="24">
        <f t="shared" si="5"/>
        <v>4</v>
      </c>
      <c r="M41" s="5">
        <f t="shared" si="6"/>
        <v>419.33800000000002</v>
      </c>
      <c r="N41" s="25">
        <f t="shared" si="7"/>
        <v>2.2222222222202011E-4</v>
      </c>
      <c r="O41" s="26">
        <f t="shared" si="8"/>
        <v>8.64</v>
      </c>
      <c r="P41" s="27">
        <f t="shared" si="9"/>
        <v>419.33992000000001</v>
      </c>
      <c r="Q41" s="27">
        <f t="shared" si="13"/>
        <v>419.34277600016856</v>
      </c>
      <c r="R41" s="5"/>
      <c r="S41" s="21"/>
      <c r="T41" s="21"/>
      <c r="U41" s="21"/>
      <c r="V41" s="21"/>
      <c r="W41" s="30">
        <f>W40</f>
        <v>419.35463200073445</v>
      </c>
      <c r="X41" s="30">
        <f>Q41</f>
        <v>419.34277600016856</v>
      </c>
      <c r="Y41" s="21"/>
      <c r="Z41" s="21"/>
      <c r="AA41" s="21"/>
      <c r="AB41" s="21"/>
      <c r="AC41" s="21"/>
      <c r="AD41" s="21"/>
      <c r="AE41" s="21"/>
      <c r="AF41" s="21"/>
      <c r="AG41" s="21"/>
      <c r="AH41" s="21"/>
      <c r="AI41" s="21"/>
      <c r="AJ41" s="21"/>
      <c r="AK41" s="21"/>
      <c r="AL41" s="21"/>
      <c r="AM41" s="21"/>
      <c r="AN41" s="21"/>
      <c r="AO41" s="21"/>
      <c r="AP41" s="21"/>
      <c r="AQ41" s="21">
        <f t="shared" si="10"/>
        <v>419.31800000000004</v>
      </c>
      <c r="AR41" s="21">
        <f t="shared" si="11"/>
        <v>419.38200000000001</v>
      </c>
    </row>
    <row r="42" spans="1:44">
      <c r="A42" s="90" t="s">
        <v>412</v>
      </c>
      <c r="B42" s="90" t="s">
        <v>413</v>
      </c>
      <c r="C42" s="90">
        <v>419.34300000000002</v>
      </c>
      <c r="D42" s="90"/>
      <c r="E42" s="90"/>
      <c r="F42" s="90"/>
      <c r="G42" s="90"/>
      <c r="J42" s="5">
        <v>19</v>
      </c>
      <c r="K42" s="23">
        <f t="shared" si="12"/>
        <v>91.14</v>
      </c>
      <c r="L42" s="24">
        <f t="shared" si="5"/>
        <v>5</v>
      </c>
      <c r="M42" s="5">
        <f t="shared" si="6"/>
        <v>419.34300000000002</v>
      </c>
      <c r="N42" s="25">
        <f t="shared" si="7"/>
        <v>7.5555555555537361E-4</v>
      </c>
      <c r="O42" s="26">
        <f t="shared" si="8"/>
        <v>1.1400000000000006</v>
      </c>
      <c r="P42" s="27">
        <f t="shared" si="9"/>
        <v>419.34386133333334</v>
      </c>
      <c r="Q42" s="27">
        <f t="shared" si="13"/>
        <v>419.3418906666667</v>
      </c>
      <c r="R42" s="5"/>
      <c r="S42" s="21"/>
      <c r="T42" s="21"/>
      <c r="U42" s="21"/>
      <c r="V42" s="21"/>
      <c r="W42" s="21"/>
      <c r="X42" s="30">
        <f>X41</f>
        <v>419.34277600016856</v>
      </c>
      <c r="Y42" s="30">
        <f>Q42</f>
        <v>419.3418906666667</v>
      </c>
      <c r="Z42" s="21"/>
      <c r="AA42" s="21"/>
      <c r="AB42" s="21"/>
      <c r="AC42" s="21"/>
      <c r="AD42" s="21"/>
      <c r="AE42" s="21"/>
      <c r="AF42" s="21"/>
      <c r="AG42" s="21"/>
      <c r="AH42" s="21"/>
      <c r="AI42" s="21"/>
      <c r="AJ42" s="21"/>
      <c r="AK42" s="21"/>
      <c r="AL42" s="21"/>
      <c r="AM42" s="21"/>
      <c r="AN42" s="21"/>
      <c r="AO42" s="21"/>
      <c r="AP42" s="21"/>
      <c r="AQ42" s="21">
        <f t="shared" si="10"/>
        <v>419.31800000000004</v>
      </c>
      <c r="AR42" s="21">
        <f t="shared" si="11"/>
        <v>419.38200000000001</v>
      </c>
    </row>
    <row r="43" spans="1:44">
      <c r="A43" s="90" t="s">
        <v>935</v>
      </c>
      <c r="B43" s="90" t="s">
        <v>415</v>
      </c>
      <c r="C43" s="90">
        <v>0</v>
      </c>
      <c r="D43" s="90"/>
      <c r="E43" s="90"/>
      <c r="F43" s="90"/>
      <c r="G43" s="90"/>
      <c r="J43" s="5">
        <v>18</v>
      </c>
      <c r="K43" s="23">
        <f t="shared" si="12"/>
        <v>106.14</v>
      </c>
      <c r="L43" s="24">
        <f t="shared" si="5"/>
        <v>5</v>
      </c>
      <c r="M43" s="5">
        <f t="shared" si="6"/>
        <v>419.34300000000002</v>
      </c>
      <c r="N43" s="25">
        <f t="shared" si="7"/>
        <v>7.5555555555537361E-4</v>
      </c>
      <c r="O43" s="26">
        <f t="shared" si="8"/>
        <v>16.14</v>
      </c>
      <c r="P43" s="27">
        <f t="shared" si="9"/>
        <v>419.3551946666667</v>
      </c>
      <c r="Q43" s="27">
        <f t="shared" si="13"/>
        <v>419.34952800000002</v>
      </c>
      <c r="R43" s="5"/>
      <c r="S43" s="21"/>
      <c r="T43" s="21"/>
      <c r="U43" s="21"/>
      <c r="V43" s="21"/>
      <c r="W43" s="21"/>
      <c r="X43" s="21"/>
      <c r="Y43" s="30">
        <f>Y42</f>
        <v>419.3418906666667</v>
      </c>
      <c r="Z43" s="30">
        <f>Q43</f>
        <v>419.34952800000002</v>
      </c>
      <c r="AA43" s="21"/>
      <c r="AB43" s="21"/>
      <c r="AC43" s="21"/>
      <c r="AD43" s="21"/>
      <c r="AE43" s="21"/>
      <c r="AF43" s="21"/>
      <c r="AG43" s="21"/>
      <c r="AH43" s="21"/>
      <c r="AI43" s="21"/>
      <c r="AJ43" s="21"/>
      <c r="AK43" s="21"/>
      <c r="AL43" s="21"/>
      <c r="AM43" s="21"/>
      <c r="AN43" s="21"/>
      <c r="AO43" s="21"/>
      <c r="AP43" s="21"/>
      <c r="AQ43" s="21">
        <f t="shared" si="10"/>
        <v>419.31800000000004</v>
      </c>
      <c r="AR43" s="21">
        <f t="shared" si="11"/>
        <v>419.38200000000001</v>
      </c>
    </row>
    <row r="44" spans="1:44">
      <c r="A44" s="121" t="s">
        <v>936</v>
      </c>
      <c r="B44" s="90" t="s">
        <v>417</v>
      </c>
      <c r="C44" s="90">
        <v>-37</v>
      </c>
      <c r="D44" s="90"/>
      <c r="E44" s="90"/>
      <c r="F44" s="90"/>
      <c r="G44" s="90"/>
      <c r="J44" s="5">
        <v>17</v>
      </c>
      <c r="K44" s="23">
        <f t="shared" si="12"/>
        <v>121.14</v>
      </c>
      <c r="L44" s="24">
        <f t="shared" si="5"/>
        <v>6</v>
      </c>
      <c r="M44" s="5">
        <f t="shared" si="6"/>
        <v>419.36</v>
      </c>
      <c r="N44" s="25">
        <f t="shared" si="7"/>
        <v>-8.4444423247178853E-4</v>
      </c>
      <c r="O44" s="26">
        <f t="shared" si="8"/>
        <v>8.64</v>
      </c>
      <c r="P44" s="27">
        <f t="shared" si="9"/>
        <v>419.35270400183146</v>
      </c>
      <c r="Q44" s="27">
        <f t="shared" si="13"/>
        <v>419.35394933424908</v>
      </c>
      <c r="R44" s="5"/>
      <c r="S44" s="21"/>
      <c r="T44" s="21"/>
      <c r="U44" s="21"/>
      <c r="V44" s="21"/>
      <c r="W44" s="21"/>
      <c r="X44" s="21"/>
      <c r="Y44" s="21"/>
      <c r="Z44" s="30">
        <f>Z43</f>
        <v>419.34952800000002</v>
      </c>
      <c r="AA44" s="30">
        <f>Q44</f>
        <v>419.35394933424908</v>
      </c>
      <c r="AB44" s="21"/>
      <c r="AC44" s="21"/>
      <c r="AD44" s="21"/>
      <c r="AE44" s="21"/>
      <c r="AF44" s="21"/>
      <c r="AG44" s="21"/>
      <c r="AH44" s="21"/>
      <c r="AI44" s="21"/>
      <c r="AJ44" s="21"/>
      <c r="AK44" s="21"/>
      <c r="AL44" s="21"/>
      <c r="AM44" s="21"/>
      <c r="AN44" s="21"/>
      <c r="AO44" s="21"/>
      <c r="AP44" s="21"/>
      <c r="AQ44" s="21">
        <f t="shared" si="10"/>
        <v>419.31800000000004</v>
      </c>
      <c r="AR44" s="21">
        <f t="shared" si="11"/>
        <v>419.38200000000001</v>
      </c>
    </row>
    <row r="45" spans="1:44">
      <c r="A45" s="90" t="s">
        <v>412</v>
      </c>
      <c r="B45" s="90" t="s">
        <v>413</v>
      </c>
      <c r="C45" s="90">
        <v>419.33800000000002</v>
      </c>
      <c r="D45" s="90"/>
      <c r="E45" s="90"/>
      <c r="F45" s="90"/>
      <c r="G45" s="90"/>
      <c r="J45" s="5">
        <v>16</v>
      </c>
      <c r="K45" s="23">
        <f t="shared" si="12"/>
        <v>136.13999999999999</v>
      </c>
      <c r="L45" s="24">
        <f t="shared" si="5"/>
        <v>7</v>
      </c>
      <c r="M45" s="5">
        <f t="shared" si="6"/>
        <v>419.3410000047694</v>
      </c>
      <c r="N45" s="25">
        <f t="shared" si="7"/>
        <v>2.6666693162648395E-4</v>
      </c>
      <c r="O45" s="26">
        <f t="shared" si="8"/>
        <v>1.1399999999999864</v>
      </c>
      <c r="P45" s="27">
        <f t="shared" si="9"/>
        <v>419.34130400507144</v>
      </c>
      <c r="Q45" s="27">
        <f t="shared" si="13"/>
        <v>419.34700400345145</v>
      </c>
      <c r="R45" s="5"/>
      <c r="S45" s="21"/>
      <c r="T45" s="21"/>
      <c r="U45" s="21"/>
      <c r="V45" s="21"/>
      <c r="W45" s="21"/>
      <c r="X45" s="21"/>
      <c r="Y45" s="21"/>
      <c r="Z45" s="21"/>
      <c r="AA45" s="30">
        <f>AA44</f>
        <v>419.35394933424908</v>
      </c>
      <c r="AB45" s="30">
        <f>Q45</f>
        <v>419.34700400345145</v>
      </c>
      <c r="AC45" s="21"/>
      <c r="AD45" s="21"/>
      <c r="AE45" s="21"/>
      <c r="AF45" s="21"/>
      <c r="AG45" s="21"/>
      <c r="AH45" s="21"/>
      <c r="AI45" s="21"/>
      <c r="AJ45" s="21"/>
      <c r="AK45" s="21"/>
      <c r="AL45" s="21"/>
      <c r="AM45" s="21"/>
      <c r="AN45" s="21"/>
      <c r="AO45" s="21"/>
      <c r="AP45" s="21"/>
      <c r="AQ45" s="21">
        <f t="shared" si="10"/>
        <v>419.31800000000004</v>
      </c>
      <c r="AR45" s="21">
        <f t="shared" si="11"/>
        <v>419.38200000000001</v>
      </c>
    </row>
    <row r="46" spans="1:44">
      <c r="A46" s="90" t="s">
        <v>937</v>
      </c>
      <c r="B46" s="90" t="s">
        <v>415</v>
      </c>
      <c r="C46" s="90">
        <v>0</v>
      </c>
      <c r="D46" s="90"/>
      <c r="E46" s="90"/>
      <c r="F46" s="90"/>
      <c r="G46" s="90"/>
      <c r="J46" s="5">
        <v>15</v>
      </c>
      <c r="K46" s="23">
        <f t="shared" si="12"/>
        <v>151.13999999999999</v>
      </c>
      <c r="L46" s="24">
        <f t="shared" si="5"/>
        <v>7</v>
      </c>
      <c r="M46" s="5">
        <f t="shared" si="6"/>
        <v>419.3410000047694</v>
      </c>
      <c r="N46" s="25">
        <f t="shared" si="7"/>
        <v>2.6666693162648395E-4</v>
      </c>
      <c r="O46" s="26">
        <f t="shared" si="8"/>
        <v>16.139999999999986</v>
      </c>
      <c r="P46" s="27">
        <f t="shared" si="9"/>
        <v>419.34530400904583</v>
      </c>
      <c r="Q46" s="27">
        <f t="shared" si="13"/>
        <v>419.34330400705863</v>
      </c>
      <c r="R46" s="5"/>
      <c r="S46" s="21"/>
      <c r="T46" s="21"/>
      <c r="U46" s="21"/>
      <c r="V46" s="21"/>
      <c r="W46" s="21"/>
      <c r="X46" s="21"/>
      <c r="Y46" s="21"/>
      <c r="Z46" s="21"/>
      <c r="AA46" s="21"/>
      <c r="AB46" s="30">
        <f>AB45</f>
        <v>419.34700400345145</v>
      </c>
      <c r="AC46" s="30">
        <f>Q46</f>
        <v>419.34330400705863</v>
      </c>
      <c r="AD46" s="21"/>
      <c r="AE46" s="21"/>
      <c r="AF46" s="21"/>
      <c r="AG46" s="21"/>
      <c r="AH46" s="21"/>
      <c r="AI46" s="21"/>
      <c r="AJ46" s="21"/>
      <c r="AK46" s="21"/>
      <c r="AL46" s="21"/>
      <c r="AM46" s="21"/>
      <c r="AN46" s="21"/>
      <c r="AO46" s="21"/>
      <c r="AP46" s="21"/>
      <c r="AQ46" s="21">
        <f t="shared" si="10"/>
        <v>419.31800000000004</v>
      </c>
      <c r="AR46" s="21">
        <f t="shared" si="11"/>
        <v>419.38200000000001</v>
      </c>
    </row>
    <row r="47" spans="1:44">
      <c r="A47" s="121" t="s">
        <v>938</v>
      </c>
      <c r="B47" s="90" t="s">
        <v>417</v>
      </c>
      <c r="C47" s="90">
        <v>-37</v>
      </c>
      <c r="D47" s="90"/>
      <c r="E47" s="90"/>
      <c r="F47" s="90"/>
      <c r="G47" s="90"/>
      <c r="J47" s="5">
        <v>14</v>
      </c>
      <c r="K47" s="23">
        <f t="shared" si="12"/>
        <v>166.14</v>
      </c>
      <c r="L47" s="24">
        <f t="shared" si="5"/>
        <v>8</v>
      </c>
      <c r="M47" s="5">
        <f t="shared" si="6"/>
        <v>419.34700001073099</v>
      </c>
      <c r="N47" s="25">
        <f t="shared" si="7"/>
        <v>-1.7333338102667362E-3</v>
      </c>
      <c r="O47" s="26">
        <f t="shared" si="8"/>
        <v>8.6399999999999864</v>
      </c>
      <c r="P47" s="27">
        <f t="shared" si="9"/>
        <v>419.33202400661031</v>
      </c>
      <c r="Q47" s="27">
        <f t="shared" si="13"/>
        <v>419.33866400782807</v>
      </c>
      <c r="R47" s="5"/>
      <c r="S47" s="21"/>
      <c r="T47" s="21"/>
      <c r="U47" s="21"/>
      <c r="V47" s="21"/>
      <c r="W47" s="21"/>
      <c r="X47" s="21"/>
      <c r="Y47" s="21"/>
      <c r="Z47" s="21"/>
      <c r="AA47" s="21"/>
      <c r="AB47" s="21"/>
      <c r="AC47" s="30">
        <f>AC46</f>
        <v>419.34330400705863</v>
      </c>
      <c r="AD47" s="30">
        <f>Q47</f>
        <v>419.33866400782807</v>
      </c>
      <c r="AE47" s="21"/>
      <c r="AF47" s="21"/>
      <c r="AG47" s="21"/>
      <c r="AH47" s="21"/>
      <c r="AI47" s="21"/>
      <c r="AJ47" s="21"/>
      <c r="AK47" s="21"/>
      <c r="AL47" s="21"/>
      <c r="AM47" s="21"/>
      <c r="AN47" s="21"/>
      <c r="AO47" s="21"/>
      <c r="AP47" s="21"/>
      <c r="AQ47" s="21">
        <f t="shared" si="10"/>
        <v>419.31800000000004</v>
      </c>
      <c r="AR47" s="21">
        <f t="shared" si="11"/>
        <v>419.38200000000001</v>
      </c>
    </row>
    <row r="48" spans="1:44">
      <c r="A48" s="90" t="s">
        <v>412</v>
      </c>
      <c r="B48" s="90" t="s">
        <v>413</v>
      </c>
      <c r="C48" s="90">
        <v>419.36500000000001</v>
      </c>
      <c r="D48" s="90"/>
      <c r="E48" s="90"/>
      <c r="F48" s="90"/>
      <c r="G48" s="90"/>
      <c r="J48" s="5">
        <v>13</v>
      </c>
      <c r="K48" s="23">
        <f t="shared" si="12"/>
        <v>181.14</v>
      </c>
      <c r="L48" s="24">
        <f t="shared" si="5"/>
        <v>9</v>
      </c>
      <c r="M48" s="5">
        <f t="shared" si="6"/>
        <v>419.30799999999999</v>
      </c>
      <c r="N48" s="25">
        <f t="shared" si="7"/>
        <v>-1.2888888358879235E-3</v>
      </c>
      <c r="O48" s="26">
        <f t="shared" si="8"/>
        <v>1.1399999999999864</v>
      </c>
      <c r="P48" s="27">
        <f t="shared" si="9"/>
        <v>419.3065306667271</v>
      </c>
      <c r="Q48" s="27">
        <f t="shared" si="13"/>
        <v>419.31927733666873</v>
      </c>
      <c r="R48" s="5"/>
      <c r="S48" s="21"/>
      <c r="T48" s="21"/>
      <c r="U48" s="21"/>
      <c r="V48" s="21"/>
      <c r="W48" s="21"/>
      <c r="X48" s="21"/>
      <c r="Y48" s="21"/>
      <c r="Z48" s="21"/>
      <c r="AA48" s="21"/>
      <c r="AB48" s="21"/>
      <c r="AC48" s="21"/>
      <c r="AD48" s="30">
        <f>AD47</f>
        <v>419.33866400782807</v>
      </c>
      <c r="AE48" s="30">
        <f>Q48</f>
        <v>419.31927733666873</v>
      </c>
      <c r="AF48" s="21"/>
      <c r="AG48" s="21"/>
      <c r="AH48" s="21"/>
      <c r="AI48" s="21"/>
      <c r="AJ48" s="21"/>
      <c r="AK48" s="21"/>
      <c r="AL48" s="21"/>
      <c r="AM48" s="21"/>
      <c r="AN48" s="21"/>
      <c r="AO48" s="21"/>
      <c r="AP48" s="21"/>
      <c r="AQ48" s="21">
        <f t="shared" si="10"/>
        <v>419.31800000000004</v>
      </c>
      <c r="AR48" s="21">
        <f t="shared" si="11"/>
        <v>419.38200000000001</v>
      </c>
    </row>
    <row r="49" spans="1:44">
      <c r="A49" s="90" t="s">
        <v>939</v>
      </c>
      <c r="B49" s="90" t="s">
        <v>415</v>
      </c>
      <c r="C49" s="90">
        <v>1E-3</v>
      </c>
      <c r="D49" s="90"/>
      <c r="E49" s="90"/>
      <c r="F49" s="90"/>
      <c r="G49" s="90"/>
      <c r="J49" s="5">
        <v>12</v>
      </c>
      <c r="K49" s="23">
        <f t="shared" si="12"/>
        <v>196.14</v>
      </c>
      <c r="L49" s="24">
        <f t="shared" si="5"/>
        <v>9</v>
      </c>
      <c r="M49" s="5">
        <f t="shared" si="6"/>
        <v>419.30799999999999</v>
      </c>
      <c r="N49" s="25">
        <f t="shared" si="7"/>
        <v>-1.2888888358879235E-3</v>
      </c>
      <c r="O49" s="26">
        <f t="shared" si="8"/>
        <v>16.139999999999986</v>
      </c>
      <c r="P49" s="27">
        <f t="shared" si="9"/>
        <v>419.28719733418876</v>
      </c>
      <c r="Q49" s="27">
        <f t="shared" si="13"/>
        <v>419.29686400045796</v>
      </c>
      <c r="R49" s="5"/>
      <c r="S49" s="21"/>
      <c r="T49" s="21"/>
      <c r="U49" s="21"/>
      <c r="V49" s="21"/>
      <c r="W49" s="21"/>
      <c r="X49" s="21"/>
      <c r="Y49" s="21"/>
      <c r="Z49" s="21"/>
      <c r="AA49" s="21"/>
      <c r="AB49" s="21"/>
      <c r="AC49" s="21"/>
      <c r="AD49" s="21"/>
      <c r="AE49" s="30">
        <f>AE48</f>
        <v>419.31927733666873</v>
      </c>
      <c r="AF49" s="30">
        <f>Q49</f>
        <v>419.29686400045796</v>
      </c>
      <c r="AG49" s="21"/>
      <c r="AH49" s="21"/>
      <c r="AI49" s="21"/>
      <c r="AJ49" s="21"/>
      <c r="AK49" s="21"/>
      <c r="AL49" s="21"/>
      <c r="AM49" s="21"/>
      <c r="AN49" s="21"/>
      <c r="AO49" s="21"/>
      <c r="AP49" s="21"/>
      <c r="AQ49" s="21">
        <f t="shared" si="10"/>
        <v>419.31800000000004</v>
      </c>
      <c r="AR49" s="21">
        <f t="shared" si="11"/>
        <v>419.38200000000001</v>
      </c>
    </row>
    <row r="50" spans="1:44">
      <c r="A50" s="121" t="s">
        <v>940</v>
      </c>
      <c r="B50" s="90" t="s">
        <v>417</v>
      </c>
      <c r="C50" s="90">
        <v>-37</v>
      </c>
      <c r="D50" s="90"/>
      <c r="E50" s="90"/>
      <c r="F50" s="90"/>
      <c r="G50" s="90"/>
      <c r="J50" s="5">
        <v>11</v>
      </c>
      <c r="K50" s="23">
        <f t="shared" si="12"/>
        <v>211.14</v>
      </c>
      <c r="L50" s="24">
        <f t="shared" si="5"/>
        <v>10</v>
      </c>
      <c r="M50" s="5">
        <f t="shared" si="6"/>
        <v>419.27900000119251</v>
      </c>
      <c r="N50" s="25">
        <f t="shared" si="7"/>
        <v>1.955555502553984E-3</v>
      </c>
      <c r="O50" s="26">
        <f t="shared" si="8"/>
        <v>8.6399999999999864</v>
      </c>
      <c r="P50" s="27">
        <f t="shared" si="9"/>
        <v>419.29589600073456</v>
      </c>
      <c r="Q50" s="27">
        <f t="shared" si="13"/>
        <v>419.29154666746166</v>
      </c>
      <c r="R50" s="5"/>
      <c r="S50" s="21"/>
      <c r="T50" s="21"/>
      <c r="U50" s="21"/>
      <c r="V50" s="21"/>
      <c r="W50" s="21"/>
      <c r="X50" s="21"/>
      <c r="Y50" s="21"/>
      <c r="Z50" s="21"/>
      <c r="AA50" s="21"/>
      <c r="AB50" s="21"/>
      <c r="AC50" s="21"/>
      <c r="AD50" s="21"/>
      <c r="AE50" s="21"/>
      <c r="AF50" s="30">
        <f>AF49</f>
        <v>419.29686400045796</v>
      </c>
      <c r="AG50" s="30">
        <f>Q50</f>
        <v>419.29154666746166</v>
      </c>
      <c r="AH50" s="21"/>
      <c r="AI50" s="21"/>
      <c r="AJ50" s="21"/>
      <c r="AK50" s="21"/>
      <c r="AL50" s="21"/>
      <c r="AM50" s="21"/>
      <c r="AN50" s="21"/>
      <c r="AO50" s="21"/>
      <c r="AP50" s="21"/>
      <c r="AQ50" s="21">
        <f t="shared" si="10"/>
        <v>419.31800000000004</v>
      </c>
      <c r="AR50" s="21">
        <f t="shared" si="11"/>
        <v>419.38200000000001</v>
      </c>
    </row>
    <row r="51" spans="1:44">
      <c r="A51" s="90" t="s">
        <v>412</v>
      </c>
      <c r="B51" s="90" t="s">
        <v>413</v>
      </c>
      <c r="C51" s="90">
        <v>419.36099999999999</v>
      </c>
      <c r="D51" s="90"/>
      <c r="E51" s="90"/>
      <c r="F51" s="90"/>
      <c r="G51" s="90"/>
      <c r="J51" s="5">
        <v>10</v>
      </c>
      <c r="K51" s="23">
        <f t="shared" si="12"/>
        <v>226.14</v>
      </c>
      <c r="L51" s="24">
        <f t="shared" si="5"/>
        <v>11</v>
      </c>
      <c r="M51" s="5">
        <f t="shared" si="6"/>
        <v>419.32299999999998</v>
      </c>
      <c r="N51" s="25">
        <f t="shared" si="7"/>
        <v>3.6000000529864133E-3</v>
      </c>
      <c r="O51" s="26">
        <f t="shared" si="8"/>
        <v>1.1399999999999864</v>
      </c>
      <c r="P51" s="27">
        <f t="shared" si="9"/>
        <v>419.32710400006039</v>
      </c>
      <c r="Q51" s="27">
        <f t="shared" si="13"/>
        <v>419.31150000039747</v>
      </c>
      <c r="R51" s="5"/>
      <c r="S51" s="21"/>
      <c r="T51" s="21"/>
      <c r="U51" s="21"/>
      <c r="V51" s="21"/>
      <c r="W51" s="21"/>
      <c r="X51" s="21"/>
      <c r="Y51" s="21"/>
      <c r="Z51" s="21"/>
      <c r="AA51" s="21"/>
      <c r="AB51" s="21"/>
      <c r="AC51" s="21"/>
      <c r="AD51" s="21"/>
      <c r="AE51" s="21"/>
      <c r="AF51" s="21"/>
      <c r="AG51" s="30">
        <f>AG50</f>
        <v>419.29154666746166</v>
      </c>
      <c r="AH51" s="30">
        <f>Q51</f>
        <v>419.31150000039747</v>
      </c>
      <c r="AI51" s="21"/>
      <c r="AJ51" s="21"/>
      <c r="AK51" s="21"/>
      <c r="AL51" s="21"/>
      <c r="AM51" s="21"/>
      <c r="AN51" s="21"/>
      <c r="AO51" s="21"/>
      <c r="AP51" s="21"/>
      <c r="AQ51" s="21">
        <f t="shared" si="10"/>
        <v>419.31800000000004</v>
      </c>
      <c r="AR51" s="21">
        <f t="shared" si="11"/>
        <v>419.38200000000001</v>
      </c>
    </row>
    <row r="52" spans="1:44">
      <c r="A52" s="90" t="s">
        <v>941</v>
      </c>
      <c r="B52" s="90" t="s">
        <v>415</v>
      </c>
      <c r="C52" s="90">
        <v>-2E-3</v>
      </c>
      <c r="D52" s="90"/>
      <c r="E52" s="90"/>
      <c r="F52" s="90"/>
      <c r="G52" s="90"/>
      <c r="J52" s="5">
        <v>9</v>
      </c>
      <c r="K52" s="23">
        <f t="shared" si="12"/>
        <v>241.14</v>
      </c>
      <c r="L52" s="24">
        <f t="shared" si="5"/>
        <v>11</v>
      </c>
      <c r="M52" s="5">
        <f t="shared" si="6"/>
        <v>419.32299999999998</v>
      </c>
      <c r="N52" s="25">
        <f t="shared" si="7"/>
        <v>3.6000000529864133E-3</v>
      </c>
      <c r="O52" s="26">
        <f t="shared" si="8"/>
        <v>16.139999999999986</v>
      </c>
      <c r="P52" s="27">
        <f t="shared" si="9"/>
        <v>419.3811040008552</v>
      </c>
      <c r="Q52" s="27">
        <f t="shared" si="13"/>
        <v>419.35410400045782</v>
      </c>
      <c r="R52" s="5"/>
      <c r="S52" s="21"/>
      <c r="T52" s="21"/>
      <c r="U52" s="21"/>
      <c r="V52" s="21"/>
      <c r="W52" s="21"/>
      <c r="X52" s="21"/>
      <c r="Y52" s="21"/>
      <c r="Z52" s="21"/>
      <c r="AA52" s="21"/>
      <c r="AB52" s="21"/>
      <c r="AC52" s="21"/>
      <c r="AD52" s="21"/>
      <c r="AE52" s="21"/>
      <c r="AF52" s="21"/>
      <c r="AG52" s="21"/>
      <c r="AH52" s="30">
        <f>AH51</f>
        <v>419.31150000039747</v>
      </c>
      <c r="AI52" s="30">
        <f>Q52</f>
        <v>419.35410400045782</v>
      </c>
      <c r="AJ52" s="21"/>
      <c r="AK52" s="21"/>
      <c r="AL52" s="21"/>
      <c r="AM52" s="21"/>
      <c r="AN52" s="21"/>
      <c r="AO52" s="21"/>
      <c r="AP52" s="21"/>
      <c r="AQ52" s="21">
        <f t="shared" si="10"/>
        <v>419.31800000000004</v>
      </c>
      <c r="AR52" s="21">
        <f t="shared" si="11"/>
        <v>419.38200000000001</v>
      </c>
    </row>
    <row r="53" spans="1:44">
      <c r="A53" s="121" t="s">
        <v>942</v>
      </c>
      <c r="B53" s="90" t="s">
        <v>417</v>
      </c>
      <c r="C53" s="90">
        <v>-37</v>
      </c>
      <c r="D53" s="90"/>
      <c r="E53" s="90"/>
      <c r="F53" s="90"/>
      <c r="G53" s="90"/>
      <c r="J53" s="5">
        <v>8</v>
      </c>
      <c r="K53" s="23">
        <f t="shared" si="12"/>
        <v>256.14</v>
      </c>
      <c r="L53" s="24">
        <f t="shared" si="5"/>
        <v>12</v>
      </c>
      <c r="M53" s="5">
        <f t="shared" si="6"/>
        <v>419.40400000119217</v>
      </c>
      <c r="N53" s="25">
        <f t="shared" si="7"/>
        <v>6.2222216923702139E-4</v>
      </c>
      <c r="O53" s="26">
        <f t="shared" si="8"/>
        <v>8.6399999999999864</v>
      </c>
      <c r="P53" s="27">
        <f t="shared" si="9"/>
        <v>419.40937600073437</v>
      </c>
      <c r="Q53" s="27">
        <f t="shared" si="13"/>
        <v>419.39524000079479</v>
      </c>
      <c r="R53" s="5"/>
      <c r="S53" s="21"/>
      <c r="T53" s="21"/>
      <c r="U53" s="21"/>
      <c r="V53" s="21"/>
      <c r="W53" s="21"/>
      <c r="X53" s="21"/>
      <c r="Y53" s="21"/>
      <c r="Z53" s="21"/>
      <c r="AA53" s="21"/>
      <c r="AB53" s="21"/>
      <c r="AC53" s="21"/>
      <c r="AD53" s="21"/>
      <c r="AE53" s="21"/>
      <c r="AF53" s="21"/>
      <c r="AG53" s="21"/>
      <c r="AH53" s="30"/>
      <c r="AI53" s="30">
        <f>AI52</f>
        <v>419.35410400045782</v>
      </c>
      <c r="AJ53" s="30">
        <f>Q53</f>
        <v>419.39524000079479</v>
      </c>
      <c r="AK53" s="21"/>
      <c r="AL53" s="21"/>
      <c r="AM53" s="21"/>
      <c r="AN53" s="21"/>
      <c r="AO53" s="21"/>
      <c r="AP53" s="21"/>
      <c r="AQ53" s="21">
        <f t="shared" si="10"/>
        <v>419.31800000000004</v>
      </c>
      <c r="AR53" s="21">
        <f t="shared" si="11"/>
        <v>419.38200000000001</v>
      </c>
    </row>
    <row r="54" spans="1:44">
      <c r="A54" s="90"/>
      <c r="B54" s="90"/>
      <c r="C54" s="90"/>
      <c r="D54" s="90"/>
      <c r="E54" s="90"/>
      <c r="F54" s="90"/>
      <c r="G54" s="90"/>
      <c r="J54" s="5">
        <v>7</v>
      </c>
      <c r="K54" s="23">
        <f t="shared" si="12"/>
        <v>271.14</v>
      </c>
      <c r="L54" s="24">
        <f t="shared" si="5"/>
        <v>13</v>
      </c>
      <c r="M54" s="5">
        <f t="shared" si="6"/>
        <v>419.41800000000001</v>
      </c>
      <c r="N54" s="25">
        <f t="shared" si="7"/>
        <v>-2.8444443914521699E-3</v>
      </c>
      <c r="O54" s="26">
        <f t="shared" si="8"/>
        <v>1.1399999999999864</v>
      </c>
      <c r="P54" s="27">
        <f t="shared" si="9"/>
        <v>419.41475733339377</v>
      </c>
      <c r="Q54" s="27">
        <f t="shared" si="13"/>
        <v>419.4120666670641</v>
      </c>
      <c r="R54" s="5"/>
      <c r="S54" s="21"/>
      <c r="T54" s="21"/>
      <c r="U54" s="21"/>
      <c r="V54" s="21"/>
      <c r="W54" s="21"/>
      <c r="X54" s="21"/>
      <c r="Y54" s="21"/>
      <c r="Z54" s="21"/>
      <c r="AA54" s="21"/>
      <c r="AB54" s="21"/>
      <c r="AC54" s="21"/>
      <c r="AD54" s="21"/>
      <c r="AE54" s="21"/>
      <c r="AF54" s="21"/>
      <c r="AG54" s="21"/>
      <c r="AH54" s="30"/>
      <c r="AI54" s="30"/>
      <c r="AJ54" s="30">
        <f>AJ53</f>
        <v>419.39524000079479</v>
      </c>
      <c r="AK54" s="30">
        <f>Q54</f>
        <v>419.4120666670641</v>
      </c>
      <c r="AL54" s="21"/>
      <c r="AM54" s="21"/>
      <c r="AN54" s="21"/>
      <c r="AO54" s="21"/>
      <c r="AP54" s="21"/>
      <c r="AQ54" s="21">
        <f t="shared" si="10"/>
        <v>419.31800000000004</v>
      </c>
      <c r="AR54" s="21">
        <f t="shared" si="11"/>
        <v>419.38200000000001</v>
      </c>
    </row>
    <row r="55" spans="1:44">
      <c r="A55" s="90"/>
      <c r="B55" s="90"/>
      <c r="C55" s="90"/>
      <c r="D55" s="90"/>
      <c r="E55" s="90"/>
      <c r="F55" s="90"/>
      <c r="G55" s="90"/>
      <c r="J55" s="5">
        <v>6</v>
      </c>
      <c r="K55" s="23">
        <f t="shared" si="12"/>
        <v>286.14</v>
      </c>
      <c r="L55" s="24">
        <f t="shared" si="5"/>
        <v>13</v>
      </c>
      <c r="M55" s="5">
        <f t="shared" si="6"/>
        <v>419.41800000000001</v>
      </c>
      <c r="N55" s="25">
        <f t="shared" si="7"/>
        <v>-2.8444443914521699E-3</v>
      </c>
      <c r="O55" s="26">
        <f t="shared" si="8"/>
        <v>16.139999999999986</v>
      </c>
      <c r="P55" s="27">
        <f t="shared" si="9"/>
        <v>419.37209066752195</v>
      </c>
      <c r="Q55" s="27">
        <f t="shared" si="13"/>
        <v>419.39342400045786</v>
      </c>
      <c r="R55" s="5"/>
      <c r="S55" s="21"/>
      <c r="T55" s="21"/>
      <c r="U55" s="21"/>
      <c r="V55" s="21"/>
      <c r="W55" s="21"/>
      <c r="X55" s="21"/>
      <c r="Y55" s="21"/>
      <c r="Z55" s="21"/>
      <c r="AA55" s="21"/>
      <c r="AB55" s="21"/>
      <c r="AC55" s="21"/>
      <c r="AD55" s="21"/>
      <c r="AE55" s="21"/>
      <c r="AF55" s="21"/>
      <c r="AG55" s="21"/>
      <c r="AH55" s="30"/>
      <c r="AI55" s="30"/>
      <c r="AJ55" s="21"/>
      <c r="AK55" s="30">
        <f>AK54</f>
        <v>419.4120666670641</v>
      </c>
      <c r="AL55" s="30">
        <f>Q55</f>
        <v>419.39342400045786</v>
      </c>
      <c r="AM55" s="21"/>
      <c r="AN55" s="21"/>
      <c r="AO55" s="21"/>
      <c r="AP55" s="21"/>
      <c r="AQ55" s="21">
        <f t="shared" si="10"/>
        <v>419.31800000000004</v>
      </c>
      <c r="AR55" s="21">
        <f t="shared" si="11"/>
        <v>419.38200000000001</v>
      </c>
    </row>
    <row r="56" spans="1:44">
      <c r="A56" s="90"/>
      <c r="B56" s="90"/>
      <c r="C56" s="90"/>
      <c r="D56" s="90"/>
      <c r="E56" s="90"/>
      <c r="F56" s="90"/>
      <c r="G56" s="90"/>
      <c r="J56" s="5">
        <v>5</v>
      </c>
      <c r="K56" s="23">
        <f t="shared" si="12"/>
        <v>301.14</v>
      </c>
      <c r="L56" s="24">
        <f t="shared" si="5"/>
        <v>14</v>
      </c>
      <c r="M56" s="5">
        <f t="shared" si="6"/>
        <v>419.35400000119233</v>
      </c>
      <c r="N56" s="25">
        <f t="shared" si="7"/>
        <v>-3.6444444974373861E-3</v>
      </c>
      <c r="O56" s="26">
        <f t="shared" si="8"/>
        <v>8.6399999999999864</v>
      </c>
      <c r="P56" s="27">
        <f t="shared" si="9"/>
        <v>419.32251200073449</v>
      </c>
      <c r="Q56" s="27">
        <f t="shared" si="13"/>
        <v>419.34730133412825</v>
      </c>
      <c r="R56" s="5"/>
      <c r="S56" s="21"/>
      <c r="T56" s="21"/>
      <c r="U56" s="21"/>
      <c r="V56" s="21"/>
      <c r="W56" s="21"/>
      <c r="X56" s="21"/>
      <c r="Y56" s="21"/>
      <c r="Z56" s="21"/>
      <c r="AA56" s="21"/>
      <c r="AB56" s="21"/>
      <c r="AC56" s="21"/>
      <c r="AD56" s="21"/>
      <c r="AE56" s="21"/>
      <c r="AF56" s="21"/>
      <c r="AG56" s="21"/>
      <c r="AH56" s="30"/>
      <c r="AI56" s="30"/>
      <c r="AJ56" s="21"/>
      <c r="AK56" s="21"/>
      <c r="AL56" s="30">
        <f>AL55</f>
        <v>419.39342400045786</v>
      </c>
      <c r="AM56" s="30">
        <f>Q56</f>
        <v>419.34730133412825</v>
      </c>
      <c r="AN56" s="21"/>
      <c r="AO56" s="21"/>
      <c r="AP56" s="21"/>
      <c r="AQ56" s="21">
        <f t="shared" si="10"/>
        <v>419.31800000000004</v>
      </c>
      <c r="AR56" s="21">
        <f t="shared" si="11"/>
        <v>419.38200000000001</v>
      </c>
    </row>
    <row r="57" spans="1:44">
      <c r="A57" s="90"/>
      <c r="B57" s="90"/>
      <c r="C57" s="90"/>
      <c r="D57" s="90"/>
      <c r="E57" s="90"/>
      <c r="F57" s="90"/>
      <c r="G57" s="90"/>
      <c r="J57" s="5">
        <v>4</v>
      </c>
      <c r="K57" s="23">
        <f t="shared" si="12"/>
        <v>316.14</v>
      </c>
      <c r="L57" s="24">
        <f t="shared" si="5"/>
        <v>15</v>
      </c>
      <c r="M57" s="5">
        <f t="shared" si="6"/>
        <v>419.27199999999999</v>
      </c>
      <c r="N57" s="25">
        <f t="shared" si="7"/>
        <v>-1.3333328032937667E-4</v>
      </c>
      <c r="O57" s="26">
        <f t="shared" si="8"/>
        <v>1.1399999999999864</v>
      </c>
      <c r="P57" s="27">
        <f t="shared" si="9"/>
        <v>419.2718480000604</v>
      </c>
      <c r="Q57" s="27">
        <f t="shared" si="13"/>
        <v>419.29718000039747</v>
      </c>
      <c r="R57" s="5"/>
      <c r="S57" s="21"/>
      <c r="T57" s="21"/>
      <c r="U57" s="21"/>
      <c r="V57" s="21"/>
      <c r="W57" s="21"/>
      <c r="X57" s="21"/>
      <c r="Y57" s="21"/>
      <c r="Z57" s="21"/>
      <c r="AA57" s="21"/>
      <c r="AB57" s="21"/>
      <c r="AC57" s="21"/>
      <c r="AD57" s="21"/>
      <c r="AE57" s="21"/>
      <c r="AF57" s="21"/>
      <c r="AG57" s="21"/>
      <c r="AH57" s="30"/>
      <c r="AI57" s="30"/>
      <c r="AJ57" s="21"/>
      <c r="AK57" s="21"/>
      <c r="AL57" s="21"/>
      <c r="AM57" s="30">
        <f>AM56</f>
        <v>419.34730133412825</v>
      </c>
      <c r="AN57" s="30">
        <f>Q57</f>
        <v>419.29718000039747</v>
      </c>
      <c r="AO57" s="30"/>
      <c r="AP57" s="21"/>
      <c r="AQ57" s="21">
        <f t="shared" si="10"/>
        <v>419.31800000000004</v>
      </c>
      <c r="AR57" s="21">
        <f t="shared" si="11"/>
        <v>419.38200000000001</v>
      </c>
    </row>
    <row r="58" spans="1:44">
      <c r="A58" s="90"/>
      <c r="B58" s="90"/>
      <c r="C58" s="90"/>
      <c r="D58" s="90"/>
      <c r="E58" s="90"/>
      <c r="F58" s="90"/>
      <c r="G58" s="90"/>
      <c r="J58" s="5">
        <v>3</v>
      </c>
      <c r="K58" s="23">
        <f t="shared" si="12"/>
        <v>331.14</v>
      </c>
      <c r="L58" s="24">
        <f t="shared" si="5"/>
        <v>15</v>
      </c>
      <c r="M58" s="5">
        <f t="shared" si="6"/>
        <v>419.27199999999999</v>
      </c>
      <c r="N58" s="25">
        <f t="shared" si="7"/>
        <v>-1.3333328032937667E-4</v>
      </c>
      <c r="O58" s="26">
        <f t="shared" si="8"/>
        <v>16.139999999999986</v>
      </c>
      <c r="P58" s="27">
        <f t="shared" si="9"/>
        <v>419.26984800085546</v>
      </c>
      <c r="Q58" s="27">
        <f t="shared" si="13"/>
        <v>419.27084800045793</v>
      </c>
      <c r="R58" s="5"/>
      <c r="S58" s="21"/>
      <c r="T58" s="21"/>
      <c r="U58" s="21"/>
      <c r="V58" s="21"/>
      <c r="W58" s="21"/>
      <c r="X58" s="21"/>
      <c r="Y58" s="21"/>
      <c r="Z58" s="21"/>
      <c r="AA58" s="21"/>
      <c r="AB58" s="21"/>
      <c r="AC58" s="21"/>
      <c r="AD58" s="21"/>
      <c r="AE58" s="21"/>
      <c r="AF58" s="21"/>
      <c r="AG58" s="21"/>
      <c r="AH58" s="30"/>
      <c r="AI58" s="30"/>
      <c r="AJ58" s="21"/>
      <c r="AK58" s="21"/>
      <c r="AL58" s="21"/>
      <c r="AM58" s="30"/>
      <c r="AN58" s="30">
        <f>AN57</f>
        <v>419.29718000039747</v>
      </c>
      <c r="AO58" s="30">
        <f>Q58</f>
        <v>419.27084800045793</v>
      </c>
      <c r="AP58" s="21"/>
      <c r="AQ58" s="21">
        <f t="shared" si="10"/>
        <v>419.31800000000004</v>
      </c>
      <c r="AR58" s="21">
        <f t="shared" si="11"/>
        <v>419.38200000000001</v>
      </c>
    </row>
    <row r="59" spans="1:44">
      <c r="A59" s="1"/>
      <c r="J59" s="5">
        <v>2</v>
      </c>
      <c r="K59" s="23">
        <f t="shared" si="12"/>
        <v>346.14</v>
      </c>
      <c r="L59" s="24">
        <f t="shared" si="5"/>
        <v>16</v>
      </c>
      <c r="M59" s="5">
        <f>VLOOKUP(L59, $H$11:$K$27, 4, FALSE)</f>
        <v>419.26900000119258</v>
      </c>
      <c r="N59" s="25">
        <f t="shared" si="7"/>
        <v>2.3999999469954975E-3</v>
      </c>
      <c r="O59" s="26">
        <f t="shared" si="8"/>
        <v>8.6399999999999864</v>
      </c>
      <c r="P59" s="27">
        <f t="shared" si="9"/>
        <v>419.28973600073465</v>
      </c>
      <c r="Q59" s="27">
        <f>(P57+P59)/2</f>
        <v>419.28079200039753</v>
      </c>
      <c r="R59" s="5"/>
      <c r="S59" s="31"/>
      <c r="T59" s="31"/>
      <c r="U59" s="31"/>
      <c r="V59" s="31"/>
      <c r="W59" s="31"/>
      <c r="X59" s="31"/>
      <c r="Y59" s="31"/>
      <c r="Z59" s="31"/>
      <c r="AA59" s="31"/>
      <c r="AB59" s="31"/>
      <c r="AC59" s="31"/>
      <c r="AD59" s="31"/>
      <c r="AE59" s="31"/>
      <c r="AF59" s="31"/>
      <c r="AG59" s="31"/>
      <c r="AH59" s="31"/>
      <c r="AI59" s="32"/>
      <c r="AJ59" s="32"/>
      <c r="AK59" s="32"/>
      <c r="AL59" s="32"/>
      <c r="AM59" s="32"/>
      <c r="AN59" s="32"/>
      <c r="AO59" s="32">
        <f>AO58</f>
        <v>419.27084800045793</v>
      </c>
      <c r="AP59" s="32">
        <f>Q59</f>
        <v>419.28079200039753</v>
      </c>
      <c r="AQ59" s="31">
        <f t="shared" si="10"/>
        <v>419.31800000000004</v>
      </c>
      <c r="AR59" s="31">
        <f t="shared" si="11"/>
        <v>419.38200000000001</v>
      </c>
    </row>
    <row r="60" spans="1:44">
      <c r="A60" s="1"/>
    </row>
    <row r="61" spans="1:44">
      <c r="A61" s="1"/>
      <c r="S61" s="52"/>
    </row>
    <row r="62" spans="1:44">
      <c r="A62" s="1"/>
      <c r="J62" s="33"/>
      <c r="K62" s="33"/>
      <c r="L62" s="33"/>
      <c r="M62" s="33"/>
      <c r="N62" s="33"/>
      <c r="O62" s="33"/>
      <c r="P62" s="33"/>
      <c r="Q62" s="33"/>
      <c r="R62" s="33"/>
      <c r="S62" s="5"/>
      <c r="T62" s="33"/>
      <c r="U62" s="33"/>
      <c r="V62" s="33"/>
      <c r="W62" s="33"/>
      <c r="X62" s="33"/>
      <c r="Y62" s="33"/>
      <c r="Z62" s="33"/>
      <c r="AA62" s="33"/>
      <c r="AB62" s="33"/>
      <c r="AC62" s="33"/>
    </row>
    <row r="63" spans="1:44">
      <c r="A63" s="1"/>
      <c r="J63" s="33"/>
      <c r="K63" s="33"/>
      <c r="L63" s="33"/>
      <c r="M63" s="33"/>
      <c r="N63" s="33"/>
      <c r="O63" s="33"/>
      <c r="P63" s="33"/>
      <c r="Q63" s="33"/>
      <c r="R63" s="33"/>
      <c r="S63" s="5"/>
      <c r="T63" s="33"/>
      <c r="U63" s="33"/>
      <c r="V63" s="33"/>
      <c r="W63" s="33"/>
      <c r="X63" s="33"/>
      <c r="Y63" s="33"/>
      <c r="Z63" s="33"/>
      <c r="AA63" s="33"/>
      <c r="AB63" s="33"/>
      <c r="AC63" s="33"/>
    </row>
    <row r="64" spans="1:44">
      <c r="A64" s="1"/>
      <c r="J64" s="33"/>
      <c r="K64" s="33"/>
      <c r="L64" s="33"/>
      <c r="M64" s="33"/>
      <c r="N64" s="33"/>
      <c r="O64" s="33"/>
      <c r="P64" s="33"/>
      <c r="Q64" s="33"/>
      <c r="R64" s="33"/>
      <c r="S64" s="5"/>
      <c r="T64" s="33"/>
      <c r="U64" s="33"/>
      <c r="V64" s="33"/>
      <c r="W64" s="33"/>
      <c r="X64" s="33"/>
      <c r="Y64" s="33"/>
      <c r="Z64" s="33"/>
      <c r="AA64" s="33"/>
      <c r="AB64" s="33"/>
      <c r="AC64" s="33"/>
    </row>
    <row r="65" spans="1:29">
      <c r="A65" s="1"/>
      <c r="J65" s="33"/>
      <c r="K65" s="33"/>
      <c r="L65" s="33"/>
      <c r="M65" s="33"/>
      <c r="N65" s="33"/>
      <c r="O65" s="33"/>
      <c r="P65" s="33"/>
      <c r="Q65" s="33"/>
      <c r="R65" s="33"/>
      <c r="S65" s="5"/>
      <c r="T65" s="33"/>
      <c r="U65" s="33"/>
      <c r="V65" s="33"/>
      <c r="W65" s="33"/>
      <c r="X65" s="33"/>
      <c r="Y65" s="33"/>
      <c r="Z65" s="33"/>
      <c r="AA65" s="33"/>
      <c r="AB65" s="33"/>
      <c r="AC65" s="33"/>
    </row>
    <row r="66" spans="1:29">
      <c r="A66" s="1"/>
      <c r="J66" s="33"/>
      <c r="K66" s="33"/>
      <c r="L66" s="33"/>
      <c r="M66" s="33"/>
      <c r="N66" s="33"/>
      <c r="O66" s="33"/>
      <c r="P66" s="33"/>
      <c r="Q66" s="33"/>
      <c r="R66" s="33"/>
      <c r="S66" s="5"/>
      <c r="T66" s="33"/>
      <c r="U66" s="33"/>
      <c r="V66" s="33"/>
      <c r="W66" s="33"/>
      <c r="X66" s="33"/>
      <c r="Y66" s="33"/>
      <c r="Z66" s="33"/>
      <c r="AA66" s="33"/>
      <c r="AB66" s="33"/>
      <c r="AC66" s="33"/>
    </row>
    <row r="67" spans="1:29">
      <c r="A67" s="1"/>
      <c r="J67" s="33"/>
      <c r="K67" s="33"/>
      <c r="L67" s="33"/>
      <c r="M67" s="33"/>
      <c r="N67" s="33"/>
      <c r="O67" s="33"/>
      <c r="P67" s="33"/>
      <c r="Q67" s="33"/>
      <c r="R67" s="33"/>
      <c r="S67" s="5"/>
      <c r="T67" s="33"/>
      <c r="U67" s="33"/>
      <c r="V67" s="33"/>
      <c r="W67" s="33"/>
      <c r="X67" s="33"/>
      <c r="Y67" s="33"/>
      <c r="Z67" s="33"/>
      <c r="AA67" s="33"/>
      <c r="AB67" s="33"/>
      <c r="AC67" s="33"/>
    </row>
    <row r="68" spans="1:29">
      <c r="A68" s="1"/>
      <c r="J68" s="33"/>
      <c r="K68" s="33"/>
      <c r="L68" s="33"/>
      <c r="M68" s="33"/>
      <c r="N68" s="33"/>
      <c r="O68" s="33"/>
      <c r="P68" s="33"/>
      <c r="Q68" s="33"/>
      <c r="R68" s="33"/>
      <c r="S68" s="5"/>
      <c r="T68" s="33"/>
      <c r="U68" s="33"/>
      <c r="V68" s="33"/>
      <c r="W68" s="33"/>
      <c r="X68" s="33"/>
      <c r="Y68" s="33"/>
      <c r="Z68" s="33"/>
      <c r="AA68" s="33"/>
      <c r="AB68" s="33"/>
      <c r="AC68" s="33"/>
    </row>
    <row r="69" spans="1:29">
      <c r="A69" s="1"/>
      <c r="J69" s="33"/>
      <c r="K69" s="33"/>
      <c r="L69" s="33"/>
      <c r="M69" s="33"/>
      <c r="N69" s="33"/>
      <c r="O69" s="33"/>
      <c r="P69" s="33"/>
      <c r="Q69" s="33"/>
      <c r="R69" s="33"/>
      <c r="S69" s="5"/>
      <c r="T69" s="33"/>
      <c r="U69" s="33"/>
      <c r="V69" s="33"/>
      <c r="W69" s="33"/>
      <c r="X69" s="33"/>
      <c r="Y69" s="33"/>
      <c r="Z69" s="33"/>
      <c r="AA69" s="33"/>
      <c r="AB69" s="33"/>
      <c r="AC69" s="33"/>
    </row>
    <row r="70" spans="1:29">
      <c r="A70" s="1"/>
      <c r="J70" s="33"/>
      <c r="K70" s="33"/>
      <c r="L70" s="33"/>
      <c r="M70" s="33"/>
      <c r="N70" s="33"/>
      <c r="O70" s="33"/>
      <c r="P70" s="33"/>
      <c r="Q70" s="33"/>
      <c r="R70" s="33"/>
      <c r="S70" s="5"/>
      <c r="T70" s="33"/>
      <c r="U70" s="33"/>
      <c r="V70" s="33"/>
      <c r="W70" s="33"/>
      <c r="X70" s="33"/>
      <c r="Y70" s="33"/>
      <c r="Z70" s="33"/>
      <c r="AA70" s="33"/>
      <c r="AB70" s="33"/>
      <c r="AC70" s="33"/>
    </row>
    <row r="71" spans="1:29">
      <c r="A71" s="1"/>
      <c r="J71" s="33"/>
      <c r="K71" s="33"/>
      <c r="L71" s="33"/>
      <c r="M71" s="33"/>
      <c r="N71" s="33"/>
      <c r="O71" s="33"/>
      <c r="P71" s="33"/>
      <c r="Q71" s="33"/>
      <c r="R71" s="33"/>
      <c r="S71" s="5"/>
      <c r="T71" s="33"/>
      <c r="U71" s="33"/>
      <c r="V71" s="33"/>
      <c r="W71" s="33"/>
      <c r="X71" s="33"/>
      <c r="Y71" s="33"/>
      <c r="Z71" s="33"/>
      <c r="AA71" s="33"/>
      <c r="AB71" s="33"/>
      <c r="AC71" s="33"/>
    </row>
    <row r="72" spans="1:29">
      <c r="A72" s="1"/>
      <c r="J72" s="33"/>
      <c r="K72" s="33"/>
      <c r="L72" s="33"/>
      <c r="M72" s="33"/>
      <c r="N72" s="33"/>
      <c r="O72" s="33"/>
      <c r="P72" s="33"/>
      <c r="Q72" s="33"/>
      <c r="R72" s="33"/>
      <c r="S72" s="5"/>
      <c r="T72" s="33"/>
      <c r="U72" s="33"/>
      <c r="V72" s="33"/>
      <c r="W72" s="33"/>
      <c r="X72" s="33"/>
      <c r="Y72" s="33"/>
      <c r="Z72" s="33"/>
      <c r="AA72" s="33"/>
      <c r="AB72" s="33"/>
      <c r="AC72" s="33"/>
    </row>
    <row r="73" spans="1:29">
      <c r="A73" s="1"/>
      <c r="J73" s="33"/>
      <c r="K73" s="33"/>
      <c r="L73" s="33"/>
      <c r="M73" s="33"/>
      <c r="N73" s="33"/>
      <c r="O73" s="33"/>
      <c r="P73" s="33"/>
      <c r="Q73" s="33"/>
      <c r="R73" s="33"/>
      <c r="S73" s="5"/>
      <c r="T73" s="33"/>
      <c r="U73" s="33"/>
      <c r="V73" s="33"/>
      <c r="W73" s="33"/>
      <c r="X73" s="33"/>
      <c r="Y73" s="33"/>
      <c r="Z73" s="33"/>
      <c r="AA73" s="33"/>
      <c r="AB73" s="33"/>
      <c r="AC73" s="33"/>
    </row>
    <row r="74" spans="1:29">
      <c r="A74" s="1"/>
      <c r="J74" s="33"/>
      <c r="K74" s="33"/>
      <c r="L74" s="33"/>
      <c r="M74" s="33"/>
      <c r="N74" s="33"/>
      <c r="O74" s="33"/>
      <c r="P74" s="33"/>
      <c r="Q74" s="33"/>
      <c r="R74" s="33"/>
      <c r="S74" s="5"/>
      <c r="T74" s="33"/>
      <c r="U74" s="33"/>
      <c r="V74" s="33"/>
      <c r="W74" s="33"/>
      <c r="X74" s="33"/>
      <c r="Y74" s="33"/>
      <c r="Z74" s="33"/>
      <c r="AA74" s="33"/>
      <c r="AB74" s="33"/>
      <c r="AC74" s="33"/>
    </row>
    <row r="75" spans="1:29">
      <c r="A75" s="1"/>
      <c r="J75" s="33"/>
      <c r="K75" s="33"/>
      <c r="L75" s="33"/>
      <c r="M75" s="33"/>
      <c r="N75" s="33"/>
      <c r="O75" s="33"/>
      <c r="P75" s="33"/>
      <c r="Q75" s="33"/>
      <c r="R75" s="33"/>
      <c r="S75" s="5"/>
      <c r="T75" s="33"/>
      <c r="U75" s="33"/>
      <c r="V75" s="33"/>
      <c r="W75" s="33"/>
      <c r="X75" s="33"/>
      <c r="Y75" s="33"/>
      <c r="Z75" s="33"/>
      <c r="AA75" s="33"/>
      <c r="AB75" s="33"/>
      <c r="AC75" s="33"/>
    </row>
    <row r="76" spans="1:29">
      <c r="A76" s="1"/>
      <c r="J76" s="33"/>
      <c r="K76" s="33"/>
      <c r="L76" s="33"/>
      <c r="M76" s="33"/>
      <c r="N76" s="33"/>
      <c r="O76" s="33"/>
      <c r="P76" s="33"/>
      <c r="Q76" s="33"/>
      <c r="R76" s="33"/>
      <c r="S76" s="5"/>
      <c r="T76" s="33"/>
      <c r="U76" s="33"/>
      <c r="V76" s="33"/>
      <c r="W76" s="33"/>
      <c r="X76" s="33"/>
      <c r="Y76" s="33"/>
      <c r="Z76" s="33"/>
      <c r="AA76" s="33"/>
      <c r="AB76" s="33"/>
      <c r="AC76" s="33"/>
    </row>
    <row r="77" spans="1:29">
      <c r="A77" s="1"/>
      <c r="J77" s="33"/>
      <c r="K77" s="33"/>
      <c r="L77" s="33"/>
      <c r="M77" s="33"/>
      <c r="N77" s="33"/>
      <c r="O77" s="33"/>
      <c r="P77" s="33"/>
      <c r="Q77" s="33"/>
      <c r="R77" s="33"/>
      <c r="S77" s="5"/>
      <c r="T77" s="33"/>
      <c r="U77" s="33"/>
      <c r="V77" s="33"/>
      <c r="W77" s="33"/>
      <c r="X77" s="33"/>
      <c r="Y77" s="33"/>
      <c r="Z77" s="33"/>
      <c r="AA77" s="33"/>
      <c r="AB77" s="33"/>
      <c r="AC77" s="33"/>
    </row>
    <row r="78" spans="1:29">
      <c r="A78" s="1"/>
      <c r="J78" s="33"/>
      <c r="K78" s="33"/>
      <c r="L78" s="33"/>
      <c r="M78" s="33"/>
      <c r="N78" s="33"/>
      <c r="O78" s="33"/>
      <c r="P78" s="33"/>
      <c r="Q78" s="33"/>
      <c r="R78" s="33"/>
      <c r="S78" s="5"/>
      <c r="T78" s="33"/>
      <c r="U78" s="33"/>
      <c r="V78" s="33"/>
      <c r="W78" s="33"/>
      <c r="X78" s="33"/>
      <c r="Y78" s="33"/>
      <c r="Z78" s="33"/>
      <c r="AA78" s="33"/>
      <c r="AB78" s="33"/>
      <c r="AC78" s="33"/>
    </row>
    <row r="79" spans="1:29">
      <c r="A79" s="1"/>
      <c r="J79" s="33"/>
      <c r="K79" s="33"/>
      <c r="L79" s="33"/>
      <c r="M79" s="33"/>
      <c r="N79" s="33"/>
      <c r="O79" s="33"/>
      <c r="P79" s="33"/>
      <c r="Q79" s="33"/>
      <c r="R79" s="33"/>
      <c r="S79" s="5"/>
      <c r="T79" s="33"/>
      <c r="U79" s="33"/>
      <c r="V79" s="33"/>
      <c r="W79" s="33"/>
      <c r="X79" s="33"/>
      <c r="Y79" s="33"/>
      <c r="Z79" s="33"/>
      <c r="AA79" s="33"/>
      <c r="AB79" s="33"/>
      <c r="AC79" s="33"/>
    </row>
    <row r="80" spans="1:29">
      <c r="A80" s="1"/>
      <c r="J80" s="33"/>
      <c r="K80" s="33"/>
      <c r="L80" s="33"/>
      <c r="M80" s="33"/>
      <c r="N80" s="33"/>
      <c r="O80" s="33"/>
      <c r="P80" s="33"/>
      <c r="Q80" s="33"/>
      <c r="R80" s="33"/>
      <c r="S80" s="5"/>
      <c r="T80" s="33"/>
      <c r="U80" s="33"/>
      <c r="V80" s="33"/>
      <c r="W80" s="33"/>
      <c r="X80" s="33"/>
      <c r="Y80" s="33"/>
      <c r="Z80" s="33"/>
      <c r="AA80" s="33"/>
      <c r="AB80" s="33"/>
      <c r="AC80" s="33"/>
    </row>
    <row r="81" spans="1:50">
      <c r="A81" s="1"/>
      <c r="J81" s="33"/>
      <c r="K81" s="33"/>
      <c r="L81" s="33"/>
      <c r="M81" s="33"/>
      <c r="N81" s="33"/>
      <c r="O81" s="33"/>
      <c r="P81" s="33"/>
      <c r="Q81" s="33"/>
      <c r="R81" s="33"/>
      <c r="S81" s="5"/>
      <c r="T81" s="33"/>
      <c r="U81" s="33"/>
      <c r="V81" s="33"/>
      <c r="W81" s="33"/>
      <c r="X81" s="33"/>
      <c r="Y81" s="33"/>
      <c r="Z81" s="33"/>
      <c r="AA81" s="33"/>
      <c r="AB81" s="33"/>
      <c r="AC81" s="33"/>
    </row>
    <row r="82" spans="1:50">
      <c r="A82" s="1"/>
      <c r="J82" s="33"/>
      <c r="K82" s="33"/>
      <c r="L82" s="33"/>
      <c r="M82" s="33"/>
      <c r="N82" s="33"/>
      <c r="O82" s="33"/>
      <c r="P82" s="33"/>
      <c r="Q82" s="33"/>
      <c r="R82" s="33"/>
      <c r="S82" s="5"/>
      <c r="T82" s="33"/>
      <c r="U82" s="33"/>
      <c r="V82" s="33"/>
      <c r="W82" s="33"/>
      <c r="X82" s="33"/>
      <c r="Y82" s="33"/>
      <c r="Z82" s="33"/>
      <c r="AA82" s="33"/>
      <c r="AB82" s="33"/>
      <c r="AC82" s="33"/>
    </row>
    <row r="83" spans="1:50">
      <c r="A83" s="1"/>
      <c r="J83" s="33"/>
      <c r="K83" s="33"/>
      <c r="L83" s="33"/>
      <c r="M83" s="33"/>
      <c r="N83" s="33"/>
      <c r="O83" s="33"/>
      <c r="P83" s="33"/>
      <c r="Q83" s="33"/>
      <c r="R83" s="33"/>
      <c r="S83" s="5"/>
      <c r="T83" s="33"/>
      <c r="U83" s="33"/>
      <c r="V83" s="33"/>
      <c r="W83" s="33"/>
      <c r="X83" s="33"/>
      <c r="Y83" s="33"/>
      <c r="Z83" s="33"/>
      <c r="AA83" s="33"/>
      <c r="AB83" s="33"/>
      <c r="AC83" s="33"/>
    </row>
    <row r="84" spans="1:50">
      <c r="A84" s="1"/>
      <c r="J84" s="33"/>
      <c r="K84" s="33"/>
      <c r="L84" s="33"/>
      <c r="M84" s="33"/>
      <c r="N84" s="33"/>
      <c r="O84" s="33"/>
      <c r="P84" s="33"/>
      <c r="Q84" s="33"/>
      <c r="R84" s="33"/>
      <c r="S84" s="5"/>
      <c r="T84" s="33"/>
      <c r="U84" s="33"/>
      <c r="V84" s="33"/>
      <c r="W84" s="33"/>
      <c r="X84" s="33"/>
      <c r="Y84" s="33"/>
      <c r="Z84" s="33"/>
      <c r="AA84" s="33"/>
      <c r="AB84" s="33"/>
      <c r="AC84" s="33"/>
    </row>
    <row r="85" spans="1:50">
      <c r="A85" s="1"/>
      <c r="J85" s="33"/>
      <c r="K85" s="33"/>
      <c r="L85" s="33"/>
      <c r="M85" s="33"/>
      <c r="N85" s="33"/>
      <c r="O85" s="33"/>
      <c r="P85" s="33"/>
      <c r="Q85" s="33"/>
      <c r="R85" s="33"/>
      <c r="S85" s="5"/>
      <c r="T85" s="33"/>
      <c r="U85" s="33"/>
      <c r="V85" s="33"/>
      <c r="W85" s="33"/>
      <c r="X85" s="33"/>
      <c r="Y85" s="33"/>
      <c r="Z85" s="33"/>
      <c r="AA85" s="33"/>
      <c r="AB85" s="33"/>
      <c r="AC85" s="33"/>
    </row>
    <row r="86" spans="1:50">
      <c r="A86" s="1"/>
      <c r="J86" s="33"/>
      <c r="K86" s="33"/>
      <c r="L86" s="33"/>
      <c r="M86" s="33"/>
      <c r="N86" s="33"/>
      <c r="O86" s="33"/>
      <c r="P86" s="33"/>
      <c r="Q86" s="33"/>
      <c r="R86" s="33"/>
      <c r="S86" s="5"/>
      <c r="T86" s="33"/>
      <c r="U86" s="33"/>
      <c r="V86" s="33"/>
      <c r="W86" s="33"/>
      <c r="X86" s="33"/>
      <c r="Y86" s="33"/>
      <c r="Z86" s="33"/>
      <c r="AA86" s="33"/>
      <c r="AB86" s="33"/>
      <c r="AC86" s="33"/>
    </row>
    <row r="87" spans="1:50">
      <c r="A87" s="1"/>
      <c r="J87" s="33"/>
      <c r="K87" s="33"/>
      <c r="L87" s="33"/>
      <c r="M87" s="33"/>
      <c r="N87" s="33"/>
      <c r="O87" s="33"/>
      <c r="P87" s="33"/>
      <c r="Q87" s="33"/>
      <c r="R87" s="33"/>
      <c r="S87" s="5"/>
      <c r="T87" s="33"/>
      <c r="U87" s="33"/>
      <c r="V87" s="33"/>
      <c r="W87" s="33"/>
      <c r="X87" s="33"/>
      <c r="Y87" s="33"/>
      <c r="Z87" s="33"/>
      <c r="AA87" s="33"/>
      <c r="AB87" s="33"/>
      <c r="AC87" s="33"/>
    </row>
    <row r="88" spans="1:50">
      <c r="A88" s="1"/>
      <c r="J88" s="33"/>
      <c r="K88" s="33"/>
      <c r="L88" s="33"/>
      <c r="M88" s="33"/>
      <c r="N88" s="33"/>
      <c r="O88" s="33"/>
      <c r="P88" s="33"/>
      <c r="Q88" s="33"/>
      <c r="R88" s="33"/>
      <c r="S88" s="5"/>
      <c r="T88" s="33"/>
      <c r="U88" s="33"/>
      <c r="V88" s="33"/>
      <c r="W88" s="33"/>
      <c r="X88" s="33"/>
      <c r="Y88" s="33"/>
      <c r="Z88" s="33"/>
      <c r="AA88" s="33"/>
      <c r="AB88" s="33"/>
      <c r="AC88" s="33"/>
    </row>
    <row r="89" spans="1:50">
      <c r="A89" s="1"/>
      <c r="J89" s="33"/>
      <c r="K89" s="33"/>
      <c r="L89" s="33"/>
      <c r="M89" s="33"/>
      <c r="N89" s="33"/>
      <c r="O89" s="33"/>
      <c r="P89" s="33"/>
      <c r="Q89" s="33"/>
      <c r="R89" s="33"/>
      <c r="S89" s="5"/>
      <c r="T89" s="33"/>
      <c r="U89" s="33"/>
      <c r="V89" s="33"/>
      <c r="W89" s="33"/>
      <c r="X89" s="33"/>
      <c r="Y89" s="33"/>
      <c r="Z89" s="33"/>
      <c r="AA89" s="33"/>
      <c r="AB89" s="33"/>
      <c r="AC89" s="33"/>
    </row>
    <row r="90" spans="1:50">
      <c r="A90" s="1"/>
      <c r="J90" s="33"/>
      <c r="K90" s="33"/>
      <c r="L90" s="33"/>
      <c r="M90" s="33"/>
      <c r="N90" s="33"/>
      <c r="O90" s="33"/>
      <c r="P90" s="33"/>
      <c r="Q90" s="33"/>
      <c r="R90" s="33"/>
      <c r="S90" s="5"/>
      <c r="T90" s="33"/>
      <c r="U90" s="33"/>
      <c r="V90" s="33"/>
      <c r="W90" s="33"/>
      <c r="X90" s="33"/>
      <c r="Y90" s="33"/>
      <c r="Z90" s="33"/>
      <c r="AA90" s="33"/>
      <c r="AB90" s="33"/>
      <c r="AC90" s="33"/>
    </row>
    <row r="91" spans="1:50">
      <c r="A91" s="1"/>
    </row>
    <row r="92" spans="1:50">
      <c r="A92" s="1"/>
    </row>
    <row r="93" spans="1:50">
      <c r="A93" s="1"/>
      <c r="S93" s="20" t="str">
        <f ca="1">CONCATENATE(LEFT($S$32, LEN($S$32)-4), " Step#", OFFSET($J$35, S33, 0))</f>
        <v>Stg.4 Nozzle Step#1</v>
      </c>
      <c r="T93" s="20" t="str">
        <f t="shared" ref="T93:AP93" ca="1" si="14">CONCATENATE(LEFT($S$32, LEN($S$32)-4), " Step#", OFFSET($J$35, T33, 0))</f>
        <v>Stg.4 Nozzle Step#24</v>
      </c>
      <c r="U93" s="20" t="str">
        <f t="shared" ca="1" si="14"/>
        <v>Stg.4 Nozzle Step#23</v>
      </c>
      <c r="V93" s="20" t="str">
        <f t="shared" ca="1" si="14"/>
        <v>Stg.4 Nozzle Step#22</v>
      </c>
      <c r="W93" s="20" t="str">
        <f t="shared" ca="1" si="14"/>
        <v>Stg.4 Nozzle Step#21</v>
      </c>
      <c r="X93" s="20" t="str">
        <f t="shared" ca="1" si="14"/>
        <v>Stg.4 Nozzle Step#20</v>
      </c>
      <c r="Y93" s="20" t="str">
        <f t="shared" ca="1" si="14"/>
        <v>Stg.4 Nozzle Step#19</v>
      </c>
      <c r="Z93" s="20" t="str">
        <f t="shared" ca="1" si="14"/>
        <v>Stg.4 Nozzle Step#18</v>
      </c>
      <c r="AA93" s="20" t="str">
        <f t="shared" ca="1" si="14"/>
        <v>Stg.4 Nozzle Step#17</v>
      </c>
      <c r="AB93" s="20" t="str">
        <f t="shared" ca="1" si="14"/>
        <v>Stg.4 Nozzle Step#16</v>
      </c>
      <c r="AC93" s="20" t="str">
        <f t="shared" ca="1" si="14"/>
        <v>Stg.4 Nozzle Step#15</v>
      </c>
      <c r="AD93" s="20" t="str">
        <f t="shared" ca="1" si="14"/>
        <v>Stg.4 Nozzle Step#14</v>
      </c>
      <c r="AE93" s="20" t="str">
        <f t="shared" ca="1" si="14"/>
        <v>Stg.4 Nozzle Step#13</v>
      </c>
      <c r="AF93" s="20" t="str">
        <f t="shared" ca="1" si="14"/>
        <v>Stg.4 Nozzle Step#12</v>
      </c>
      <c r="AG93" s="20" t="str">
        <f t="shared" ca="1" si="14"/>
        <v>Stg.4 Nozzle Step#11</v>
      </c>
      <c r="AH93" s="20" t="str">
        <f t="shared" ca="1" si="14"/>
        <v>Stg.4 Nozzle Step#10</v>
      </c>
      <c r="AI93" s="20" t="str">
        <f t="shared" ca="1" si="14"/>
        <v>Stg.4 Nozzle Step#9</v>
      </c>
      <c r="AJ93" s="20" t="str">
        <f t="shared" ca="1" si="14"/>
        <v>Stg.4 Nozzle Step#8</v>
      </c>
      <c r="AK93" s="20" t="str">
        <f t="shared" ca="1" si="14"/>
        <v>Stg.4 Nozzle Step#7</v>
      </c>
      <c r="AL93" s="20" t="str">
        <f t="shared" ca="1" si="14"/>
        <v>Stg.4 Nozzle Step#6</v>
      </c>
      <c r="AM93" s="20" t="str">
        <f t="shared" ca="1" si="14"/>
        <v>Stg.4 Nozzle Step#5</v>
      </c>
      <c r="AN93" s="20" t="str">
        <f t="shared" ca="1" si="14"/>
        <v>Stg.4 Nozzle Step#4</v>
      </c>
      <c r="AO93" s="20" t="str">
        <f t="shared" ca="1" si="14"/>
        <v>Stg.4 Nozzle Step#3</v>
      </c>
      <c r="AP93" s="20" t="str">
        <f t="shared" ca="1" si="14"/>
        <v>Stg.4 Nozzle Step#2</v>
      </c>
      <c r="AQ93" s="20" t="s">
        <v>55</v>
      </c>
      <c r="AR93" s="20" t="s">
        <v>57</v>
      </c>
    </row>
    <row r="94" spans="1:50">
      <c r="A94" s="1"/>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7" t="s">
        <v>13</v>
      </c>
      <c r="AR94" s="17" t="s">
        <v>13</v>
      </c>
    </row>
    <row r="95" spans="1:50">
      <c r="A95" s="1"/>
      <c r="S95" s="35">
        <f>IF(S36&lt;&gt;"", S36-'245'!S36-$AQ$123, "")</f>
        <v>-5.8375999511838472E-2</v>
      </c>
      <c r="T95" s="35"/>
      <c r="U95" s="35"/>
      <c r="V95" s="35"/>
      <c r="W95" s="35"/>
      <c r="X95" s="35"/>
      <c r="Y95" s="35"/>
      <c r="Z95" s="35"/>
      <c r="AA95" s="35"/>
      <c r="AB95" s="35"/>
      <c r="AC95" s="35"/>
      <c r="AD95" s="35"/>
      <c r="AE95" s="35"/>
      <c r="AF95" s="35"/>
      <c r="AG95" s="35"/>
      <c r="AH95" s="35"/>
      <c r="AI95" s="35"/>
      <c r="AJ95" s="35"/>
      <c r="AK95" s="35"/>
      <c r="AL95" s="35"/>
      <c r="AM95" s="35"/>
      <c r="AN95" s="35"/>
      <c r="AO95" s="35"/>
      <c r="AP95" s="35">
        <f>IF(AP36&lt;&gt;"", AP36-'245'!AP36-$AQ$123, "")</f>
        <v>-8.7414666269125973E-2</v>
      </c>
      <c r="AQ95" s="21">
        <f>AQ36-'245'!AR36-$AQ$123</f>
        <v>-6.399999999996453E-2</v>
      </c>
      <c r="AR95" s="21">
        <f>AR36-'245'!AQ36-$AQ$123</f>
        <v>6.399999999996453E-2</v>
      </c>
      <c r="AS95" s="13" t="s">
        <v>60</v>
      </c>
      <c r="AT95" s="36">
        <f>MAX(S95:AP118)</f>
        <v>4.3606667064125304E-2</v>
      </c>
      <c r="AU95" s="13" t="str">
        <f>IF(AT95&gt;AR95, CONCATENATE("O/Max ", TEXT(AT95-AR95,"0.000")), "-")</f>
        <v>-</v>
      </c>
      <c r="AV95" s="36">
        <f>$Q36-'245'!$Q36-$AQ$123</f>
        <v>-5.8375999511838472E-2</v>
      </c>
      <c r="AW95" s="13">
        <f>INDEX($J36:$J59,MATCH(AT95,AV95:AV118,0))</f>
        <v>7</v>
      </c>
      <c r="AX95">
        <f>MATCH(AT95,AV95:AV118,0)</f>
        <v>19</v>
      </c>
    </row>
    <row r="96" spans="1:50">
      <c r="A96" s="1"/>
      <c r="S96" s="35">
        <f>IF(S37&lt;&gt;"", S37-'245'!S37-$AQ$123, "")</f>
        <v>-5.8375999511838472E-2</v>
      </c>
      <c r="T96" s="35">
        <f>IF(T37&lt;&gt;"", T37-'245'!T37-$AQ$123, "")</f>
        <v>-2.6447998168634967E-2</v>
      </c>
      <c r="U96" s="35"/>
      <c r="V96" s="35"/>
      <c r="W96" s="35"/>
      <c r="X96" s="35"/>
      <c r="Y96" s="35"/>
      <c r="Z96" s="35"/>
      <c r="AA96" s="35"/>
      <c r="AB96" s="35"/>
      <c r="AC96" s="35"/>
      <c r="AD96" s="35"/>
      <c r="AE96" s="35"/>
      <c r="AF96" s="35"/>
      <c r="AG96" s="35"/>
      <c r="AH96" s="35"/>
      <c r="AI96" s="35"/>
      <c r="AJ96" s="35"/>
      <c r="AK96" s="35"/>
      <c r="AL96" s="35"/>
      <c r="AM96" s="35"/>
      <c r="AN96" s="35"/>
      <c r="AO96" s="35"/>
      <c r="AP96" s="35"/>
      <c r="AQ96" s="21">
        <f>AQ95</f>
        <v>-6.399999999996453E-2</v>
      </c>
      <c r="AR96" s="21">
        <f>AR95</f>
        <v>6.399999999996453E-2</v>
      </c>
      <c r="AS96" s="13" t="s">
        <v>62</v>
      </c>
      <c r="AT96" s="36">
        <f>MIN(S95:AP118)</f>
        <v>-9.8191999542052599E-2</v>
      </c>
      <c r="AU96" s="13" t="str">
        <f>IF(AT96&lt;AQ95, CONCATENATE("U/Min ", TEXT(AQ95-AT96,"0.000")), "-")</f>
        <v>U/Min 0.034</v>
      </c>
      <c r="AV96" s="36">
        <f>$Q37-'245'!$Q37-$AQ$123</f>
        <v>-2.6447998168634967E-2</v>
      </c>
      <c r="AW96" s="13">
        <f>INDEX($J36:$J59,MATCH(AT96,AV95:AV118,0))</f>
        <v>3</v>
      </c>
      <c r="AX96">
        <f>MATCH(AT96,AV95:AV118,0)</f>
        <v>23</v>
      </c>
    </row>
    <row r="97" spans="1:48">
      <c r="A97" s="1"/>
      <c r="S97" s="35"/>
      <c r="T97" s="35">
        <f>IF(T38&lt;&gt;"", T38-'245'!T38-$AQ$123, "")</f>
        <v>-2.6447998168634967E-2</v>
      </c>
      <c r="U97" s="35">
        <f>IF(U38&lt;&gt;"", U38-'245'!U38-$AQ$123, "")</f>
        <v>-5.9759965916441615E-3</v>
      </c>
      <c r="V97" s="35"/>
      <c r="W97" s="35"/>
      <c r="X97" s="35"/>
      <c r="Y97" s="35"/>
      <c r="Z97" s="35"/>
      <c r="AA97" s="35"/>
      <c r="AB97" s="35"/>
      <c r="AC97" s="35"/>
      <c r="AD97" s="35"/>
      <c r="AE97" s="35"/>
      <c r="AF97" s="35"/>
      <c r="AG97" s="35"/>
      <c r="AH97" s="35"/>
      <c r="AI97" s="35"/>
      <c r="AJ97" s="35"/>
      <c r="AK97" s="35"/>
      <c r="AL97" s="35"/>
      <c r="AM97" s="35"/>
      <c r="AN97" s="35"/>
      <c r="AO97" s="35"/>
      <c r="AP97" s="35"/>
      <c r="AQ97" s="21">
        <f t="shared" ref="AQ97:AQ118" si="15">AQ96</f>
        <v>-6.399999999996453E-2</v>
      </c>
      <c r="AR97" s="21">
        <f t="shared" ref="AR97:AR118" si="16">AR96</f>
        <v>6.399999999996453E-2</v>
      </c>
      <c r="AV97" s="36">
        <f>$Q38-'245'!$Q38-$AQ$123</f>
        <v>-5.9759965916441615E-3</v>
      </c>
    </row>
    <row r="98" spans="1:48">
      <c r="A98" s="1"/>
      <c r="S98" s="35"/>
      <c r="T98" s="35"/>
      <c r="U98" s="35">
        <f>IF(U39&lt;&gt;"", U39-'245'!U39-$AQ$123, "")</f>
        <v>-5.9759965916441615E-3</v>
      </c>
      <c r="V98" s="35">
        <f>IF(V39&lt;&gt;"", V39-'245'!V39-$AQ$123, "")</f>
        <v>2.1873355971706587E-3</v>
      </c>
      <c r="W98" s="35"/>
      <c r="X98" s="35"/>
      <c r="Y98" s="35"/>
      <c r="Z98" s="35"/>
      <c r="AA98" s="35"/>
      <c r="AB98" s="35"/>
      <c r="AC98" s="35"/>
      <c r="AD98" s="35"/>
      <c r="AE98" s="35"/>
      <c r="AF98" s="35"/>
      <c r="AG98" s="35"/>
      <c r="AH98" s="35"/>
      <c r="AI98" s="35"/>
      <c r="AJ98" s="35"/>
      <c r="AK98" s="35"/>
      <c r="AL98" s="35"/>
      <c r="AM98" s="35"/>
      <c r="AN98" s="35"/>
      <c r="AO98" s="35"/>
      <c r="AP98" s="35"/>
      <c r="AQ98" s="21">
        <f t="shared" si="15"/>
        <v>-6.399999999996453E-2</v>
      </c>
      <c r="AR98" s="21">
        <f t="shared" si="16"/>
        <v>6.399999999996453E-2</v>
      </c>
      <c r="AV98" s="36">
        <f>$Q39-'245'!$Q39-$AQ$123</f>
        <v>2.1873355971706587E-3</v>
      </c>
    </row>
    <row r="99" spans="1:48">
      <c r="A99" s="1"/>
      <c r="S99" s="35"/>
      <c r="T99" s="35"/>
      <c r="U99" s="35"/>
      <c r="V99" s="35">
        <f>IF(V40&lt;&gt;"", V40-'245'!V40-$AQ$123, "")</f>
        <v>2.1873355971706587E-3</v>
      </c>
      <c r="W99" s="35">
        <f>IF(W40&lt;&gt;"", W40-'245'!W40-$AQ$123, "")</f>
        <v>-7.2879992655430215E-3</v>
      </c>
      <c r="X99" s="35"/>
      <c r="Y99" s="35"/>
      <c r="Z99" s="35"/>
      <c r="AA99" s="35"/>
      <c r="AB99" s="35"/>
      <c r="AC99" s="35"/>
      <c r="AD99" s="35"/>
      <c r="AE99" s="35"/>
      <c r="AF99" s="35"/>
      <c r="AG99" s="35"/>
      <c r="AH99" s="35"/>
      <c r="AI99" s="35"/>
      <c r="AJ99" s="35"/>
      <c r="AK99" s="35"/>
      <c r="AL99" s="35"/>
      <c r="AM99" s="35"/>
      <c r="AN99" s="35"/>
      <c r="AO99" s="35"/>
      <c r="AP99" s="35"/>
      <c r="AQ99" s="21">
        <f t="shared" si="15"/>
        <v>-6.399999999996453E-2</v>
      </c>
      <c r="AR99" s="21">
        <f t="shared" si="16"/>
        <v>6.399999999996453E-2</v>
      </c>
      <c r="AV99" s="36">
        <f>$Q40-'245'!$Q40-$AQ$123</f>
        <v>-7.2879992655430215E-3</v>
      </c>
    </row>
    <row r="100" spans="1:48">
      <c r="A100" s="1"/>
      <c r="S100" s="35"/>
      <c r="T100" s="35"/>
      <c r="U100" s="35"/>
      <c r="V100" s="35"/>
      <c r="W100" s="35">
        <f>IF(W41&lt;&gt;"", W41-'245'!W41-$AQ$123, "")</f>
        <v>-7.2879992655430215E-3</v>
      </c>
      <c r="X100" s="35">
        <f>IF(X41&lt;&gt;"", X41-'245'!X41-$AQ$123, "")</f>
        <v>-2.2477333164772517E-2</v>
      </c>
      <c r="Y100" s="35"/>
      <c r="Z100" s="35"/>
      <c r="AA100" s="35"/>
      <c r="AB100" s="35"/>
      <c r="AC100" s="35"/>
      <c r="AD100" s="35"/>
      <c r="AE100" s="35"/>
      <c r="AF100" s="35"/>
      <c r="AG100" s="35"/>
      <c r="AH100" s="35"/>
      <c r="AI100" s="35"/>
      <c r="AJ100" s="35"/>
      <c r="AK100" s="35"/>
      <c r="AL100" s="35"/>
      <c r="AM100" s="35"/>
      <c r="AN100" s="35"/>
      <c r="AO100" s="35"/>
      <c r="AP100" s="35"/>
      <c r="AQ100" s="21">
        <f t="shared" si="15"/>
        <v>-6.399999999996453E-2</v>
      </c>
      <c r="AR100" s="21">
        <f t="shared" si="16"/>
        <v>6.399999999996453E-2</v>
      </c>
      <c r="AV100" s="36">
        <f>$Q41-'245'!$Q41-$AQ$123</f>
        <v>-2.2477333164772517E-2</v>
      </c>
    </row>
    <row r="101" spans="1:48">
      <c r="A101" s="1"/>
      <c r="S101" s="35"/>
      <c r="T101" s="35"/>
      <c r="U101" s="35"/>
      <c r="V101" s="35"/>
      <c r="W101" s="35"/>
      <c r="X101" s="35">
        <f>IF(X42&lt;&gt;"", X42-'245'!X42-$AQ$123, "")</f>
        <v>-2.2477333164772517E-2</v>
      </c>
      <c r="Y101" s="35">
        <f>IF(Y42&lt;&gt;"", Y42-'245'!Y42-$AQ$123, "")</f>
        <v>-2.6569333333270606E-2</v>
      </c>
      <c r="Z101" s="35"/>
      <c r="AA101" s="35"/>
      <c r="AB101" s="35"/>
      <c r="AC101" s="35"/>
      <c r="AD101" s="35"/>
      <c r="AE101" s="35"/>
      <c r="AF101" s="35"/>
      <c r="AG101" s="35"/>
      <c r="AH101" s="35"/>
      <c r="AI101" s="35"/>
      <c r="AJ101" s="35"/>
      <c r="AK101" s="35"/>
      <c r="AL101" s="35"/>
      <c r="AM101" s="35"/>
      <c r="AN101" s="35"/>
      <c r="AO101" s="35"/>
      <c r="AP101" s="35"/>
      <c r="AQ101" s="21">
        <f t="shared" si="15"/>
        <v>-6.399999999996453E-2</v>
      </c>
      <c r="AR101" s="21">
        <f t="shared" si="16"/>
        <v>6.399999999996453E-2</v>
      </c>
      <c r="AV101" s="36">
        <f>$Q42-'245'!$Q42-$AQ$123</f>
        <v>-2.6569333333270606E-2</v>
      </c>
    </row>
    <row r="102" spans="1:48">
      <c r="A102" s="1"/>
      <c r="S102" s="35"/>
      <c r="T102" s="35"/>
      <c r="U102" s="35"/>
      <c r="V102" s="35"/>
      <c r="W102" s="35"/>
      <c r="X102" s="35"/>
      <c r="Y102" s="35">
        <f>IF(Y43&lt;&gt;"", Y43-'245'!Y43-$AQ$123, "")</f>
        <v>-2.6569333333270606E-2</v>
      </c>
      <c r="Z102" s="35">
        <f>IF(Z43&lt;&gt;"", Z43-'245'!Z43-$AQ$123, "")</f>
        <v>-2.0471999999983836E-2</v>
      </c>
      <c r="AA102" s="35"/>
      <c r="AB102" s="35"/>
      <c r="AC102" s="35"/>
      <c r="AD102" s="35"/>
      <c r="AE102" s="35"/>
      <c r="AF102" s="35"/>
      <c r="AG102" s="35"/>
      <c r="AH102" s="35"/>
      <c r="AI102" s="35"/>
      <c r="AJ102" s="35"/>
      <c r="AK102" s="35"/>
      <c r="AL102" s="35"/>
      <c r="AM102" s="35"/>
      <c r="AN102" s="35"/>
      <c r="AO102" s="35"/>
      <c r="AP102" s="35"/>
      <c r="AQ102" s="21">
        <f t="shared" si="15"/>
        <v>-6.399999999996453E-2</v>
      </c>
      <c r="AR102" s="21">
        <f t="shared" si="16"/>
        <v>6.399999999996453E-2</v>
      </c>
      <c r="AV102" s="36">
        <f>$Q43-'245'!$Q43-$AQ$123</f>
        <v>-2.0471999999983836E-2</v>
      </c>
    </row>
    <row r="103" spans="1:48">
      <c r="A103" s="1"/>
      <c r="S103" s="35"/>
      <c r="T103" s="35"/>
      <c r="U103" s="35"/>
      <c r="V103" s="35"/>
      <c r="W103" s="35"/>
      <c r="X103" s="35"/>
      <c r="Y103" s="35"/>
      <c r="Z103" s="35">
        <f>IF(Z44&lt;&gt;"", Z44-'245'!Z44-$AQ$123, "")</f>
        <v>-2.0471999999983836E-2</v>
      </c>
      <c r="AA103" s="35">
        <f>IF(AA44&lt;&gt;"", AA44-'245'!AA44-$AQ$123, "")</f>
        <v>-1.6050665750924509E-2</v>
      </c>
      <c r="AB103" s="35"/>
      <c r="AC103" s="35"/>
      <c r="AD103" s="35"/>
      <c r="AE103" s="35"/>
      <c r="AF103" s="35"/>
      <c r="AG103" s="35"/>
      <c r="AH103" s="35"/>
      <c r="AI103" s="35"/>
      <c r="AJ103" s="35"/>
      <c r="AK103" s="35"/>
      <c r="AL103" s="35"/>
      <c r="AM103" s="35"/>
      <c r="AN103" s="35"/>
      <c r="AO103" s="35"/>
      <c r="AP103" s="35"/>
      <c r="AQ103" s="21">
        <f t="shared" si="15"/>
        <v>-6.399999999996453E-2</v>
      </c>
      <c r="AR103" s="21">
        <f t="shared" si="16"/>
        <v>6.399999999996453E-2</v>
      </c>
      <c r="AV103" s="36">
        <f>$Q44-'245'!$Q44-$AQ$123</f>
        <v>-1.6050665750924509E-2</v>
      </c>
    </row>
    <row r="104" spans="1:48">
      <c r="A104" s="1"/>
      <c r="S104" s="35"/>
      <c r="T104" s="35"/>
      <c r="U104" s="35"/>
      <c r="V104" s="35"/>
      <c r="W104" s="35"/>
      <c r="X104" s="35"/>
      <c r="Y104" s="35"/>
      <c r="Z104" s="35"/>
      <c r="AA104" s="35">
        <f>IF(AA45&lt;&gt;"", AA45-'245'!AA45-$AQ$123, "")</f>
        <v>-1.6050665750924509E-2</v>
      </c>
      <c r="AB104" s="35">
        <f>IF(AB45&lt;&gt;"", AB45-'245'!AB45-$AQ$123, "")</f>
        <v>-2.2932663215215143E-2</v>
      </c>
      <c r="AC104" s="35"/>
      <c r="AD104" s="35"/>
      <c r="AE104" s="35"/>
      <c r="AF104" s="35"/>
      <c r="AG104" s="35"/>
      <c r="AH104" s="35"/>
      <c r="AI104" s="35"/>
      <c r="AJ104" s="35"/>
      <c r="AK104" s="35"/>
      <c r="AL104" s="35"/>
      <c r="AM104" s="35"/>
      <c r="AN104" s="35"/>
      <c r="AO104" s="35"/>
      <c r="AP104" s="35"/>
      <c r="AQ104" s="21">
        <f t="shared" si="15"/>
        <v>-6.399999999996453E-2</v>
      </c>
      <c r="AR104" s="21">
        <f t="shared" si="16"/>
        <v>6.399999999996453E-2</v>
      </c>
      <c r="AV104" s="36">
        <f>$Q45-'245'!$Q45-$AQ$123</f>
        <v>-2.2932663215215143E-2</v>
      </c>
    </row>
    <row r="105" spans="1:48">
      <c r="A105" s="1"/>
      <c r="S105" s="35"/>
      <c r="T105" s="35"/>
      <c r="U105" s="35"/>
      <c r="V105" s="35"/>
      <c r="W105" s="35"/>
      <c r="X105" s="35"/>
      <c r="Y105" s="35"/>
      <c r="Z105" s="35"/>
      <c r="AA105" s="35"/>
      <c r="AB105" s="35">
        <f>IF(AB46&lt;&gt;"", AB46-'245'!AB46-$AQ$123, "")</f>
        <v>-2.2932663215215143E-2</v>
      </c>
      <c r="AC105" s="35">
        <f>IF(AC46&lt;&gt;"", AC46-'245'!AC46-$AQ$123, "")</f>
        <v>-2.573599294134965E-2</v>
      </c>
      <c r="AD105" s="35"/>
      <c r="AE105" s="35"/>
      <c r="AF105" s="35"/>
      <c r="AG105" s="35"/>
      <c r="AH105" s="35"/>
      <c r="AI105" s="35"/>
      <c r="AJ105" s="35"/>
      <c r="AK105" s="35"/>
      <c r="AL105" s="35"/>
      <c r="AM105" s="35"/>
      <c r="AN105" s="35"/>
      <c r="AO105" s="35"/>
      <c r="AP105" s="35"/>
      <c r="AQ105" s="21">
        <f t="shared" si="15"/>
        <v>-6.399999999996453E-2</v>
      </c>
      <c r="AR105" s="21">
        <f t="shared" si="16"/>
        <v>6.399999999996453E-2</v>
      </c>
      <c r="AV105" s="36">
        <f>$Q46-'245'!$Q46-$AQ$123</f>
        <v>-2.573599294134965E-2</v>
      </c>
    </row>
    <row r="106" spans="1:48">
      <c r="A106" s="1"/>
      <c r="S106" s="35"/>
      <c r="T106" s="35"/>
      <c r="U106" s="35"/>
      <c r="V106" s="35"/>
      <c r="W106" s="35"/>
      <c r="X106" s="35"/>
      <c r="Y106" s="35"/>
      <c r="Z106" s="35"/>
      <c r="AA106" s="35"/>
      <c r="AB106" s="35"/>
      <c r="AC106" s="35">
        <f>IF(AC47&lt;&gt;"", AC47-'245'!AC47-$AQ$123, "")</f>
        <v>-2.573599294134965E-2</v>
      </c>
      <c r="AD106" s="35">
        <f>IF(AD47&lt;&gt;"", AD47-'245'!AD47-$AQ$123, "")</f>
        <v>-2.8709325505246852E-2</v>
      </c>
      <c r="AE106" s="35"/>
      <c r="AF106" s="35"/>
      <c r="AG106" s="35"/>
      <c r="AH106" s="35"/>
      <c r="AI106" s="35"/>
      <c r="AJ106" s="35"/>
      <c r="AK106" s="35"/>
      <c r="AL106" s="35"/>
      <c r="AM106" s="35"/>
      <c r="AN106" s="35"/>
      <c r="AO106" s="35"/>
      <c r="AP106" s="35"/>
      <c r="AQ106" s="21">
        <f t="shared" si="15"/>
        <v>-6.399999999996453E-2</v>
      </c>
      <c r="AR106" s="21">
        <f t="shared" si="16"/>
        <v>6.399999999996453E-2</v>
      </c>
      <c r="AV106" s="36">
        <f>$Q47-'245'!$Q47-$AQ$123</f>
        <v>-2.8709325505246852E-2</v>
      </c>
    </row>
    <row r="107" spans="1:48">
      <c r="A107" s="1"/>
      <c r="S107" s="35"/>
      <c r="T107" s="35"/>
      <c r="U107" s="35"/>
      <c r="V107" s="35"/>
      <c r="W107" s="35"/>
      <c r="X107" s="35"/>
      <c r="Y107" s="35"/>
      <c r="Z107" s="35"/>
      <c r="AA107" s="35"/>
      <c r="AB107" s="35"/>
      <c r="AC107" s="35"/>
      <c r="AD107" s="35">
        <f>IF(AD48&lt;&gt;"", AD48-'245'!AD48-$AQ$123, "")</f>
        <v>-2.8709325505246852E-2</v>
      </c>
      <c r="AE107" s="35">
        <f>IF(AE48&lt;&gt;"", AE48-'245'!AE48-$AQ$123, "")</f>
        <v>-4.6429329997920377E-2</v>
      </c>
      <c r="AF107" s="35"/>
      <c r="AG107" s="35"/>
      <c r="AH107" s="35"/>
      <c r="AI107" s="35"/>
      <c r="AJ107" s="35"/>
      <c r="AK107" s="35"/>
      <c r="AL107" s="35"/>
      <c r="AM107" s="35"/>
      <c r="AN107" s="35"/>
      <c r="AO107" s="35"/>
      <c r="AP107" s="35"/>
      <c r="AQ107" s="21">
        <f t="shared" si="15"/>
        <v>-6.399999999996453E-2</v>
      </c>
      <c r="AR107" s="21">
        <f t="shared" si="16"/>
        <v>6.399999999996453E-2</v>
      </c>
      <c r="AV107" s="36">
        <f>$Q48-'245'!$Q48-$AQ$123</f>
        <v>-4.6429329997920377E-2</v>
      </c>
    </row>
    <row r="108" spans="1:48">
      <c r="S108" s="35"/>
      <c r="T108" s="35"/>
      <c r="U108" s="35"/>
      <c r="V108" s="35"/>
      <c r="W108" s="35"/>
      <c r="X108" s="35"/>
      <c r="Y108" s="35"/>
      <c r="Z108" s="35"/>
      <c r="AA108" s="35"/>
      <c r="AB108" s="35"/>
      <c r="AC108" s="35"/>
      <c r="AD108" s="35"/>
      <c r="AE108" s="35">
        <f>IF(AE49&lt;&gt;"", AE49-'245'!AE49-$AQ$123, "")</f>
        <v>-4.6429329997920377E-2</v>
      </c>
      <c r="AF108" s="35">
        <f>IF(AF49&lt;&gt;"", AF49-'245'!AF49-$AQ$123, "")</f>
        <v>-6.717599954203024E-2</v>
      </c>
      <c r="AG108" s="35"/>
      <c r="AH108" s="35"/>
      <c r="AI108" s="35"/>
      <c r="AJ108" s="35"/>
      <c r="AK108" s="35"/>
      <c r="AL108" s="35"/>
      <c r="AM108" s="35"/>
      <c r="AN108" s="35"/>
      <c r="AO108" s="35"/>
      <c r="AP108" s="35"/>
      <c r="AQ108" s="21">
        <f t="shared" si="15"/>
        <v>-6.399999999996453E-2</v>
      </c>
      <c r="AR108" s="21">
        <f t="shared" si="16"/>
        <v>6.399999999996453E-2</v>
      </c>
      <c r="AV108" s="36">
        <f>$Q49-'245'!$Q49-$AQ$123</f>
        <v>-6.717599954203024E-2</v>
      </c>
    </row>
    <row r="109" spans="1:48">
      <c r="S109" s="35"/>
      <c r="T109" s="35"/>
      <c r="U109" s="35"/>
      <c r="V109" s="35"/>
      <c r="W109" s="35"/>
      <c r="X109" s="35"/>
      <c r="Y109" s="35"/>
      <c r="Z109" s="35"/>
      <c r="AA109" s="35"/>
      <c r="AB109" s="35"/>
      <c r="AC109" s="35"/>
      <c r="AD109" s="35"/>
      <c r="AE109" s="35"/>
      <c r="AF109" s="35">
        <f>IF(AF50&lt;&gt;"", AF50-'245'!AF50-$AQ$123, "")</f>
        <v>-6.717599954203024E-2</v>
      </c>
      <c r="AG109" s="35">
        <f>IF(AG50&lt;&gt;"", AG50-'245'!AG50-$AQ$123, "")</f>
        <v>-7.0826665871663863E-2</v>
      </c>
      <c r="AH109" s="35"/>
      <c r="AI109" s="35"/>
      <c r="AJ109" s="35"/>
      <c r="AK109" s="35"/>
      <c r="AL109" s="35"/>
      <c r="AM109" s="35"/>
      <c r="AN109" s="35"/>
      <c r="AO109" s="35"/>
      <c r="AP109" s="35"/>
      <c r="AQ109" s="21">
        <f t="shared" si="15"/>
        <v>-6.399999999996453E-2</v>
      </c>
      <c r="AR109" s="21">
        <f t="shared" si="16"/>
        <v>6.399999999996453E-2</v>
      </c>
      <c r="AV109" s="36">
        <f>$Q50-'245'!$Q50-$AQ$123</f>
        <v>-7.0826665871663863E-2</v>
      </c>
    </row>
    <row r="110" spans="1:48">
      <c r="S110" s="35"/>
      <c r="T110" s="35"/>
      <c r="U110" s="35"/>
      <c r="V110" s="35"/>
      <c r="W110" s="35"/>
      <c r="X110" s="35"/>
      <c r="Y110" s="35"/>
      <c r="Z110" s="35"/>
      <c r="AA110" s="35"/>
      <c r="AB110" s="35"/>
      <c r="AC110" s="35"/>
      <c r="AD110" s="35"/>
      <c r="AE110" s="35"/>
      <c r="AF110" s="35"/>
      <c r="AG110" s="35">
        <f>IF(AG51&lt;&gt;"", AG51-'245'!AG51-$AQ$123, "")</f>
        <v>-7.0826665871663863E-2</v>
      </c>
      <c r="AH110" s="35">
        <f>IF(AH51&lt;&gt;"", AH51-'245'!AH51-$AQ$123, "")</f>
        <v>-4.9396666269160505E-2</v>
      </c>
      <c r="AI110" s="35"/>
      <c r="AJ110" s="35"/>
      <c r="AK110" s="35"/>
      <c r="AL110" s="35"/>
      <c r="AM110" s="35"/>
      <c r="AN110" s="35"/>
      <c r="AO110" s="35"/>
      <c r="AP110" s="35"/>
      <c r="AQ110" s="21">
        <f t="shared" si="15"/>
        <v>-6.399999999996453E-2</v>
      </c>
      <c r="AR110" s="21">
        <f t="shared" si="16"/>
        <v>6.399999999996453E-2</v>
      </c>
      <c r="AV110" s="36">
        <f>$Q51-'245'!$Q51-$AQ$123</f>
        <v>-4.9396666269160505E-2</v>
      </c>
    </row>
    <row r="111" spans="1:48">
      <c r="S111" s="35"/>
      <c r="T111" s="35"/>
      <c r="U111" s="35"/>
      <c r="V111" s="35"/>
      <c r="W111" s="35"/>
      <c r="X111" s="35"/>
      <c r="Y111" s="35"/>
      <c r="Z111" s="35"/>
      <c r="AA111" s="35"/>
      <c r="AB111" s="35"/>
      <c r="AC111" s="35"/>
      <c r="AD111" s="35"/>
      <c r="AE111" s="35"/>
      <c r="AF111" s="35"/>
      <c r="AG111" s="35"/>
      <c r="AH111" s="35">
        <f>IF(AH52&lt;&gt;"", AH52-'245'!AH52-$AQ$123, "")</f>
        <v>-4.9396666269160505E-2</v>
      </c>
      <c r="AI111" s="35">
        <f>IF(AI52&lt;&gt;"", AI52-'245'!AI52-$AQ$123, "")</f>
        <v>-7.8159995421742678E-3</v>
      </c>
      <c r="AJ111" s="35"/>
      <c r="AK111" s="35"/>
      <c r="AL111" s="35"/>
      <c r="AM111" s="35"/>
      <c r="AN111" s="35"/>
      <c r="AO111" s="35"/>
      <c r="AP111" s="35"/>
      <c r="AQ111" s="21">
        <f t="shared" si="15"/>
        <v>-6.399999999996453E-2</v>
      </c>
      <c r="AR111" s="21">
        <f t="shared" si="16"/>
        <v>6.399999999996453E-2</v>
      </c>
      <c r="AV111" s="36">
        <f>$Q52-'245'!$Q52-$AQ$123</f>
        <v>-7.8159995421742678E-3</v>
      </c>
    </row>
    <row r="112" spans="1:48">
      <c r="S112" s="35"/>
      <c r="T112" s="35"/>
      <c r="U112" s="35"/>
      <c r="V112" s="35"/>
      <c r="W112" s="35"/>
      <c r="X112" s="35"/>
      <c r="Y112" s="35"/>
      <c r="Z112" s="35"/>
      <c r="AA112" s="35"/>
      <c r="AB112" s="35"/>
      <c r="AC112" s="35"/>
      <c r="AD112" s="35"/>
      <c r="AE112" s="35"/>
      <c r="AF112" s="35"/>
      <c r="AG112" s="35"/>
      <c r="AH112" s="35"/>
      <c r="AI112" s="35">
        <f>IF(AI53&lt;&gt;"", AI53-'245'!AI53-$AQ$123, "")</f>
        <v>-7.8159995421742678E-3</v>
      </c>
      <c r="AJ112" s="35">
        <f>IF(AJ53&lt;&gt;"", AJ53-'245'!AJ53-$AQ$123, "")</f>
        <v>2.9986667461457728E-2</v>
      </c>
      <c r="AK112" s="35"/>
      <c r="AL112" s="35"/>
      <c r="AM112" s="35"/>
      <c r="AN112" s="35"/>
      <c r="AO112" s="35"/>
      <c r="AP112" s="35"/>
      <c r="AQ112" s="21">
        <f t="shared" si="15"/>
        <v>-6.399999999996453E-2</v>
      </c>
      <c r="AR112" s="21">
        <f t="shared" si="16"/>
        <v>6.399999999996453E-2</v>
      </c>
      <c r="AV112" s="36">
        <f>$Q53-'245'!$Q53-$AQ$123</f>
        <v>2.9986667461457728E-2</v>
      </c>
    </row>
    <row r="113" spans="19:48">
      <c r="S113" s="35"/>
      <c r="T113" s="35"/>
      <c r="U113" s="35"/>
      <c r="V113" s="35"/>
      <c r="W113" s="35"/>
      <c r="X113" s="35"/>
      <c r="Y113" s="35"/>
      <c r="Z113" s="35"/>
      <c r="AA113" s="35"/>
      <c r="AB113" s="35"/>
      <c r="AC113" s="35"/>
      <c r="AD113" s="35"/>
      <c r="AE113" s="35"/>
      <c r="AF113" s="35"/>
      <c r="AG113" s="35"/>
      <c r="AH113" s="35"/>
      <c r="AI113" s="35"/>
      <c r="AJ113" s="35">
        <f>IF(AJ54&lt;&gt;"", AJ54-'245'!AJ54-$AQ$123, "")</f>
        <v>2.9986667461457728E-2</v>
      </c>
      <c r="AK113" s="35">
        <f>IF(AK54&lt;&gt;"", AK54-'245'!AK54-$AQ$123, "")</f>
        <v>4.3606667064125304E-2</v>
      </c>
      <c r="AL113" s="35"/>
      <c r="AM113" s="35"/>
      <c r="AN113" s="35"/>
      <c r="AO113" s="35"/>
      <c r="AP113" s="35"/>
      <c r="AQ113" s="21">
        <f t="shared" si="15"/>
        <v>-6.399999999996453E-2</v>
      </c>
      <c r="AR113" s="21">
        <f t="shared" si="16"/>
        <v>6.399999999996453E-2</v>
      </c>
      <c r="AV113" s="36">
        <f>$Q54-'245'!$Q54-$AQ$123</f>
        <v>4.3606667064125304E-2</v>
      </c>
    </row>
    <row r="114" spans="19:48">
      <c r="S114" s="35"/>
      <c r="T114" s="35"/>
      <c r="U114" s="35"/>
      <c r="V114" s="35"/>
      <c r="W114" s="35"/>
      <c r="X114" s="35"/>
      <c r="Y114" s="35"/>
      <c r="Z114" s="35"/>
      <c r="AA114" s="35"/>
      <c r="AB114" s="35"/>
      <c r="AC114" s="35"/>
      <c r="AD114" s="35"/>
      <c r="AE114" s="35"/>
      <c r="AF114" s="35"/>
      <c r="AG114" s="35"/>
      <c r="AH114" s="35"/>
      <c r="AI114" s="35"/>
      <c r="AJ114" s="35"/>
      <c r="AK114" s="35">
        <f>IF(AK55&lt;&gt;"", AK55-'245'!AK55-$AQ$123, "")</f>
        <v>4.3606667064125304E-2</v>
      </c>
      <c r="AL114" s="35">
        <f>IF(AL55&lt;&gt;"", AL55-'245'!AL55-$AQ$123, "")</f>
        <v>2.342400045785098E-2</v>
      </c>
      <c r="AM114" s="35"/>
      <c r="AN114" s="35"/>
      <c r="AO114" s="35"/>
      <c r="AP114" s="35"/>
      <c r="AQ114" s="21">
        <f t="shared" si="15"/>
        <v>-6.399999999996453E-2</v>
      </c>
      <c r="AR114" s="21">
        <f t="shared" si="16"/>
        <v>6.399999999996453E-2</v>
      </c>
      <c r="AV114" s="36">
        <f>$Q55-'245'!$Q55-$AQ$123</f>
        <v>2.342400045785098E-2</v>
      </c>
    </row>
    <row r="115" spans="19:48">
      <c r="S115" s="35"/>
      <c r="T115" s="35"/>
      <c r="U115" s="35"/>
      <c r="V115" s="35"/>
      <c r="W115" s="35"/>
      <c r="X115" s="35"/>
      <c r="Y115" s="35"/>
      <c r="Z115" s="35"/>
      <c r="AA115" s="35"/>
      <c r="AB115" s="35"/>
      <c r="AC115" s="35"/>
      <c r="AD115" s="35"/>
      <c r="AE115" s="35"/>
      <c r="AF115" s="35"/>
      <c r="AG115" s="35"/>
      <c r="AH115" s="35"/>
      <c r="AI115" s="35"/>
      <c r="AJ115" s="35"/>
      <c r="AK115" s="35"/>
      <c r="AL115" s="35">
        <f>IF(AL56&lt;&gt;"", AL56-'245'!AL56-$AQ$123, "")</f>
        <v>2.342400045785098E-2</v>
      </c>
      <c r="AM115" s="35">
        <f>IF(AM56&lt;&gt;"", AM56-'245'!AM56-$AQ$123, "")</f>
        <v>-2.2698665871757839E-2</v>
      </c>
      <c r="AN115" s="35"/>
      <c r="AO115" s="35"/>
      <c r="AP115" s="35"/>
      <c r="AQ115" s="21">
        <f t="shared" si="15"/>
        <v>-6.399999999996453E-2</v>
      </c>
      <c r="AR115" s="21">
        <f t="shared" si="16"/>
        <v>6.399999999996453E-2</v>
      </c>
      <c r="AV115" s="36">
        <f>$Q56-'245'!$Q56-$AQ$123</f>
        <v>-2.2698665871757839E-2</v>
      </c>
    </row>
    <row r="116" spans="19:48">
      <c r="S116" s="35"/>
      <c r="T116" s="35"/>
      <c r="U116" s="35"/>
      <c r="V116" s="35"/>
      <c r="W116" s="35"/>
      <c r="X116" s="35"/>
      <c r="Y116" s="35"/>
      <c r="Z116" s="35"/>
      <c r="AA116" s="35"/>
      <c r="AB116" s="35"/>
      <c r="AC116" s="35"/>
      <c r="AD116" s="35"/>
      <c r="AE116" s="35"/>
      <c r="AF116" s="35"/>
      <c r="AG116" s="35"/>
      <c r="AH116" s="35"/>
      <c r="AI116" s="35"/>
      <c r="AJ116" s="35"/>
      <c r="AK116" s="35"/>
      <c r="AL116" s="35"/>
      <c r="AM116" s="35">
        <f>IF(AM57&lt;&gt;"", AM57-'245'!AM57-$AQ$123, "")</f>
        <v>-2.2698665871757839E-2</v>
      </c>
      <c r="AN116" s="35">
        <f>IF(AN57&lt;&gt;"", AN57-'245'!AN57-$AQ$123, "")</f>
        <v>-7.2756666269185644E-2</v>
      </c>
      <c r="AO116" s="35"/>
      <c r="AP116" s="35"/>
      <c r="AQ116" s="21">
        <f t="shared" si="15"/>
        <v>-6.399999999996453E-2</v>
      </c>
      <c r="AR116" s="21">
        <f t="shared" si="16"/>
        <v>6.399999999996453E-2</v>
      </c>
      <c r="AV116" s="36">
        <f>$Q57-'245'!$Q57-$AQ$123</f>
        <v>-7.2756666269185644E-2</v>
      </c>
    </row>
    <row r="117" spans="19:48">
      <c r="S117" s="35"/>
      <c r="T117" s="35"/>
      <c r="U117" s="35"/>
      <c r="V117" s="35"/>
      <c r="W117" s="35"/>
      <c r="X117" s="35"/>
      <c r="Y117" s="35"/>
      <c r="Z117" s="35"/>
      <c r="AA117" s="35"/>
      <c r="AB117" s="35"/>
      <c r="AC117" s="35"/>
      <c r="AD117" s="35"/>
      <c r="AE117" s="35"/>
      <c r="AF117" s="35"/>
      <c r="AG117" s="35"/>
      <c r="AH117" s="35"/>
      <c r="AI117" s="35"/>
      <c r="AJ117" s="35"/>
      <c r="AK117" s="35"/>
      <c r="AL117" s="35"/>
      <c r="AM117" s="35"/>
      <c r="AN117" s="35">
        <f>IF(AN58&lt;&gt;"", AN58-'245'!AN58-$AQ$123, "")</f>
        <v>-7.2756666269185644E-2</v>
      </c>
      <c r="AO117" s="35">
        <f>IF(AO58&lt;&gt;"", AO58-'245'!AO58-$AQ$123, "")</f>
        <v>-9.8191999542052599E-2</v>
      </c>
      <c r="AP117" s="35"/>
      <c r="AQ117" s="21">
        <f t="shared" si="15"/>
        <v>-6.399999999996453E-2</v>
      </c>
      <c r="AR117" s="21">
        <f t="shared" si="16"/>
        <v>6.399999999996453E-2</v>
      </c>
      <c r="AV117" s="36">
        <f>$Q58-'245'!$Q58-$AQ$123</f>
        <v>-9.8191999542052599E-2</v>
      </c>
    </row>
    <row r="118" spans="19:48">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f>IF(AO59&lt;&gt;"", AO59-'245'!AO59-$AQ$123, "")</f>
        <v>-9.8191999542052599E-2</v>
      </c>
      <c r="AP118" s="39">
        <f>IF(AP59&lt;&gt;"", AP59-'245'!AP59-$AQ$123, "")</f>
        <v>-8.7414666269125973E-2</v>
      </c>
      <c r="AQ118" s="21">
        <f t="shared" si="15"/>
        <v>-6.399999999996453E-2</v>
      </c>
      <c r="AR118" s="21">
        <f t="shared" si="16"/>
        <v>6.399999999996453E-2</v>
      </c>
      <c r="AV118" s="36">
        <f>$Q59-'245'!$Q59-$AQ$123</f>
        <v>-8.7414666269125973E-2</v>
      </c>
    </row>
    <row r="120" spans="19:48">
      <c r="AQ120" t="s">
        <v>355</v>
      </c>
      <c r="AR120" t="s">
        <v>356</v>
      </c>
    </row>
    <row r="121" spans="19:48">
      <c r="AQ121">
        <f>AQ36-'245'!AR36</f>
        <v>-1.3999999999953161E-2</v>
      </c>
      <c r="AR121">
        <f>AR36-'245'!AQ36</f>
        <v>0.1139999999999759</v>
      </c>
    </row>
    <row r="122" spans="19:48">
      <c r="AQ122" t="s">
        <v>357</v>
      </c>
    </row>
    <row r="123" spans="19:48">
      <c r="AQ123">
        <f>AVERAGE(AQ121:AR121)</f>
        <v>5.0000000000011369E-2</v>
      </c>
    </row>
  </sheetData>
  <mergeCells count="1">
    <mergeCell ref="J9:J10"/>
  </mergeCells>
  <phoneticPr fontId="2"/>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AX123"/>
  <sheetViews>
    <sheetView zoomScale="70" zoomScaleNormal="70" workbookViewId="0">
      <selection activeCell="R10" sqref="R10"/>
    </sheetView>
  </sheetViews>
  <sheetFormatPr defaultRowHeight="15"/>
  <cols>
    <col min="1" max="1" width="24.42578125" customWidth="1"/>
    <col min="10" max="14" width="9" style="5"/>
  </cols>
  <sheetData>
    <row r="1" spans="1:27">
      <c r="A1" s="90" t="s">
        <v>943</v>
      </c>
      <c r="B1" s="90"/>
      <c r="C1" s="90"/>
      <c r="D1" s="90"/>
      <c r="E1" s="90"/>
      <c r="F1" s="90"/>
      <c r="G1" s="90"/>
      <c r="Y1" s="2"/>
      <c r="Z1" s="2"/>
      <c r="AA1" s="2"/>
    </row>
    <row r="2" spans="1:27">
      <c r="A2" s="90" t="s">
        <v>449</v>
      </c>
      <c r="B2" s="90" t="s">
        <v>450</v>
      </c>
      <c r="C2" s="90">
        <v>838.99800000000005</v>
      </c>
      <c r="D2" s="90" t="s">
        <v>451</v>
      </c>
      <c r="E2" s="90">
        <v>839</v>
      </c>
      <c r="F2" s="90"/>
      <c r="G2" s="90"/>
      <c r="Y2" s="2"/>
      <c r="Z2" s="2"/>
      <c r="AA2" s="2"/>
    </row>
    <row r="3" spans="1:27">
      <c r="A3" s="90" t="s">
        <v>944</v>
      </c>
      <c r="B3" s="90" t="s">
        <v>408</v>
      </c>
      <c r="C3" s="90">
        <v>-2E-3</v>
      </c>
      <c r="D3" s="90" t="s">
        <v>453</v>
      </c>
      <c r="E3" s="90">
        <v>6.4000000000000001E-2</v>
      </c>
      <c r="F3" s="90" t="s">
        <v>406</v>
      </c>
      <c r="G3" s="90"/>
      <c r="Y3" s="2"/>
      <c r="Z3" s="2"/>
      <c r="AA3" s="2"/>
    </row>
    <row r="4" spans="1:27">
      <c r="A4" s="121" t="s">
        <v>945</v>
      </c>
      <c r="B4" s="90" t="s">
        <v>455</v>
      </c>
      <c r="C4" s="90">
        <v>-6.4000000000000001E-2</v>
      </c>
      <c r="D4" s="90"/>
      <c r="E4" s="90"/>
      <c r="F4" s="90"/>
      <c r="G4" s="90"/>
      <c r="J4" s="5" t="s">
        <v>217</v>
      </c>
      <c r="Y4" s="2"/>
      <c r="Z4" s="2"/>
      <c r="AA4" s="2"/>
    </row>
    <row r="5" spans="1:27">
      <c r="A5" s="90" t="s">
        <v>1034</v>
      </c>
      <c r="B5" s="90"/>
      <c r="C5" s="90" t="s">
        <v>411</v>
      </c>
      <c r="D5" s="90"/>
      <c r="E5" s="90"/>
      <c r="F5" s="90"/>
      <c r="G5" s="90"/>
      <c r="L5" s="6" t="s">
        <v>1</v>
      </c>
      <c r="M5" s="6">
        <v>839</v>
      </c>
      <c r="Y5" s="2"/>
      <c r="Z5" s="2"/>
      <c r="AA5" s="2"/>
    </row>
    <row r="6" spans="1:27">
      <c r="A6" s="90" t="s">
        <v>412</v>
      </c>
      <c r="B6" s="90" t="s">
        <v>413</v>
      </c>
      <c r="C6" s="90">
        <v>419.49599999999998</v>
      </c>
      <c r="D6" s="90"/>
      <c r="E6" s="90"/>
      <c r="F6" s="90"/>
      <c r="G6" s="90"/>
      <c r="L6" s="6" t="s">
        <v>2</v>
      </c>
      <c r="M6" s="13">
        <f>M5+0.064</f>
        <v>839.06399999999996</v>
      </c>
      <c r="Y6" s="2"/>
      <c r="Z6" s="2"/>
      <c r="AA6" s="2"/>
    </row>
    <row r="7" spans="1:27">
      <c r="A7" s="90" t="s">
        <v>946</v>
      </c>
      <c r="B7" s="90" t="s">
        <v>415</v>
      </c>
      <c r="C7" s="90">
        <v>-1E-3</v>
      </c>
      <c r="D7" s="90"/>
      <c r="E7" s="90"/>
      <c r="F7" s="90"/>
      <c r="G7" s="90"/>
      <c r="L7" s="6" t="s">
        <v>3</v>
      </c>
      <c r="M7" s="13">
        <f>M5-0.064</f>
        <v>838.93600000000004</v>
      </c>
      <c r="Y7" s="2"/>
      <c r="Z7" s="2"/>
      <c r="AA7" s="2"/>
    </row>
    <row r="8" spans="1:27">
      <c r="A8" s="121" t="s">
        <v>947</v>
      </c>
      <c r="B8" s="90" t="s">
        <v>417</v>
      </c>
      <c r="C8" s="90">
        <v>-6.7750000000000004</v>
      </c>
      <c r="D8" s="90"/>
      <c r="E8" s="90"/>
      <c r="F8" s="90"/>
      <c r="G8" s="90"/>
      <c r="U8" s="5">
        <v>248</v>
      </c>
      <c r="V8" s="5">
        <v>246</v>
      </c>
      <c r="Y8" s="2"/>
      <c r="Z8" s="2"/>
      <c r="AA8" s="2"/>
    </row>
    <row r="9" spans="1:27">
      <c r="A9" s="90" t="s">
        <v>412</v>
      </c>
      <c r="B9" s="90" t="s">
        <v>413</v>
      </c>
      <c r="C9" s="90">
        <v>419.428</v>
      </c>
      <c r="D9" s="90"/>
      <c r="E9" s="90"/>
      <c r="F9" s="90"/>
      <c r="G9" s="90"/>
      <c r="H9" s="5"/>
      <c r="I9" s="9" t="s">
        <v>4</v>
      </c>
      <c r="J9" s="144" t="s">
        <v>274</v>
      </c>
      <c r="K9" s="10" t="s">
        <v>6</v>
      </c>
      <c r="L9" s="10" t="s">
        <v>7</v>
      </c>
      <c r="M9" s="10" t="s">
        <v>8</v>
      </c>
      <c r="P9" s="11" t="s">
        <v>9</v>
      </c>
      <c r="Q9" s="2"/>
      <c r="S9" s="5"/>
      <c r="T9" s="9" t="str">
        <f t="shared" ref="T9:U26" si="0">I9</f>
        <v>Angle</v>
      </c>
      <c r="U9" s="144" t="str">
        <f t="shared" si="0"/>
        <v>248
Position</v>
      </c>
      <c r="V9" s="80" t="s">
        <v>306</v>
      </c>
      <c r="W9" s="80" t="s">
        <v>311</v>
      </c>
      <c r="Y9" s="13"/>
      <c r="Z9" s="13" t="s">
        <v>275</v>
      </c>
      <c r="AA9" s="13" t="s">
        <v>276</v>
      </c>
    </row>
    <row r="10" spans="1:27">
      <c r="A10" s="90" t="s">
        <v>948</v>
      </c>
      <c r="B10" s="90" t="s">
        <v>415</v>
      </c>
      <c r="C10" s="90">
        <v>1.7000000000000001E-2</v>
      </c>
      <c r="D10" s="90"/>
      <c r="E10" s="90"/>
      <c r="F10" s="90"/>
      <c r="G10" s="90"/>
      <c r="H10" s="9" t="s">
        <v>10</v>
      </c>
      <c r="I10" s="9" t="s">
        <v>11</v>
      </c>
      <c r="J10" s="145"/>
      <c r="K10" s="10" t="s">
        <v>12</v>
      </c>
      <c r="L10" s="10" t="s">
        <v>12</v>
      </c>
      <c r="M10" s="10" t="s">
        <v>12</v>
      </c>
      <c r="P10" s="11" t="s">
        <v>13</v>
      </c>
      <c r="Q10" s="2"/>
      <c r="S10" s="9" t="str">
        <f t="shared" ref="S10:S26" si="1">H10</f>
        <v>Area#</v>
      </c>
      <c r="T10" s="9" t="str">
        <f t="shared" si="0"/>
        <v>[deg]</v>
      </c>
      <c r="U10" s="145"/>
      <c r="V10" s="79" t="s">
        <v>12</v>
      </c>
      <c r="W10" s="79" t="s">
        <v>12</v>
      </c>
      <c r="Y10" s="13" t="s">
        <v>277</v>
      </c>
      <c r="Z10" s="13">
        <f t="shared" ref="Z10:AA11" ca="1" si="2">AW95</f>
        <v>6</v>
      </c>
      <c r="AA10" s="13">
        <f t="shared" ca="1" si="2"/>
        <v>20</v>
      </c>
    </row>
    <row r="11" spans="1:27">
      <c r="A11" s="121" t="s">
        <v>949</v>
      </c>
      <c r="B11" s="90" t="s">
        <v>417</v>
      </c>
      <c r="C11" s="90">
        <v>-6.7750000000000004</v>
      </c>
      <c r="D11" s="90"/>
      <c r="E11" s="90"/>
      <c r="F11" s="90"/>
      <c r="G11" s="90"/>
      <c r="H11" s="13">
        <v>1</v>
      </c>
      <c r="I11" s="13">
        <v>0</v>
      </c>
      <c r="J11" s="10">
        <v>1</v>
      </c>
      <c r="K11" s="14">
        <f>SQRT(C6^2+C7^2)</f>
        <v>419.49600000119187</v>
      </c>
      <c r="L11" s="142">
        <f>M$7/2-0.116/2</f>
        <v>419.41</v>
      </c>
      <c r="M11" s="142">
        <f>M$6/2+0.116/2</f>
        <v>419.59</v>
      </c>
      <c r="P11" s="13">
        <f>K11+K19</f>
        <v>838.96200000119188</v>
      </c>
      <c r="Q11" s="2"/>
      <c r="S11" s="13">
        <f t="shared" si="1"/>
        <v>1</v>
      </c>
      <c r="T11" s="13">
        <f t="shared" si="0"/>
        <v>0</v>
      </c>
      <c r="U11" s="79">
        <f t="shared" si="0"/>
        <v>1</v>
      </c>
      <c r="V11" s="14">
        <f>K11-'246'!V11</f>
        <v>1.8819999964027829</v>
      </c>
      <c r="W11" s="14">
        <f>K11-'246'!W11</f>
        <v>1.8719999999945571</v>
      </c>
      <c r="Y11" s="13" t="s">
        <v>278</v>
      </c>
      <c r="Z11" s="13">
        <f t="shared" ca="1" si="2"/>
        <v>19</v>
      </c>
      <c r="AA11" s="13">
        <f t="shared" ca="1" si="2"/>
        <v>7</v>
      </c>
    </row>
    <row r="12" spans="1:27">
      <c r="A12" s="90" t="s">
        <v>412</v>
      </c>
      <c r="B12" s="90" t="s">
        <v>413</v>
      </c>
      <c r="C12" s="90">
        <v>419.41500000000002</v>
      </c>
      <c r="D12" s="90"/>
      <c r="E12" s="90"/>
      <c r="F12" s="90"/>
      <c r="G12" s="90"/>
      <c r="H12" s="13">
        <v>2</v>
      </c>
      <c r="I12" s="13">
        <f>I11+360/16</f>
        <v>22.5</v>
      </c>
      <c r="J12" s="10">
        <v>16</v>
      </c>
      <c r="K12" s="16">
        <f>SQRT(C51^2+C52^2)</f>
        <v>419.53400020141396</v>
      </c>
      <c r="L12" s="142">
        <f>L$11</f>
        <v>419.41</v>
      </c>
      <c r="M12" s="142">
        <f>M$11</f>
        <v>419.59</v>
      </c>
      <c r="P12" s="13">
        <f t="shared" ref="P12:P18" si="3">K12+K20</f>
        <v>838.95700024433006</v>
      </c>
      <c r="Q12" s="2"/>
      <c r="S12" s="13">
        <f t="shared" si="1"/>
        <v>2</v>
      </c>
      <c r="T12" s="13">
        <f t="shared" si="0"/>
        <v>22.5</v>
      </c>
      <c r="U12" s="79">
        <f t="shared" si="0"/>
        <v>16</v>
      </c>
      <c r="V12" s="14">
        <f>K12-'246'!V12</f>
        <v>1.8810002002167607</v>
      </c>
      <c r="W12" s="14">
        <f>K12-'246'!W12</f>
        <v>1.8720002002168599</v>
      </c>
    </row>
    <row r="13" spans="1:27">
      <c r="A13" s="90" t="s">
        <v>950</v>
      </c>
      <c r="B13" s="90" t="s">
        <v>415</v>
      </c>
      <c r="C13" s="90">
        <v>0</v>
      </c>
      <c r="D13" s="90"/>
      <c r="E13" s="90"/>
      <c r="F13" s="90"/>
      <c r="G13" s="90"/>
      <c r="H13" s="13">
        <v>3</v>
      </c>
      <c r="I13" s="13">
        <f t="shared" ref="I13:I26" si="4">I12+360/16</f>
        <v>45</v>
      </c>
      <c r="J13" s="10">
        <v>15</v>
      </c>
      <c r="K13" s="16">
        <f>SQRT(C48^2+C49^2)</f>
        <v>419.53800000000001</v>
      </c>
      <c r="L13" s="142">
        <f t="shared" ref="L13:M26" si="5">L$11</f>
        <v>419.41</v>
      </c>
      <c r="M13" s="142">
        <f t="shared" si="5"/>
        <v>419.59</v>
      </c>
      <c r="P13" s="13">
        <f t="shared" si="3"/>
        <v>839.02700000000004</v>
      </c>
      <c r="Q13" s="2"/>
      <c r="S13" s="13">
        <f t="shared" si="1"/>
        <v>3</v>
      </c>
      <c r="T13" s="13">
        <f t="shared" si="0"/>
        <v>45</v>
      </c>
      <c r="U13" s="79">
        <f t="shared" si="0"/>
        <v>15</v>
      </c>
      <c r="V13" s="14">
        <f>K13-'246'!V13</f>
        <v>1.8829999952113781</v>
      </c>
      <c r="W13" s="14">
        <f>K13-'246'!W13</f>
        <v>1.8749999952114536</v>
      </c>
    </row>
    <row r="14" spans="1:27">
      <c r="A14" s="121" t="s">
        <v>951</v>
      </c>
      <c r="B14" s="90" t="s">
        <v>417</v>
      </c>
      <c r="C14" s="90">
        <v>-6.774</v>
      </c>
      <c r="D14" s="90"/>
      <c r="E14" s="90"/>
      <c r="F14" s="90"/>
      <c r="G14" s="90"/>
      <c r="H14" s="13">
        <v>4</v>
      </c>
      <c r="I14" s="13">
        <f t="shared" si="4"/>
        <v>67.5</v>
      </c>
      <c r="J14" s="10">
        <v>14</v>
      </c>
      <c r="K14" s="16">
        <f>SQRT(C45^2+C46^2)</f>
        <v>419.48200011919465</v>
      </c>
      <c r="L14" s="142">
        <f t="shared" si="5"/>
        <v>419.41</v>
      </c>
      <c r="M14" s="142">
        <f t="shared" si="5"/>
        <v>419.59</v>
      </c>
      <c r="P14" s="13">
        <f t="shared" si="3"/>
        <v>839.06200011919464</v>
      </c>
      <c r="Q14" s="2"/>
      <c r="S14" s="13">
        <f t="shared" si="1"/>
        <v>4</v>
      </c>
      <c r="T14" s="13">
        <f t="shared" si="0"/>
        <v>67.5</v>
      </c>
      <c r="U14" s="79">
        <f t="shared" si="0"/>
        <v>14</v>
      </c>
      <c r="V14" s="14">
        <f>K14-'246'!V14</f>
        <v>1.8510001179974438</v>
      </c>
      <c r="W14" s="14">
        <f>K14-'246'!W14</f>
        <v>1.8460001000391912</v>
      </c>
    </row>
    <row r="15" spans="1:27">
      <c r="A15" s="90" t="s">
        <v>412</v>
      </c>
      <c r="B15" s="90" t="s">
        <v>413</v>
      </c>
      <c r="C15" s="90">
        <v>419.51100000000002</v>
      </c>
      <c r="D15" s="90"/>
      <c r="E15" s="90"/>
      <c r="F15" s="90"/>
      <c r="G15" s="90"/>
      <c r="H15" s="13">
        <v>5</v>
      </c>
      <c r="I15" s="13">
        <f t="shared" si="4"/>
        <v>90</v>
      </c>
      <c r="J15" s="10">
        <v>13</v>
      </c>
      <c r="K15" s="16">
        <f>SQRT(C42^2+C43^2)</f>
        <v>419.49400000000003</v>
      </c>
      <c r="L15" s="142">
        <f t="shared" si="5"/>
        <v>419.41</v>
      </c>
      <c r="M15" s="142">
        <f t="shared" si="5"/>
        <v>419.59</v>
      </c>
      <c r="P15" s="13">
        <f t="shared" si="3"/>
        <v>839.09200000119165</v>
      </c>
      <c r="Q15" s="2"/>
      <c r="S15" s="13">
        <f t="shared" si="1"/>
        <v>5</v>
      </c>
      <c r="T15" s="13">
        <f t="shared" si="0"/>
        <v>90</v>
      </c>
      <c r="U15" s="79">
        <f t="shared" si="0"/>
        <v>13</v>
      </c>
      <c r="V15" s="14">
        <f>K15-'246'!V15</f>
        <v>1.857999998802768</v>
      </c>
      <c r="W15" s="14">
        <f>K15-'246'!W15</f>
        <v>1.8569999988027917</v>
      </c>
    </row>
    <row r="16" spans="1:27">
      <c r="A16" s="90" t="s">
        <v>952</v>
      </c>
      <c r="B16" s="90" t="s">
        <v>415</v>
      </c>
      <c r="C16" s="90">
        <v>-2E-3</v>
      </c>
      <c r="D16" s="90"/>
      <c r="E16" s="90"/>
      <c r="F16" s="90"/>
      <c r="G16" s="90"/>
      <c r="H16" s="13">
        <v>6</v>
      </c>
      <c r="I16" s="13">
        <f t="shared" si="4"/>
        <v>112.5</v>
      </c>
      <c r="J16" s="10">
        <v>12</v>
      </c>
      <c r="K16" s="16">
        <f>SQRT(C39^2+C40^2)</f>
        <v>419.50900009654146</v>
      </c>
      <c r="L16" s="142">
        <f t="shared" si="5"/>
        <v>419.41</v>
      </c>
      <c r="M16" s="142">
        <f t="shared" si="5"/>
        <v>419.59</v>
      </c>
      <c r="P16" s="13">
        <f t="shared" si="3"/>
        <v>839.02000010130894</v>
      </c>
      <c r="Q16" s="2"/>
      <c r="S16" s="13">
        <f t="shared" si="1"/>
        <v>6</v>
      </c>
      <c r="T16" s="13">
        <f t="shared" si="0"/>
        <v>112.5</v>
      </c>
      <c r="U16" s="79">
        <f t="shared" si="0"/>
        <v>12</v>
      </c>
      <c r="V16" s="14">
        <f>K16-'246'!V16</f>
        <v>1.8590000953442996</v>
      </c>
      <c r="W16" s="14">
        <f>K16-'246'!W16</f>
        <v>1.8510000953443182</v>
      </c>
    </row>
    <row r="17" spans="1:23">
      <c r="A17" s="121" t="s">
        <v>953</v>
      </c>
      <c r="B17" s="90" t="s">
        <v>417</v>
      </c>
      <c r="C17" s="90">
        <v>-6.7750000000000004</v>
      </c>
      <c r="D17" s="90"/>
      <c r="E17" s="90"/>
      <c r="F17" s="90"/>
      <c r="G17" s="90"/>
      <c r="H17" s="13">
        <v>7</v>
      </c>
      <c r="I17" s="13">
        <f t="shared" si="4"/>
        <v>135</v>
      </c>
      <c r="J17" s="10">
        <v>11</v>
      </c>
      <c r="K17" s="16">
        <f>SQRT(C36^2+C37^2)</f>
        <v>419.50400000119191</v>
      </c>
      <c r="L17" s="142">
        <f t="shared" si="5"/>
        <v>419.41</v>
      </c>
      <c r="M17" s="142">
        <f t="shared" si="5"/>
        <v>419.59</v>
      </c>
      <c r="P17" s="13">
        <f t="shared" si="3"/>
        <v>838.91900000119199</v>
      </c>
      <c r="Q17" s="2"/>
      <c r="S17" s="13">
        <f t="shared" si="1"/>
        <v>7</v>
      </c>
      <c r="T17" s="13">
        <f t="shared" si="0"/>
        <v>135</v>
      </c>
      <c r="U17" s="79">
        <f t="shared" si="0"/>
        <v>11</v>
      </c>
      <c r="V17" s="14">
        <f>K17-'246'!V17</f>
        <v>1.8700000011918974</v>
      </c>
      <c r="W17" s="14">
        <f>K17-'246'!W17</f>
        <v>1.8619999999947368</v>
      </c>
    </row>
    <row r="18" spans="1:23">
      <c r="A18" s="90" t="s">
        <v>412</v>
      </c>
      <c r="B18" s="90" t="s">
        <v>413</v>
      </c>
      <c r="C18" s="90">
        <v>419.59800000000001</v>
      </c>
      <c r="D18" s="90"/>
      <c r="E18" s="90"/>
      <c r="F18" s="90"/>
      <c r="G18" s="90"/>
      <c r="H18" s="13">
        <v>8</v>
      </c>
      <c r="I18" s="13">
        <f t="shared" si="4"/>
        <v>157.5</v>
      </c>
      <c r="J18" s="10">
        <v>10</v>
      </c>
      <c r="K18" s="16">
        <f>SQRT(C33^2+C34^2)</f>
        <v>419.51400004290684</v>
      </c>
      <c r="L18" s="142">
        <f t="shared" si="5"/>
        <v>419.41</v>
      </c>
      <c r="M18" s="142">
        <f t="shared" si="5"/>
        <v>419.59</v>
      </c>
      <c r="P18" s="13">
        <f t="shared" si="3"/>
        <v>838.9420003874236</v>
      </c>
      <c r="Q18" s="2"/>
      <c r="S18" s="13">
        <f t="shared" si="1"/>
        <v>8</v>
      </c>
      <c r="T18" s="13">
        <f t="shared" si="0"/>
        <v>157.5</v>
      </c>
      <c r="U18" s="79">
        <f t="shared" si="0"/>
        <v>10</v>
      </c>
      <c r="V18" s="14">
        <f>K18-'246'!V18</f>
        <v>1.875000038118003</v>
      </c>
      <c r="W18" s="14">
        <f>K18-'246'!W18</f>
        <v>1.8650000429068427</v>
      </c>
    </row>
    <row r="19" spans="1:23">
      <c r="A19" s="90" t="s">
        <v>954</v>
      </c>
      <c r="B19" s="90" t="s">
        <v>415</v>
      </c>
      <c r="C19" s="90">
        <v>-1E-3</v>
      </c>
      <c r="D19" s="90"/>
      <c r="E19" s="90"/>
      <c r="F19" s="90"/>
      <c r="G19" s="90"/>
      <c r="H19" s="13">
        <v>9</v>
      </c>
      <c r="I19" s="13">
        <f t="shared" si="4"/>
        <v>180</v>
      </c>
      <c r="J19" s="10">
        <v>9</v>
      </c>
      <c r="K19" s="16">
        <f>SQRT(C30^2+C31^2)</f>
        <v>419.46600000000001</v>
      </c>
      <c r="L19" s="142">
        <f t="shared" si="5"/>
        <v>419.41</v>
      </c>
      <c r="M19" s="142">
        <f t="shared" si="5"/>
        <v>419.59</v>
      </c>
      <c r="P19" s="13"/>
      <c r="Q19" s="2"/>
      <c r="S19" s="13">
        <f t="shared" si="1"/>
        <v>9</v>
      </c>
      <c r="T19" s="13">
        <f t="shared" si="0"/>
        <v>180</v>
      </c>
      <c r="U19" s="79">
        <f t="shared" si="0"/>
        <v>9</v>
      </c>
      <c r="V19" s="14">
        <f>K19-'246'!V19</f>
        <v>1.8649999952107805</v>
      </c>
      <c r="W19" s="14">
        <f>K19-'246'!W19</f>
        <v>1.8599999988027207</v>
      </c>
    </row>
    <row r="20" spans="1:23">
      <c r="A20" s="121" t="s">
        <v>955</v>
      </c>
      <c r="B20" s="90" t="s">
        <v>417</v>
      </c>
      <c r="C20" s="90">
        <v>-6.7759999999999998</v>
      </c>
      <c r="D20" s="90"/>
      <c r="E20" s="90"/>
      <c r="F20" s="90"/>
      <c r="G20" s="90"/>
      <c r="H20" s="13">
        <v>10</v>
      </c>
      <c r="I20" s="13">
        <f t="shared" si="4"/>
        <v>202.5</v>
      </c>
      <c r="J20" s="10">
        <v>8</v>
      </c>
      <c r="K20" s="16">
        <f>SQRT(C27^2+C28^2)</f>
        <v>419.4230000429161</v>
      </c>
      <c r="L20" s="142">
        <f t="shared" si="5"/>
        <v>419.41</v>
      </c>
      <c r="M20" s="142">
        <f t="shared" si="5"/>
        <v>419.59</v>
      </c>
      <c r="P20" s="13">
        <f>MAX(P11:P18)</f>
        <v>839.09200000119165</v>
      </c>
      <c r="Q20" s="13" t="str">
        <f>IF(P20&gt;M6, CONCATENATE("O/Max ", TEXT(P20-M6, "0.000")), "-")</f>
        <v>O/Max 0.028</v>
      </c>
      <c r="S20" s="13">
        <f t="shared" si="1"/>
        <v>10</v>
      </c>
      <c r="T20" s="13">
        <f t="shared" si="0"/>
        <v>202.5</v>
      </c>
      <c r="U20" s="79">
        <f t="shared" si="0"/>
        <v>8</v>
      </c>
      <c r="V20" s="14">
        <f>K20-'246'!V20</f>
        <v>1.8520000417186679</v>
      </c>
      <c r="W20" s="14">
        <f>K20-'246'!W20</f>
        <v>1.8519998405552656</v>
      </c>
    </row>
    <row r="21" spans="1:23">
      <c r="A21" s="90" t="s">
        <v>412</v>
      </c>
      <c r="B21" s="90" t="s">
        <v>413</v>
      </c>
      <c r="C21" s="90">
        <v>419.58</v>
      </c>
      <c r="D21" s="90"/>
      <c r="E21" s="90"/>
      <c r="F21" s="90"/>
      <c r="G21" s="90"/>
      <c r="H21" s="13">
        <v>11</v>
      </c>
      <c r="I21" s="13">
        <f t="shared" si="4"/>
        <v>225</v>
      </c>
      <c r="J21" s="10">
        <v>7</v>
      </c>
      <c r="K21" s="16">
        <f>SQRT(C24^2+C25^2)</f>
        <v>419.48899999999998</v>
      </c>
      <c r="L21" s="142">
        <f t="shared" si="5"/>
        <v>419.41</v>
      </c>
      <c r="M21" s="142">
        <f t="shared" si="5"/>
        <v>419.59</v>
      </c>
      <c r="P21" s="13">
        <f>MIN(P11:P18)</f>
        <v>838.91900000119199</v>
      </c>
      <c r="Q21" s="13" t="str">
        <f>IF(P21&lt;M7, CONCATENATE("U/Min ", TEXT(M7-P21, "0.000")), "-")</f>
        <v>U/Min 0.017</v>
      </c>
      <c r="S21" s="13">
        <f t="shared" si="1"/>
        <v>11</v>
      </c>
      <c r="T21" s="13">
        <f t="shared" si="0"/>
        <v>225</v>
      </c>
      <c r="U21" s="79">
        <f t="shared" si="0"/>
        <v>7</v>
      </c>
      <c r="V21" s="14">
        <f>K21-'246'!V21</f>
        <v>1.8689999988027353</v>
      </c>
      <c r="W21" s="14">
        <f>K21-'246'!W21</f>
        <v>1.8649999988026593</v>
      </c>
    </row>
    <row r="22" spans="1:23">
      <c r="A22" s="90" t="s">
        <v>956</v>
      </c>
      <c r="B22" s="90" t="s">
        <v>415</v>
      </c>
      <c r="C22" s="90">
        <v>0</v>
      </c>
      <c r="D22" s="90"/>
      <c r="E22" s="90"/>
      <c r="F22" s="90"/>
      <c r="G22" s="90"/>
      <c r="H22" s="13">
        <v>12</v>
      </c>
      <c r="I22" s="13">
        <f t="shared" si="4"/>
        <v>247.5</v>
      </c>
      <c r="J22" s="10">
        <v>6</v>
      </c>
      <c r="K22" s="16">
        <f>SQRT(C21^2+C22^2)</f>
        <v>419.58</v>
      </c>
      <c r="L22" s="142">
        <f t="shared" si="5"/>
        <v>419.41</v>
      </c>
      <c r="M22" s="142">
        <f t="shared" si="5"/>
        <v>419.59</v>
      </c>
      <c r="S22" s="13">
        <f t="shared" si="1"/>
        <v>12</v>
      </c>
      <c r="T22" s="13">
        <f t="shared" si="0"/>
        <v>247.5</v>
      </c>
      <c r="U22" s="79">
        <f t="shared" si="0"/>
        <v>6</v>
      </c>
      <c r="V22" s="14">
        <f>K22-'246'!V22</f>
        <v>1.8849999988029253</v>
      </c>
      <c r="W22" s="14">
        <f>K22-'246'!W22</f>
        <v>1.8719999952119224</v>
      </c>
    </row>
    <row r="23" spans="1:23">
      <c r="A23" s="121" t="s">
        <v>957</v>
      </c>
      <c r="B23" s="90" t="s">
        <v>417</v>
      </c>
      <c r="C23" s="90">
        <v>-6.7750000000000004</v>
      </c>
      <c r="D23" s="90"/>
      <c r="E23" s="90"/>
      <c r="F23" s="90"/>
      <c r="G23" s="90"/>
      <c r="H23" s="13">
        <v>13</v>
      </c>
      <c r="I23" s="13">
        <f t="shared" si="4"/>
        <v>270</v>
      </c>
      <c r="J23" s="10">
        <v>5</v>
      </c>
      <c r="K23" s="16">
        <f>SQRT(C18^2+C19^2)</f>
        <v>419.59800000119162</v>
      </c>
      <c r="L23" s="142">
        <f t="shared" si="5"/>
        <v>419.41</v>
      </c>
      <c r="M23" s="142">
        <f t="shared" si="5"/>
        <v>419.59</v>
      </c>
      <c r="S23" s="13">
        <f t="shared" si="1"/>
        <v>13</v>
      </c>
      <c r="T23" s="13">
        <f t="shared" si="0"/>
        <v>270</v>
      </c>
      <c r="U23" s="79">
        <f t="shared" si="0"/>
        <v>5</v>
      </c>
      <c r="V23" s="14">
        <f>K23-'246'!V23</f>
        <v>1.8999999999945771</v>
      </c>
      <c r="W23" s="14">
        <f>K23-'246'!W23</f>
        <v>1.8879999999946335</v>
      </c>
    </row>
    <row r="24" spans="1:23">
      <c r="A24" s="90" t="s">
        <v>412</v>
      </c>
      <c r="B24" s="90" t="s">
        <v>413</v>
      </c>
      <c r="C24" s="90">
        <v>419.48899999999998</v>
      </c>
      <c r="D24" s="90"/>
      <c r="E24" s="90"/>
      <c r="F24" s="90"/>
      <c r="G24" s="90"/>
      <c r="H24" s="13">
        <v>14</v>
      </c>
      <c r="I24" s="13">
        <f t="shared" si="4"/>
        <v>292.5</v>
      </c>
      <c r="J24" s="10">
        <v>4</v>
      </c>
      <c r="K24" s="16">
        <f>SQRT(C15^2+C16^2)</f>
        <v>419.51100000476748</v>
      </c>
      <c r="L24" s="142">
        <f t="shared" si="5"/>
        <v>419.41</v>
      </c>
      <c r="M24" s="142">
        <f t="shared" si="5"/>
        <v>419.59</v>
      </c>
      <c r="S24" s="13">
        <f t="shared" si="1"/>
        <v>14</v>
      </c>
      <c r="T24" s="13">
        <f t="shared" si="0"/>
        <v>292.5</v>
      </c>
      <c r="U24" s="79">
        <f t="shared" si="0"/>
        <v>4</v>
      </c>
      <c r="V24" s="14">
        <f>K24-'246'!V24</f>
        <v>1.8660000047674998</v>
      </c>
      <c r="W24" s="14">
        <f>K24-'246'!W24</f>
        <v>1.8570000047674853</v>
      </c>
    </row>
    <row r="25" spans="1:23">
      <c r="A25" s="90" t="s">
        <v>958</v>
      </c>
      <c r="B25" s="90" t="s">
        <v>415</v>
      </c>
      <c r="C25" s="90">
        <v>0</v>
      </c>
      <c r="D25" s="90"/>
      <c r="E25" s="90"/>
      <c r="F25" s="90"/>
      <c r="G25" s="90"/>
      <c r="H25" s="13">
        <v>15</v>
      </c>
      <c r="I25" s="13">
        <f t="shared" si="4"/>
        <v>315</v>
      </c>
      <c r="J25" s="10">
        <v>3</v>
      </c>
      <c r="K25" s="16">
        <f>SQRT(C12^2+C13^2)</f>
        <v>419.41500000000002</v>
      </c>
      <c r="L25" s="142">
        <f t="shared" si="5"/>
        <v>419.41</v>
      </c>
      <c r="M25" s="142">
        <f t="shared" si="5"/>
        <v>419.59</v>
      </c>
      <c r="S25" s="13">
        <f t="shared" si="1"/>
        <v>15</v>
      </c>
      <c r="T25" s="13">
        <f t="shared" si="0"/>
        <v>315</v>
      </c>
      <c r="U25" s="79">
        <f t="shared" si="0"/>
        <v>3</v>
      </c>
      <c r="V25" s="14">
        <f>K25-'246'!V25</f>
        <v>1.8539999988025784</v>
      </c>
      <c r="W25" s="14">
        <f>K25-'246'!W25</f>
        <v>1.8549999988025547</v>
      </c>
    </row>
    <row r="26" spans="1:23">
      <c r="A26" s="121" t="s">
        <v>959</v>
      </c>
      <c r="B26" s="90" t="s">
        <v>417</v>
      </c>
      <c r="C26" s="90">
        <v>-6.7750000000000004</v>
      </c>
      <c r="D26" s="90"/>
      <c r="E26" s="90"/>
      <c r="F26" s="90"/>
      <c r="G26" s="90"/>
      <c r="H26" s="13">
        <v>16</v>
      </c>
      <c r="I26" s="13">
        <f t="shared" si="4"/>
        <v>337.5</v>
      </c>
      <c r="J26" s="10">
        <v>2</v>
      </c>
      <c r="K26" s="16">
        <f>SQRT(C9^2+C10^2)</f>
        <v>419.42800034451676</v>
      </c>
      <c r="L26" s="142">
        <f t="shared" si="5"/>
        <v>419.41</v>
      </c>
      <c r="M26" s="142">
        <f t="shared" si="5"/>
        <v>419.59</v>
      </c>
      <c r="S26" s="13">
        <f t="shared" si="1"/>
        <v>16</v>
      </c>
      <c r="T26" s="13">
        <f t="shared" si="0"/>
        <v>337.5</v>
      </c>
      <c r="U26" s="79">
        <f t="shared" si="0"/>
        <v>2</v>
      </c>
      <c r="V26" s="14">
        <f>K26-'246'!V26</f>
        <v>1.8730003253576228</v>
      </c>
      <c r="W26" s="14">
        <f>K26-'246'!W26</f>
        <v>1.8680003337398716</v>
      </c>
    </row>
    <row r="27" spans="1:23">
      <c r="A27" s="90" t="s">
        <v>412</v>
      </c>
      <c r="B27" s="90" t="s">
        <v>413</v>
      </c>
      <c r="C27" s="90">
        <v>419.423</v>
      </c>
      <c r="D27" s="90"/>
      <c r="E27" s="90"/>
      <c r="F27" s="90"/>
      <c r="G27" s="90"/>
      <c r="H27" s="13">
        <v>17</v>
      </c>
      <c r="I27" s="13">
        <v>360</v>
      </c>
      <c r="J27" s="10">
        <v>1</v>
      </c>
      <c r="K27" s="15">
        <f>K11</f>
        <v>419.49600000119187</v>
      </c>
      <c r="P27" s="19" t="s">
        <v>271</v>
      </c>
      <c r="Q27" s="19" t="str">
        <f>M30</f>
        <v>-</v>
      </c>
      <c r="R27" s="5"/>
      <c r="S27" s="13"/>
      <c r="T27" s="13"/>
      <c r="U27" s="79"/>
    </row>
    <row r="28" spans="1:23">
      <c r="A28" s="90" t="s">
        <v>960</v>
      </c>
      <c r="B28" s="90" t="s">
        <v>415</v>
      </c>
      <c r="C28" s="90">
        <v>-6.0000000000000001E-3</v>
      </c>
      <c r="D28" s="90"/>
      <c r="E28" s="90"/>
      <c r="F28" s="90"/>
      <c r="G28" s="90"/>
      <c r="J28" s="10" t="s">
        <v>14</v>
      </c>
      <c r="K28" s="5">
        <f>MAX(K11:K26)</f>
        <v>419.59800000119162</v>
      </c>
      <c r="L28" s="15">
        <f>K28*2</f>
        <v>839.19600000238324</v>
      </c>
      <c r="M28" s="15" t="str">
        <f>IF(K28&gt;M26, "O/Max "&amp;TEXT(2*K28-2*M26, "0.000"), "-")</f>
        <v>O/Max 0.016</v>
      </c>
      <c r="P28" s="19" t="s">
        <v>60</v>
      </c>
      <c r="Q28" s="19" t="str">
        <f>M28</f>
        <v>O/Max 0.016</v>
      </c>
      <c r="R28" s="5"/>
    </row>
    <row r="29" spans="1:23">
      <c r="A29" s="121" t="s">
        <v>961</v>
      </c>
      <c r="B29" s="90" t="s">
        <v>417</v>
      </c>
      <c r="C29" s="90">
        <v>-6.774</v>
      </c>
      <c r="D29" s="90"/>
      <c r="E29" s="90"/>
      <c r="F29" s="90"/>
      <c r="G29" s="90"/>
      <c r="J29" s="10" t="s">
        <v>15</v>
      </c>
      <c r="K29" s="15">
        <f>MIN(K11:K26)</f>
        <v>419.41500000000002</v>
      </c>
      <c r="L29" s="15">
        <f>K29*2</f>
        <v>838.83</v>
      </c>
      <c r="M29" s="15" t="str">
        <f>IF(K29&lt;L26, "U/Min "&amp;TEXT(2*L26-2*K29, "0.000"), "-")</f>
        <v>-</v>
      </c>
      <c r="P29" s="19" t="s">
        <v>62</v>
      </c>
      <c r="Q29" s="19" t="str">
        <f>M29</f>
        <v>-</v>
      </c>
      <c r="R29" s="5"/>
    </row>
    <row r="30" spans="1:23">
      <c r="A30" s="90" t="s">
        <v>412</v>
      </c>
      <c r="B30" s="90" t="s">
        <v>413</v>
      </c>
      <c r="C30" s="90">
        <v>419.46600000000001</v>
      </c>
      <c r="D30" s="90"/>
      <c r="E30" s="90"/>
      <c r="F30" s="90"/>
      <c r="G30" s="90"/>
      <c r="J30" s="17" t="s">
        <v>17</v>
      </c>
      <c r="K30" s="16">
        <f>AVERAGE(K11:K26)*2</f>
        <v>838.99762510697883</v>
      </c>
      <c r="L30" s="15"/>
      <c r="M30" s="15" t="str">
        <f>IF(K30&gt;M6, "O/Max "&amp;TEXT(K30-M6, "0.000"), IF(K30&lt;M7, "U/Min "&amp;TEXT(M7-K30, "0.000"), "-"))</f>
        <v>-</v>
      </c>
      <c r="P30" s="19" t="s">
        <v>18</v>
      </c>
      <c r="Q30" s="19" t="str">
        <f>M31</f>
        <v>O/Max 0.053</v>
      </c>
      <c r="R30" s="5"/>
    </row>
    <row r="31" spans="1:23">
      <c r="A31" s="90" t="s">
        <v>962</v>
      </c>
      <c r="B31" s="90" t="s">
        <v>415</v>
      </c>
      <c r="C31" s="90">
        <v>0</v>
      </c>
      <c r="D31" s="90"/>
      <c r="E31" s="90"/>
      <c r="F31" s="90"/>
      <c r="G31" s="90"/>
      <c r="J31" s="10" t="s">
        <v>18</v>
      </c>
      <c r="K31" s="18">
        <f>K28-K29</f>
        <v>0.18300000119160131</v>
      </c>
      <c r="L31" s="15"/>
      <c r="M31" s="15" t="str">
        <f>IF(K31&gt;0.13, "O/Max "&amp;TEXT(K31-0.13, "0.000"), "-")</f>
        <v>O/Max 0.053</v>
      </c>
      <c r="N31" s="5" t="s">
        <v>20</v>
      </c>
    </row>
    <row r="32" spans="1:23">
      <c r="A32" s="121" t="s">
        <v>963</v>
      </c>
      <c r="B32" s="90" t="s">
        <v>417</v>
      </c>
      <c r="C32" s="90">
        <v>-6.7750000000000004</v>
      </c>
      <c r="D32" s="90"/>
      <c r="E32" s="90"/>
      <c r="F32" s="90"/>
      <c r="G32" s="90"/>
      <c r="S32" s="19" t="s">
        <v>218</v>
      </c>
    </row>
    <row r="33" spans="1:44">
      <c r="A33" s="90" t="s">
        <v>412</v>
      </c>
      <c r="B33" s="90" t="s">
        <v>413</v>
      </c>
      <c r="C33" s="90">
        <v>419.51400000000001</v>
      </c>
      <c r="D33" s="90"/>
      <c r="E33" s="90"/>
      <c r="F33" s="90"/>
      <c r="G33" s="90"/>
      <c r="J33" s="5" t="s">
        <v>219</v>
      </c>
      <c r="M33" s="5" t="s">
        <v>220</v>
      </c>
      <c r="N33" s="5">
        <f>360/24</f>
        <v>15</v>
      </c>
      <c r="O33" s="9" t="s">
        <v>24</v>
      </c>
      <c r="P33" s="5" t="s">
        <v>27</v>
      </c>
      <c r="Q33" s="5">
        <f>'246'!$Q$33</f>
        <v>-6.36</v>
      </c>
      <c r="R33" s="9" t="s">
        <v>24</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v>24</v>
      </c>
      <c r="AQ33" s="5"/>
      <c r="AR33" s="5"/>
    </row>
    <row r="34" spans="1:44">
      <c r="A34" s="90" t="s">
        <v>964</v>
      </c>
      <c r="B34" s="90" t="s">
        <v>415</v>
      </c>
      <c r="C34" s="90">
        <v>6.0000000000000001E-3</v>
      </c>
      <c r="D34" s="90"/>
      <c r="E34" s="90"/>
      <c r="F34" s="90"/>
      <c r="G34" s="90"/>
      <c r="K34" s="9" t="s">
        <v>221</v>
      </c>
      <c r="M34" s="9" t="s">
        <v>84</v>
      </c>
      <c r="N34" s="9" t="s">
        <v>85</v>
      </c>
      <c r="O34" s="9" t="s">
        <v>222</v>
      </c>
      <c r="P34" s="9" t="s">
        <v>87</v>
      </c>
      <c r="Q34" s="9" t="s">
        <v>88</v>
      </c>
      <c r="R34" s="5"/>
      <c r="S34" s="20" t="str">
        <f ca="1">CONCATENATE($S$32, "#", OFFSET($J$35, S33, 0))</f>
        <v>Stg.4 Shroud Aft#1</v>
      </c>
      <c r="T34" s="20" t="str">
        <f t="shared" ref="T34:AP34" ca="1" si="6">CONCATENATE($S$32, "#", OFFSET($J$35, T33, 0))</f>
        <v>Stg.4 Shroud Aft#24</v>
      </c>
      <c r="U34" s="20" t="str">
        <f t="shared" ca="1" si="6"/>
        <v>Stg.4 Shroud Aft#23</v>
      </c>
      <c r="V34" s="20" t="str">
        <f t="shared" ca="1" si="6"/>
        <v>Stg.4 Shroud Aft#22</v>
      </c>
      <c r="W34" s="20" t="str">
        <f t="shared" ca="1" si="6"/>
        <v>Stg.4 Shroud Aft#21</v>
      </c>
      <c r="X34" s="20" t="str">
        <f t="shared" ca="1" si="6"/>
        <v>Stg.4 Shroud Aft#20</v>
      </c>
      <c r="Y34" s="20" t="str">
        <f t="shared" ca="1" si="6"/>
        <v>Stg.4 Shroud Aft#19</v>
      </c>
      <c r="Z34" s="20" t="str">
        <f t="shared" ca="1" si="6"/>
        <v>Stg.4 Shroud Aft#18</v>
      </c>
      <c r="AA34" s="20" t="str">
        <f t="shared" ca="1" si="6"/>
        <v>Stg.4 Shroud Aft#17</v>
      </c>
      <c r="AB34" s="20" t="str">
        <f t="shared" ca="1" si="6"/>
        <v>Stg.4 Shroud Aft#16</v>
      </c>
      <c r="AC34" s="20" t="str">
        <f t="shared" ca="1" si="6"/>
        <v>Stg.4 Shroud Aft#15</v>
      </c>
      <c r="AD34" s="20" t="str">
        <f t="shared" ca="1" si="6"/>
        <v>Stg.4 Shroud Aft#14</v>
      </c>
      <c r="AE34" s="20" t="str">
        <f t="shared" ca="1" si="6"/>
        <v>Stg.4 Shroud Aft#13</v>
      </c>
      <c r="AF34" s="20" t="str">
        <f t="shared" ca="1" si="6"/>
        <v>Stg.4 Shroud Aft#12</v>
      </c>
      <c r="AG34" s="20" t="str">
        <f t="shared" ca="1" si="6"/>
        <v>Stg.4 Shroud Aft#11</v>
      </c>
      <c r="AH34" s="20" t="str">
        <f t="shared" ca="1" si="6"/>
        <v>Stg.4 Shroud Aft#10</v>
      </c>
      <c r="AI34" s="20" t="str">
        <f t="shared" ca="1" si="6"/>
        <v>Stg.4 Shroud Aft#9</v>
      </c>
      <c r="AJ34" s="20" t="str">
        <f t="shared" ca="1" si="6"/>
        <v>Stg.4 Shroud Aft#8</v>
      </c>
      <c r="AK34" s="20" t="str">
        <f t="shared" ca="1" si="6"/>
        <v>Stg.4 Shroud Aft#7</v>
      </c>
      <c r="AL34" s="20" t="str">
        <f t="shared" ca="1" si="6"/>
        <v>Stg.4 Shroud Aft#6</v>
      </c>
      <c r="AM34" s="20" t="str">
        <f t="shared" ca="1" si="6"/>
        <v>Stg.4 Shroud Aft#5</v>
      </c>
      <c r="AN34" s="20" t="str">
        <f t="shared" ca="1" si="6"/>
        <v>Stg.4 Shroud Aft#4</v>
      </c>
      <c r="AO34" s="20" t="str">
        <f t="shared" ca="1" si="6"/>
        <v>Stg.4 Shroud Aft#3</v>
      </c>
      <c r="AP34" s="20" t="str">
        <f t="shared" ca="1" si="6"/>
        <v>Stg.4 Shroud Aft#2</v>
      </c>
      <c r="AQ34" s="20" t="s">
        <v>223</v>
      </c>
      <c r="AR34" s="20" t="s">
        <v>224</v>
      </c>
    </row>
    <row r="35" spans="1:44">
      <c r="A35" s="121" t="s">
        <v>965</v>
      </c>
      <c r="B35" s="90" t="s">
        <v>417</v>
      </c>
      <c r="C35" s="90">
        <v>-6.7750000000000004</v>
      </c>
      <c r="D35" s="90"/>
      <c r="E35" s="90"/>
      <c r="F35" s="90"/>
      <c r="G35" s="90"/>
      <c r="J35" s="9" t="s">
        <v>91</v>
      </c>
      <c r="K35" s="9" t="s">
        <v>11</v>
      </c>
      <c r="L35" s="9" t="s">
        <v>143</v>
      </c>
      <c r="M35" s="9" t="s">
        <v>13</v>
      </c>
      <c r="N35" s="9" t="s">
        <v>46</v>
      </c>
      <c r="O35" s="9" t="s">
        <v>11</v>
      </c>
      <c r="P35" s="9" t="s">
        <v>13</v>
      </c>
      <c r="Q35" s="9" t="s">
        <v>13</v>
      </c>
      <c r="R35" s="5"/>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2" t="s">
        <v>13</v>
      </c>
      <c r="AR35" s="22" t="s">
        <v>13</v>
      </c>
    </row>
    <row r="36" spans="1:44">
      <c r="A36" s="90" t="s">
        <v>412</v>
      </c>
      <c r="B36" s="90" t="s">
        <v>413</v>
      </c>
      <c r="C36" s="90">
        <v>419.50400000000002</v>
      </c>
      <c r="D36" s="90"/>
      <c r="E36" s="90"/>
      <c r="F36" s="90"/>
      <c r="G36" s="90"/>
      <c r="J36" s="5">
        <v>1</v>
      </c>
      <c r="K36" s="23">
        <f>IF(Q33&lt;0, 360+$Q$33, $Q$33)</f>
        <v>353.64</v>
      </c>
      <c r="L36" s="24">
        <f>MATCH($K36, $I$11:$I$27, 1)</f>
        <v>16</v>
      </c>
      <c r="M36" s="5">
        <f>VLOOKUP(L36, $H$11:$K$27, 4, FALSE)</f>
        <v>419.42800034451676</v>
      </c>
      <c r="N36" s="25">
        <f>(VLOOKUP(L36+1, $H$11:$K$27, 4, FALSE) - VLOOKUP(L36, $H$11:$K$27, 4, FALSE))/(VLOOKUP(L36+1, $H$11:$K$27, 2, FALSE) - VLOOKUP(L36, $H$11:$K$27, 2, FALSE))</f>
        <v>3.02220696333835E-3</v>
      </c>
      <c r="O36" s="26">
        <f>K36-VLOOKUP(L36, $H$11:$I$27, 2, FALSE)</f>
        <v>16.139999999999986</v>
      </c>
      <c r="P36" s="27">
        <f>M36+N36*O36</f>
        <v>419.47677876490502</v>
      </c>
      <c r="Q36" s="27">
        <f>(P36+P59)/2</f>
        <v>419.45411221268</v>
      </c>
      <c r="R36" s="5"/>
      <c r="S36" s="28">
        <f>Q36</f>
        <v>419.45411221268</v>
      </c>
      <c r="T36" s="29"/>
      <c r="U36" s="29"/>
      <c r="V36" s="29"/>
      <c r="W36" s="29"/>
      <c r="X36" s="29"/>
      <c r="Y36" s="29"/>
      <c r="Z36" s="29"/>
      <c r="AA36" s="29"/>
      <c r="AB36" s="29"/>
      <c r="AC36" s="29"/>
      <c r="AD36" s="29"/>
      <c r="AE36" s="29"/>
      <c r="AF36" s="29"/>
      <c r="AG36" s="29"/>
      <c r="AH36" s="29"/>
      <c r="AI36" s="29"/>
      <c r="AJ36" s="28"/>
      <c r="AK36" s="28"/>
      <c r="AL36" s="28"/>
      <c r="AM36" s="28"/>
      <c r="AN36" s="28"/>
      <c r="AO36" s="28"/>
      <c r="AP36" s="28">
        <f>AP59</f>
        <v>419.43679083090132</v>
      </c>
      <c r="AQ36" s="29">
        <f>M$7/2</f>
        <v>419.46800000000002</v>
      </c>
      <c r="AR36" s="29">
        <f>M$6/2</f>
        <v>419.53199999999998</v>
      </c>
    </row>
    <row r="37" spans="1:44">
      <c r="A37" s="90" t="s">
        <v>966</v>
      </c>
      <c r="B37" s="90" t="s">
        <v>415</v>
      </c>
      <c r="C37" s="90">
        <v>1E-3</v>
      </c>
      <c r="D37" s="90"/>
      <c r="E37" s="90"/>
      <c r="F37" s="90"/>
      <c r="G37" s="90"/>
      <c r="J37" s="5">
        <v>24</v>
      </c>
      <c r="K37" s="23">
        <f>IF(K36+$N$33&gt;360, K36+$N$33-360, K36+$N$33)</f>
        <v>8.6399999999999864</v>
      </c>
      <c r="L37" s="24">
        <f t="shared" ref="L37:L59" si="7">MATCH($K37, $I$11:$I$27, 1)</f>
        <v>1</v>
      </c>
      <c r="M37" s="5">
        <f t="shared" ref="M37:M58" si="8">VLOOKUP(L37, $H$11:$K$27, 4, FALSE)</f>
        <v>419.49600000119187</v>
      </c>
      <c r="N37" s="25">
        <f t="shared" ref="N37:N59" si="9">(VLOOKUP(L37+1, $H$11:$K$27, 4, FALSE) - VLOOKUP(L37, $H$11:$K$27, 4, FALSE))/(VLOOKUP(L37+1, $H$11:$K$27, 2, FALSE) - VLOOKUP(L37, $H$11:$K$27, 2, FALSE))</f>
        <v>1.688897787648279E-3</v>
      </c>
      <c r="O37" s="26">
        <f t="shared" ref="O37:O59" si="10">K37-VLOOKUP(L37, $H$11:$I$27, 2, FALSE)</f>
        <v>8.6399999999999864</v>
      </c>
      <c r="P37" s="27">
        <f t="shared" ref="P37:P59" si="11">M37+N37*O37</f>
        <v>419.51059207807714</v>
      </c>
      <c r="Q37" s="27">
        <f>(P36+P37)/2</f>
        <v>419.49368542149108</v>
      </c>
      <c r="R37" s="5"/>
      <c r="S37" s="30">
        <f>S36</f>
        <v>419.45411221268</v>
      </c>
      <c r="T37" s="30">
        <f>Q37</f>
        <v>419.49368542149108</v>
      </c>
      <c r="U37" s="21"/>
      <c r="V37" s="21"/>
      <c r="W37" s="21"/>
      <c r="X37" s="21"/>
      <c r="Y37" s="21"/>
      <c r="Z37" s="21"/>
      <c r="AA37" s="21"/>
      <c r="AB37" s="21"/>
      <c r="AC37" s="21"/>
      <c r="AD37" s="21"/>
      <c r="AE37" s="21"/>
      <c r="AF37" s="21"/>
      <c r="AG37" s="21"/>
      <c r="AH37" s="21"/>
      <c r="AI37" s="21"/>
      <c r="AJ37" s="21"/>
      <c r="AK37" s="21"/>
      <c r="AL37" s="21"/>
      <c r="AM37" s="21"/>
      <c r="AN37" s="21"/>
      <c r="AO37" s="21"/>
      <c r="AP37" s="21"/>
      <c r="AQ37" s="21">
        <f t="shared" ref="AQ37:AQ59" si="12">M$7/2</f>
        <v>419.46800000000002</v>
      </c>
      <c r="AR37" s="21">
        <f t="shared" ref="AR37:AR59" si="13">M$6/2</f>
        <v>419.53199999999998</v>
      </c>
    </row>
    <row r="38" spans="1:44">
      <c r="A38" s="121" t="s">
        <v>967</v>
      </c>
      <c r="B38" s="90" t="s">
        <v>417</v>
      </c>
      <c r="C38" s="90">
        <v>-6.774</v>
      </c>
      <c r="D38" s="90"/>
      <c r="E38" s="90"/>
      <c r="F38" s="90"/>
      <c r="G38" s="90"/>
      <c r="J38" s="5">
        <v>23</v>
      </c>
      <c r="K38" s="23">
        <f t="shared" ref="K38:K59" si="14">IF(K37+$N$33&gt;360, K37+$N$33-360, K37+$N$33)</f>
        <v>23.639999999999986</v>
      </c>
      <c r="L38" s="24">
        <f t="shared" si="7"/>
        <v>2</v>
      </c>
      <c r="M38" s="5">
        <f t="shared" si="8"/>
        <v>419.53400020141396</v>
      </c>
      <c r="N38" s="25">
        <f t="shared" si="9"/>
        <v>1.7776882604670795E-4</v>
      </c>
      <c r="O38" s="26">
        <f t="shared" si="10"/>
        <v>1.1399999999999864</v>
      </c>
      <c r="P38" s="27">
        <f t="shared" si="11"/>
        <v>419.53420285787564</v>
      </c>
      <c r="Q38" s="27">
        <f t="shared" ref="Q38:Q58" si="15">(P37+P38)/2</f>
        <v>419.52239746797636</v>
      </c>
      <c r="R38" s="5"/>
      <c r="S38" s="21"/>
      <c r="T38" s="30">
        <f>T37</f>
        <v>419.49368542149108</v>
      </c>
      <c r="U38" s="30">
        <f>Q38</f>
        <v>419.52239746797636</v>
      </c>
      <c r="V38" s="21"/>
      <c r="W38" s="21"/>
      <c r="X38" s="21"/>
      <c r="Y38" s="21"/>
      <c r="Z38" s="21"/>
      <c r="AA38" s="21"/>
      <c r="AB38" s="21"/>
      <c r="AC38" s="21"/>
      <c r="AD38" s="21"/>
      <c r="AE38" s="21"/>
      <c r="AF38" s="21"/>
      <c r="AG38" s="21"/>
      <c r="AH38" s="21"/>
      <c r="AI38" s="21"/>
      <c r="AJ38" s="21"/>
      <c r="AK38" s="21"/>
      <c r="AL38" s="21"/>
      <c r="AM38" s="21"/>
      <c r="AN38" s="21"/>
      <c r="AO38" s="21"/>
      <c r="AP38" s="21"/>
      <c r="AQ38" s="21">
        <f t="shared" si="12"/>
        <v>419.46800000000002</v>
      </c>
      <c r="AR38" s="21">
        <f t="shared" si="13"/>
        <v>419.53199999999998</v>
      </c>
    </row>
    <row r="39" spans="1:44">
      <c r="A39" s="90" t="s">
        <v>412</v>
      </c>
      <c r="B39" s="90" t="s">
        <v>413</v>
      </c>
      <c r="C39" s="90">
        <v>419.50900000000001</v>
      </c>
      <c r="D39" s="90"/>
      <c r="E39" s="90"/>
      <c r="F39" s="90"/>
      <c r="G39" s="90"/>
      <c r="J39" s="5">
        <v>22</v>
      </c>
      <c r="K39" s="23">
        <f t="shared" si="14"/>
        <v>38.639999999999986</v>
      </c>
      <c r="L39" s="24">
        <f t="shared" si="7"/>
        <v>2</v>
      </c>
      <c r="M39" s="5">
        <f t="shared" si="8"/>
        <v>419.53400020141396</v>
      </c>
      <c r="N39" s="25">
        <f t="shared" si="9"/>
        <v>1.7776882604670795E-4</v>
      </c>
      <c r="O39" s="26">
        <f t="shared" si="10"/>
        <v>16.139999999999986</v>
      </c>
      <c r="P39" s="27">
        <f t="shared" si="11"/>
        <v>419.53686939026636</v>
      </c>
      <c r="Q39" s="27">
        <f t="shared" si="15"/>
        <v>419.53553612407097</v>
      </c>
      <c r="R39" s="5"/>
      <c r="S39" s="21"/>
      <c r="T39" s="21"/>
      <c r="U39" s="30">
        <f>U38</f>
        <v>419.52239746797636</v>
      </c>
      <c r="V39" s="30">
        <f>Q39</f>
        <v>419.53553612407097</v>
      </c>
      <c r="W39" s="21"/>
      <c r="X39" s="21"/>
      <c r="Y39" s="21"/>
      <c r="Z39" s="21"/>
      <c r="AA39" s="21"/>
      <c r="AB39" s="21"/>
      <c r="AC39" s="21"/>
      <c r="AD39" s="21"/>
      <c r="AE39" s="21"/>
      <c r="AF39" s="21"/>
      <c r="AG39" s="21"/>
      <c r="AH39" s="21"/>
      <c r="AI39" s="21"/>
      <c r="AJ39" s="21"/>
      <c r="AK39" s="21"/>
      <c r="AL39" s="21"/>
      <c r="AM39" s="21"/>
      <c r="AN39" s="21"/>
      <c r="AO39" s="21"/>
      <c r="AP39" s="21"/>
      <c r="AQ39" s="21">
        <f t="shared" si="12"/>
        <v>419.46800000000002</v>
      </c>
      <c r="AR39" s="21">
        <f t="shared" si="13"/>
        <v>419.53199999999998</v>
      </c>
    </row>
    <row r="40" spans="1:44">
      <c r="A40" s="90" t="s">
        <v>968</v>
      </c>
      <c r="B40" s="90" t="s">
        <v>415</v>
      </c>
      <c r="C40" s="90">
        <v>-8.9999999999999993E-3</v>
      </c>
      <c r="D40" s="90"/>
      <c r="E40" s="90"/>
      <c r="F40" s="90"/>
      <c r="G40" s="90"/>
      <c r="J40" s="5">
        <v>21</v>
      </c>
      <c r="K40" s="23">
        <f t="shared" si="14"/>
        <v>53.639999999999986</v>
      </c>
      <c r="L40" s="24">
        <f t="shared" si="7"/>
        <v>3</v>
      </c>
      <c r="M40" s="5">
        <f t="shared" si="8"/>
        <v>419.53800000000001</v>
      </c>
      <c r="N40" s="25">
        <f t="shared" si="9"/>
        <v>-2.4888835913492988E-3</v>
      </c>
      <c r="O40" s="26">
        <f t="shared" si="10"/>
        <v>8.6399999999999864</v>
      </c>
      <c r="P40" s="27">
        <f t="shared" si="11"/>
        <v>419.51649604577074</v>
      </c>
      <c r="Q40" s="27">
        <f t="shared" si="15"/>
        <v>419.52668271801855</v>
      </c>
      <c r="R40" s="5"/>
      <c r="S40" s="21"/>
      <c r="T40" s="21"/>
      <c r="U40" s="21"/>
      <c r="V40" s="30">
        <f>V39</f>
        <v>419.53553612407097</v>
      </c>
      <c r="W40" s="30">
        <f>Q40</f>
        <v>419.52668271801855</v>
      </c>
      <c r="X40" s="21"/>
      <c r="Y40" s="21"/>
      <c r="Z40" s="21"/>
      <c r="AA40" s="21"/>
      <c r="AB40" s="21"/>
      <c r="AC40" s="21"/>
      <c r="AD40" s="21"/>
      <c r="AE40" s="21"/>
      <c r="AF40" s="21"/>
      <c r="AG40" s="21"/>
      <c r="AH40" s="21"/>
      <c r="AI40" s="21"/>
      <c r="AJ40" s="21"/>
      <c r="AK40" s="21"/>
      <c r="AL40" s="21"/>
      <c r="AM40" s="21"/>
      <c r="AN40" s="21"/>
      <c r="AO40" s="21"/>
      <c r="AP40" s="21"/>
      <c r="AQ40" s="21">
        <f t="shared" si="12"/>
        <v>419.46800000000002</v>
      </c>
      <c r="AR40" s="21">
        <f t="shared" si="13"/>
        <v>419.53199999999998</v>
      </c>
    </row>
    <row r="41" spans="1:44">
      <c r="A41" s="121" t="s">
        <v>969</v>
      </c>
      <c r="B41" s="90" t="s">
        <v>417</v>
      </c>
      <c r="C41" s="90">
        <v>-6.7750000000000004</v>
      </c>
      <c r="D41" s="90"/>
      <c r="E41" s="90"/>
      <c r="F41" s="90"/>
      <c r="G41" s="90"/>
      <c r="J41" s="5">
        <v>20</v>
      </c>
      <c r="K41" s="23">
        <f t="shared" si="14"/>
        <v>68.639999999999986</v>
      </c>
      <c r="L41" s="24">
        <f t="shared" si="7"/>
        <v>4</v>
      </c>
      <c r="M41" s="5">
        <f t="shared" si="8"/>
        <v>419.48200011919465</v>
      </c>
      <c r="N41" s="25">
        <f t="shared" si="9"/>
        <v>5.3332803579451136E-4</v>
      </c>
      <c r="O41" s="26">
        <f t="shared" si="10"/>
        <v>1.1399999999999864</v>
      </c>
      <c r="P41" s="27">
        <f t="shared" si="11"/>
        <v>419.48260811315544</v>
      </c>
      <c r="Q41" s="27">
        <f t="shared" si="15"/>
        <v>419.49955207946311</v>
      </c>
      <c r="R41" s="5"/>
      <c r="S41" s="21"/>
      <c r="T41" s="21"/>
      <c r="U41" s="21"/>
      <c r="V41" s="21"/>
      <c r="W41" s="30">
        <f>W40</f>
        <v>419.52668271801855</v>
      </c>
      <c r="X41" s="30">
        <f>Q41</f>
        <v>419.49955207946311</v>
      </c>
      <c r="Y41" s="21"/>
      <c r="Z41" s="21"/>
      <c r="AA41" s="21"/>
      <c r="AB41" s="21"/>
      <c r="AC41" s="21"/>
      <c r="AD41" s="21"/>
      <c r="AE41" s="21"/>
      <c r="AF41" s="21"/>
      <c r="AG41" s="21"/>
      <c r="AH41" s="21"/>
      <c r="AI41" s="21"/>
      <c r="AJ41" s="21"/>
      <c r="AK41" s="21"/>
      <c r="AL41" s="21"/>
      <c r="AM41" s="21"/>
      <c r="AN41" s="21"/>
      <c r="AO41" s="21"/>
      <c r="AP41" s="21"/>
      <c r="AQ41" s="21">
        <f t="shared" si="12"/>
        <v>419.46800000000002</v>
      </c>
      <c r="AR41" s="21">
        <f t="shared" si="13"/>
        <v>419.53199999999998</v>
      </c>
    </row>
    <row r="42" spans="1:44">
      <c r="A42" s="90" t="s">
        <v>412</v>
      </c>
      <c r="B42" s="90" t="s">
        <v>413</v>
      </c>
      <c r="C42" s="90">
        <v>419.49400000000003</v>
      </c>
      <c r="D42" s="90"/>
      <c r="E42" s="90"/>
      <c r="F42" s="90"/>
      <c r="G42" s="90"/>
      <c r="J42" s="5">
        <v>19</v>
      </c>
      <c r="K42" s="23">
        <f t="shared" si="14"/>
        <v>83.639999999999986</v>
      </c>
      <c r="L42" s="24">
        <f t="shared" si="7"/>
        <v>4</v>
      </c>
      <c r="M42" s="5">
        <f t="shared" si="8"/>
        <v>419.48200011919465</v>
      </c>
      <c r="N42" s="25">
        <f t="shared" si="9"/>
        <v>5.3332803579451136E-4</v>
      </c>
      <c r="O42" s="26">
        <f t="shared" si="10"/>
        <v>16.139999999999986</v>
      </c>
      <c r="P42" s="27">
        <f t="shared" si="11"/>
        <v>419.49060803369235</v>
      </c>
      <c r="Q42" s="27">
        <f t="shared" si="15"/>
        <v>419.48660807342389</v>
      </c>
      <c r="R42" s="5"/>
      <c r="S42" s="21"/>
      <c r="T42" s="21"/>
      <c r="U42" s="21"/>
      <c r="V42" s="21"/>
      <c r="W42" s="21"/>
      <c r="X42" s="30">
        <f>X41</f>
        <v>419.49955207946311</v>
      </c>
      <c r="Y42" s="30">
        <f>Q42</f>
        <v>419.48660807342389</v>
      </c>
      <c r="Z42" s="21"/>
      <c r="AA42" s="21"/>
      <c r="AB42" s="21"/>
      <c r="AC42" s="21"/>
      <c r="AD42" s="21"/>
      <c r="AE42" s="21"/>
      <c r="AF42" s="21"/>
      <c r="AG42" s="21"/>
      <c r="AH42" s="21"/>
      <c r="AI42" s="21"/>
      <c r="AJ42" s="21"/>
      <c r="AK42" s="21"/>
      <c r="AL42" s="21"/>
      <c r="AM42" s="21"/>
      <c r="AN42" s="21"/>
      <c r="AO42" s="21"/>
      <c r="AP42" s="21"/>
      <c r="AQ42" s="21">
        <f t="shared" si="12"/>
        <v>419.46800000000002</v>
      </c>
      <c r="AR42" s="21">
        <f t="shared" si="13"/>
        <v>419.53199999999998</v>
      </c>
    </row>
    <row r="43" spans="1:44">
      <c r="A43" s="90" t="s">
        <v>970</v>
      </c>
      <c r="B43" s="90" t="s">
        <v>415</v>
      </c>
      <c r="C43" s="90">
        <v>0</v>
      </c>
      <c r="D43" s="90"/>
      <c r="E43" s="90"/>
      <c r="F43" s="90"/>
      <c r="G43" s="90"/>
      <c r="J43" s="5">
        <v>18</v>
      </c>
      <c r="K43" s="23">
        <f t="shared" si="14"/>
        <v>98.639999999999986</v>
      </c>
      <c r="L43" s="24">
        <f t="shared" si="7"/>
        <v>5</v>
      </c>
      <c r="M43" s="5">
        <f t="shared" si="8"/>
        <v>419.49400000000003</v>
      </c>
      <c r="N43" s="25">
        <f t="shared" si="9"/>
        <v>6.6667095739679396E-4</v>
      </c>
      <c r="O43" s="26">
        <f t="shared" si="10"/>
        <v>8.6399999999999864</v>
      </c>
      <c r="P43" s="27">
        <f t="shared" si="11"/>
        <v>419.49976003707195</v>
      </c>
      <c r="Q43" s="27">
        <f t="shared" si="15"/>
        <v>419.49518403538218</v>
      </c>
      <c r="R43" s="5"/>
      <c r="S43" s="21"/>
      <c r="T43" s="21"/>
      <c r="U43" s="21"/>
      <c r="V43" s="21"/>
      <c r="W43" s="21"/>
      <c r="X43" s="21"/>
      <c r="Y43" s="30">
        <f>Y42</f>
        <v>419.48660807342389</v>
      </c>
      <c r="Z43" s="30">
        <f>Q43</f>
        <v>419.49518403538218</v>
      </c>
      <c r="AA43" s="21"/>
      <c r="AB43" s="21"/>
      <c r="AC43" s="21"/>
      <c r="AD43" s="21"/>
      <c r="AE43" s="21"/>
      <c r="AF43" s="21"/>
      <c r="AG43" s="21"/>
      <c r="AH43" s="21"/>
      <c r="AI43" s="21"/>
      <c r="AJ43" s="21"/>
      <c r="AK43" s="21"/>
      <c r="AL43" s="21"/>
      <c r="AM43" s="21"/>
      <c r="AN43" s="21"/>
      <c r="AO43" s="21"/>
      <c r="AP43" s="21"/>
      <c r="AQ43" s="21">
        <f t="shared" si="12"/>
        <v>419.46800000000002</v>
      </c>
      <c r="AR43" s="21">
        <f t="shared" si="13"/>
        <v>419.53199999999998</v>
      </c>
    </row>
    <row r="44" spans="1:44">
      <c r="A44" s="121" t="s">
        <v>971</v>
      </c>
      <c r="B44" s="90" t="s">
        <v>417</v>
      </c>
      <c r="C44" s="90">
        <v>-6.774</v>
      </c>
      <c r="D44" s="90"/>
      <c r="E44" s="90"/>
      <c r="F44" s="90"/>
      <c r="G44" s="90"/>
      <c r="J44" s="5">
        <v>17</v>
      </c>
      <c r="K44" s="23">
        <f t="shared" si="14"/>
        <v>113.63999999999999</v>
      </c>
      <c r="L44" s="24">
        <f t="shared" si="7"/>
        <v>6</v>
      </c>
      <c r="M44" s="5">
        <f t="shared" si="8"/>
        <v>419.50900009654146</v>
      </c>
      <c r="N44" s="25">
        <f t="shared" si="9"/>
        <v>-2.2222645997974015E-4</v>
      </c>
      <c r="O44" s="26">
        <f t="shared" si="10"/>
        <v>1.1399999999999864</v>
      </c>
      <c r="P44" s="27">
        <f t="shared" si="11"/>
        <v>419.50874675837707</v>
      </c>
      <c r="Q44" s="27">
        <f t="shared" si="15"/>
        <v>419.50425339772448</v>
      </c>
      <c r="R44" s="5"/>
      <c r="S44" s="21"/>
      <c r="T44" s="21"/>
      <c r="U44" s="21"/>
      <c r="V44" s="21"/>
      <c r="W44" s="21"/>
      <c r="X44" s="21"/>
      <c r="Y44" s="21"/>
      <c r="Z44" s="30">
        <f>Z43</f>
        <v>419.49518403538218</v>
      </c>
      <c r="AA44" s="30">
        <f>Q44</f>
        <v>419.50425339772448</v>
      </c>
      <c r="AB44" s="21"/>
      <c r="AC44" s="21"/>
      <c r="AD44" s="21"/>
      <c r="AE44" s="21"/>
      <c r="AF44" s="21"/>
      <c r="AG44" s="21"/>
      <c r="AH44" s="21"/>
      <c r="AI44" s="21"/>
      <c r="AJ44" s="21"/>
      <c r="AK44" s="21"/>
      <c r="AL44" s="21"/>
      <c r="AM44" s="21"/>
      <c r="AN44" s="21"/>
      <c r="AO44" s="21"/>
      <c r="AP44" s="21"/>
      <c r="AQ44" s="21">
        <f t="shared" si="12"/>
        <v>419.46800000000002</v>
      </c>
      <c r="AR44" s="21">
        <f t="shared" si="13"/>
        <v>419.53199999999998</v>
      </c>
    </row>
    <row r="45" spans="1:44">
      <c r="A45" s="90" t="s">
        <v>412</v>
      </c>
      <c r="B45" s="90" t="s">
        <v>413</v>
      </c>
      <c r="C45" s="90">
        <v>419.48200000000003</v>
      </c>
      <c r="D45" s="90"/>
      <c r="E45" s="90"/>
      <c r="F45" s="90"/>
      <c r="G45" s="90"/>
      <c r="J45" s="5">
        <v>16</v>
      </c>
      <c r="K45" s="23">
        <f t="shared" si="14"/>
        <v>128.63999999999999</v>
      </c>
      <c r="L45" s="24">
        <f t="shared" si="7"/>
        <v>6</v>
      </c>
      <c r="M45" s="5">
        <f t="shared" si="8"/>
        <v>419.50900009654146</v>
      </c>
      <c r="N45" s="25">
        <f t="shared" si="9"/>
        <v>-2.2222645997974015E-4</v>
      </c>
      <c r="O45" s="26">
        <f t="shared" si="10"/>
        <v>16.139999999999986</v>
      </c>
      <c r="P45" s="27">
        <f t="shared" si="11"/>
        <v>419.50541336147739</v>
      </c>
      <c r="Q45" s="27">
        <f t="shared" si="15"/>
        <v>419.50708005992726</v>
      </c>
      <c r="R45" s="5"/>
      <c r="S45" s="21"/>
      <c r="T45" s="21"/>
      <c r="U45" s="21"/>
      <c r="V45" s="21"/>
      <c r="W45" s="21"/>
      <c r="X45" s="21"/>
      <c r="Y45" s="21"/>
      <c r="Z45" s="21"/>
      <c r="AA45" s="30">
        <f>AA44</f>
        <v>419.50425339772448</v>
      </c>
      <c r="AB45" s="30">
        <f>Q45</f>
        <v>419.50708005992726</v>
      </c>
      <c r="AC45" s="21"/>
      <c r="AD45" s="21"/>
      <c r="AE45" s="21"/>
      <c r="AF45" s="21"/>
      <c r="AG45" s="21"/>
      <c r="AH45" s="21"/>
      <c r="AI45" s="21"/>
      <c r="AJ45" s="21"/>
      <c r="AK45" s="21"/>
      <c r="AL45" s="21"/>
      <c r="AM45" s="21"/>
      <c r="AN45" s="21"/>
      <c r="AO45" s="21"/>
      <c r="AP45" s="21"/>
      <c r="AQ45" s="21">
        <f t="shared" si="12"/>
        <v>419.46800000000002</v>
      </c>
      <c r="AR45" s="21">
        <f t="shared" si="13"/>
        <v>419.53199999999998</v>
      </c>
    </row>
    <row r="46" spans="1:44">
      <c r="A46" s="90" t="s">
        <v>972</v>
      </c>
      <c r="B46" s="90" t="s">
        <v>415</v>
      </c>
      <c r="C46" s="90">
        <v>0.01</v>
      </c>
      <c r="D46" s="90"/>
      <c r="E46" s="90"/>
      <c r="F46" s="90"/>
      <c r="G46" s="90"/>
      <c r="J46" s="5">
        <v>15</v>
      </c>
      <c r="K46" s="23">
        <f t="shared" si="14"/>
        <v>143.63999999999999</v>
      </c>
      <c r="L46" s="24">
        <f t="shared" si="7"/>
        <v>7</v>
      </c>
      <c r="M46" s="5">
        <f t="shared" si="8"/>
        <v>419.50400000119191</v>
      </c>
      <c r="N46" s="25">
        <f t="shared" si="9"/>
        <v>4.4444629844141067E-4</v>
      </c>
      <c r="O46" s="26">
        <f t="shared" si="10"/>
        <v>8.6399999999999864</v>
      </c>
      <c r="P46" s="27">
        <f t="shared" si="11"/>
        <v>419.50784001721047</v>
      </c>
      <c r="Q46" s="27">
        <f t="shared" si="15"/>
        <v>419.50662668934393</v>
      </c>
      <c r="R46" s="5"/>
      <c r="S46" s="21"/>
      <c r="T46" s="21"/>
      <c r="U46" s="21"/>
      <c r="V46" s="21"/>
      <c r="W46" s="21"/>
      <c r="X46" s="21"/>
      <c r="Y46" s="21"/>
      <c r="Z46" s="21"/>
      <c r="AA46" s="21"/>
      <c r="AB46" s="30">
        <f>AB45</f>
        <v>419.50708005992726</v>
      </c>
      <c r="AC46" s="30">
        <f>Q46</f>
        <v>419.50662668934393</v>
      </c>
      <c r="AD46" s="21"/>
      <c r="AE46" s="21"/>
      <c r="AF46" s="21"/>
      <c r="AG46" s="21"/>
      <c r="AH46" s="21"/>
      <c r="AI46" s="21"/>
      <c r="AJ46" s="21"/>
      <c r="AK46" s="21"/>
      <c r="AL46" s="21"/>
      <c r="AM46" s="21"/>
      <c r="AN46" s="21"/>
      <c r="AO46" s="21"/>
      <c r="AP46" s="21"/>
      <c r="AQ46" s="21">
        <f t="shared" si="12"/>
        <v>419.46800000000002</v>
      </c>
      <c r="AR46" s="21">
        <f t="shared" si="13"/>
        <v>419.53199999999998</v>
      </c>
    </row>
    <row r="47" spans="1:44">
      <c r="A47" s="121" t="s">
        <v>973</v>
      </c>
      <c r="B47" s="90" t="s">
        <v>417</v>
      </c>
      <c r="C47" s="90">
        <v>-6.7750000000000004</v>
      </c>
      <c r="D47" s="90"/>
      <c r="E47" s="90"/>
      <c r="F47" s="90"/>
      <c r="G47" s="90"/>
      <c r="J47" s="5">
        <v>14</v>
      </c>
      <c r="K47" s="23">
        <f t="shared" si="14"/>
        <v>158.63999999999999</v>
      </c>
      <c r="L47" s="24">
        <f t="shared" si="7"/>
        <v>8</v>
      </c>
      <c r="M47" s="5">
        <f t="shared" si="8"/>
        <v>419.51400004290684</v>
      </c>
      <c r="N47" s="25">
        <f t="shared" si="9"/>
        <v>-2.1333352403037982E-3</v>
      </c>
      <c r="O47" s="26">
        <f t="shared" si="10"/>
        <v>1.1399999999999864</v>
      </c>
      <c r="P47" s="27">
        <f t="shared" si="11"/>
        <v>419.51156804073293</v>
      </c>
      <c r="Q47" s="27">
        <f t="shared" si="15"/>
        <v>419.50970402897167</v>
      </c>
      <c r="R47" s="5"/>
      <c r="S47" s="21"/>
      <c r="T47" s="21"/>
      <c r="U47" s="21"/>
      <c r="V47" s="21"/>
      <c r="W47" s="21"/>
      <c r="X47" s="21"/>
      <c r="Y47" s="21"/>
      <c r="Z47" s="21"/>
      <c r="AA47" s="21"/>
      <c r="AB47" s="21"/>
      <c r="AC47" s="30">
        <f>AC46</f>
        <v>419.50662668934393</v>
      </c>
      <c r="AD47" s="30">
        <f>Q47</f>
        <v>419.50970402897167</v>
      </c>
      <c r="AE47" s="21"/>
      <c r="AF47" s="21"/>
      <c r="AG47" s="21"/>
      <c r="AH47" s="21"/>
      <c r="AI47" s="21"/>
      <c r="AJ47" s="21"/>
      <c r="AK47" s="21"/>
      <c r="AL47" s="21"/>
      <c r="AM47" s="21"/>
      <c r="AN47" s="21"/>
      <c r="AO47" s="21"/>
      <c r="AP47" s="21"/>
      <c r="AQ47" s="21">
        <f t="shared" si="12"/>
        <v>419.46800000000002</v>
      </c>
      <c r="AR47" s="21">
        <f t="shared" si="13"/>
        <v>419.53199999999998</v>
      </c>
    </row>
    <row r="48" spans="1:44">
      <c r="A48" s="90" t="s">
        <v>412</v>
      </c>
      <c r="B48" s="90" t="s">
        <v>413</v>
      </c>
      <c r="C48" s="90">
        <v>419.53800000000001</v>
      </c>
      <c r="D48" s="90"/>
      <c r="E48" s="90"/>
      <c r="F48" s="90"/>
      <c r="G48" s="90"/>
      <c r="J48" s="5">
        <v>13</v>
      </c>
      <c r="K48" s="23">
        <f t="shared" si="14"/>
        <v>173.64</v>
      </c>
      <c r="L48" s="24">
        <f t="shared" si="7"/>
        <v>8</v>
      </c>
      <c r="M48" s="5">
        <f t="shared" si="8"/>
        <v>419.51400004290684</v>
      </c>
      <c r="N48" s="25">
        <f t="shared" si="9"/>
        <v>-2.1333352403037982E-3</v>
      </c>
      <c r="O48" s="26">
        <f t="shared" si="10"/>
        <v>16.139999999999986</v>
      </c>
      <c r="P48" s="27">
        <f t="shared" si="11"/>
        <v>419.47956801212837</v>
      </c>
      <c r="Q48" s="27">
        <f t="shared" si="15"/>
        <v>419.49556802643065</v>
      </c>
      <c r="R48" s="5"/>
      <c r="S48" s="21"/>
      <c r="T48" s="21"/>
      <c r="U48" s="21"/>
      <c r="V48" s="21"/>
      <c r="W48" s="21"/>
      <c r="X48" s="21"/>
      <c r="Y48" s="21"/>
      <c r="Z48" s="21"/>
      <c r="AA48" s="21"/>
      <c r="AB48" s="21"/>
      <c r="AC48" s="21"/>
      <c r="AD48" s="30">
        <f>AD47</f>
        <v>419.50970402897167</v>
      </c>
      <c r="AE48" s="30">
        <f>Q48</f>
        <v>419.49556802643065</v>
      </c>
      <c r="AF48" s="21"/>
      <c r="AG48" s="21"/>
      <c r="AH48" s="21"/>
      <c r="AI48" s="21"/>
      <c r="AJ48" s="21"/>
      <c r="AK48" s="21"/>
      <c r="AL48" s="21"/>
      <c r="AM48" s="21"/>
      <c r="AN48" s="21"/>
      <c r="AO48" s="21"/>
      <c r="AP48" s="21"/>
      <c r="AQ48" s="21">
        <f t="shared" si="12"/>
        <v>419.46800000000002</v>
      </c>
      <c r="AR48" s="21">
        <f t="shared" si="13"/>
        <v>419.53199999999998</v>
      </c>
    </row>
    <row r="49" spans="1:44">
      <c r="A49" s="90" t="s">
        <v>974</v>
      </c>
      <c r="B49" s="90" t="s">
        <v>415</v>
      </c>
      <c r="C49" s="90">
        <v>0</v>
      </c>
      <c r="D49" s="90"/>
      <c r="E49" s="90"/>
      <c r="F49" s="90"/>
      <c r="G49" s="90"/>
      <c r="J49" s="5">
        <v>12</v>
      </c>
      <c r="K49" s="23">
        <f t="shared" si="14"/>
        <v>188.64</v>
      </c>
      <c r="L49" s="24">
        <f t="shared" si="7"/>
        <v>9</v>
      </c>
      <c r="M49" s="5">
        <f t="shared" si="8"/>
        <v>419.46600000000001</v>
      </c>
      <c r="N49" s="25">
        <f t="shared" si="9"/>
        <v>-1.911109203729211E-3</v>
      </c>
      <c r="O49" s="26">
        <f t="shared" si="10"/>
        <v>8.6399999999999864</v>
      </c>
      <c r="P49" s="27">
        <f t="shared" si="11"/>
        <v>419.44948801647979</v>
      </c>
      <c r="Q49" s="27">
        <f t="shared" si="15"/>
        <v>419.46452801430405</v>
      </c>
      <c r="R49" s="5"/>
      <c r="S49" s="21"/>
      <c r="T49" s="21"/>
      <c r="U49" s="21"/>
      <c r="V49" s="21"/>
      <c r="W49" s="21"/>
      <c r="X49" s="21"/>
      <c r="Y49" s="21"/>
      <c r="Z49" s="21"/>
      <c r="AA49" s="21"/>
      <c r="AB49" s="21"/>
      <c r="AC49" s="21"/>
      <c r="AD49" s="21"/>
      <c r="AE49" s="30">
        <f>AE48</f>
        <v>419.49556802643065</v>
      </c>
      <c r="AF49" s="30">
        <f>Q49</f>
        <v>419.46452801430405</v>
      </c>
      <c r="AG49" s="21"/>
      <c r="AH49" s="21"/>
      <c r="AI49" s="21"/>
      <c r="AJ49" s="21"/>
      <c r="AK49" s="21"/>
      <c r="AL49" s="21"/>
      <c r="AM49" s="21"/>
      <c r="AN49" s="21"/>
      <c r="AO49" s="21"/>
      <c r="AP49" s="21"/>
      <c r="AQ49" s="21">
        <f t="shared" si="12"/>
        <v>419.46800000000002</v>
      </c>
      <c r="AR49" s="21">
        <f t="shared" si="13"/>
        <v>419.53199999999998</v>
      </c>
    </row>
    <row r="50" spans="1:44">
      <c r="A50" s="121" t="s">
        <v>975</v>
      </c>
      <c r="B50" s="90" t="s">
        <v>417</v>
      </c>
      <c r="C50" s="90">
        <v>-6.7750000000000004</v>
      </c>
      <c r="D50" s="90"/>
      <c r="E50" s="90"/>
      <c r="F50" s="90"/>
      <c r="G50" s="90"/>
      <c r="J50" s="5">
        <v>11</v>
      </c>
      <c r="K50" s="23">
        <f t="shared" si="14"/>
        <v>203.64</v>
      </c>
      <c r="L50" s="24">
        <f t="shared" si="7"/>
        <v>10</v>
      </c>
      <c r="M50" s="5">
        <f t="shared" si="8"/>
        <v>419.4230000429161</v>
      </c>
      <c r="N50" s="25">
        <f t="shared" si="9"/>
        <v>2.9333314259499983E-3</v>
      </c>
      <c r="O50" s="26">
        <f t="shared" si="10"/>
        <v>1.1399999999999864</v>
      </c>
      <c r="P50" s="27">
        <f t="shared" si="11"/>
        <v>419.4263440407417</v>
      </c>
      <c r="Q50" s="27">
        <f t="shared" si="15"/>
        <v>419.43791602861074</v>
      </c>
      <c r="R50" s="5"/>
      <c r="S50" s="21"/>
      <c r="T50" s="21"/>
      <c r="U50" s="21"/>
      <c r="V50" s="21"/>
      <c r="W50" s="21"/>
      <c r="X50" s="21"/>
      <c r="Y50" s="21"/>
      <c r="Z50" s="21"/>
      <c r="AA50" s="21"/>
      <c r="AB50" s="21"/>
      <c r="AC50" s="21"/>
      <c r="AD50" s="21"/>
      <c r="AE50" s="21"/>
      <c r="AF50" s="30">
        <f>AF49</f>
        <v>419.46452801430405</v>
      </c>
      <c r="AG50" s="30">
        <f>Q50</f>
        <v>419.43791602861074</v>
      </c>
      <c r="AH50" s="21"/>
      <c r="AI50" s="21"/>
      <c r="AJ50" s="21"/>
      <c r="AK50" s="21"/>
      <c r="AL50" s="21"/>
      <c r="AM50" s="21"/>
      <c r="AN50" s="21"/>
      <c r="AO50" s="21"/>
      <c r="AP50" s="21"/>
      <c r="AQ50" s="21">
        <f t="shared" si="12"/>
        <v>419.46800000000002</v>
      </c>
      <c r="AR50" s="21">
        <f t="shared" si="13"/>
        <v>419.53199999999998</v>
      </c>
    </row>
    <row r="51" spans="1:44">
      <c r="A51" s="90" t="s">
        <v>412</v>
      </c>
      <c r="B51" s="90" t="s">
        <v>413</v>
      </c>
      <c r="C51" s="90">
        <v>419.53399999999999</v>
      </c>
      <c r="D51" s="90"/>
      <c r="E51" s="90"/>
      <c r="F51" s="90"/>
      <c r="G51" s="90"/>
      <c r="J51" s="5">
        <v>10</v>
      </c>
      <c r="K51" s="23">
        <f t="shared" si="14"/>
        <v>218.64</v>
      </c>
      <c r="L51" s="24">
        <f t="shared" si="7"/>
        <v>10</v>
      </c>
      <c r="M51" s="5">
        <f t="shared" si="8"/>
        <v>419.4230000429161</v>
      </c>
      <c r="N51" s="25">
        <f t="shared" si="9"/>
        <v>2.9333314259499983E-3</v>
      </c>
      <c r="O51" s="26">
        <f t="shared" si="10"/>
        <v>16.139999999999986</v>
      </c>
      <c r="P51" s="27">
        <f t="shared" si="11"/>
        <v>419.47034401213091</v>
      </c>
      <c r="Q51" s="27">
        <f t="shared" si="15"/>
        <v>419.4483440264363</v>
      </c>
      <c r="R51" s="5"/>
      <c r="S51" s="21"/>
      <c r="T51" s="21"/>
      <c r="U51" s="21"/>
      <c r="V51" s="21"/>
      <c r="W51" s="21"/>
      <c r="X51" s="21"/>
      <c r="Y51" s="21"/>
      <c r="Z51" s="21"/>
      <c r="AA51" s="21"/>
      <c r="AB51" s="21"/>
      <c r="AC51" s="21"/>
      <c r="AD51" s="21"/>
      <c r="AE51" s="21"/>
      <c r="AF51" s="21"/>
      <c r="AG51" s="30">
        <f>AG50</f>
        <v>419.43791602861074</v>
      </c>
      <c r="AH51" s="30">
        <f>Q51</f>
        <v>419.4483440264363</v>
      </c>
      <c r="AI51" s="21"/>
      <c r="AJ51" s="21"/>
      <c r="AK51" s="21"/>
      <c r="AL51" s="21"/>
      <c r="AM51" s="21"/>
      <c r="AN51" s="21"/>
      <c r="AO51" s="21"/>
      <c r="AP51" s="21"/>
      <c r="AQ51" s="21">
        <f t="shared" si="12"/>
        <v>419.46800000000002</v>
      </c>
      <c r="AR51" s="21">
        <f t="shared" si="13"/>
        <v>419.53199999999998</v>
      </c>
    </row>
    <row r="52" spans="1:44">
      <c r="A52" s="90" t="s">
        <v>976</v>
      </c>
      <c r="B52" s="90" t="s">
        <v>415</v>
      </c>
      <c r="C52" s="90">
        <v>-1.2999999999999999E-2</v>
      </c>
      <c r="D52" s="90"/>
      <c r="E52" s="90"/>
      <c r="F52" s="90"/>
      <c r="G52" s="90"/>
      <c r="J52" s="5">
        <v>9</v>
      </c>
      <c r="K52" s="23">
        <f t="shared" si="14"/>
        <v>233.64</v>
      </c>
      <c r="L52" s="24">
        <f t="shared" si="7"/>
        <v>11</v>
      </c>
      <c r="M52" s="5">
        <f t="shared" si="8"/>
        <v>419.48899999999998</v>
      </c>
      <c r="N52" s="25">
        <f t="shared" si="9"/>
        <v>4.0444444444448086E-3</v>
      </c>
      <c r="O52" s="26">
        <f t="shared" si="10"/>
        <v>8.6399999999999864</v>
      </c>
      <c r="P52" s="27">
        <f t="shared" si="11"/>
        <v>419.52394399999997</v>
      </c>
      <c r="Q52" s="27">
        <f t="shared" si="15"/>
        <v>419.49714400606547</v>
      </c>
      <c r="R52" s="5"/>
      <c r="S52" s="21"/>
      <c r="T52" s="21"/>
      <c r="U52" s="21"/>
      <c r="V52" s="21"/>
      <c r="W52" s="21"/>
      <c r="X52" s="21"/>
      <c r="Y52" s="21"/>
      <c r="Z52" s="21"/>
      <c r="AA52" s="21"/>
      <c r="AB52" s="21"/>
      <c r="AC52" s="21"/>
      <c r="AD52" s="21"/>
      <c r="AE52" s="21"/>
      <c r="AF52" s="21"/>
      <c r="AG52" s="21"/>
      <c r="AH52" s="30">
        <f>AH51</f>
        <v>419.4483440264363</v>
      </c>
      <c r="AI52" s="30">
        <f>Q52</f>
        <v>419.49714400606547</v>
      </c>
      <c r="AJ52" s="21"/>
      <c r="AK52" s="21"/>
      <c r="AL52" s="21"/>
      <c r="AM52" s="21"/>
      <c r="AN52" s="21"/>
      <c r="AO52" s="21"/>
      <c r="AP52" s="21"/>
      <c r="AQ52" s="21">
        <f t="shared" si="12"/>
        <v>419.46800000000002</v>
      </c>
      <c r="AR52" s="21">
        <f t="shared" si="13"/>
        <v>419.53199999999998</v>
      </c>
    </row>
    <row r="53" spans="1:44">
      <c r="A53" s="121" t="s">
        <v>977</v>
      </c>
      <c r="B53" s="90" t="s">
        <v>417</v>
      </c>
      <c r="C53" s="90">
        <v>-6.7750000000000004</v>
      </c>
      <c r="D53" s="90"/>
      <c r="E53" s="90"/>
      <c r="F53" s="90"/>
      <c r="G53" s="90"/>
      <c r="J53" s="5">
        <v>8</v>
      </c>
      <c r="K53" s="23">
        <f t="shared" si="14"/>
        <v>248.64</v>
      </c>
      <c r="L53" s="24">
        <f t="shared" si="7"/>
        <v>12</v>
      </c>
      <c r="M53" s="5">
        <f t="shared" si="8"/>
        <v>419.58</v>
      </c>
      <c r="N53" s="25">
        <f t="shared" si="9"/>
        <v>8.0000005296167523E-4</v>
      </c>
      <c r="O53" s="26">
        <f t="shared" si="10"/>
        <v>1.1399999999999864</v>
      </c>
      <c r="P53" s="27">
        <f t="shared" si="11"/>
        <v>419.58091200006038</v>
      </c>
      <c r="Q53" s="27">
        <f t="shared" si="15"/>
        <v>419.5524280000302</v>
      </c>
      <c r="R53" s="5"/>
      <c r="S53" s="21"/>
      <c r="T53" s="21"/>
      <c r="U53" s="21"/>
      <c r="V53" s="21"/>
      <c r="W53" s="21"/>
      <c r="X53" s="21"/>
      <c r="Y53" s="21"/>
      <c r="Z53" s="21"/>
      <c r="AA53" s="21"/>
      <c r="AB53" s="21"/>
      <c r="AC53" s="21"/>
      <c r="AD53" s="21"/>
      <c r="AE53" s="21"/>
      <c r="AF53" s="21"/>
      <c r="AG53" s="21"/>
      <c r="AH53" s="30"/>
      <c r="AI53" s="30">
        <f>AI52</f>
        <v>419.49714400606547</v>
      </c>
      <c r="AJ53" s="30">
        <f>Q53</f>
        <v>419.5524280000302</v>
      </c>
      <c r="AK53" s="21"/>
      <c r="AL53" s="21"/>
      <c r="AM53" s="21"/>
      <c r="AN53" s="21"/>
      <c r="AO53" s="21"/>
      <c r="AP53" s="21"/>
      <c r="AQ53" s="21">
        <f t="shared" si="12"/>
        <v>419.46800000000002</v>
      </c>
      <c r="AR53" s="21">
        <f t="shared" si="13"/>
        <v>419.53199999999998</v>
      </c>
    </row>
    <row r="54" spans="1:44">
      <c r="A54" s="90"/>
      <c r="B54" s="90"/>
      <c r="C54" s="90"/>
      <c r="D54" s="90"/>
      <c r="E54" s="90"/>
      <c r="F54" s="90"/>
      <c r="G54" s="90"/>
      <c r="J54" s="5">
        <v>7</v>
      </c>
      <c r="K54" s="23">
        <f t="shared" si="14"/>
        <v>263.64</v>
      </c>
      <c r="L54" s="24">
        <f t="shared" si="7"/>
        <v>12</v>
      </c>
      <c r="M54" s="5">
        <f t="shared" si="8"/>
        <v>419.58</v>
      </c>
      <c r="N54" s="25">
        <f t="shared" si="9"/>
        <v>8.0000005296167523E-4</v>
      </c>
      <c r="O54" s="26">
        <f t="shared" si="10"/>
        <v>16.139999999999986</v>
      </c>
      <c r="P54" s="27">
        <f t="shared" si="11"/>
        <v>419.59291200085477</v>
      </c>
      <c r="Q54" s="27">
        <f t="shared" si="15"/>
        <v>419.58691200045757</v>
      </c>
      <c r="R54" s="5"/>
      <c r="S54" s="21"/>
      <c r="T54" s="21"/>
      <c r="U54" s="21"/>
      <c r="V54" s="21"/>
      <c r="W54" s="21"/>
      <c r="X54" s="21"/>
      <c r="Y54" s="21"/>
      <c r="Z54" s="21"/>
      <c r="AA54" s="21"/>
      <c r="AB54" s="21"/>
      <c r="AC54" s="21"/>
      <c r="AD54" s="21"/>
      <c r="AE54" s="21"/>
      <c r="AF54" s="21"/>
      <c r="AG54" s="21"/>
      <c r="AH54" s="30"/>
      <c r="AI54" s="30"/>
      <c r="AJ54" s="30">
        <f>AJ53</f>
        <v>419.5524280000302</v>
      </c>
      <c r="AK54" s="30">
        <f>Q54</f>
        <v>419.58691200045757</v>
      </c>
      <c r="AL54" s="21"/>
      <c r="AM54" s="21"/>
      <c r="AN54" s="21"/>
      <c r="AO54" s="21"/>
      <c r="AP54" s="21"/>
      <c r="AQ54" s="21">
        <f t="shared" si="12"/>
        <v>419.46800000000002</v>
      </c>
      <c r="AR54" s="21">
        <f t="shared" si="13"/>
        <v>419.53199999999998</v>
      </c>
    </row>
    <row r="55" spans="1:44">
      <c r="A55" s="90"/>
      <c r="B55" s="90"/>
      <c r="C55" s="90"/>
      <c r="D55" s="90"/>
      <c r="E55" s="90"/>
      <c r="F55" s="90"/>
      <c r="G55" s="90"/>
      <c r="J55" s="5">
        <v>6</v>
      </c>
      <c r="K55" s="23">
        <f t="shared" si="14"/>
        <v>278.64</v>
      </c>
      <c r="L55" s="24">
        <f t="shared" si="7"/>
        <v>13</v>
      </c>
      <c r="M55" s="5">
        <f t="shared" si="8"/>
        <v>419.59800000119162</v>
      </c>
      <c r="N55" s="25">
        <f t="shared" si="9"/>
        <v>-3.8666665077395617E-3</v>
      </c>
      <c r="O55" s="26">
        <f t="shared" si="10"/>
        <v>8.6399999999999864</v>
      </c>
      <c r="P55" s="27">
        <f t="shared" si="11"/>
        <v>419.56459200256478</v>
      </c>
      <c r="Q55" s="27">
        <f t="shared" si="15"/>
        <v>419.57875200170974</v>
      </c>
      <c r="R55" s="5"/>
      <c r="S55" s="21"/>
      <c r="T55" s="21"/>
      <c r="U55" s="21"/>
      <c r="V55" s="21"/>
      <c r="W55" s="21"/>
      <c r="X55" s="21"/>
      <c r="Y55" s="21"/>
      <c r="Z55" s="21"/>
      <c r="AA55" s="21"/>
      <c r="AB55" s="21"/>
      <c r="AC55" s="21"/>
      <c r="AD55" s="21"/>
      <c r="AE55" s="21"/>
      <c r="AF55" s="21"/>
      <c r="AG55" s="21"/>
      <c r="AH55" s="30"/>
      <c r="AI55" s="30"/>
      <c r="AJ55" s="21"/>
      <c r="AK55" s="30">
        <f>AK54</f>
        <v>419.58691200045757</v>
      </c>
      <c r="AL55" s="30">
        <f>Q55</f>
        <v>419.57875200170974</v>
      </c>
      <c r="AM55" s="21"/>
      <c r="AN55" s="21"/>
      <c r="AO55" s="21"/>
      <c r="AP55" s="21"/>
      <c r="AQ55" s="21">
        <f t="shared" si="12"/>
        <v>419.46800000000002</v>
      </c>
      <c r="AR55" s="21">
        <f t="shared" si="13"/>
        <v>419.53199999999998</v>
      </c>
    </row>
    <row r="56" spans="1:44">
      <c r="A56" s="90"/>
      <c r="B56" s="90"/>
      <c r="C56" s="90"/>
      <c r="D56" s="90"/>
      <c r="E56" s="90"/>
      <c r="F56" s="90"/>
      <c r="G56" s="90"/>
      <c r="J56" s="5">
        <v>5</v>
      </c>
      <c r="K56" s="23">
        <f t="shared" si="14"/>
        <v>293.64</v>
      </c>
      <c r="L56" s="24">
        <f t="shared" si="7"/>
        <v>14</v>
      </c>
      <c r="M56" s="5">
        <f t="shared" si="8"/>
        <v>419.51100000476748</v>
      </c>
      <c r="N56" s="25">
        <f t="shared" si="9"/>
        <v>-4.2666668785538301E-3</v>
      </c>
      <c r="O56" s="26">
        <f t="shared" si="10"/>
        <v>1.1399999999999864</v>
      </c>
      <c r="P56" s="27">
        <f t="shared" si="11"/>
        <v>419.50613600452596</v>
      </c>
      <c r="Q56" s="27">
        <f t="shared" si="15"/>
        <v>419.5353640035454</v>
      </c>
      <c r="R56" s="5"/>
      <c r="S56" s="21"/>
      <c r="T56" s="21"/>
      <c r="U56" s="21"/>
      <c r="V56" s="21"/>
      <c r="W56" s="21"/>
      <c r="X56" s="21"/>
      <c r="Y56" s="21"/>
      <c r="Z56" s="21"/>
      <c r="AA56" s="21"/>
      <c r="AB56" s="21"/>
      <c r="AC56" s="21"/>
      <c r="AD56" s="21"/>
      <c r="AE56" s="21"/>
      <c r="AF56" s="21"/>
      <c r="AG56" s="21"/>
      <c r="AH56" s="30"/>
      <c r="AI56" s="30"/>
      <c r="AJ56" s="21"/>
      <c r="AK56" s="21"/>
      <c r="AL56" s="30">
        <f>AL55</f>
        <v>419.57875200170974</v>
      </c>
      <c r="AM56" s="30">
        <f>Q56</f>
        <v>419.5353640035454</v>
      </c>
      <c r="AN56" s="21"/>
      <c r="AO56" s="21"/>
      <c r="AP56" s="21"/>
      <c r="AQ56" s="21">
        <f t="shared" si="12"/>
        <v>419.46800000000002</v>
      </c>
      <c r="AR56" s="21">
        <f t="shared" si="13"/>
        <v>419.53199999999998</v>
      </c>
    </row>
    <row r="57" spans="1:44">
      <c r="A57" s="90"/>
      <c r="B57" s="90"/>
      <c r="C57" s="90"/>
      <c r="D57" s="90"/>
      <c r="E57" s="90"/>
      <c r="F57" s="90"/>
      <c r="G57" s="90"/>
      <c r="J57" s="5">
        <v>4</v>
      </c>
      <c r="K57" s="23">
        <f t="shared" si="14"/>
        <v>308.64</v>
      </c>
      <c r="L57" s="24">
        <f t="shared" si="7"/>
        <v>14</v>
      </c>
      <c r="M57" s="5">
        <f t="shared" si="8"/>
        <v>419.51100000476748</v>
      </c>
      <c r="N57" s="25">
        <f t="shared" si="9"/>
        <v>-4.2666668785538301E-3</v>
      </c>
      <c r="O57" s="26">
        <f t="shared" si="10"/>
        <v>16.139999999999986</v>
      </c>
      <c r="P57" s="27">
        <f t="shared" si="11"/>
        <v>419.44213600134765</v>
      </c>
      <c r="Q57" s="27">
        <f t="shared" si="15"/>
        <v>419.4741360029368</v>
      </c>
      <c r="R57" s="5"/>
      <c r="S57" s="21"/>
      <c r="T57" s="21"/>
      <c r="U57" s="21"/>
      <c r="V57" s="21"/>
      <c r="W57" s="21"/>
      <c r="X57" s="21"/>
      <c r="Y57" s="21"/>
      <c r="Z57" s="21"/>
      <c r="AA57" s="21"/>
      <c r="AB57" s="21"/>
      <c r="AC57" s="21"/>
      <c r="AD57" s="21"/>
      <c r="AE57" s="21"/>
      <c r="AF57" s="21"/>
      <c r="AG57" s="21"/>
      <c r="AH57" s="30"/>
      <c r="AI57" s="30"/>
      <c r="AJ57" s="21"/>
      <c r="AK57" s="21"/>
      <c r="AL57" s="21"/>
      <c r="AM57" s="30">
        <f>AM56</f>
        <v>419.5353640035454</v>
      </c>
      <c r="AN57" s="30">
        <f>Q57</f>
        <v>419.4741360029368</v>
      </c>
      <c r="AO57" s="30"/>
      <c r="AP57" s="21"/>
      <c r="AQ57" s="21">
        <f t="shared" si="12"/>
        <v>419.46800000000002</v>
      </c>
      <c r="AR57" s="21">
        <f t="shared" si="13"/>
        <v>419.53199999999998</v>
      </c>
    </row>
    <row r="58" spans="1:44">
      <c r="A58" s="90"/>
      <c r="B58" s="90"/>
      <c r="C58" s="90"/>
      <c r="D58" s="90"/>
      <c r="E58" s="90"/>
      <c r="F58" s="90"/>
      <c r="G58" s="90"/>
      <c r="J58" s="5">
        <v>3</v>
      </c>
      <c r="K58" s="23">
        <f t="shared" si="14"/>
        <v>323.64</v>
      </c>
      <c r="L58" s="24">
        <f t="shared" si="7"/>
        <v>15</v>
      </c>
      <c r="M58" s="5">
        <f t="shared" si="8"/>
        <v>419.41500000000002</v>
      </c>
      <c r="N58" s="25">
        <f t="shared" si="9"/>
        <v>5.7779308963290532E-4</v>
      </c>
      <c r="O58" s="26">
        <f t="shared" si="10"/>
        <v>8.6399999999999864</v>
      </c>
      <c r="P58" s="27">
        <f t="shared" si="11"/>
        <v>419.41999213229445</v>
      </c>
      <c r="Q58" s="27">
        <f t="shared" si="15"/>
        <v>419.43106406682102</v>
      </c>
      <c r="R58" s="5"/>
      <c r="S58" s="21"/>
      <c r="T58" s="21"/>
      <c r="U58" s="21"/>
      <c r="V58" s="21"/>
      <c r="W58" s="21"/>
      <c r="X58" s="21"/>
      <c r="Y58" s="21"/>
      <c r="Z58" s="21"/>
      <c r="AA58" s="21"/>
      <c r="AB58" s="21"/>
      <c r="AC58" s="21"/>
      <c r="AD58" s="21"/>
      <c r="AE58" s="21"/>
      <c r="AF58" s="21"/>
      <c r="AG58" s="21"/>
      <c r="AH58" s="30"/>
      <c r="AI58" s="30"/>
      <c r="AJ58" s="21"/>
      <c r="AK58" s="21"/>
      <c r="AL58" s="21"/>
      <c r="AM58" s="30"/>
      <c r="AN58" s="30">
        <f>AN57</f>
        <v>419.4741360029368</v>
      </c>
      <c r="AO58" s="30">
        <f>Q58</f>
        <v>419.43106406682102</v>
      </c>
      <c r="AP58" s="21"/>
      <c r="AQ58" s="21">
        <f t="shared" si="12"/>
        <v>419.46800000000002</v>
      </c>
      <c r="AR58" s="21">
        <f t="shared" si="13"/>
        <v>419.53199999999998</v>
      </c>
    </row>
    <row r="59" spans="1:44">
      <c r="J59" s="5">
        <v>2</v>
      </c>
      <c r="K59" s="23">
        <f t="shared" si="14"/>
        <v>338.64</v>
      </c>
      <c r="L59" s="24">
        <f t="shared" si="7"/>
        <v>16</v>
      </c>
      <c r="M59" s="5">
        <f>VLOOKUP(L59, $H$11:$K$27, 4, FALSE)</f>
        <v>419.42800034451676</v>
      </c>
      <c r="N59" s="25">
        <f t="shared" si="9"/>
        <v>3.02220696333835E-3</v>
      </c>
      <c r="O59" s="26">
        <f t="shared" si="10"/>
        <v>1.1399999999999864</v>
      </c>
      <c r="P59" s="27">
        <f t="shared" si="11"/>
        <v>419.43144566045498</v>
      </c>
      <c r="Q59" s="27">
        <f>(P57+P59)/2</f>
        <v>419.43679083090132</v>
      </c>
      <c r="R59" s="5"/>
      <c r="S59" s="31"/>
      <c r="T59" s="31"/>
      <c r="U59" s="31"/>
      <c r="V59" s="31"/>
      <c r="W59" s="31"/>
      <c r="X59" s="31"/>
      <c r="Y59" s="31"/>
      <c r="Z59" s="31"/>
      <c r="AA59" s="31"/>
      <c r="AB59" s="31"/>
      <c r="AC59" s="31"/>
      <c r="AD59" s="31"/>
      <c r="AE59" s="31"/>
      <c r="AF59" s="31"/>
      <c r="AG59" s="31"/>
      <c r="AH59" s="31"/>
      <c r="AI59" s="32"/>
      <c r="AJ59" s="32"/>
      <c r="AK59" s="32"/>
      <c r="AL59" s="32"/>
      <c r="AM59" s="32"/>
      <c r="AN59" s="32"/>
      <c r="AO59" s="32">
        <f>AO58</f>
        <v>419.43106406682102</v>
      </c>
      <c r="AP59" s="32">
        <f>Q59</f>
        <v>419.43679083090132</v>
      </c>
      <c r="AQ59" s="31">
        <f t="shared" si="12"/>
        <v>419.46800000000002</v>
      </c>
      <c r="AR59" s="31">
        <f t="shared" si="13"/>
        <v>419.53199999999998</v>
      </c>
    </row>
    <row r="61" spans="1:44">
      <c r="S61" s="52"/>
    </row>
    <row r="62" spans="1:44">
      <c r="J62" s="33"/>
      <c r="K62" s="33"/>
      <c r="L62" s="33"/>
      <c r="M62" s="33"/>
      <c r="N62" s="33"/>
      <c r="O62" s="33"/>
      <c r="P62" s="33"/>
      <c r="Q62" s="33"/>
      <c r="R62" s="33"/>
      <c r="S62" s="5"/>
      <c r="T62" s="33"/>
      <c r="U62" s="33"/>
      <c r="V62" s="33"/>
      <c r="W62" s="33"/>
      <c r="X62" s="33"/>
      <c r="Y62" s="33"/>
      <c r="Z62" s="33"/>
      <c r="AA62" s="33"/>
      <c r="AB62" s="33"/>
      <c r="AC62" s="33"/>
    </row>
    <row r="63" spans="1:44">
      <c r="J63" s="33"/>
      <c r="K63" s="33"/>
      <c r="L63" s="33"/>
      <c r="M63" s="33"/>
      <c r="N63" s="33"/>
      <c r="O63" s="33"/>
      <c r="P63" s="33"/>
      <c r="Q63" s="33"/>
      <c r="R63" s="33"/>
      <c r="S63" s="5"/>
      <c r="T63" s="33"/>
      <c r="U63" s="33"/>
      <c r="V63" s="33"/>
      <c r="W63" s="33"/>
      <c r="X63" s="33"/>
      <c r="Y63" s="33"/>
      <c r="Z63" s="33"/>
      <c r="AA63" s="33"/>
      <c r="AB63" s="33"/>
      <c r="AC63" s="33"/>
    </row>
    <row r="64" spans="1:44">
      <c r="J64" s="33"/>
      <c r="K64" s="33"/>
      <c r="L64" s="33"/>
      <c r="M64" s="33"/>
      <c r="N64" s="33"/>
      <c r="O64" s="33"/>
      <c r="P64" s="33"/>
      <c r="Q64" s="33"/>
      <c r="R64" s="33"/>
      <c r="S64" s="5"/>
      <c r="T64" s="33"/>
      <c r="U64" s="33"/>
      <c r="V64" s="33"/>
      <c r="W64" s="33"/>
      <c r="X64" s="33"/>
      <c r="Y64" s="33"/>
      <c r="Z64" s="33"/>
      <c r="AA64" s="33"/>
      <c r="AB64" s="33"/>
      <c r="AC64" s="33"/>
    </row>
    <row r="65" spans="10:29">
      <c r="J65" s="33"/>
      <c r="K65" s="33"/>
      <c r="L65" s="33"/>
      <c r="M65" s="33"/>
      <c r="N65" s="33"/>
      <c r="O65" s="33"/>
      <c r="P65" s="33"/>
      <c r="Q65" s="33"/>
      <c r="R65" s="33"/>
      <c r="S65" s="5"/>
      <c r="T65" s="33"/>
      <c r="U65" s="33"/>
      <c r="V65" s="33"/>
      <c r="W65" s="33"/>
      <c r="X65" s="33"/>
      <c r="Y65" s="33"/>
      <c r="Z65" s="33"/>
      <c r="AA65" s="33"/>
      <c r="AB65" s="33"/>
      <c r="AC65" s="33"/>
    </row>
    <row r="66" spans="10:29">
      <c r="J66" s="33"/>
      <c r="K66" s="33"/>
      <c r="L66" s="33"/>
      <c r="M66" s="33"/>
      <c r="N66" s="33"/>
      <c r="O66" s="33"/>
      <c r="P66" s="33"/>
      <c r="Q66" s="33"/>
      <c r="R66" s="33"/>
      <c r="S66" s="5"/>
      <c r="T66" s="33"/>
      <c r="U66" s="33"/>
      <c r="V66" s="33"/>
      <c r="W66" s="33"/>
      <c r="X66" s="33"/>
      <c r="Y66" s="33"/>
      <c r="Z66" s="33"/>
      <c r="AA66" s="33"/>
      <c r="AB66" s="33"/>
      <c r="AC66" s="33"/>
    </row>
    <row r="67" spans="10:29">
      <c r="J67" s="33"/>
      <c r="K67" s="33"/>
      <c r="L67" s="33"/>
      <c r="M67" s="33"/>
      <c r="N67" s="33"/>
      <c r="O67" s="33"/>
      <c r="P67" s="33"/>
      <c r="Q67" s="33"/>
      <c r="R67" s="33"/>
      <c r="S67" s="5"/>
      <c r="T67" s="33"/>
      <c r="U67" s="33"/>
      <c r="V67" s="33"/>
      <c r="W67" s="33"/>
      <c r="X67" s="33"/>
      <c r="Y67" s="33"/>
      <c r="Z67" s="33"/>
      <c r="AA67" s="33"/>
      <c r="AB67" s="33"/>
      <c r="AC67" s="33"/>
    </row>
    <row r="68" spans="10:29">
      <c r="J68" s="33"/>
      <c r="K68" s="33"/>
      <c r="L68" s="33"/>
      <c r="M68" s="33"/>
      <c r="N68" s="33"/>
      <c r="O68" s="33"/>
      <c r="P68" s="33"/>
      <c r="Q68" s="33"/>
      <c r="R68" s="33"/>
      <c r="S68" s="5"/>
      <c r="T68" s="33"/>
      <c r="U68" s="33"/>
      <c r="V68" s="33"/>
      <c r="W68" s="33"/>
      <c r="X68" s="33"/>
      <c r="Y68" s="33"/>
      <c r="Z68" s="33"/>
      <c r="AA68" s="33"/>
      <c r="AB68" s="33"/>
      <c r="AC68" s="33"/>
    </row>
    <row r="69" spans="10:29">
      <c r="J69" s="33"/>
      <c r="K69" s="33"/>
      <c r="L69" s="33"/>
      <c r="M69" s="33"/>
      <c r="N69" s="33"/>
      <c r="O69" s="33"/>
      <c r="P69" s="33"/>
      <c r="Q69" s="33"/>
      <c r="R69" s="33"/>
      <c r="S69" s="5"/>
      <c r="T69" s="33"/>
      <c r="U69" s="33"/>
      <c r="V69" s="33"/>
      <c r="W69" s="33"/>
      <c r="X69" s="33"/>
      <c r="Y69" s="33"/>
      <c r="Z69" s="33"/>
      <c r="AA69" s="33"/>
      <c r="AB69" s="33"/>
      <c r="AC69" s="33"/>
    </row>
    <row r="70" spans="10:29">
      <c r="J70" s="33"/>
      <c r="K70" s="33"/>
      <c r="L70" s="33"/>
      <c r="M70" s="33"/>
      <c r="N70" s="33"/>
      <c r="O70" s="33"/>
      <c r="P70" s="33"/>
      <c r="Q70" s="33"/>
      <c r="R70" s="33"/>
      <c r="S70" s="5"/>
      <c r="T70" s="33"/>
      <c r="U70" s="33"/>
      <c r="V70" s="33"/>
      <c r="W70" s="33"/>
      <c r="X70" s="33"/>
      <c r="Y70" s="33"/>
      <c r="Z70" s="33"/>
      <c r="AA70" s="33"/>
      <c r="AB70" s="33"/>
      <c r="AC70" s="33"/>
    </row>
    <row r="71" spans="10:29">
      <c r="J71" s="33"/>
      <c r="K71" s="33"/>
      <c r="L71" s="33"/>
      <c r="M71" s="33"/>
      <c r="N71" s="33"/>
      <c r="O71" s="33"/>
      <c r="P71" s="33"/>
      <c r="Q71" s="33"/>
      <c r="R71" s="33"/>
      <c r="S71" s="5"/>
      <c r="T71" s="33"/>
      <c r="U71" s="33"/>
      <c r="V71" s="33"/>
      <c r="W71" s="33"/>
      <c r="X71" s="33"/>
      <c r="Y71" s="33"/>
      <c r="Z71" s="33"/>
      <c r="AA71" s="33"/>
      <c r="AB71" s="33"/>
      <c r="AC71" s="33"/>
    </row>
    <row r="72" spans="10:29">
      <c r="J72" s="33"/>
      <c r="K72" s="33"/>
      <c r="L72" s="33"/>
      <c r="M72" s="33"/>
      <c r="N72" s="33"/>
      <c r="O72" s="33"/>
      <c r="P72" s="33"/>
      <c r="Q72" s="33"/>
      <c r="R72" s="33"/>
      <c r="S72" s="5"/>
      <c r="T72" s="33"/>
      <c r="U72" s="33"/>
      <c r="V72" s="33"/>
      <c r="W72" s="33"/>
      <c r="X72" s="33"/>
      <c r="Y72" s="33"/>
      <c r="Z72" s="33"/>
      <c r="AA72" s="33"/>
      <c r="AB72" s="33"/>
      <c r="AC72" s="33"/>
    </row>
    <row r="73" spans="10:29">
      <c r="J73" s="33"/>
      <c r="K73" s="33"/>
      <c r="L73" s="33"/>
      <c r="M73" s="33"/>
      <c r="N73" s="33"/>
      <c r="O73" s="33"/>
      <c r="P73" s="33"/>
      <c r="Q73" s="33"/>
      <c r="R73" s="33"/>
      <c r="S73" s="5"/>
      <c r="T73" s="33"/>
      <c r="U73" s="33"/>
      <c r="V73" s="33"/>
      <c r="W73" s="33"/>
      <c r="X73" s="33"/>
      <c r="Y73" s="33"/>
      <c r="Z73" s="33"/>
      <c r="AA73" s="33"/>
      <c r="AB73" s="33"/>
      <c r="AC73" s="33"/>
    </row>
    <row r="74" spans="10:29">
      <c r="J74" s="33"/>
      <c r="K74" s="33"/>
      <c r="L74" s="33"/>
      <c r="M74" s="33"/>
      <c r="N74" s="33"/>
      <c r="O74" s="33"/>
      <c r="P74" s="33"/>
      <c r="Q74" s="33"/>
      <c r="R74" s="33"/>
      <c r="S74" s="5"/>
      <c r="T74" s="33"/>
      <c r="U74" s="33"/>
      <c r="V74" s="33"/>
      <c r="W74" s="33"/>
      <c r="X74" s="33"/>
      <c r="Y74" s="33"/>
      <c r="Z74" s="33"/>
      <c r="AA74" s="33"/>
      <c r="AB74" s="33"/>
      <c r="AC74" s="33"/>
    </row>
    <row r="75" spans="10:29">
      <c r="J75" s="33"/>
      <c r="K75" s="33"/>
      <c r="L75" s="33"/>
      <c r="M75" s="33"/>
      <c r="N75" s="33"/>
      <c r="O75" s="33"/>
      <c r="P75" s="33"/>
      <c r="Q75" s="33"/>
      <c r="R75" s="33"/>
      <c r="S75" s="5"/>
      <c r="T75" s="33"/>
      <c r="U75" s="33"/>
      <c r="V75" s="33"/>
      <c r="W75" s="33"/>
      <c r="X75" s="33"/>
      <c r="Y75" s="33"/>
      <c r="Z75" s="33"/>
      <c r="AA75" s="33"/>
      <c r="AB75" s="33"/>
      <c r="AC75" s="33"/>
    </row>
    <row r="76" spans="10:29">
      <c r="J76" s="33"/>
      <c r="K76" s="33"/>
      <c r="L76" s="33"/>
      <c r="M76" s="33"/>
      <c r="N76" s="33"/>
      <c r="O76" s="33"/>
      <c r="P76" s="33"/>
      <c r="Q76" s="33"/>
      <c r="R76" s="33"/>
      <c r="S76" s="5"/>
      <c r="T76" s="33"/>
      <c r="U76" s="33"/>
      <c r="V76" s="33"/>
      <c r="W76" s="33"/>
      <c r="X76" s="33"/>
      <c r="Y76" s="33"/>
      <c r="Z76" s="33"/>
      <c r="AA76" s="33"/>
      <c r="AB76" s="33"/>
      <c r="AC76" s="33"/>
    </row>
    <row r="77" spans="10:29">
      <c r="J77" s="33"/>
      <c r="K77" s="33"/>
      <c r="L77" s="33"/>
      <c r="M77" s="33"/>
      <c r="N77" s="33"/>
      <c r="O77" s="33"/>
      <c r="P77" s="33"/>
      <c r="Q77" s="33"/>
      <c r="R77" s="33"/>
      <c r="S77" s="5"/>
      <c r="T77" s="33"/>
      <c r="U77" s="33"/>
      <c r="V77" s="33"/>
      <c r="W77" s="33"/>
      <c r="X77" s="33"/>
      <c r="Y77" s="33"/>
      <c r="Z77" s="33"/>
      <c r="AA77" s="33"/>
      <c r="AB77" s="33"/>
      <c r="AC77" s="33"/>
    </row>
    <row r="78" spans="10:29">
      <c r="J78" s="33"/>
      <c r="K78" s="33"/>
      <c r="L78" s="33"/>
      <c r="M78" s="33"/>
      <c r="N78" s="33"/>
      <c r="O78" s="33"/>
      <c r="P78" s="33"/>
      <c r="Q78" s="33"/>
      <c r="R78" s="33"/>
      <c r="S78" s="5"/>
      <c r="T78" s="33"/>
      <c r="U78" s="33"/>
      <c r="V78" s="33"/>
      <c r="W78" s="33"/>
      <c r="X78" s="33"/>
      <c r="Y78" s="33"/>
      <c r="Z78" s="33"/>
      <c r="AA78" s="33"/>
      <c r="AB78" s="33"/>
      <c r="AC78" s="33"/>
    </row>
    <row r="79" spans="10:29">
      <c r="J79" s="33"/>
      <c r="K79" s="33"/>
      <c r="L79" s="33"/>
      <c r="M79" s="33"/>
      <c r="N79" s="33"/>
      <c r="O79" s="33"/>
      <c r="P79" s="33"/>
      <c r="Q79" s="33"/>
      <c r="R79" s="33"/>
      <c r="S79" s="5"/>
      <c r="T79" s="33"/>
      <c r="U79" s="33"/>
      <c r="V79" s="33"/>
      <c r="W79" s="33"/>
      <c r="X79" s="33"/>
      <c r="Y79" s="33"/>
      <c r="Z79" s="33"/>
      <c r="AA79" s="33"/>
      <c r="AB79" s="33"/>
      <c r="AC79" s="33"/>
    </row>
    <row r="80" spans="10:29">
      <c r="J80" s="33"/>
      <c r="K80" s="33"/>
      <c r="L80" s="33"/>
      <c r="M80" s="33"/>
      <c r="N80" s="33"/>
      <c r="O80" s="33"/>
      <c r="P80" s="33"/>
      <c r="Q80" s="33"/>
      <c r="R80" s="33"/>
      <c r="S80" s="5"/>
      <c r="T80" s="33"/>
      <c r="U80" s="33"/>
      <c r="V80" s="33"/>
      <c r="W80" s="33"/>
      <c r="X80" s="33"/>
      <c r="Y80" s="33"/>
      <c r="Z80" s="33"/>
      <c r="AA80" s="33"/>
      <c r="AB80" s="33"/>
      <c r="AC80" s="33"/>
    </row>
    <row r="81" spans="10:50">
      <c r="J81" s="33"/>
      <c r="K81" s="33"/>
      <c r="L81" s="33"/>
      <c r="M81" s="33"/>
      <c r="N81" s="33"/>
      <c r="O81" s="33"/>
      <c r="P81" s="33"/>
      <c r="Q81" s="33"/>
      <c r="R81" s="33"/>
      <c r="S81" s="5"/>
      <c r="T81" s="33"/>
      <c r="U81" s="33"/>
      <c r="V81" s="33"/>
      <c r="W81" s="33"/>
      <c r="X81" s="33"/>
      <c r="Y81" s="33"/>
      <c r="Z81" s="33"/>
      <c r="AA81" s="33"/>
      <c r="AB81" s="33"/>
      <c r="AC81" s="33"/>
    </row>
    <row r="82" spans="10:50">
      <c r="J82" s="33"/>
      <c r="K82" s="33"/>
      <c r="L82" s="33"/>
      <c r="M82" s="33"/>
      <c r="N82" s="33"/>
      <c r="O82" s="33"/>
      <c r="P82" s="33"/>
      <c r="Q82" s="33"/>
      <c r="R82" s="33"/>
      <c r="S82" s="5"/>
      <c r="T82" s="33"/>
      <c r="U82" s="33"/>
      <c r="V82" s="33"/>
      <c r="W82" s="33"/>
      <c r="X82" s="33"/>
      <c r="Y82" s="33"/>
      <c r="Z82" s="33"/>
      <c r="AA82" s="33"/>
      <c r="AB82" s="33"/>
      <c r="AC82" s="33"/>
    </row>
    <row r="83" spans="10:50">
      <c r="J83" s="33"/>
      <c r="K83" s="33"/>
      <c r="L83" s="33"/>
      <c r="M83" s="33"/>
      <c r="N83" s="33"/>
      <c r="O83" s="33"/>
      <c r="P83" s="33"/>
      <c r="Q83" s="33"/>
      <c r="R83" s="33"/>
      <c r="S83" s="5"/>
      <c r="T83" s="33"/>
      <c r="U83" s="33"/>
      <c r="V83" s="33"/>
      <c r="W83" s="33"/>
      <c r="X83" s="33"/>
      <c r="Y83" s="33"/>
      <c r="Z83" s="33"/>
      <c r="AA83" s="33"/>
      <c r="AB83" s="33"/>
      <c r="AC83" s="33"/>
    </row>
    <row r="84" spans="10:50">
      <c r="J84" s="33"/>
      <c r="K84" s="33"/>
      <c r="L84" s="33"/>
      <c r="M84" s="33"/>
      <c r="N84" s="33"/>
      <c r="O84" s="33"/>
      <c r="P84" s="33"/>
      <c r="Q84" s="33"/>
      <c r="R84" s="33"/>
      <c r="S84" s="5"/>
      <c r="T84" s="33"/>
      <c r="U84" s="33"/>
      <c r="V84" s="33"/>
      <c r="W84" s="33"/>
      <c r="X84" s="33"/>
      <c r="Y84" s="33"/>
      <c r="Z84" s="33"/>
      <c r="AA84" s="33"/>
      <c r="AB84" s="33"/>
      <c r="AC84" s="33"/>
    </row>
    <row r="85" spans="10:50">
      <c r="J85" s="33"/>
      <c r="K85" s="33"/>
      <c r="L85" s="33"/>
      <c r="M85" s="33"/>
      <c r="N85" s="33"/>
      <c r="O85" s="33"/>
      <c r="P85" s="33"/>
      <c r="Q85" s="33"/>
      <c r="R85" s="33"/>
      <c r="S85" s="5"/>
      <c r="T85" s="33"/>
      <c r="U85" s="33"/>
      <c r="V85" s="33"/>
      <c r="W85" s="33"/>
      <c r="X85" s="33"/>
      <c r="Y85" s="33"/>
      <c r="Z85" s="33"/>
      <c r="AA85" s="33"/>
      <c r="AB85" s="33"/>
      <c r="AC85" s="33"/>
    </row>
    <row r="86" spans="10:50">
      <c r="J86" s="33"/>
      <c r="K86" s="33"/>
      <c r="L86" s="33"/>
      <c r="M86" s="33"/>
      <c r="N86" s="33"/>
      <c r="O86" s="33"/>
      <c r="P86" s="33"/>
      <c r="Q86" s="33"/>
      <c r="R86" s="33"/>
      <c r="S86" s="5"/>
      <c r="T86" s="33"/>
      <c r="U86" s="33"/>
      <c r="V86" s="33"/>
      <c r="W86" s="33"/>
      <c r="X86" s="33"/>
      <c r="Y86" s="33"/>
      <c r="Z86" s="33"/>
      <c r="AA86" s="33"/>
      <c r="AB86" s="33"/>
      <c r="AC86" s="33"/>
    </row>
    <row r="87" spans="10:50">
      <c r="J87" s="33"/>
      <c r="K87" s="33"/>
      <c r="L87" s="33"/>
      <c r="M87" s="33"/>
      <c r="N87" s="33"/>
      <c r="O87" s="33"/>
      <c r="P87" s="33"/>
      <c r="Q87" s="33"/>
      <c r="R87" s="33"/>
      <c r="S87" s="5"/>
      <c r="T87" s="33"/>
      <c r="U87" s="33"/>
      <c r="V87" s="33"/>
      <c r="W87" s="33"/>
      <c r="X87" s="33"/>
      <c r="Y87" s="33"/>
      <c r="Z87" s="33"/>
      <c r="AA87" s="33"/>
      <c r="AB87" s="33"/>
      <c r="AC87" s="33"/>
    </row>
    <row r="88" spans="10:50">
      <c r="J88" s="33"/>
      <c r="K88" s="33"/>
      <c r="L88" s="33"/>
      <c r="M88" s="33"/>
      <c r="N88" s="33"/>
      <c r="O88" s="33"/>
      <c r="P88" s="33"/>
      <c r="Q88" s="33"/>
      <c r="R88" s="33"/>
      <c r="S88" s="5"/>
      <c r="T88" s="33"/>
      <c r="U88" s="33"/>
      <c r="V88" s="33"/>
      <c r="W88" s="33"/>
      <c r="X88" s="33"/>
      <c r="Y88" s="33"/>
      <c r="Z88" s="33"/>
      <c r="AA88" s="33"/>
      <c r="AB88" s="33"/>
      <c r="AC88" s="33"/>
    </row>
    <row r="89" spans="10:50">
      <c r="J89" s="33"/>
      <c r="K89" s="33"/>
      <c r="L89" s="33"/>
      <c r="M89" s="33"/>
      <c r="N89" s="33"/>
      <c r="O89" s="33"/>
      <c r="P89" s="33"/>
      <c r="Q89" s="33"/>
      <c r="R89" s="33"/>
      <c r="S89" s="5"/>
      <c r="T89" s="33"/>
      <c r="U89" s="33"/>
      <c r="V89" s="33"/>
      <c r="W89" s="33"/>
      <c r="X89" s="33"/>
      <c r="Y89" s="33"/>
      <c r="Z89" s="33"/>
      <c r="AA89" s="33"/>
      <c r="AB89" s="33"/>
      <c r="AC89" s="33"/>
    </row>
    <row r="90" spans="10:50">
      <c r="J90" s="33"/>
      <c r="K90" s="33"/>
      <c r="L90" s="33"/>
      <c r="M90" s="33"/>
      <c r="N90" s="33"/>
      <c r="O90" s="33"/>
      <c r="P90" s="33"/>
      <c r="Q90" s="33"/>
      <c r="R90" s="33"/>
      <c r="S90" s="5"/>
      <c r="T90" s="33"/>
      <c r="U90" s="33"/>
      <c r="V90" s="33"/>
      <c r="W90" s="33"/>
      <c r="X90" s="33"/>
      <c r="Y90" s="33"/>
      <c r="Z90" s="33"/>
      <c r="AA90" s="33"/>
      <c r="AB90" s="33"/>
      <c r="AC90" s="33"/>
    </row>
    <row r="93" spans="10:50">
      <c r="S93" s="20" t="str">
        <f ca="1">CONCATENATE(LEFT($S$32, LEN($S$32)-4), " Step#", OFFSET($J$35, S33, 0))</f>
        <v>Stg.4 Shroud Step#1</v>
      </c>
      <c r="T93" s="20" t="str">
        <f t="shared" ref="T93:AP93" ca="1" si="16">CONCATENATE(LEFT($S$32, LEN($S$32)-4), " Step#", OFFSET($J$35, T33, 0))</f>
        <v>Stg.4 Shroud Step#24</v>
      </c>
      <c r="U93" s="20" t="str">
        <f t="shared" ca="1" si="16"/>
        <v>Stg.4 Shroud Step#23</v>
      </c>
      <c r="V93" s="20" t="str">
        <f t="shared" ca="1" si="16"/>
        <v>Stg.4 Shroud Step#22</v>
      </c>
      <c r="W93" s="20" t="str">
        <f t="shared" ca="1" si="16"/>
        <v>Stg.4 Shroud Step#21</v>
      </c>
      <c r="X93" s="20" t="str">
        <f t="shared" ca="1" si="16"/>
        <v>Stg.4 Shroud Step#20</v>
      </c>
      <c r="Y93" s="20" t="str">
        <f t="shared" ca="1" si="16"/>
        <v>Stg.4 Shroud Step#19</v>
      </c>
      <c r="Z93" s="20" t="str">
        <f t="shared" ca="1" si="16"/>
        <v>Stg.4 Shroud Step#18</v>
      </c>
      <c r="AA93" s="20" t="str">
        <f t="shared" ca="1" si="16"/>
        <v>Stg.4 Shroud Step#17</v>
      </c>
      <c r="AB93" s="20" t="str">
        <f t="shared" ca="1" si="16"/>
        <v>Stg.4 Shroud Step#16</v>
      </c>
      <c r="AC93" s="20" t="str">
        <f t="shared" ca="1" si="16"/>
        <v>Stg.4 Shroud Step#15</v>
      </c>
      <c r="AD93" s="20" t="str">
        <f t="shared" ca="1" si="16"/>
        <v>Stg.4 Shroud Step#14</v>
      </c>
      <c r="AE93" s="20" t="str">
        <f t="shared" ca="1" si="16"/>
        <v>Stg.4 Shroud Step#13</v>
      </c>
      <c r="AF93" s="20" t="str">
        <f t="shared" ca="1" si="16"/>
        <v>Stg.4 Shroud Step#12</v>
      </c>
      <c r="AG93" s="20" t="str">
        <f t="shared" ca="1" si="16"/>
        <v>Stg.4 Shroud Step#11</v>
      </c>
      <c r="AH93" s="20" t="str">
        <f t="shared" ca="1" si="16"/>
        <v>Stg.4 Shroud Step#10</v>
      </c>
      <c r="AI93" s="20" t="str">
        <f t="shared" ca="1" si="16"/>
        <v>Stg.4 Shroud Step#9</v>
      </c>
      <c r="AJ93" s="20" t="str">
        <f t="shared" ca="1" si="16"/>
        <v>Stg.4 Shroud Step#8</v>
      </c>
      <c r="AK93" s="20" t="str">
        <f t="shared" ca="1" si="16"/>
        <v>Stg.4 Shroud Step#7</v>
      </c>
      <c r="AL93" s="20" t="str">
        <f t="shared" ca="1" si="16"/>
        <v>Stg.4 Shroud Step#6</v>
      </c>
      <c r="AM93" s="20" t="str">
        <f t="shared" ca="1" si="16"/>
        <v>Stg.4 Shroud Step#5</v>
      </c>
      <c r="AN93" s="20" t="str">
        <f t="shared" ca="1" si="16"/>
        <v>Stg.4 Shroud Step#4</v>
      </c>
      <c r="AO93" s="20" t="str">
        <f t="shared" ca="1" si="16"/>
        <v>Stg.4 Shroud Step#3</v>
      </c>
      <c r="AP93" s="20" t="str">
        <f t="shared" ca="1" si="16"/>
        <v>Stg.4 Shroud Step#2</v>
      </c>
      <c r="AQ93" s="20" t="s">
        <v>225</v>
      </c>
      <c r="AR93" s="20" t="s">
        <v>226</v>
      </c>
    </row>
    <row r="94" spans="10:50">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7" t="s">
        <v>59</v>
      </c>
      <c r="AR94" s="17" t="s">
        <v>59</v>
      </c>
    </row>
    <row r="95" spans="10:50">
      <c r="S95" s="35">
        <f ca="1">IF(S36&lt;&gt;"", S36-'246'!S36-$AQ$123,"")</f>
        <v>1.9536205581630384E-2</v>
      </c>
      <c r="T95" s="35"/>
      <c r="U95" s="35"/>
      <c r="V95" s="35"/>
      <c r="W95" s="35"/>
      <c r="X95" s="35"/>
      <c r="Y95" s="35"/>
      <c r="Z95" s="35"/>
      <c r="AA95" s="35"/>
      <c r="AB95" s="35"/>
      <c r="AC95" s="35"/>
      <c r="AD95" s="35"/>
      <c r="AE95" s="35"/>
      <c r="AF95" s="35"/>
      <c r="AG95" s="35"/>
      <c r="AH95" s="35"/>
      <c r="AI95" s="35"/>
      <c r="AJ95" s="35"/>
      <c r="AK95" s="35"/>
      <c r="AL95" s="35"/>
      <c r="AM95" s="35"/>
      <c r="AN95" s="35"/>
      <c r="AO95" s="35"/>
      <c r="AP95" s="35">
        <f ca="1">IF(AP36&lt;&gt;"", AP36-'246'!AP36-$AQ$123,"")</f>
        <v>1.1884158659370314E-2</v>
      </c>
      <c r="AQ95" s="21">
        <f>AQ36-'246'!AR36-$AQ$123</f>
        <v>-6.399999999996453E-2</v>
      </c>
      <c r="AR95" s="21">
        <f>AR36-'246'!AQ36-$AQ$123</f>
        <v>6.399999999996453E-2</v>
      </c>
      <c r="AS95" s="13" t="s">
        <v>61</v>
      </c>
      <c r="AT95" s="36">
        <f ca="1">MAX(S95:AP118)</f>
        <v>2.9786666901713943E-2</v>
      </c>
      <c r="AU95" s="13" t="str">
        <f ca="1">IF(AT95&gt;AR95, CONCATENATE("O/Max ", TEXT(AT95-AR95,"0.000")), "-")</f>
        <v>-</v>
      </c>
      <c r="AV95" s="36">
        <f ca="1">$Q36-'246'!$Q36-$AQ$123</f>
        <v>1.9536205581630384E-2</v>
      </c>
      <c r="AW95" s="13">
        <f ca="1">INDEX($J36:$J59,MATCH(AT95,AV95:AV118,0))</f>
        <v>6</v>
      </c>
      <c r="AX95" s="5">
        <f ca="1">MATCH(AT95,AV95:AV118,0)</f>
        <v>20</v>
      </c>
    </row>
    <row r="96" spans="10:50">
      <c r="S96" s="35">
        <f ca="1">IF(S37&lt;&gt;"", S37-'246'!S37-$AQ$123,"")</f>
        <v>1.9536205581630384E-2</v>
      </c>
      <c r="T96" s="35">
        <f ca="1">IF(T37&lt;&gt;"", T37-'246'!T37-$AQ$123,"")</f>
        <v>2.1434752273194135E-2</v>
      </c>
      <c r="U96" s="35"/>
      <c r="V96" s="35"/>
      <c r="W96" s="35"/>
      <c r="X96" s="35"/>
      <c r="Y96" s="35"/>
      <c r="Z96" s="35"/>
      <c r="AA96" s="35"/>
      <c r="AB96" s="35"/>
      <c r="AC96" s="35"/>
      <c r="AD96" s="35"/>
      <c r="AE96" s="35"/>
      <c r="AF96" s="35"/>
      <c r="AG96" s="35"/>
      <c r="AH96" s="35"/>
      <c r="AI96" s="35"/>
      <c r="AJ96" s="35"/>
      <c r="AK96" s="35"/>
      <c r="AL96" s="35"/>
      <c r="AM96" s="35"/>
      <c r="AN96" s="35"/>
      <c r="AO96" s="35"/>
      <c r="AP96" s="35"/>
      <c r="AQ96" s="21">
        <f>AQ95</f>
        <v>-6.399999999996453E-2</v>
      </c>
      <c r="AR96" s="21">
        <f>AR95</f>
        <v>6.399999999996453E-2</v>
      </c>
      <c r="AS96" s="13" t="s">
        <v>63</v>
      </c>
      <c r="AT96" s="36">
        <f ca="1">MIN(S95:AP118)</f>
        <v>2.2406116437423407E-4</v>
      </c>
      <c r="AU96" s="13" t="str">
        <f ca="1">IF(AT96&lt;AQ95, CONCATENATE("U/Min ", TEXT(AQ95-AT96,"0.000")), "-")</f>
        <v>-</v>
      </c>
      <c r="AV96" s="36">
        <f ca="1">$Q37-'246'!$Q37-$AQ$123</f>
        <v>2.1434752273194135E-2</v>
      </c>
      <c r="AW96" s="13">
        <f ca="1">INDEX($J36:$J59,MATCH(AT96,AV95:AV118,0))</f>
        <v>19</v>
      </c>
      <c r="AX96" s="5">
        <f ca="1">MATCH(AT96,AV95:AV118,0)</f>
        <v>7</v>
      </c>
    </row>
    <row r="97" spans="19:49">
      <c r="S97" s="35"/>
      <c r="T97" s="35">
        <f ca="1">IF(T38&lt;&gt;"", T38-'246'!T38-$AQ$123,"")</f>
        <v>2.1434752273194135E-2</v>
      </c>
      <c r="U97" s="35">
        <f ca="1">IF(U38&lt;&gt;"", U38-'246'!U38-$AQ$123,"")</f>
        <v>2.207613335485803E-2</v>
      </c>
      <c r="V97" s="35"/>
      <c r="W97" s="35"/>
      <c r="X97" s="35"/>
      <c r="Y97" s="35"/>
      <c r="Z97" s="35"/>
      <c r="AA97" s="35"/>
      <c r="AB97" s="35"/>
      <c r="AC97" s="35"/>
      <c r="AD97" s="35"/>
      <c r="AE97" s="35"/>
      <c r="AF97" s="35"/>
      <c r="AG97" s="35"/>
      <c r="AH97" s="35"/>
      <c r="AI97" s="35"/>
      <c r="AJ97" s="35"/>
      <c r="AK97" s="35"/>
      <c r="AL97" s="35"/>
      <c r="AM97" s="35"/>
      <c r="AN97" s="35"/>
      <c r="AO97" s="35"/>
      <c r="AP97" s="35"/>
      <c r="AQ97" s="21">
        <f t="shared" ref="AQ97:AQ118" si="17">AQ96</f>
        <v>-6.399999999996453E-2</v>
      </c>
      <c r="AR97" s="21">
        <f t="shared" ref="AR97:AR118" si="18">AR96</f>
        <v>6.399999999996453E-2</v>
      </c>
      <c r="AV97" s="36">
        <f ca="1">$Q38-'246'!$Q38-$AQ$123</f>
        <v>2.207613335485803E-2</v>
      </c>
      <c r="AW97" s="2"/>
    </row>
    <row r="98" spans="19:49">
      <c r="S98" s="35"/>
      <c r="T98" s="35"/>
      <c r="U98" s="35">
        <f ca="1">IF(U39&lt;&gt;"", U39-'246'!U39-$AQ$123,"")</f>
        <v>2.207613335485803E-2</v>
      </c>
      <c r="V98" s="35">
        <f ca="1">IF(V39&lt;&gt;"", V39-'246'!V39-$AQ$123,"")</f>
        <v>2.3152121494717903E-2</v>
      </c>
      <c r="W98" s="35"/>
      <c r="X98" s="35"/>
      <c r="Y98" s="35"/>
      <c r="Z98" s="35"/>
      <c r="AA98" s="35"/>
      <c r="AB98" s="35"/>
      <c r="AC98" s="35"/>
      <c r="AD98" s="35"/>
      <c r="AE98" s="35"/>
      <c r="AF98" s="35"/>
      <c r="AG98" s="35"/>
      <c r="AH98" s="35"/>
      <c r="AI98" s="35"/>
      <c r="AJ98" s="35"/>
      <c r="AK98" s="35"/>
      <c r="AL98" s="35"/>
      <c r="AM98" s="35"/>
      <c r="AN98" s="35"/>
      <c r="AO98" s="35"/>
      <c r="AP98" s="35"/>
      <c r="AQ98" s="21">
        <f t="shared" si="17"/>
        <v>-6.399999999996453E-2</v>
      </c>
      <c r="AR98" s="21">
        <f t="shared" si="18"/>
        <v>6.399999999996453E-2</v>
      </c>
      <c r="AV98" s="36">
        <f ca="1">$Q39-'246'!$Q39-$AQ$123</f>
        <v>2.3152121494717903E-2</v>
      </c>
      <c r="AW98" s="2"/>
    </row>
    <row r="99" spans="19:49">
      <c r="S99" s="35"/>
      <c r="T99" s="35"/>
      <c r="U99" s="35"/>
      <c r="V99" s="35">
        <f ca="1">IF(V40&lt;&gt;"", V40-'246'!V40-$AQ$123,"")</f>
        <v>2.3152121494717903E-2</v>
      </c>
      <c r="W99" s="35">
        <f ca="1">IF(W40&lt;&gt;"", W40-'246'!W40-$AQ$123,"")</f>
        <v>1.9008044312442962E-2</v>
      </c>
      <c r="X99" s="35"/>
      <c r="Y99" s="35"/>
      <c r="Z99" s="35"/>
      <c r="AA99" s="35"/>
      <c r="AB99" s="35"/>
      <c r="AC99" s="35"/>
      <c r="AD99" s="35"/>
      <c r="AE99" s="35"/>
      <c r="AF99" s="35"/>
      <c r="AG99" s="35"/>
      <c r="AH99" s="35"/>
      <c r="AI99" s="35"/>
      <c r="AJ99" s="35"/>
      <c r="AK99" s="35"/>
      <c r="AL99" s="35"/>
      <c r="AM99" s="35"/>
      <c r="AN99" s="35"/>
      <c r="AO99" s="35"/>
      <c r="AP99" s="35"/>
      <c r="AQ99" s="21">
        <f t="shared" si="17"/>
        <v>-6.399999999996453E-2</v>
      </c>
      <c r="AR99" s="21">
        <f t="shared" si="18"/>
        <v>6.399999999996453E-2</v>
      </c>
      <c r="AV99" s="36">
        <f ca="1">$Q40-'246'!$Q40-$AQ$123</f>
        <v>1.9008044312442962E-2</v>
      </c>
      <c r="AW99" s="2"/>
    </row>
    <row r="100" spans="19:49">
      <c r="S100" s="35"/>
      <c r="T100" s="35"/>
      <c r="U100" s="35"/>
      <c r="V100" s="35"/>
      <c r="W100" s="35">
        <f ca="1">IF(W41&lt;&gt;"", W41-'246'!W41-$AQ$123,"")</f>
        <v>1.9008044312442962E-2</v>
      </c>
      <c r="X100" s="35">
        <f ca="1">IF(X41&lt;&gt;"", X41-'246'!X41-$AQ$123,"")</f>
        <v>5.2107318542766734E-3</v>
      </c>
      <c r="Y100" s="35"/>
      <c r="Z100" s="35"/>
      <c r="AA100" s="35"/>
      <c r="AB100" s="35"/>
      <c r="AC100" s="35"/>
      <c r="AD100" s="35"/>
      <c r="AE100" s="35"/>
      <c r="AF100" s="35"/>
      <c r="AG100" s="35"/>
      <c r="AH100" s="35"/>
      <c r="AI100" s="35"/>
      <c r="AJ100" s="35"/>
      <c r="AK100" s="35"/>
      <c r="AL100" s="35"/>
      <c r="AM100" s="35"/>
      <c r="AN100" s="35"/>
      <c r="AO100" s="35"/>
      <c r="AP100" s="35"/>
      <c r="AQ100" s="21">
        <f t="shared" si="17"/>
        <v>-6.399999999996453E-2</v>
      </c>
      <c r="AR100" s="21">
        <f t="shared" si="18"/>
        <v>6.399999999996453E-2</v>
      </c>
      <c r="AV100" s="36">
        <f ca="1">$Q41-'246'!$Q41-$AQ$123</f>
        <v>5.2107318542766734E-3</v>
      </c>
      <c r="AW100" s="2"/>
    </row>
    <row r="101" spans="19:49">
      <c r="S101" s="35"/>
      <c r="T101" s="35"/>
      <c r="U101" s="35"/>
      <c r="V101" s="35"/>
      <c r="W101" s="35"/>
      <c r="X101" s="35">
        <f ca="1">IF(X42&lt;&gt;"", X42-'246'!X42-$AQ$123,"")</f>
        <v>5.2107318542766734E-3</v>
      </c>
      <c r="Y101" s="35">
        <f ca="1">IF(Y42&lt;&gt;"", Y42-'246'!Y42-$AQ$123,"")</f>
        <v>2.2406116437423407E-4</v>
      </c>
      <c r="Z101" s="35"/>
      <c r="AA101" s="35"/>
      <c r="AB101" s="35"/>
      <c r="AC101" s="35"/>
      <c r="AD101" s="35"/>
      <c r="AE101" s="35"/>
      <c r="AF101" s="35"/>
      <c r="AG101" s="35"/>
      <c r="AH101" s="35"/>
      <c r="AI101" s="35"/>
      <c r="AJ101" s="35"/>
      <c r="AK101" s="35"/>
      <c r="AL101" s="35"/>
      <c r="AM101" s="35"/>
      <c r="AN101" s="35"/>
      <c r="AO101" s="35"/>
      <c r="AP101" s="35"/>
      <c r="AQ101" s="21">
        <f t="shared" si="17"/>
        <v>-6.399999999996453E-2</v>
      </c>
      <c r="AR101" s="21">
        <f t="shared" si="18"/>
        <v>6.399999999996453E-2</v>
      </c>
      <c r="AV101" s="36">
        <f ca="1">$Q42-'246'!$Q42-$AQ$123</f>
        <v>2.2406116437423407E-4</v>
      </c>
      <c r="AW101" s="2"/>
    </row>
    <row r="102" spans="19:49">
      <c r="S102" s="35"/>
      <c r="T102" s="35"/>
      <c r="U102" s="35"/>
      <c r="V102" s="35"/>
      <c r="W102" s="35"/>
      <c r="X102" s="35"/>
      <c r="Y102" s="35">
        <f ca="1">IF(Y43&lt;&gt;"", Y43-'246'!Y43-$AQ$123,"")</f>
        <v>2.2406116437423407E-4</v>
      </c>
      <c r="Z102" s="35">
        <f ca="1">IF(Z43&lt;&gt;"", Z43-'246'!Z43-$AQ$123,"")</f>
        <v>4.293364980185288E-3</v>
      </c>
      <c r="AA102" s="35"/>
      <c r="AB102" s="35"/>
      <c r="AC102" s="35"/>
      <c r="AD102" s="35"/>
      <c r="AE102" s="35"/>
      <c r="AF102" s="35"/>
      <c r="AG102" s="35"/>
      <c r="AH102" s="35"/>
      <c r="AI102" s="35"/>
      <c r="AJ102" s="35"/>
      <c r="AK102" s="35"/>
      <c r="AL102" s="35"/>
      <c r="AM102" s="35"/>
      <c r="AN102" s="35"/>
      <c r="AO102" s="35"/>
      <c r="AP102" s="35"/>
      <c r="AQ102" s="21">
        <f t="shared" si="17"/>
        <v>-6.399999999996453E-2</v>
      </c>
      <c r="AR102" s="21">
        <f t="shared" si="18"/>
        <v>6.399999999996453E-2</v>
      </c>
      <c r="AV102" s="36">
        <f ca="1">$Q43-'246'!$Q43-$AQ$123</f>
        <v>4.293364980185288E-3</v>
      </c>
      <c r="AW102" s="2"/>
    </row>
    <row r="103" spans="19:49">
      <c r="S103" s="35"/>
      <c r="T103" s="35"/>
      <c r="U103" s="35"/>
      <c r="V103" s="35"/>
      <c r="W103" s="35"/>
      <c r="X103" s="35"/>
      <c r="Y103" s="35"/>
      <c r="Z103" s="35">
        <f ca="1">IF(Z44&lt;&gt;"", Z44-'246'!Z44-$AQ$123,"")</f>
        <v>4.293364980185288E-3</v>
      </c>
      <c r="AA103" s="35">
        <f ca="1">IF(AA44&lt;&gt;"", AA44-'246'!AA44-$AQ$123,"")</f>
        <v>3.1267298605825999E-3</v>
      </c>
      <c r="AB103" s="35"/>
      <c r="AC103" s="35"/>
      <c r="AD103" s="35"/>
      <c r="AE103" s="35"/>
      <c r="AF103" s="35"/>
      <c r="AG103" s="35"/>
      <c r="AH103" s="35"/>
      <c r="AI103" s="35"/>
      <c r="AJ103" s="35"/>
      <c r="AK103" s="35"/>
      <c r="AL103" s="35"/>
      <c r="AM103" s="35"/>
      <c r="AN103" s="35"/>
      <c r="AO103" s="35"/>
      <c r="AP103" s="35"/>
      <c r="AQ103" s="21">
        <f t="shared" si="17"/>
        <v>-6.399999999996453E-2</v>
      </c>
      <c r="AR103" s="21">
        <f t="shared" si="18"/>
        <v>6.399999999996453E-2</v>
      </c>
      <c r="AV103" s="36">
        <f ca="1">$Q44-'246'!$Q44-$AQ$123</f>
        <v>3.1267298605825999E-3</v>
      </c>
      <c r="AW103" s="2"/>
    </row>
    <row r="104" spans="19:49">
      <c r="S104" s="35"/>
      <c r="T104" s="35"/>
      <c r="U104" s="35"/>
      <c r="V104" s="35"/>
      <c r="W104" s="35"/>
      <c r="X104" s="35"/>
      <c r="Y104" s="35"/>
      <c r="Z104" s="35"/>
      <c r="AA104" s="35">
        <f ca="1">IF(AA45&lt;&gt;"", AA45-'246'!AA45-$AQ$123,"")</f>
        <v>3.1267298605825999E-3</v>
      </c>
      <c r="AB104" s="35">
        <f ca="1">IF(AB45&lt;&gt;"", AB45-'246'!AB45-$AQ$123,"")</f>
        <v>5.2240587300502739E-3</v>
      </c>
      <c r="AC104" s="35"/>
      <c r="AD104" s="35"/>
      <c r="AE104" s="35"/>
      <c r="AF104" s="35"/>
      <c r="AG104" s="35"/>
      <c r="AH104" s="35"/>
      <c r="AI104" s="35"/>
      <c r="AJ104" s="35"/>
      <c r="AK104" s="35"/>
      <c r="AL104" s="35"/>
      <c r="AM104" s="35"/>
      <c r="AN104" s="35"/>
      <c r="AO104" s="35"/>
      <c r="AP104" s="35"/>
      <c r="AQ104" s="21">
        <f t="shared" si="17"/>
        <v>-6.399999999996453E-2</v>
      </c>
      <c r="AR104" s="21">
        <f t="shared" si="18"/>
        <v>6.399999999996453E-2</v>
      </c>
      <c r="AV104" s="36">
        <f ca="1">$Q45-'246'!$Q45-$AQ$123</f>
        <v>5.2240587300502739E-3</v>
      </c>
      <c r="AW104" s="2"/>
    </row>
    <row r="105" spans="19:49">
      <c r="S105" s="35"/>
      <c r="T105" s="35"/>
      <c r="U105" s="35"/>
      <c r="V105" s="35"/>
      <c r="W105" s="35"/>
      <c r="X105" s="35"/>
      <c r="Y105" s="35"/>
      <c r="Z105" s="35"/>
      <c r="AA105" s="35"/>
      <c r="AB105" s="35">
        <f ca="1">IF(AB46&lt;&gt;"", AB46-'246'!AB46-$AQ$123,"")</f>
        <v>5.2240587300502739E-3</v>
      </c>
      <c r="AC105" s="35">
        <f ca="1">IF(AC46&lt;&gt;"", AC46-'246'!AC46-$AQ$123,"")</f>
        <v>1.1021355043283165E-2</v>
      </c>
      <c r="AD105" s="35"/>
      <c r="AE105" s="35"/>
      <c r="AF105" s="35"/>
      <c r="AG105" s="35"/>
      <c r="AH105" s="35"/>
      <c r="AI105" s="35"/>
      <c r="AJ105" s="35"/>
      <c r="AK105" s="35"/>
      <c r="AL105" s="35"/>
      <c r="AM105" s="35"/>
      <c r="AN105" s="35"/>
      <c r="AO105" s="35"/>
      <c r="AP105" s="35"/>
      <c r="AQ105" s="21">
        <f t="shared" si="17"/>
        <v>-6.399999999996453E-2</v>
      </c>
      <c r="AR105" s="21">
        <f t="shared" si="18"/>
        <v>6.399999999996453E-2</v>
      </c>
      <c r="AV105" s="36">
        <f ca="1">$Q46-'246'!$Q46-$AQ$123</f>
        <v>1.1021355043283165E-2</v>
      </c>
      <c r="AW105" s="2"/>
    </row>
    <row r="106" spans="19:49">
      <c r="S106" s="35"/>
      <c r="T106" s="35"/>
      <c r="U106" s="35"/>
      <c r="V106" s="35"/>
      <c r="W106" s="35"/>
      <c r="X106" s="35"/>
      <c r="Y106" s="35"/>
      <c r="Z106" s="35"/>
      <c r="AA106" s="35"/>
      <c r="AB106" s="35"/>
      <c r="AC106" s="35">
        <f ca="1">IF(AC47&lt;&gt;"", AC47-'246'!AC47-$AQ$123,"")</f>
        <v>1.1021355043283165E-2</v>
      </c>
      <c r="AD106" s="35">
        <f ca="1">IF(AD47&lt;&gt;"", AD47-'246'!AD47-$AQ$123,"")</f>
        <v>1.3949361905929436E-2</v>
      </c>
      <c r="AE106" s="35"/>
      <c r="AF106" s="35"/>
      <c r="AG106" s="35"/>
      <c r="AH106" s="35"/>
      <c r="AI106" s="35"/>
      <c r="AJ106" s="35"/>
      <c r="AK106" s="35"/>
      <c r="AL106" s="35"/>
      <c r="AM106" s="35"/>
      <c r="AN106" s="35"/>
      <c r="AO106" s="35"/>
      <c r="AP106" s="35"/>
      <c r="AQ106" s="21">
        <f t="shared" si="17"/>
        <v>-6.399999999996453E-2</v>
      </c>
      <c r="AR106" s="21">
        <f t="shared" si="18"/>
        <v>6.399999999996453E-2</v>
      </c>
      <c r="AV106" s="36">
        <f ca="1">$Q47-'246'!$Q47-$AQ$123</f>
        <v>1.3949361905929436E-2</v>
      </c>
      <c r="AW106" s="2"/>
    </row>
    <row r="107" spans="19:49">
      <c r="S107" s="35"/>
      <c r="T107" s="35"/>
      <c r="U107" s="35"/>
      <c r="V107" s="35"/>
      <c r="W107" s="35"/>
      <c r="X107" s="35"/>
      <c r="Y107" s="35"/>
      <c r="Z107" s="35"/>
      <c r="AA107" s="35"/>
      <c r="AB107" s="35"/>
      <c r="AC107" s="35"/>
      <c r="AD107" s="35">
        <f ca="1">IF(AD48&lt;&gt;"", AD48-'246'!AD48-$AQ$123,"")</f>
        <v>1.3949361905929436E-2</v>
      </c>
      <c r="AE107" s="35">
        <f ca="1">IF(AE48&lt;&gt;"", AE48-'246'!AE48-$AQ$123,"")</f>
        <v>1.3080025970907627E-2</v>
      </c>
      <c r="AF107" s="35"/>
      <c r="AG107" s="35"/>
      <c r="AH107" s="35"/>
      <c r="AI107" s="35"/>
      <c r="AJ107" s="35"/>
      <c r="AK107" s="35"/>
      <c r="AL107" s="35"/>
      <c r="AM107" s="35"/>
      <c r="AN107" s="35"/>
      <c r="AO107" s="35"/>
      <c r="AP107" s="35"/>
      <c r="AQ107" s="21">
        <f t="shared" si="17"/>
        <v>-6.399999999996453E-2</v>
      </c>
      <c r="AR107" s="21">
        <f t="shared" si="18"/>
        <v>6.399999999996453E-2</v>
      </c>
      <c r="AV107" s="36">
        <f ca="1">$Q48-'246'!$Q48-$AQ$123</f>
        <v>1.3080025970907627E-2</v>
      </c>
      <c r="AW107" s="2"/>
    </row>
    <row r="108" spans="19:49">
      <c r="S108" s="35"/>
      <c r="T108" s="35"/>
      <c r="U108" s="35"/>
      <c r="V108" s="35"/>
      <c r="W108" s="35"/>
      <c r="X108" s="35"/>
      <c r="Y108" s="35"/>
      <c r="Z108" s="35"/>
      <c r="AA108" s="35"/>
      <c r="AB108" s="35"/>
      <c r="AC108" s="35"/>
      <c r="AD108" s="35"/>
      <c r="AE108" s="35">
        <f ca="1">IF(AE49&lt;&gt;"", AE49-'246'!AE49-$AQ$123,"")</f>
        <v>1.3080025970907627E-2</v>
      </c>
      <c r="AF108" s="35">
        <f ca="1">IF(AF49&lt;&gt;"", AF49-'246'!AF49-$AQ$123,"")</f>
        <v>9.1706413192014224E-3</v>
      </c>
      <c r="AG108" s="35"/>
      <c r="AH108" s="35"/>
      <c r="AI108" s="35"/>
      <c r="AJ108" s="35"/>
      <c r="AK108" s="35"/>
      <c r="AL108" s="35"/>
      <c r="AM108" s="35"/>
      <c r="AN108" s="35"/>
      <c r="AO108" s="35"/>
      <c r="AP108" s="35"/>
      <c r="AQ108" s="21">
        <f t="shared" si="17"/>
        <v>-6.399999999996453E-2</v>
      </c>
      <c r="AR108" s="21">
        <f t="shared" si="18"/>
        <v>6.399999999996453E-2</v>
      </c>
      <c r="AV108" s="36">
        <f ca="1">$Q49-'246'!$Q49-$AQ$123</f>
        <v>9.1706413192014224E-3</v>
      </c>
      <c r="AW108" s="2"/>
    </row>
    <row r="109" spans="19:49">
      <c r="S109" s="35"/>
      <c r="T109" s="35"/>
      <c r="U109" s="35"/>
      <c r="V109" s="35"/>
      <c r="W109" s="35"/>
      <c r="X109" s="35"/>
      <c r="Y109" s="35"/>
      <c r="Z109" s="35"/>
      <c r="AA109" s="35"/>
      <c r="AB109" s="35"/>
      <c r="AC109" s="35"/>
      <c r="AD109" s="35"/>
      <c r="AE109" s="35"/>
      <c r="AF109" s="35">
        <f ca="1">IF(AF50&lt;&gt;"", AF50-'246'!AF50-$AQ$123,"")</f>
        <v>9.1706413192014224E-3</v>
      </c>
      <c r="AG109" s="35">
        <f ca="1">IF(AG50&lt;&gt;"", AG50-'246'!AG50-$AQ$123,"")</f>
        <v>4.7932266377301858E-3</v>
      </c>
      <c r="AH109" s="35"/>
      <c r="AI109" s="35"/>
      <c r="AJ109" s="35"/>
      <c r="AK109" s="35"/>
      <c r="AL109" s="35"/>
      <c r="AM109" s="35"/>
      <c r="AN109" s="35"/>
      <c r="AO109" s="35"/>
      <c r="AP109" s="35"/>
      <c r="AQ109" s="21">
        <f t="shared" si="17"/>
        <v>-6.399999999996453E-2</v>
      </c>
      <c r="AR109" s="21">
        <f t="shared" si="18"/>
        <v>6.399999999996453E-2</v>
      </c>
      <c r="AV109" s="36">
        <f ca="1">$Q50-'246'!$Q50-$AQ$123</f>
        <v>4.7932266377301858E-3</v>
      </c>
      <c r="AW109" s="2"/>
    </row>
    <row r="110" spans="19:49">
      <c r="S110" s="35"/>
      <c r="T110" s="35"/>
      <c r="U110" s="35"/>
      <c r="V110" s="35"/>
      <c r="W110" s="35"/>
      <c r="X110" s="35"/>
      <c r="Y110" s="35"/>
      <c r="Z110" s="35"/>
      <c r="AA110" s="35"/>
      <c r="AB110" s="35"/>
      <c r="AC110" s="35"/>
      <c r="AD110" s="35"/>
      <c r="AE110" s="35"/>
      <c r="AF110" s="35"/>
      <c r="AG110" s="35">
        <f ca="1">IF(AG51&lt;&gt;"", AG51-'246'!AG51-$AQ$123,"")</f>
        <v>4.7932266377301858E-3</v>
      </c>
      <c r="AH110" s="35">
        <f ca="1">IF(AH51&lt;&gt;"", AH51-'246'!AH51-$AQ$123,"")</f>
        <v>6.9919013222374815E-3</v>
      </c>
      <c r="AI110" s="35"/>
      <c r="AJ110" s="35"/>
      <c r="AK110" s="35"/>
      <c r="AL110" s="35"/>
      <c r="AM110" s="35"/>
      <c r="AN110" s="35"/>
      <c r="AO110" s="35"/>
      <c r="AP110" s="35"/>
      <c r="AQ110" s="21">
        <f t="shared" si="17"/>
        <v>-6.399999999996453E-2</v>
      </c>
      <c r="AR110" s="21">
        <f t="shared" si="18"/>
        <v>6.399999999996453E-2</v>
      </c>
      <c r="AV110" s="36">
        <f ca="1">$Q51-'246'!$Q51-$AQ$123</f>
        <v>6.9919013222374815E-3</v>
      </c>
      <c r="AW110" s="2"/>
    </row>
    <row r="111" spans="19:49">
      <c r="S111" s="35"/>
      <c r="T111" s="35"/>
      <c r="U111" s="35"/>
      <c r="V111" s="35"/>
      <c r="W111" s="35"/>
      <c r="X111" s="35"/>
      <c r="Y111" s="35"/>
      <c r="Z111" s="35"/>
      <c r="AA111" s="35"/>
      <c r="AB111" s="35"/>
      <c r="AC111" s="35"/>
      <c r="AD111" s="35"/>
      <c r="AE111" s="35"/>
      <c r="AF111" s="35"/>
      <c r="AG111" s="35"/>
      <c r="AH111" s="35">
        <f ca="1">IF(AH52&lt;&gt;"", AH52-'246'!AH52-$AQ$123,"")</f>
        <v>6.9919013222374815E-3</v>
      </c>
      <c r="AI111" s="35">
        <f ca="1">IF(AI52&lt;&gt;"", AI52-'246'!AI52-$AQ$123,"")</f>
        <v>1.4506642414289672E-2</v>
      </c>
      <c r="AJ111" s="35"/>
      <c r="AK111" s="35"/>
      <c r="AL111" s="35"/>
      <c r="AM111" s="35"/>
      <c r="AN111" s="35"/>
      <c r="AO111" s="35"/>
      <c r="AP111" s="35"/>
      <c r="AQ111" s="21">
        <f t="shared" si="17"/>
        <v>-6.399999999996453E-2</v>
      </c>
      <c r="AR111" s="21">
        <f t="shared" si="18"/>
        <v>6.399999999996453E-2</v>
      </c>
      <c r="AV111" s="36">
        <f ca="1">$Q52-'246'!$Q52-$AQ$123</f>
        <v>1.4506642414289672E-2</v>
      </c>
      <c r="AW111" s="2"/>
    </row>
    <row r="112" spans="19:49">
      <c r="S112" s="35"/>
      <c r="T112" s="35"/>
      <c r="U112" s="35"/>
      <c r="V112" s="35"/>
      <c r="W112" s="35"/>
      <c r="X112" s="35"/>
      <c r="Y112" s="35"/>
      <c r="Z112" s="35"/>
      <c r="AA112" s="35"/>
      <c r="AB112" s="35"/>
      <c r="AC112" s="35"/>
      <c r="AD112" s="35"/>
      <c r="AE112" s="35"/>
      <c r="AF112" s="35"/>
      <c r="AG112" s="35"/>
      <c r="AH112" s="35"/>
      <c r="AI112" s="35">
        <f ca="1">IF(AI53&lt;&gt;"", AI53-'246'!AI53-$AQ$123,"")</f>
        <v>1.4506642414289672E-2</v>
      </c>
      <c r="AJ112" s="35">
        <f ca="1">IF(AJ53&lt;&gt;"", AJ53-'246'!AJ53-$AQ$123,"")</f>
        <v>2.024932977235494E-2</v>
      </c>
      <c r="AK112" s="35"/>
      <c r="AL112" s="35"/>
      <c r="AM112" s="35"/>
      <c r="AN112" s="35"/>
      <c r="AO112" s="35"/>
      <c r="AP112" s="35"/>
      <c r="AQ112" s="21">
        <f t="shared" si="17"/>
        <v>-6.399999999996453E-2</v>
      </c>
      <c r="AR112" s="21">
        <f t="shared" si="18"/>
        <v>6.399999999996453E-2</v>
      </c>
      <c r="AV112" s="36">
        <f ca="1">$Q53-'246'!$Q53-$AQ$123</f>
        <v>2.024932977235494E-2</v>
      </c>
      <c r="AW112" s="2"/>
    </row>
    <row r="113" spans="19:49">
      <c r="S113" s="35"/>
      <c r="T113" s="35"/>
      <c r="U113" s="35"/>
      <c r="V113" s="35"/>
      <c r="W113" s="35"/>
      <c r="X113" s="35"/>
      <c r="Y113" s="35"/>
      <c r="Z113" s="35"/>
      <c r="AA113" s="35"/>
      <c r="AB113" s="35"/>
      <c r="AC113" s="35"/>
      <c r="AD113" s="35"/>
      <c r="AE113" s="35"/>
      <c r="AF113" s="35"/>
      <c r="AG113" s="35"/>
      <c r="AH113" s="35"/>
      <c r="AI113" s="35"/>
      <c r="AJ113" s="35">
        <f ca="1">IF(AJ54&lt;&gt;"", AJ54-'246'!AJ54-$AQ$123,"")</f>
        <v>2.024932977235494E-2</v>
      </c>
      <c r="AK113" s="35">
        <f ca="1">IF(AK54&lt;&gt;"", AK54-'246'!AK54-$AQ$123,"")</f>
        <v>2.8143997048459823E-2</v>
      </c>
      <c r="AL113" s="35"/>
      <c r="AM113" s="35"/>
      <c r="AN113" s="35"/>
      <c r="AO113" s="35"/>
      <c r="AP113" s="35"/>
      <c r="AQ113" s="21">
        <f t="shared" si="17"/>
        <v>-6.399999999996453E-2</v>
      </c>
      <c r="AR113" s="21">
        <f t="shared" si="18"/>
        <v>6.399999999996453E-2</v>
      </c>
      <c r="AV113" s="36">
        <f ca="1">$Q54-'246'!$Q54-$AQ$123</f>
        <v>2.8143997048459823E-2</v>
      </c>
      <c r="AW113" s="2"/>
    </row>
    <row r="114" spans="19:49">
      <c r="S114" s="35"/>
      <c r="T114" s="35"/>
      <c r="U114" s="35"/>
      <c r="V114" s="35"/>
      <c r="W114" s="35"/>
      <c r="X114" s="35"/>
      <c r="Y114" s="35"/>
      <c r="Z114" s="35"/>
      <c r="AA114" s="35"/>
      <c r="AB114" s="35"/>
      <c r="AC114" s="35"/>
      <c r="AD114" s="35"/>
      <c r="AE114" s="35"/>
      <c r="AF114" s="35"/>
      <c r="AG114" s="35"/>
      <c r="AH114" s="35"/>
      <c r="AI114" s="35"/>
      <c r="AJ114" s="35"/>
      <c r="AK114" s="35">
        <f ca="1">IF(AK55&lt;&gt;"", AK55-'246'!AK55-$AQ$123,"")</f>
        <v>2.8143997048459823E-2</v>
      </c>
      <c r="AL114" s="35">
        <f ca="1">IF(AL55&lt;&gt;"", AL55-'246'!AL55-$AQ$123,"")</f>
        <v>2.9786666901713943E-2</v>
      </c>
      <c r="AM114" s="35"/>
      <c r="AN114" s="35"/>
      <c r="AO114" s="35"/>
      <c r="AP114" s="35"/>
      <c r="AQ114" s="21">
        <f t="shared" si="17"/>
        <v>-6.399999999996453E-2</v>
      </c>
      <c r="AR114" s="21">
        <f t="shared" si="18"/>
        <v>6.399999999996453E-2</v>
      </c>
      <c r="AV114" s="36">
        <f ca="1">$Q55-'246'!$Q55-$AQ$123</f>
        <v>2.9786666901713943E-2</v>
      </c>
      <c r="AW114" s="2"/>
    </row>
    <row r="115" spans="19:49">
      <c r="S115" s="35"/>
      <c r="T115" s="35"/>
      <c r="U115" s="35"/>
      <c r="V115" s="35"/>
      <c r="W115" s="35"/>
      <c r="X115" s="35"/>
      <c r="Y115" s="35"/>
      <c r="Z115" s="35"/>
      <c r="AA115" s="35"/>
      <c r="AB115" s="35"/>
      <c r="AC115" s="35"/>
      <c r="AD115" s="35"/>
      <c r="AE115" s="35"/>
      <c r="AF115" s="35"/>
      <c r="AG115" s="35"/>
      <c r="AH115" s="35"/>
      <c r="AI115" s="35"/>
      <c r="AJ115" s="35"/>
      <c r="AK115" s="35"/>
      <c r="AL115" s="35">
        <f ca="1">IF(AL56&lt;&gt;"", AL56-'246'!AL56-$AQ$123,"")</f>
        <v>2.9786666901713943E-2</v>
      </c>
      <c r="AM115" s="35">
        <f ca="1">IF(AM56&lt;&gt;"", AM56-'246'!AM56-$AQ$123,"")</f>
        <v>1.6497336479687874E-2</v>
      </c>
      <c r="AN115" s="35"/>
      <c r="AO115" s="35"/>
      <c r="AP115" s="35"/>
      <c r="AQ115" s="21">
        <f t="shared" si="17"/>
        <v>-6.399999999996453E-2</v>
      </c>
      <c r="AR115" s="21">
        <f t="shared" si="18"/>
        <v>6.399999999996453E-2</v>
      </c>
      <c r="AV115" s="36">
        <f ca="1">$Q56-'246'!$Q56-$AQ$123</f>
        <v>1.6497336479687874E-2</v>
      </c>
      <c r="AW115" s="2"/>
    </row>
    <row r="116" spans="19:49">
      <c r="S116" s="35"/>
      <c r="T116" s="35"/>
      <c r="U116" s="35"/>
      <c r="V116" s="35"/>
      <c r="W116" s="35"/>
      <c r="X116" s="35"/>
      <c r="Y116" s="35"/>
      <c r="Z116" s="35"/>
      <c r="AA116" s="35"/>
      <c r="AB116" s="35"/>
      <c r="AC116" s="35"/>
      <c r="AD116" s="35"/>
      <c r="AE116" s="35"/>
      <c r="AF116" s="35"/>
      <c r="AG116" s="35"/>
      <c r="AH116" s="35"/>
      <c r="AI116" s="35"/>
      <c r="AJ116" s="35"/>
      <c r="AK116" s="35"/>
      <c r="AL116" s="35"/>
      <c r="AM116" s="35">
        <f ca="1">IF(AM57&lt;&gt;"", AM57-'246'!AM57-$AQ$123,"")</f>
        <v>1.6497336479687874E-2</v>
      </c>
      <c r="AN116" s="35">
        <f ca="1">IF(AN57&lt;&gt;"", AN57-'246'!AN57-$AQ$123,"")</f>
        <v>6.2320024769633164E-3</v>
      </c>
      <c r="AO116" s="35"/>
      <c r="AP116" s="35"/>
      <c r="AQ116" s="21">
        <f t="shared" si="17"/>
        <v>-6.399999999996453E-2</v>
      </c>
      <c r="AR116" s="21">
        <f t="shared" si="18"/>
        <v>6.399999999996453E-2</v>
      </c>
      <c r="AV116" s="36">
        <f ca="1">$Q57-'246'!$Q57-$AQ$123</f>
        <v>6.2320024769633164E-3</v>
      </c>
      <c r="AW116" s="2"/>
    </row>
    <row r="117" spans="19:49">
      <c r="S117" s="35"/>
      <c r="T117" s="35"/>
      <c r="U117" s="35"/>
      <c r="V117" s="35"/>
      <c r="W117" s="35"/>
      <c r="X117" s="35"/>
      <c r="Y117" s="35"/>
      <c r="Z117" s="35"/>
      <c r="AA117" s="35"/>
      <c r="AB117" s="35"/>
      <c r="AC117" s="35"/>
      <c r="AD117" s="35"/>
      <c r="AE117" s="35"/>
      <c r="AF117" s="35"/>
      <c r="AG117" s="35"/>
      <c r="AH117" s="35"/>
      <c r="AI117" s="35"/>
      <c r="AJ117" s="35"/>
      <c r="AK117" s="35"/>
      <c r="AL117" s="35"/>
      <c r="AM117" s="35"/>
      <c r="AN117" s="35">
        <f ca="1">IF(AN58&lt;&gt;"", AN58-'246'!AN58-$AQ$123,"")</f>
        <v>6.2320024769633164E-3</v>
      </c>
      <c r="AO117" s="35">
        <f ca="1">IF(AO58&lt;&gt;"", AO58-'246'!AO58-$AQ$123,"")</f>
        <v>7.778730620202623E-3</v>
      </c>
      <c r="AP117" s="35"/>
      <c r="AQ117" s="21">
        <f t="shared" si="17"/>
        <v>-6.399999999996453E-2</v>
      </c>
      <c r="AR117" s="21">
        <f t="shared" si="18"/>
        <v>6.399999999996453E-2</v>
      </c>
      <c r="AV117" s="36">
        <f ca="1">$Q58-'246'!$Q58-$AQ$123</f>
        <v>7.778730620202623E-3</v>
      </c>
      <c r="AW117" s="2"/>
    </row>
    <row r="118" spans="19:49">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f ca="1">IF(AO59&lt;&gt;"", AO59-'246'!AO59-$AQ$123,"")</f>
        <v>7.778730620202623E-3</v>
      </c>
      <c r="AP118" s="39">
        <f ca="1">IF(AP59&lt;&gt;"", AP59-'246'!AP59-$AQ$123,"")</f>
        <v>1.1884158659370314E-2</v>
      </c>
      <c r="AQ118" s="21">
        <f t="shared" si="17"/>
        <v>-6.399999999996453E-2</v>
      </c>
      <c r="AR118" s="21">
        <f t="shared" si="18"/>
        <v>6.399999999996453E-2</v>
      </c>
      <c r="AV118" s="36">
        <f ca="1">$Q59-'246'!$Q59-$AQ$123</f>
        <v>1.1884158659370314E-2</v>
      </c>
    </row>
    <row r="120" spans="19:49">
      <c r="AQ120" t="s">
        <v>355</v>
      </c>
      <c r="AR120" t="s">
        <v>356</v>
      </c>
    </row>
    <row r="121" spans="19:49">
      <c r="AQ121">
        <f>AQ36-'246'!AR36</f>
        <v>1.7860000000000582</v>
      </c>
      <c r="AR121">
        <f>AR36-'246'!AQ36</f>
        <v>1.9139999999999873</v>
      </c>
    </row>
    <row r="122" spans="19:49">
      <c r="AQ122" t="s">
        <v>357</v>
      </c>
    </row>
    <row r="123" spans="19:49">
      <c r="AQ123">
        <f>AVERAGE(AQ121:AR121)</f>
        <v>1.8500000000000227</v>
      </c>
    </row>
  </sheetData>
  <mergeCells count="2">
    <mergeCell ref="J9:J10"/>
    <mergeCell ref="U9:U10"/>
  </mergeCells>
  <phoneticPr fontId="2"/>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tabColor rgb="FFFFC000"/>
  </sheetPr>
  <dimension ref="A1:AX115"/>
  <sheetViews>
    <sheetView zoomScale="70" zoomScaleNormal="70" workbookViewId="0">
      <selection activeCell="M11" sqref="M11"/>
    </sheetView>
  </sheetViews>
  <sheetFormatPr defaultRowHeight="15"/>
  <cols>
    <col min="1" max="1" width="24.42578125" customWidth="1"/>
    <col min="10" max="14" width="8.5703125" style="5"/>
    <col min="43" max="43" width="9.42578125" bestFit="1" customWidth="1"/>
  </cols>
  <sheetData>
    <row r="1" spans="1:27">
      <c r="A1" s="124" t="s">
        <v>978</v>
      </c>
      <c r="B1" s="124"/>
      <c r="C1" s="124"/>
      <c r="D1" s="124"/>
      <c r="E1" s="124"/>
      <c r="F1" s="124"/>
      <c r="G1" s="124"/>
      <c r="I1" s="126" t="s">
        <v>359</v>
      </c>
      <c r="Y1" s="2"/>
      <c r="Z1" s="2"/>
      <c r="AA1" s="2"/>
    </row>
    <row r="2" spans="1:27">
      <c r="A2" s="124" t="s">
        <v>449</v>
      </c>
      <c r="B2" s="124" t="s">
        <v>450</v>
      </c>
      <c r="C2" s="124">
        <v>844.96299999999997</v>
      </c>
      <c r="D2" s="124" t="s">
        <v>451</v>
      </c>
      <c r="E2" s="124">
        <v>844.93600000000004</v>
      </c>
      <c r="F2" s="124"/>
      <c r="G2" s="124"/>
      <c r="Y2" s="2"/>
      <c r="Z2" s="2"/>
      <c r="AA2" s="2"/>
    </row>
    <row r="3" spans="1:27">
      <c r="A3" s="124" t="s">
        <v>979</v>
      </c>
      <c r="B3" s="124" t="s">
        <v>408</v>
      </c>
      <c r="C3" s="124">
        <v>2.7E-2</v>
      </c>
      <c r="D3" s="124" t="s">
        <v>453</v>
      </c>
      <c r="E3" s="124">
        <v>5.0999999999999997E-2</v>
      </c>
      <c r="F3" s="124" t="s">
        <v>406</v>
      </c>
      <c r="G3" s="124"/>
      <c r="Y3" s="2"/>
      <c r="Z3" s="2"/>
      <c r="AA3" s="2"/>
    </row>
    <row r="4" spans="1:27">
      <c r="A4" s="127" t="s">
        <v>980</v>
      </c>
      <c r="B4" s="124" t="s">
        <v>455</v>
      </c>
      <c r="C4" s="124">
        <v>-5.0999999999999997E-2</v>
      </c>
      <c r="D4" s="124"/>
      <c r="E4" s="124"/>
      <c r="F4" s="124"/>
      <c r="G4" s="124"/>
      <c r="J4" s="5" t="s">
        <v>342</v>
      </c>
      <c r="Y4" s="2"/>
      <c r="Z4" s="2"/>
      <c r="AA4" s="2"/>
    </row>
    <row r="5" spans="1:27">
      <c r="A5" s="124" t="s">
        <v>1034</v>
      </c>
      <c r="B5" s="124"/>
      <c r="C5" s="124" t="s">
        <v>411</v>
      </c>
      <c r="D5" s="124"/>
      <c r="E5" s="124"/>
      <c r="F5" s="124"/>
      <c r="G5" s="124"/>
      <c r="L5" s="6" t="s">
        <v>1</v>
      </c>
      <c r="M5" s="6">
        <v>844.93600000000004</v>
      </c>
      <c r="Y5" s="2"/>
      <c r="Z5" s="2"/>
      <c r="AA5" s="2"/>
    </row>
    <row r="6" spans="1:27">
      <c r="A6" s="124" t="s">
        <v>412</v>
      </c>
      <c r="B6" s="124" t="s">
        <v>413</v>
      </c>
      <c r="C6" s="124">
        <v>422.40300000000002</v>
      </c>
      <c r="D6" s="124"/>
      <c r="E6" s="124"/>
      <c r="F6" s="124"/>
      <c r="G6" s="124"/>
      <c r="L6" s="6" t="s">
        <v>2</v>
      </c>
      <c r="M6" s="13">
        <f>M5+0.051</f>
        <v>844.98700000000008</v>
      </c>
      <c r="Y6" s="2"/>
      <c r="Z6" s="2"/>
      <c r="AA6" s="2"/>
    </row>
    <row r="7" spans="1:27">
      <c r="A7" s="124" t="s">
        <v>981</v>
      </c>
      <c r="B7" s="124" t="s">
        <v>415</v>
      </c>
      <c r="C7" s="124">
        <v>-2E-3</v>
      </c>
      <c r="D7" s="124"/>
      <c r="E7" s="124"/>
      <c r="F7" s="124"/>
      <c r="G7" s="124"/>
      <c r="L7" s="6" t="s">
        <v>3</v>
      </c>
      <c r="M7" s="13">
        <f>M5-0.051</f>
        <v>844.88499999999999</v>
      </c>
      <c r="Y7" s="2"/>
      <c r="Z7" s="2"/>
      <c r="AA7" s="2"/>
    </row>
    <row r="8" spans="1:27">
      <c r="A8" s="127" t="s">
        <v>982</v>
      </c>
      <c r="B8" s="124" t="s">
        <v>417</v>
      </c>
      <c r="C8" s="124">
        <v>-2.569</v>
      </c>
      <c r="D8" s="124"/>
      <c r="E8" s="124"/>
      <c r="F8" s="124"/>
      <c r="G8" s="124"/>
      <c r="U8" s="5"/>
      <c r="V8" s="5"/>
      <c r="Y8" s="2"/>
      <c r="Z8" s="2"/>
      <c r="AA8" s="2"/>
    </row>
    <row r="9" spans="1:27">
      <c r="A9" s="124" t="s">
        <v>412</v>
      </c>
      <c r="B9" s="124" t="s">
        <v>413</v>
      </c>
      <c r="C9" s="124">
        <v>422.40499999999997</v>
      </c>
      <c r="D9" s="124"/>
      <c r="E9" s="124"/>
      <c r="F9" s="124"/>
      <c r="G9" s="124"/>
      <c r="H9" s="5"/>
      <c r="I9" s="9" t="s">
        <v>316</v>
      </c>
      <c r="J9" s="144" t="s">
        <v>360</v>
      </c>
      <c r="K9" s="120" t="s">
        <v>6</v>
      </c>
      <c r="L9" s="120" t="s">
        <v>7</v>
      </c>
      <c r="M9" s="120" t="s">
        <v>8</v>
      </c>
      <c r="P9" s="11" t="s">
        <v>317</v>
      </c>
      <c r="Q9" s="2"/>
      <c r="S9" s="5"/>
      <c r="T9" s="9"/>
      <c r="U9" s="144"/>
      <c r="V9" s="80"/>
      <c r="W9" s="80"/>
      <c r="Y9" s="13"/>
      <c r="Z9" s="13"/>
      <c r="AA9" s="13"/>
    </row>
    <row r="10" spans="1:27">
      <c r="A10" s="124" t="s">
        <v>983</v>
      </c>
      <c r="B10" s="124" t="s">
        <v>415</v>
      </c>
      <c r="C10" s="124">
        <v>2E-3</v>
      </c>
      <c r="D10" s="124"/>
      <c r="E10" s="124"/>
      <c r="F10" s="124"/>
      <c r="G10" s="124"/>
      <c r="H10" s="9" t="s">
        <v>318</v>
      </c>
      <c r="I10" s="9" t="s">
        <v>319</v>
      </c>
      <c r="J10" s="145"/>
      <c r="K10" s="120" t="s">
        <v>12</v>
      </c>
      <c r="L10" s="120" t="s">
        <v>12</v>
      </c>
      <c r="M10" s="120" t="s">
        <v>12</v>
      </c>
      <c r="P10" s="11" t="s">
        <v>320</v>
      </c>
      <c r="Q10" s="2"/>
      <c r="S10" s="9"/>
      <c r="T10" s="9"/>
      <c r="U10" s="145"/>
      <c r="V10" s="120"/>
      <c r="W10" s="120"/>
      <c r="Y10" s="13"/>
      <c r="Z10" s="13"/>
      <c r="AA10" s="13"/>
    </row>
    <row r="11" spans="1:27">
      <c r="A11" s="127" t="s">
        <v>984</v>
      </c>
      <c r="B11" s="124" t="s">
        <v>417</v>
      </c>
      <c r="C11" s="124">
        <v>-2.524</v>
      </c>
      <c r="D11" s="124"/>
      <c r="E11" s="124"/>
      <c r="F11" s="124"/>
      <c r="G11" s="124"/>
      <c r="H11" s="13">
        <v>1</v>
      </c>
      <c r="I11" s="13">
        <v>0</v>
      </c>
      <c r="J11" s="120">
        <v>1</v>
      </c>
      <c r="K11" s="111">
        <f>SQRT(C6^2+C7^2)</f>
        <v>422.40300000473485</v>
      </c>
      <c r="L11" s="143">
        <f>M7/2-0.129/2</f>
        <v>422.37799999999999</v>
      </c>
      <c r="M11" s="143">
        <f>M6/2+0.129/2</f>
        <v>422.55800000000005</v>
      </c>
      <c r="P11" s="13">
        <f>K11+K15</f>
        <v>844.91900000591829</v>
      </c>
      <c r="Q11" s="2"/>
      <c r="S11" s="13"/>
      <c r="T11" s="13"/>
      <c r="U11" s="120"/>
      <c r="V11" s="14"/>
      <c r="W11" s="14"/>
      <c r="Y11" s="13"/>
      <c r="Z11" s="13"/>
      <c r="AA11" s="13"/>
    </row>
    <row r="12" spans="1:27">
      <c r="A12" s="124" t="s">
        <v>412</v>
      </c>
      <c r="B12" s="124" t="s">
        <v>413</v>
      </c>
      <c r="C12" s="124">
        <v>422.66800000000001</v>
      </c>
      <c r="D12" s="124"/>
      <c r="E12" s="124"/>
      <c r="F12" s="124"/>
      <c r="G12" s="124"/>
      <c r="H12" s="13">
        <v>2</v>
      </c>
      <c r="I12" s="13">
        <f>I11+360/8</f>
        <v>45</v>
      </c>
      <c r="J12" s="120">
        <v>8</v>
      </c>
      <c r="K12" s="111">
        <f>SQRT(C27^2+C28^2)</f>
        <v>422.41899999999998</v>
      </c>
      <c r="L12" s="143">
        <f>L$11</f>
        <v>422.37799999999999</v>
      </c>
      <c r="M12" s="143">
        <f>M$11</f>
        <v>422.55800000000005</v>
      </c>
      <c r="P12" s="13">
        <f t="shared" ref="P12:P13" si="0">K12+K16</f>
        <v>845.00199999999995</v>
      </c>
      <c r="Q12" s="2"/>
      <c r="S12" s="13"/>
      <c r="T12" s="13"/>
      <c r="U12" s="120"/>
      <c r="V12" s="14"/>
      <c r="W12" s="14"/>
    </row>
    <row r="13" spans="1:27">
      <c r="A13" s="124" t="s">
        <v>985</v>
      </c>
      <c r="B13" s="124" t="s">
        <v>415</v>
      </c>
      <c r="C13" s="124">
        <v>-1E-3</v>
      </c>
      <c r="D13" s="124"/>
      <c r="E13" s="124"/>
      <c r="F13" s="124"/>
      <c r="G13" s="124"/>
      <c r="H13" s="13">
        <v>3</v>
      </c>
      <c r="I13" s="13">
        <f t="shared" ref="I13:I18" si="1">I12+360/8</f>
        <v>90</v>
      </c>
      <c r="J13" s="120">
        <v>7</v>
      </c>
      <c r="K13" s="111">
        <f>SQRT(C24^2+C25^2)</f>
        <v>422.38700000118376</v>
      </c>
      <c r="L13" s="143">
        <f t="shared" ref="L13:M18" si="2">L$11</f>
        <v>422.37799999999999</v>
      </c>
      <c r="M13" s="143">
        <f t="shared" si="2"/>
        <v>422.55800000000005</v>
      </c>
      <c r="P13" s="13">
        <f t="shared" si="0"/>
        <v>845.0550000023668</v>
      </c>
      <c r="Q13" s="2"/>
      <c r="S13" s="13"/>
      <c r="T13" s="13"/>
      <c r="U13" s="120"/>
      <c r="V13" s="14"/>
      <c r="W13" s="14"/>
    </row>
    <row r="14" spans="1:27">
      <c r="A14" s="127" t="s">
        <v>986</v>
      </c>
      <c r="B14" s="124" t="s">
        <v>417</v>
      </c>
      <c r="C14" s="124">
        <v>-2.5950000000000002</v>
      </c>
      <c r="D14" s="124"/>
      <c r="E14" s="124"/>
      <c r="F14" s="124"/>
      <c r="G14" s="124"/>
      <c r="H14" s="13">
        <v>4</v>
      </c>
      <c r="I14" s="13">
        <f t="shared" si="1"/>
        <v>135</v>
      </c>
      <c r="J14" s="120">
        <v>6</v>
      </c>
      <c r="K14" s="111">
        <f>SQRT(C21^2+C22^2)</f>
        <v>422.47800000473399</v>
      </c>
      <c r="L14" s="143">
        <f t="shared" si="2"/>
        <v>422.37799999999999</v>
      </c>
      <c r="M14" s="143">
        <f t="shared" si="2"/>
        <v>422.55800000000005</v>
      </c>
      <c r="P14" s="13">
        <f>K14+K18</f>
        <v>844.88300000946879</v>
      </c>
      <c r="Q14" s="2"/>
      <c r="S14" s="13"/>
      <c r="T14" s="13"/>
      <c r="U14" s="120"/>
      <c r="V14" s="14"/>
      <c r="W14" s="14"/>
    </row>
    <row r="15" spans="1:27">
      <c r="A15" s="124" t="s">
        <v>412</v>
      </c>
      <c r="B15" s="124" t="s">
        <v>413</v>
      </c>
      <c r="C15" s="124">
        <v>422.58300000000003</v>
      </c>
      <c r="D15" s="124"/>
      <c r="E15" s="124"/>
      <c r="F15" s="124"/>
      <c r="G15" s="124"/>
      <c r="H15" s="13">
        <v>5</v>
      </c>
      <c r="I15" s="13">
        <f t="shared" si="1"/>
        <v>180</v>
      </c>
      <c r="J15" s="120">
        <v>5</v>
      </c>
      <c r="K15" s="111">
        <f>SQRT(C18^2+C19^2)</f>
        <v>422.51600000118344</v>
      </c>
      <c r="L15" s="143">
        <f t="shared" si="2"/>
        <v>422.37799999999999</v>
      </c>
      <c r="M15" s="143">
        <f t="shared" si="2"/>
        <v>422.55800000000005</v>
      </c>
      <c r="P15" s="13"/>
      <c r="Q15" s="2"/>
      <c r="S15" s="13"/>
      <c r="T15" s="13"/>
      <c r="U15" s="120"/>
      <c r="V15" s="14"/>
      <c r="W15" s="14"/>
    </row>
    <row r="16" spans="1:27">
      <c r="A16" s="124" t="s">
        <v>987</v>
      </c>
      <c r="B16" s="124" t="s">
        <v>415</v>
      </c>
      <c r="C16" s="124">
        <v>0</v>
      </c>
      <c r="D16" s="124"/>
      <c r="E16" s="124"/>
      <c r="F16" s="124"/>
      <c r="G16" s="124"/>
      <c r="H16" s="13">
        <v>6</v>
      </c>
      <c r="I16" s="13">
        <f t="shared" si="1"/>
        <v>225</v>
      </c>
      <c r="J16" s="120">
        <v>4</v>
      </c>
      <c r="K16" s="111">
        <f>SQRT(C15^2+C16^2)</f>
        <v>422.58300000000003</v>
      </c>
      <c r="L16" s="143">
        <f t="shared" si="2"/>
        <v>422.37799999999999</v>
      </c>
      <c r="M16" s="143">
        <f t="shared" si="2"/>
        <v>422.55800000000005</v>
      </c>
      <c r="P16" s="13">
        <f>MAX(P11:P14)</f>
        <v>845.0550000023668</v>
      </c>
      <c r="Q16" s="13" t="str">
        <f>IF(P16&gt;M6, CONCATENATE("O/Max ", TEXT(P16-M6, "0.000")), "-")</f>
        <v>O/Max 0.068</v>
      </c>
      <c r="S16" s="13"/>
      <c r="T16" s="13"/>
      <c r="U16" s="120"/>
      <c r="V16" s="14"/>
      <c r="W16" s="14"/>
    </row>
    <row r="17" spans="1:44">
      <c r="A17" s="127" t="s">
        <v>988</v>
      </c>
      <c r="B17" s="124" t="s">
        <v>417</v>
      </c>
      <c r="C17" s="124">
        <v>-2.536</v>
      </c>
      <c r="D17" s="124"/>
      <c r="E17" s="124"/>
      <c r="F17" s="124"/>
      <c r="G17" s="124"/>
      <c r="H17" s="13">
        <v>7</v>
      </c>
      <c r="I17" s="13">
        <f t="shared" si="1"/>
        <v>270</v>
      </c>
      <c r="J17" s="120">
        <v>3</v>
      </c>
      <c r="K17" s="111">
        <f>SQRT(C12^2+C13^2)</f>
        <v>422.66800000118297</v>
      </c>
      <c r="L17" s="143">
        <f t="shared" si="2"/>
        <v>422.37799999999999</v>
      </c>
      <c r="M17" s="143">
        <f t="shared" si="2"/>
        <v>422.55800000000005</v>
      </c>
      <c r="P17" s="13">
        <f>MIN(P11:P14)</f>
        <v>844.88300000946879</v>
      </c>
      <c r="Q17" s="13" t="str">
        <f>IF(P17&lt;M7, CONCATENATE("U/Min ", TEXT(M7-P17, "0.000")), "-")</f>
        <v>U/Min 0.002</v>
      </c>
      <c r="S17" s="13"/>
      <c r="T17" s="13"/>
      <c r="U17" s="120"/>
      <c r="V17" s="14"/>
      <c r="W17" s="14"/>
    </row>
    <row r="18" spans="1:44">
      <c r="A18" s="124" t="s">
        <v>412</v>
      </c>
      <c r="B18" s="124" t="s">
        <v>413</v>
      </c>
      <c r="C18" s="124">
        <v>422.51600000000002</v>
      </c>
      <c r="D18" s="124"/>
      <c r="E18" s="124"/>
      <c r="F18" s="124"/>
      <c r="G18" s="124"/>
      <c r="H18" s="13">
        <v>8</v>
      </c>
      <c r="I18" s="13">
        <f t="shared" si="1"/>
        <v>315</v>
      </c>
      <c r="J18" s="120">
        <v>2</v>
      </c>
      <c r="K18" s="111">
        <f>SQRT(C9^2+C10^2)</f>
        <v>422.4050000047348</v>
      </c>
      <c r="L18" s="143">
        <f t="shared" si="2"/>
        <v>422.37799999999999</v>
      </c>
      <c r="M18" s="143">
        <f t="shared" si="2"/>
        <v>422.55800000000005</v>
      </c>
      <c r="P18" s="13"/>
      <c r="Q18" s="2"/>
      <c r="S18" s="13"/>
      <c r="T18" s="13"/>
      <c r="U18" s="120"/>
      <c r="V18" s="14"/>
      <c r="W18" s="14"/>
    </row>
    <row r="19" spans="1:44">
      <c r="A19" s="124" t="s">
        <v>989</v>
      </c>
      <c r="B19" s="124" t="s">
        <v>415</v>
      </c>
      <c r="C19" s="124">
        <v>-1E-3</v>
      </c>
      <c r="D19" s="124"/>
      <c r="E19" s="124"/>
      <c r="F19" s="124"/>
      <c r="G19" s="124"/>
      <c r="H19" s="13">
        <v>9</v>
      </c>
      <c r="I19" s="13">
        <v>360</v>
      </c>
      <c r="J19" s="120">
        <v>1</v>
      </c>
      <c r="K19" s="15">
        <f>K11</f>
        <v>422.40300000473485</v>
      </c>
      <c r="S19" s="13"/>
      <c r="T19" s="13"/>
      <c r="U19" s="120"/>
    </row>
    <row r="20" spans="1:44">
      <c r="A20" s="127" t="s">
        <v>990</v>
      </c>
      <c r="B20" s="124" t="s">
        <v>417</v>
      </c>
      <c r="C20" s="124">
        <v>-2.544</v>
      </c>
      <c r="D20" s="124"/>
      <c r="E20" s="124"/>
      <c r="F20" s="124"/>
      <c r="G20" s="124"/>
      <c r="J20" s="120" t="s">
        <v>321</v>
      </c>
      <c r="K20" s="5">
        <f>MAX(K11:K18)</f>
        <v>422.66800000118297</v>
      </c>
      <c r="L20" s="15" t="s">
        <v>322</v>
      </c>
      <c r="M20" s="15">
        <f>IF(K20&gt;M11, K20-M11, "-")</f>
        <v>0.11000000118292519</v>
      </c>
    </row>
    <row r="21" spans="1:44">
      <c r="A21" s="124" t="s">
        <v>412</v>
      </c>
      <c r="B21" s="124" t="s">
        <v>413</v>
      </c>
      <c r="C21" s="124">
        <v>422.47800000000001</v>
      </c>
      <c r="D21" s="124"/>
      <c r="E21" s="124"/>
      <c r="F21" s="124"/>
      <c r="G21" s="124"/>
      <c r="J21" s="120" t="s">
        <v>323</v>
      </c>
      <c r="K21" s="15">
        <f>MIN(K11:K18)</f>
        <v>422.38700000118376</v>
      </c>
      <c r="L21" s="15" t="s">
        <v>324</v>
      </c>
      <c r="M21" s="15" t="str">
        <f>IF(K21&lt;L11, K21-L11, "-")</f>
        <v>-</v>
      </c>
    </row>
    <row r="22" spans="1:44">
      <c r="A22" s="124" t="s">
        <v>991</v>
      </c>
      <c r="B22" s="124" t="s">
        <v>415</v>
      </c>
      <c r="C22" s="124">
        <v>2E-3</v>
      </c>
      <c r="D22" s="124"/>
      <c r="E22" s="124"/>
      <c r="F22" s="124"/>
      <c r="G22" s="124"/>
      <c r="J22" s="17" t="s">
        <v>325</v>
      </c>
      <c r="K22" s="16">
        <f>AVERAGE(K11:K18)*2</f>
        <v>844.96475000443843</v>
      </c>
      <c r="L22" s="15"/>
      <c r="M22" s="15" t="str">
        <f>IF(K22&gt;M6, "O/Max "&amp;TEXT(K22-M6, "0.000"), IF(K22&lt;M7, "U/Min "&amp;TEXT(M7-K22, "0.000"), "-"))</f>
        <v>-</v>
      </c>
    </row>
    <row r="23" spans="1:44">
      <c r="A23" s="127" t="s">
        <v>992</v>
      </c>
      <c r="B23" s="124" t="s">
        <v>417</v>
      </c>
      <c r="C23" s="124">
        <v>-2.573</v>
      </c>
      <c r="D23" s="124"/>
      <c r="E23" s="124"/>
      <c r="F23" s="124"/>
      <c r="G23" s="124"/>
      <c r="J23" s="120" t="s">
        <v>326</v>
      </c>
      <c r="K23" s="18">
        <f>K20-K21</f>
        <v>0.2809999999992101</v>
      </c>
      <c r="L23" s="15"/>
      <c r="M23" s="15"/>
      <c r="N23" s="5" t="s">
        <v>327</v>
      </c>
    </row>
    <row r="24" spans="1:44">
      <c r="A24" s="124" t="s">
        <v>412</v>
      </c>
      <c r="B24" s="124" t="s">
        <v>413</v>
      </c>
      <c r="C24" s="124">
        <v>422.387</v>
      </c>
      <c r="D24" s="124"/>
      <c r="E24" s="124"/>
      <c r="F24" s="124"/>
      <c r="G24" s="124"/>
      <c r="S24" s="19" t="s">
        <v>347</v>
      </c>
    </row>
    <row r="25" spans="1:44">
      <c r="A25" s="124" t="s">
        <v>993</v>
      </c>
      <c r="B25" s="124" t="s">
        <v>415</v>
      </c>
      <c r="C25" s="124">
        <v>-1E-3</v>
      </c>
      <c r="D25" s="124"/>
      <c r="E25" s="124"/>
      <c r="F25" s="124"/>
      <c r="G25" s="124"/>
      <c r="J25" s="5" t="s">
        <v>348</v>
      </c>
      <c r="M25" s="5" t="s">
        <v>328</v>
      </c>
      <c r="N25" s="5">
        <f>360/24</f>
        <v>15</v>
      </c>
      <c r="O25" s="9" t="s">
        <v>329</v>
      </c>
      <c r="P25" s="5" t="s">
        <v>330</v>
      </c>
      <c r="Q25" s="5">
        <f>'246'!$Q$33</f>
        <v>-6.36</v>
      </c>
      <c r="R25" s="9" t="s">
        <v>329</v>
      </c>
      <c r="S25" s="5">
        <v>1</v>
      </c>
      <c r="T25" s="5">
        <v>2</v>
      </c>
      <c r="U25" s="5">
        <v>3</v>
      </c>
      <c r="V25" s="5">
        <v>4</v>
      </c>
      <c r="W25" s="5">
        <v>5</v>
      </c>
      <c r="X25" s="5">
        <v>6</v>
      </c>
      <c r="Y25" s="5">
        <v>7</v>
      </c>
      <c r="Z25" s="5">
        <v>8</v>
      </c>
      <c r="AA25" s="5">
        <v>9</v>
      </c>
      <c r="AB25" s="5">
        <v>10</v>
      </c>
      <c r="AC25" s="5">
        <v>11</v>
      </c>
      <c r="AD25" s="5">
        <v>12</v>
      </c>
      <c r="AE25" s="5">
        <v>13</v>
      </c>
      <c r="AF25" s="5">
        <v>14</v>
      </c>
      <c r="AG25" s="5">
        <v>15</v>
      </c>
      <c r="AH25" s="5">
        <v>16</v>
      </c>
      <c r="AI25" s="5">
        <v>17</v>
      </c>
      <c r="AJ25" s="5">
        <v>18</v>
      </c>
      <c r="AK25" s="5">
        <v>19</v>
      </c>
      <c r="AL25" s="5">
        <v>20</v>
      </c>
      <c r="AM25" s="5">
        <v>21</v>
      </c>
      <c r="AN25" s="5">
        <v>22</v>
      </c>
      <c r="AO25" s="5">
        <v>23</v>
      </c>
      <c r="AP25" s="5">
        <v>24</v>
      </c>
      <c r="AQ25" s="5"/>
      <c r="AR25" s="5"/>
    </row>
    <row r="26" spans="1:44">
      <c r="A26" s="127" t="s">
        <v>994</v>
      </c>
      <c r="B26" s="124" t="s">
        <v>417</v>
      </c>
      <c r="C26" s="124">
        <v>-2.5750000000000002</v>
      </c>
      <c r="D26" s="124"/>
      <c r="E26" s="124"/>
      <c r="F26" s="124"/>
      <c r="G26" s="124"/>
      <c r="K26" s="9" t="s">
        <v>331</v>
      </c>
      <c r="M26" s="9" t="s">
        <v>332</v>
      </c>
      <c r="N26" s="9" t="s">
        <v>333</v>
      </c>
      <c r="O26" s="9" t="s">
        <v>334</v>
      </c>
      <c r="P26" s="9" t="s">
        <v>335</v>
      </c>
      <c r="Q26" s="9" t="s">
        <v>336</v>
      </c>
      <c r="R26" s="5"/>
      <c r="S26" s="20" t="str">
        <f ca="1">CONCATENATE($S$24, "#", OFFSET($J$27, S25, 0))</f>
        <v>Stg.4 Shroud Aft#1</v>
      </c>
      <c r="T26" s="20" t="str">
        <f t="shared" ref="T26:AP26" ca="1" si="3">CONCATENATE($S$24, "#", OFFSET($J$27, T25, 0))</f>
        <v>Stg.4 Shroud Aft#24</v>
      </c>
      <c r="U26" s="20" t="str">
        <f t="shared" ca="1" si="3"/>
        <v>Stg.4 Shroud Aft#23</v>
      </c>
      <c r="V26" s="20" t="str">
        <f t="shared" ca="1" si="3"/>
        <v>Stg.4 Shroud Aft#22</v>
      </c>
      <c r="W26" s="20" t="str">
        <f t="shared" ca="1" si="3"/>
        <v>Stg.4 Shroud Aft#21</v>
      </c>
      <c r="X26" s="20" t="str">
        <f t="shared" ca="1" si="3"/>
        <v>Stg.4 Shroud Aft#20</v>
      </c>
      <c r="Y26" s="20" t="str">
        <f t="shared" ca="1" si="3"/>
        <v>Stg.4 Shroud Aft#19</v>
      </c>
      <c r="Z26" s="20" t="str">
        <f t="shared" ca="1" si="3"/>
        <v>Stg.4 Shroud Aft#18</v>
      </c>
      <c r="AA26" s="20" t="str">
        <f t="shared" ca="1" si="3"/>
        <v>Stg.4 Shroud Aft#17</v>
      </c>
      <c r="AB26" s="20" t="str">
        <f t="shared" ca="1" si="3"/>
        <v>Stg.4 Shroud Aft#16</v>
      </c>
      <c r="AC26" s="20" t="str">
        <f t="shared" ca="1" si="3"/>
        <v>Stg.4 Shroud Aft#15</v>
      </c>
      <c r="AD26" s="20" t="str">
        <f t="shared" ca="1" si="3"/>
        <v>Stg.4 Shroud Aft#14</v>
      </c>
      <c r="AE26" s="20" t="str">
        <f t="shared" ca="1" si="3"/>
        <v>Stg.4 Shroud Aft#13</v>
      </c>
      <c r="AF26" s="20" t="str">
        <f t="shared" ca="1" si="3"/>
        <v>Stg.4 Shroud Aft#12</v>
      </c>
      <c r="AG26" s="20" t="str">
        <f t="shared" ca="1" si="3"/>
        <v>Stg.4 Shroud Aft#11</v>
      </c>
      <c r="AH26" s="20" t="str">
        <f t="shared" ca="1" si="3"/>
        <v>Stg.4 Shroud Aft#10</v>
      </c>
      <c r="AI26" s="20" t="str">
        <f t="shared" ca="1" si="3"/>
        <v>Stg.4 Shroud Aft#9</v>
      </c>
      <c r="AJ26" s="20" t="str">
        <f t="shared" ca="1" si="3"/>
        <v>Stg.4 Shroud Aft#8</v>
      </c>
      <c r="AK26" s="20" t="str">
        <f t="shared" ca="1" si="3"/>
        <v>Stg.4 Shroud Aft#7</v>
      </c>
      <c r="AL26" s="20" t="str">
        <f t="shared" ca="1" si="3"/>
        <v>Stg.4 Shroud Aft#6</v>
      </c>
      <c r="AM26" s="20" t="str">
        <f t="shared" ca="1" si="3"/>
        <v>Stg.4 Shroud Aft#5</v>
      </c>
      <c r="AN26" s="20" t="str">
        <f t="shared" ca="1" si="3"/>
        <v>Stg.4 Shroud Aft#4</v>
      </c>
      <c r="AO26" s="20" t="str">
        <f t="shared" ca="1" si="3"/>
        <v>Stg.4 Shroud Aft#3</v>
      </c>
      <c r="AP26" s="20" t="str">
        <f t="shared" ca="1" si="3"/>
        <v>Stg.4 Shroud Aft#2</v>
      </c>
      <c r="AQ26" s="20" t="s">
        <v>337</v>
      </c>
      <c r="AR26" s="20" t="s">
        <v>338</v>
      </c>
    </row>
    <row r="27" spans="1:44">
      <c r="A27" s="124" t="s">
        <v>412</v>
      </c>
      <c r="B27" s="124" t="s">
        <v>413</v>
      </c>
      <c r="C27" s="124">
        <v>422.41899999999998</v>
      </c>
      <c r="D27" s="124"/>
      <c r="E27" s="124"/>
      <c r="F27" s="124"/>
      <c r="G27" s="124"/>
      <c r="J27" s="9" t="s">
        <v>339</v>
      </c>
      <c r="K27" s="9" t="s">
        <v>319</v>
      </c>
      <c r="L27" s="9" t="s">
        <v>340</v>
      </c>
      <c r="M27" s="9" t="s">
        <v>320</v>
      </c>
      <c r="N27" s="9" t="s">
        <v>341</v>
      </c>
      <c r="O27" s="9" t="s">
        <v>319</v>
      </c>
      <c r="P27" s="9" t="s">
        <v>320</v>
      </c>
      <c r="Q27" s="9" t="s">
        <v>320</v>
      </c>
      <c r="R27" s="5"/>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2" t="s">
        <v>320</v>
      </c>
      <c r="AR27" s="22" t="s">
        <v>320</v>
      </c>
    </row>
    <row r="28" spans="1:44">
      <c r="A28" s="124" t="s">
        <v>995</v>
      </c>
      <c r="B28" s="124" t="s">
        <v>415</v>
      </c>
      <c r="C28" s="124">
        <v>0</v>
      </c>
      <c r="D28" s="124"/>
      <c r="E28" s="124"/>
      <c r="F28" s="124"/>
      <c r="G28" s="124"/>
      <c r="J28" s="5">
        <v>1</v>
      </c>
      <c r="K28" s="23">
        <f>IF(Q25&lt;0, 360+$Q$25, $Q$25)</f>
        <v>353.64</v>
      </c>
      <c r="L28" s="24">
        <f t="shared" ref="L28:L51" si="4">MATCH($K28, $I$11:$I$19, 1)</f>
        <v>8</v>
      </c>
      <c r="M28" s="5">
        <f t="shared" ref="M28:M51" si="5">VLOOKUP(L28, $H$11:$K$19, 4, FALSE)</f>
        <v>422.4050000047348</v>
      </c>
      <c r="N28" s="25">
        <f t="shared" ref="N28:N51" si="6">(VLOOKUP(L28+1, $H$11:$K$19, 4, FALSE) - VLOOKUP(L28, $H$11:$K$19, 4, FALSE))/(VLOOKUP(L28+1, $H$11:$K$19, 2, FALSE) - VLOOKUP(L28, $H$11:$K$19, 2, FALSE))</f>
        <v>-4.4444444443393475E-5</v>
      </c>
      <c r="O28" s="26">
        <f t="shared" ref="O28:O51" si="7">K28-VLOOKUP(L28, $H$11:$I$19, 2, FALSE)</f>
        <v>38.639999999999986</v>
      </c>
      <c r="P28" s="27">
        <f>M28+N28*O28</f>
        <v>422.40328267140148</v>
      </c>
      <c r="Q28" s="27">
        <f>(P28+P51)/2</f>
        <v>422.40361600473483</v>
      </c>
      <c r="R28" s="5"/>
      <c r="S28" s="28">
        <f>Q28</f>
        <v>422.40361600473483</v>
      </c>
      <c r="T28" s="29"/>
      <c r="U28" s="29"/>
      <c r="V28" s="29"/>
      <c r="W28" s="29"/>
      <c r="X28" s="29"/>
      <c r="Y28" s="29"/>
      <c r="Z28" s="29"/>
      <c r="AA28" s="29"/>
      <c r="AB28" s="29"/>
      <c r="AC28" s="29"/>
      <c r="AD28" s="29"/>
      <c r="AE28" s="29"/>
      <c r="AF28" s="29"/>
      <c r="AG28" s="29"/>
      <c r="AH28" s="29"/>
      <c r="AI28" s="29"/>
      <c r="AJ28" s="28"/>
      <c r="AK28" s="28"/>
      <c r="AL28" s="28"/>
      <c r="AM28" s="28"/>
      <c r="AN28" s="28"/>
      <c r="AO28" s="28"/>
      <c r="AP28" s="28">
        <f>AP51</f>
        <v>422.42306000448383</v>
      </c>
      <c r="AQ28" s="29">
        <f>L11</f>
        <v>422.37799999999999</v>
      </c>
      <c r="AR28" s="29">
        <f>M11</f>
        <v>422.55800000000005</v>
      </c>
    </row>
    <row r="29" spans="1:44">
      <c r="A29" s="127" t="s">
        <v>996</v>
      </c>
      <c r="B29" s="124" t="s">
        <v>417</v>
      </c>
      <c r="C29" s="124">
        <v>-2.6059999999999999</v>
      </c>
      <c r="D29" s="124"/>
      <c r="E29" s="124"/>
      <c r="F29" s="124"/>
      <c r="G29" s="124"/>
      <c r="J29" s="5">
        <v>24</v>
      </c>
      <c r="K29" s="23">
        <f>IF(K28+$N$25&gt;360, K28+$N$25-360, K28+$N$25)</f>
        <v>8.6399999999999864</v>
      </c>
      <c r="L29" s="24">
        <f t="shared" si="4"/>
        <v>1</v>
      </c>
      <c r="M29" s="5">
        <f t="shared" si="5"/>
        <v>422.40300000473485</v>
      </c>
      <c r="N29" s="25">
        <f t="shared" si="6"/>
        <v>3.555554503362954E-4</v>
      </c>
      <c r="O29" s="26">
        <f t="shared" si="7"/>
        <v>8.6399999999999864</v>
      </c>
      <c r="P29" s="27">
        <f t="shared" ref="P29:P51" si="8">M29+N29*O29</f>
        <v>422.40607200382573</v>
      </c>
      <c r="Q29" s="27">
        <f>(P28+P29)/2</f>
        <v>422.40467733761363</v>
      </c>
      <c r="R29" s="5"/>
      <c r="S29" s="30">
        <f>S28</f>
        <v>422.40361600473483</v>
      </c>
      <c r="T29" s="30">
        <f>Q29</f>
        <v>422.40467733761363</v>
      </c>
      <c r="U29" s="21"/>
      <c r="V29" s="21"/>
      <c r="W29" s="21"/>
      <c r="X29" s="21"/>
      <c r="Y29" s="21"/>
      <c r="Z29" s="21"/>
      <c r="AA29" s="21"/>
      <c r="AB29" s="21"/>
      <c r="AC29" s="21"/>
      <c r="AD29" s="21"/>
      <c r="AE29" s="21"/>
      <c r="AF29" s="21"/>
      <c r="AG29" s="21"/>
      <c r="AH29" s="21"/>
      <c r="AI29" s="21"/>
      <c r="AJ29" s="21"/>
      <c r="AK29" s="21"/>
      <c r="AL29" s="21"/>
      <c r="AM29" s="21"/>
      <c r="AN29" s="21"/>
      <c r="AO29" s="21"/>
      <c r="AP29" s="21"/>
      <c r="AQ29" s="21">
        <f>AQ28</f>
        <v>422.37799999999999</v>
      </c>
      <c r="AR29" s="21">
        <f>AR28</f>
        <v>422.55800000000005</v>
      </c>
    </row>
    <row r="30" spans="1:44">
      <c r="A30" s="124"/>
      <c r="B30" s="124"/>
      <c r="C30" s="124"/>
      <c r="D30" s="124"/>
      <c r="E30" s="124"/>
      <c r="F30" s="124"/>
      <c r="G30" s="124"/>
      <c r="J30" s="5">
        <v>23</v>
      </c>
      <c r="K30" s="23">
        <f t="shared" ref="K30:K51" si="9">IF(K29+$N$25&gt;360, K29+$N$25-360, K29+$N$25)</f>
        <v>23.639999999999986</v>
      </c>
      <c r="L30" s="24">
        <f t="shared" si="4"/>
        <v>1</v>
      </c>
      <c r="M30" s="5">
        <f t="shared" si="5"/>
        <v>422.40300000473485</v>
      </c>
      <c r="N30" s="25">
        <f t="shared" si="6"/>
        <v>3.555554503362954E-4</v>
      </c>
      <c r="O30" s="26">
        <f t="shared" si="7"/>
        <v>23.639999999999986</v>
      </c>
      <c r="P30" s="27">
        <f t="shared" si="8"/>
        <v>422.41140533558081</v>
      </c>
      <c r="Q30" s="27">
        <f t="shared" ref="Q30:Q50" si="10">(P29+P30)/2</f>
        <v>422.40873866970327</v>
      </c>
      <c r="R30" s="5"/>
      <c r="S30" s="21"/>
      <c r="T30" s="30">
        <f>T29</f>
        <v>422.40467733761363</v>
      </c>
      <c r="U30" s="30">
        <f>Q30</f>
        <v>422.40873866970327</v>
      </c>
      <c r="V30" s="21"/>
      <c r="W30" s="21"/>
      <c r="X30" s="21"/>
      <c r="Y30" s="21"/>
      <c r="Z30" s="21"/>
      <c r="AA30" s="21"/>
      <c r="AB30" s="21"/>
      <c r="AC30" s="21"/>
      <c r="AD30" s="21"/>
      <c r="AE30" s="21"/>
      <c r="AF30" s="21"/>
      <c r="AG30" s="21"/>
      <c r="AH30" s="21"/>
      <c r="AI30" s="21"/>
      <c r="AJ30" s="21"/>
      <c r="AK30" s="21"/>
      <c r="AL30" s="21"/>
      <c r="AM30" s="21"/>
      <c r="AN30" s="21"/>
      <c r="AO30" s="21"/>
      <c r="AP30" s="21"/>
      <c r="AQ30" s="21">
        <f t="shared" ref="AQ30:AR45" si="11">AQ29</f>
        <v>422.37799999999999</v>
      </c>
      <c r="AR30" s="21">
        <f t="shared" si="11"/>
        <v>422.55800000000005</v>
      </c>
    </row>
    <row r="31" spans="1:44">
      <c r="A31" s="124"/>
      <c r="B31" s="124"/>
      <c r="C31" s="124"/>
      <c r="D31" s="124"/>
      <c r="E31" s="124"/>
      <c r="F31" s="124"/>
      <c r="G31" s="124"/>
      <c r="J31" s="5">
        <v>22</v>
      </c>
      <c r="K31" s="23">
        <f t="shared" si="9"/>
        <v>38.639999999999986</v>
      </c>
      <c r="L31" s="24">
        <f t="shared" si="4"/>
        <v>1</v>
      </c>
      <c r="M31" s="5">
        <f t="shared" si="5"/>
        <v>422.40300000473485</v>
      </c>
      <c r="N31" s="25">
        <f t="shared" si="6"/>
        <v>3.555554503362954E-4</v>
      </c>
      <c r="O31" s="26">
        <f t="shared" si="7"/>
        <v>38.639999999999986</v>
      </c>
      <c r="P31" s="27">
        <f t="shared" si="8"/>
        <v>422.41673866733584</v>
      </c>
      <c r="Q31" s="27">
        <f t="shared" si="10"/>
        <v>422.41407200145829</v>
      </c>
      <c r="R31" s="5"/>
      <c r="S31" s="21"/>
      <c r="T31" s="21"/>
      <c r="U31" s="30">
        <f>U30</f>
        <v>422.40873866970327</v>
      </c>
      <c r="V31" s="30">
        <f>Q31</f>
        <v>422.41407200145829</v>
      </c>
      <c r="W31" s="21"/>
      <c r="X31" s="21"/>
      <c r="Y31" s="21"/>
      <c r="Z31" s="21"/>
      <c r="AA31" s="21"/>
      <c r="AB31" s="21"/>
      <c r="AC31" s="21"/>
      <c r="AD31" s="21"/>
      <c r="AE31" s="21"/>
      <c r="AF31" s="21"/>
      <c r="AG31" s="21"/>
      <c r="AH31" s="21"/>
      <c r="AI31" s="21"/>
      <c r="AJ31" s="21"/>
      <c r="AK31" s="21"/>
      <c r="AL31" s="21"/>
      <c r="AM31" s="21"/>
      <c r="AN31" s="21"/>
      <c r="AO31" s="21"/>
      <c r="AP31" s="21"/>
      <c r="AQ31" s="21">
        <f t="shared" si="11"/>
        <v>422.37799999999999</v>
      </c>
      <c r="AR31" s="21">
        <f t="shared" si="11"/>
        <v>422.55800000000005</v>
      </c>
    </row>
    <row r="32" spans="1:44">
      <c r="A32" s="124"/>
      <c r="B32" s="124"/>
      <c r="C32" s="124"/>
      <c r="D32" s="124"/>
      <c r="E32" s="124"/>
      <c r="F32" s="124"/>
      <c r="G32" s="124"/>
      <c r="J32" s="5">
        <v>21</v>
      </c>
      <c r="K32" s="23">
        <f t="shared" si="9"/>
        <v>53.639999999999986</v>
      </c>
      <c r="L32" s="24">
        <f t="shared" si="4"/>
        <v>2</v>
      </c>
      <c r="M32" s="5">
        <f t="shared" si="5"/>
        <v>422.41899999999998</v>
      </c>
      <c r="N32" s="25">
        <f t="shared" si="6"/>
        <v>-7.1111108480484593E-4</v>
      </c>
      <c r="O32" s="26">
        <f t="shared" si="7"/>
        <v>8.6399999999999864</v>
      </c>
      <c r="P32" s="27">
        <f t="shared" si="8"/>
        <v>422.41285600022729</v>
      </c>
      <c r="Q32" s="27">
        <f t="shared" si="10"/>
        <v>422.41479733378156</v>
      </c>
      <c r="R32" s="5"/>
      <c r="S32" s="21"/>
      <c r="T32" s="21"/>
      <c r="U32" s="21"/>
      <c r="V32" s="30">
        <f>V31</f>
        <v>422.41407200145829</v>
      </c>
      <c r="W32" s="30">
        <f>Q32</f>
        <v>422.41479733378156</v>
      </c>
      <c r="X32" s="21"/>
      <c r="Y32" s="21"/>
      <c r="Z32" s="21"/>
      <c r="AA32" s="21"/>
      <c r="AB32" s="21"/>
      <c r="AC32" s="21"/>
      <c r="AD32" s="21"/>
      <c r="AE32" s="21"/>
      <c r="AF32" s="21"/>
      <c r="AG32" s="21"/>
      <c r="AH32" s="21"/>
      <c r="AI32" s="21"/>
      <c r="AJ32" s="21"/>
      <c r="AK32" s="21"/>
      <c r="AL32" s="21"/>
      <c r="AM32" s="21"/>
      <c r="AN32" s="21"/>
      <c r="AO32" s="21"/>
      <c r="AP32" s="21"/>
      <c r="AQ32" s="21">
        <f t="shared" si="11"/>
        <v>422.37799999999999</v>
      </c>
      <c r="AR32" s="21">
        <f t="shared" si="11"/>
        <v>422.55800000000005</v>
      </c>
    </row>
    <row r="33" spans="1:44">
      <c r="A33" s="124"/>
      <c r="B33" s="124"/>
      <c r="C33" s="124"/>
      <c r="D33" s="124"/>
      <c r="E33" s="124"/>
      <c r="F33" s="124"/>
      <c r="G33" s="125"/>
      <c r="J33" s="5">
        <v>20</v>
      </c>
      <c r="K33" s="23">
        <f t="shared" si="9"/>
        <v>68.639999999999986</v>
      </c>
      <c r="L33" s="24">
        <f t="shared" si="4"/>
        <v>2</v>
      </c>
      <c r="M33" s="5">
        <f t="shared" si="5"/>
        <v>422.41899999999998</v>
      </c>
      <c r="N33" s="25">
        <f t="shared" si="6"/>
        <v>-7.1111108480484593E-4</v>
      </c>
      <c r="O33" s="26">
        <f t="shared" si="7"/>
        <v>23.639999999999986</v>
      </c>
      <c r="P33" s="27">
        <f t="shared" si="8"/>
        <v>422.40218933395522</v>
      </c>
      <c r="Q33" s="27">
        <f t="shared" si="10"/>
        <v>422.40752266709126</v>
      </c>
      <c r="R33" s="5"/>
      <c r="S33" s="21"/>
      <c r="T33" s="21"/>
      <c r="U33" s="21"/>
      <c r="V33" s="21"/>
      <c r="W33" s="30">
        <f>W32</f>
        <v>422.41479733378156</v>
      </c>
      <c r="X33" s="30">
        <f>Q33</f>
        <v>422.40752266709126</v>
      </c>
      <c r="Y33" s="21"/>
      <c r="Z33" s="21"/>
      <c r="AA33" s="21"/>
      <c r="AB33" s="21"/>
      <c r="AC33" s="21"/>
      <c r="AD33" s="21"/>
      <c r="AE33" s="21"/>
      <c r="AF33" s="21"/>
      <c r="AG33" s="21"/>
      <c r="AH33" s="21"/>
      <c r="AI33" s="21"/>
      <c r="AJ33" s="21"/>
      <c r="AK33" s="21"/>
      <c r="AL33" s="21"/>
      <c r="AM33" s="21"/>
      <c r="AN33" s="21"/>
      <c r="AO33" s="21"/>
      <c r="AP33" s="21"/>
      <c r="AQ33" s="21">
        <f t="shared" si="11"/>
        <v>422.37799999999999</v>
      </c>
      <c r="AR33" s="21">
        <f t="shared" si="11"/>
        <v>422.55800000000005</v>
      </c>
    </row>
    <row r="34" spans="1:44">
      <c r="A34" s="124"/>
      <c r="B34" s="124"/>
      <c r="C34" s="124"/>
      <c r="D34" s="124"/>
      <c r="E34" s="124"/>
      <c r="F34" s="124"/>
      <c r="G34" s="124"/>
      <c r="J34" s="5">
        <v>19</v>
      </c>
      <c r="K34" s="23">
        <f t="shared" si="9"/>
        <v>83.639999999999986</v>
      </c>
      <c r="L34" s="24">
        <f t="shared" si="4"/>
        <v>2</v>
      </c>
      <c r="M34" s="5">
        <f t="shared" si="5"/>
        <v>422.41899999999998</v>
      </c>
      <c r="N34" s="25">
        <f t="shared" si="6"/>
        <v>-7.1111108480484593E-4</v>
      </c>
      <c r="O34" s="26">
        <f t="shared" si="7"/>
        <v>38.639999999999986</v>
      </c>
      <c r="P34" s="27">
        <f t="shared" si="8"/>
        <v>422.39152266768315</v>
      </c>
      <c r="Q34" s="27">
        <f t="shared" si="10"/>
        <v>422.39685600081918</v>
      </c>
      <c r="R34" s="5"/>
      <c r="S34" s="21"/>
      <c r="T34" s="21"/>
      <c r="U34" s="21"/>
      <c r="V34" s="21"/>
      <c r="W34" s="21"/>
      <c r="X34" s="30">
        <f>X33</f>
        <v>422.40752266709126</v>
      </c>
      <c r="Y34" s="30">
        <f>Q34</f>
        <v>422.39685600081918</v>
      </c>
      <c r="Z34" s="21"/>
      <c r="AA34" s="21"/>
      <c r="AB34" s="21"/>
      <c r="AC34" s="21"/>
      <c r="AD34" s="21"/>
      <c r="AE34" s="21"/>
      <c r="AF34" s="21"/>
      <c r="AG34" s="21"/>
      <c r="AH34" s="21"/>
      <c r="AI34" s="21"/>
      <c r="AJ34" s="21"/>
      <c r="AK34" s="21"/>
      <c r="AL34" s="21"/>
      <c r="AM34" s="21"/>
      <c r="AN34" s="21"/>
      <c r="AO34" s="21"/>
      <c r="AP34" s="21"/>
      <c r="AQ34" s="21">
        <f t="shared" si="11"/>
        <v>422.37799999999999</v>
      </c>
      <c r="AR34" s="21">
        <f t="shared" si="11"/>
        <v>422.55800000000005</v>
      </c>
    </row>
    <row r="35" spans="1:44">
      <c r="A35" s="90"/>
      <c r="B35" s="90"/>
      <c r="C35" s="90"/>
      <c r="D35" s="90"/>
      <c r="E35" s="90"/>
      <c r="F35" s="90"/>
      <c r="G35" s="90"/>
      <c r="J35" s="5">
        <v>18</v>
      </c>
      <c r="K35" s="23">
        <f t="shared" si="9"/>
        <v>98.639999999999986</v>
      </c>
      <c r="L35" s="24">
        <f t="shared" si="4"/>
        <v>3</v>
      </c>
      <c r="M35" s="5">
        <f t="shared" si="5"/>
        <v>422.38700000118376</v>
      </c>
      <c r="N35" s="25">
        <f t="shared" si="6"/>
        <v>2.0222223011160168E-3</v>
      </c>
      <c r="O35" s="26">
        <f t="shared" si="7"/>
        <v>8.6399999999999864</v>
      </c>
      <c r="P35" s="27">
        <f t="shared" si="8"/>
        <v>422.40447200186543</v>
      </c>
      <c r="Q35" s="27">
        <f t="shared" si="10"/>
        <v>422.39799733477429</v>
      </c>
      <c r="R35" s="5"/>
      <c r="S35" s="21"/>
      <c r="T35" s="21"/>
      <c r="U35" s="21"/>
      <c r="V35" s="21"/>
      <c r="W35" s="21"/>
      <c r="X35" s="21"/>
      <c r="Y35" s="30">
        <f>Y34</f>
        <v>422.39685600081918</v>
      </c>
      <c r="Z35" s="30">
        <f>Q35</f>
        <v>422.39799733477429</v>
      </c>
      <c r="AA35" s="21"/>
      <c r="AB35" s="21"/>
      <c r="AC35" s="21"/>
      <c r="AD35" s="21"/>
      <c r="AE35" s="21"/>
      <c r="AF35" s="21"/>
      <c r="AG35" s="21"/>
      <c r="AH35" s="21"/>
      <c r="AI35" s="21"/>
      <c r="AJ35" s="21"/>
      <c r="AK35" s="21"/>
      <c r="AL35" s="21"/>
      <c r="AM35" s="21"/>
      <c r="AN35" s="21"/>
      <c r="AO35" s="21"/>
      <c r="AP35" s="21"/>
      <c r="AQ35" s="21">
        <f t="shared" si="11"/>
        <v>422.37799999999999</v>
      </c>
      <c r="AR35" s="21">
        <f t="shared" si="11"/>
        <v>422.55800000000005</v>
      </c>
    </row>
    <row r="36" spans="1:44">
      <c r="A36" s="90"/>
      <c r="B36" s="90"/>
      <c r="C36" s="90"/>
      <c r="D36" s="90"/>
      <c r="E36" s="90"/>
      <c r="F36" s="90"/>
      <c r="G36" s="90"/>
      <c r="J36" s="5">
        <v>17</v>
      </c>
      <c r="K36" s="23">
        <f t="shared" si="9"/>
        <v>113.63999999999999</v>
      </c>
      <c r="L36" s="24">
        <f t="shared" si="4"/>
        <v>3</v>
      </c>
      <c r="M36" s="5">
        <f t="shared" si="5"/>
        <v>422.38700000118376</v>
      </c>
      <c r="N36" s="25">
        <f t="shared" si="6"/>
        <v>2.0222223011160168E-3</v>
      </c>
      <c r="O36" s="26">
        <f t="shared" si="7"/>
        <v>23.639999999999986</v>
      </c>
      <c r="P36" s="27">
        <f t="shared" si="8"/>
        <v>422.43480533638217</v>
      </c>
      <c r="Q36" s="27">
        <f t="shared" si="10"/>
        <v>422.4196386691238</v>
      </c>
      <c r="R36" s="5"/>
      <c r="S36" s="21"/>
      <c r="T36" s="21"/>
      <c r="U36" s="21"/>
      <c r="V36" s="21"/>
      <c r="W36" s="21"/>
      <c r="X36" s="21"/>
      <c r="Y36" s="21"/>
      <c r="Z36" s="30">
        <f>Z35</f>
        <v>422.39799733477429</v>
      </c>
      <c r="AA36" s="30">
        <f>Q36</f>
        <v>422.4196386691238</v>
      </c>
      <c r="AB36" s="21"/>
      <c r="AC36" s="21"/>
      <c r="AD36" s="21"/>
      <c r="AE36" s="21"/>
      <c r="AF36" s="21"/>
      <c r="AG36" s="21"/>
      <c r="AH36" s="21"/>
      <c r="AI36" s="21"/>
      <c r="AJ36" s="21"/>
      <c r="AK36" s="21"/>
      <c r="AL36" s="21"/>
      <c r="AM36" s="21"/>
      <c r="AN36" s="21"/>
      <c r="AO36" s="21"/>
      <c r="AP36" s="21"/>
      <c r="AQ36" s="21">
        <f t="shared" si="11"/>
        <v>422.37799999999999</v>
      </c>
      <c r="AR36" s="21">
        <f t="shared" si="11"/>
        <v>422.55800000000005</v>
      </c>
    </row>
    <row r="37" spans="1:44">
      <c r="A37" s="121"/>
      <c r="B37" s="90"/>
      <c r="C37" s="90"/>
      <c r="D37" s="90"/>
      <c r="E37" s="90"/>
      <c r="F37" s="90"/>
      <c r="G37" s="90"/>
      <c r="J37" s="5">
        <v>16</v>
      </c>
      <c r="K37" s="23">
        <f t="shared" si="9"/>
        <v>128.63999999999999</v>
      </c>
      <c r="L37" s="24">
        <f t="shared" si="4"/>
        <v>3</v>
      </c>
      <c r="M37" s="5">
        <f t="shared" si="5"/>
        <v>422.38700000118376</v>
      </c>
      <c r="N37" s="25">
        <f t="shared" si="6"/>
        <v>2.0222223011160168E-3</v>
      </c>
      <c r="O37" s="26">
        <f t="shared" si="7"/>
        <v>38.639999999999986</v>
      </c>
      <c r="P37" s="27">
        <f t="shared" si="8"/>
        <v>422.46513867089891</v>
      </c>
      <c r="Q37" s="27">
        <f t="shared" si="10"/>
        <v>422.44997200364054</v>
      </c>
      <c r="R37" s="5"/>
      <c r="S37" s="21"/>
      <c r="T37" s="21"/>
      <c r="U37" s="21"/>
      <c r="V37" s="21"/>
      <c r="W37" s="21"/>
      <c r="X37" s="21"/>
      <c r="Y37" s="21"/>
      <c r="Z37" s="21"/>
      <c r="AA37" s="30">
        <f>AA36</f>
        <v>422.4196386691238</v>
      </c>
      <c r="AB37" s="30">
        <f>Q37</f>
        <v>422.44997200364054</v>
      </c>
      <c r="AC37" s="21"/>
      <c r="AD37" s="21"/>
      <c r="AE37" s="21"/>
      <c r="AF37" s="21"/>
      <c r="AG37" s="21"/>
      <c r="AH37" s="21"/>
      <c r="AI37" s="21"/>
      <c r="AJ37" s="21"/>
      <c r="AK37" s="21"/>
      <c r="AL37" s="21"/>
      <c r="AM37" s="21"/>
      <c r="AN37" s="21"/>
      <c r="AO37" s="21"/>
      <c r="AP37" s="21"/>
      <c r="AQ37" s="21">
        <f t="shared" si="11"/>
        <v>422.37799999999999</v>
      </c>
      <c r="AR37" s="21">
        <f t="shared" si="11"/>
        <v>422.55800000000005</v>
      </c>
    </row>
    <row r="38" spans="1:44">
      <c r="A38" s="90"/>
      <c r="B38" s="90"/>
      <c r="C38" s="90"/>
      <c r="D38" s="90"/>
      <c r="E38" s="90"/>
      <c r="F38" s="90"/>
      <c r="G38" s="90"/>
      <c r="J38" s="5">
        <v>15</v>
      </c>
      <c r="K38" s="23">
        <f t="shared" si="9"/>
        <v>143.63999999999999</v>
      </c>
      <c r="L38" s="24">
        <f t="shared" si="4"/>
        <v>4</v>
      </c>
      <c r="M38" s="5">
        <f t="shared" si="5"/>
        <v>422.47800000473399</v>
      </c>
      <c r="N38" s="25">
        <f t="shared" si="6"/>
        <v>8.4444436554349518E-4</v>
      </c>
      <c r="O38" s="26">
        <f t="shared" si="7"/>
        <v>8.6399999999999864</v>
      </c>
      <c r="P38" s="27">
        <f t="shared" si="8"/>
        <v>422.48529600405226</v>
      </c>
      <c r="Q38" s="27">
        <f t="shared" si="10"/>
        <v>422.47521733747556</v>
      </c>
      <c r="R38" s="5"/>
      <c r="S38" s="21"/>
      <c r="T38" s="21"/>
      <c r="U38" s="21"/>
      <c r="V38" s="21"/>
      <c r="W38" s="21"/>
      <c r="X38" s="21"/>
      <c r="Y38" s="21"/>
      <c r="Z38" s="21"/>
      <c r="AA38" s="21"/>
      <c r="AB38" s="30">
        <f>AB37</f>
        <v>422.44997200364054</v>
      </c>
      <c r="AC38" s="30">
        <f>Q38</f>
        <v>422.47521733747556</v>
      </c>
      <c r="AD38" s="21"/>
      <c r="AE38" s="21"/>
      <c r="AF38" s="21"/>
      <c r="AG38" s="21"/>
      <c r="AH38" s="21"/>
      <c r="AI38" s="21"/>
      <c r="AJ38" s="21"/>
      <c r="AK38" s="21"/>
      <c r="AL38" s="21"/>
      <c r="AM38" s="21"/>
      <c r="AN38" s="21"/>
      <c r="AO38" s="21"/>
      <c r="AP38" s="21"/>
      <c r="AQ38" s="21">
        <f t="shared" si="11"/>
        <v>422.37799999999999</v>
      </c>
      <c r="AR38" s="21">
        <f t="shared" si="11"/>
        <v>422.55800000000005</v>
      </c>
    </row>
    <row r="39" spans="1:44">
      <c r="A39" s="90"/>
      <c r="B39" s="90"/>
      <c r="C39" s="90"/>
      <c r="D39" s="90"/>
      <c r="E39" s="90"/>
      <c r="F39" s="90"/>
      <c r="G39" s="90"/>
      <c r="J39" s="5">
        <v>14</v>
      </c>
      <c r="K39" s="23">
        <f t="shared" si="9"/>
        <v>158.63999999999999</v>
      </c>
      <c r="L39" s="24">
        <f t="shared" si="4"/>
        <v>4</v>
      </c>
      <c r="M39" s="5">
        <f t="shared" si="5"/>
        <v>422.47800000473399</v>
      </c>
      <c r="N39" s="25">
        <f t="shared" si="6"/>
        <v>8.4444436554349518E-4</v>
      </c>
      <c r="O39" s="26">
        <f t="shared" si="7"/>
        <v>23.639999999999986</v>
      </c>
      <c r="P39" s="27">
        <f t="shared" si="8"/>
        <v>422.49796266953541</v>
      </c>
      <c r="Q39" s="27">
        <f t="shared" si="10"/>
        <v>422.49162933679384</v>
      </c>
      <c r="R39" s="5"/>
      <c r="S39" s="21"/>
      <c r="T39" s="21"/>
      <c r="U39" s="21"/>
      <c r="V39" s="21"/>
      <c r="W39" s="21"/>
      <c r="X39" s="21"/>
      <c r="Y39" s="21"/>
      <c r="Z39" s="21"/>
      <c r="AA39" s="21"/>
      <c r="AB39" s="21"/>
      <c r="AC39" s="30">
        <f>AC38</f>
        <v>422.47521733747556</v>
      </c>
      <c r="AD39" s="30">
        <f>Q39</f>
        <v>422.49162933679384</v>
      </c>
      <c r="AE39" s="21"/>
      <c r="AF39" s="21"/>
      <c r="AG39" s="21"/>
      <c r="AH39" s="21"/>
      <c r="AI39" s="21"/>
      <c r="AJ39" s="21"/>
      <c r="AK39" s="21"/>
      <c r="AL39" s="21"/>
      <c r="AM39" s="21"/>
      <c r="AN39" s="21"/>
      <c r="AO39" s="21"/>
      <c r="AP39" s="21"/>
      <c r="AQ39" s="21">
        <f t="shared" si="11"/>
        <v>422.37799999999999</v>
      </c>
      <c r="AR39" s="21">
        <f t="shared" si="11"/>
        <v>422.55800000000005</v>
      </c>
    </row>
    <row r="40" spans="1:44">
      <c r="A40" s="121"/>
      <c r="B40" s="90"/>
      <c r="C40" s="90"/>
      <c r="D40" s="90"/>
      <c r="E40" s="90"/>
      <c r="F40" s="90"/>
      <c r="G40" s="90"/>
      <c r="J40" s="5">
        <v>13</v>
      </c>
      <c r="K40" s="23">
        <f t="shared" si="9"/>
        <v>173.64</v>
      </c>
      <c r="L40" s="24">
        <f t="shared" si="4"/>
        <v>4</v>
      </c>
      <c r="M40" s="5">
        <f t="shared" si="5"/>
        <v>422.47800000473399</v>
      </c>
      <c r="N40" s="25">
        <f t="shared" si="6"/>
        <v>8.4444436554349518E-4</v>
      </c>
      <c r="O40" s="26">
        <f t="shared" si="7"/>
        <v>38.639999999999986</v>
      </c>
      <c r="P40" s="27">
        <f t="shared" si="8"/>
        <v>422.51062933501856</v>
      </c>
      <c r="Q40" s="27">
        <f t="shared" si="10"/>
        <v>422.50429600227699</v>
      </c>
      <c r="R40" s="5"/>
      <c r="S40" s="21"/>
      <c r="T40" s="21"/>
      <c r="U40" s="21"/>
      <c r="V40" s="21"/>
      <c r="W40" s="21"/>
      <c r="X40" s="21"/>
      <c r="Y40" s="21"/>
      <c r="Z40" s="21"/>
      <c r="AA40" s="21"/>
      <c r="AB40" s="21"/>
      <c r="AC40" s="21"/>
      <c r="AD40" s="30">
        <f>AD39</f>
        <v>422.49162933679384</v>
      </c>
      <c r="AE40" s="30">
        <f>Q40</f>
        <v>422.50429600227699</v>
      </c>
      <c r="AF40" s="21"/>
      <c r="AG40" s="21"/>
      <c r="AH40" s="21"/>
      <c r="AI40" s="21"/>
      <c r="AJ40" s="21"/>
      <c r="AK40" s="21"/>
      <c r="AL40" s="21"/>
      <c r="AM40" s="21"/>
      <c r="AN40" s="21"/>
      <c r="AO40" s="21"/>
      <c r="AP40" s="21"/>
      <c r="AQ40" s="21">
        <f t="shared" si="11"/>
        <v>422.37799999999999</v>
      </c>
      <c r="AR40" s="21">
        <f t="shared" si="11"/>
        <v>422.55800000000005</v>
      </c>
    </row>
    <row r="41" spans="1:44">
      <c r="A41" s="90"/>
      <c r="B41" s="90"/>
      <c r="C41" s="90"/>
      <c r="D41" s="90"/>
      <c r="E41" s="90"/>
      <c r="F41" s="90"/>
      <c r="G41" s="90"/>
      <c r="J41" s="5">
        <v>12</v>
      </c>
      <c r="K41" s="23">
        <f t="shared" si="9"/>
        <v>188.64</v>
      </c>
      <c r="L41" s="24">
        <f t="shared" si="4"/>
        <v>5</v>
      </c>
      <c r="M41" s="5">
        <f t="shared" si="5"/>
        <v>422.51600000118344</v>
      </c>
      <c r="N41" s="25">
        <f t="shared" si="6"/>
        <v>1.4888888625907586E-3</v>
      </c>
      <c r="O41" s="26">
        <f t="shared" si="7"/>
        <v>8.6399999999999864</v>
      </c>
      <c r="P41" s="27">
        <f t="shared" si="8"/>
        <v>422.52886400095622</v>
      </c>
      <c r="Q41" s="27">
        <f t="shared" si="10"/>
        <v>422.51974666798742</v>
      </c>
      <c r="R41" s="5"/>
      <c r="S41" s="21"/>
      <c r="T41" s="21"/>
      <c r="U41" s="21"/>
      <c r="V41" s="21"/>
      <c r="W41" s="21"/>
      <c r="X41" s="21"/>
      <c r="Y41" s="21"/>
      <c r="Z41" s="21"/>
      <c r="AA41" s="21"/>
      <c r="AB41" s="21"/>
      <c r="AC41" s="21"/>
      <c r="AD41" s="21"/>
      <c r="AE41" s="30">
        <f>AE40</f>
        <v>422.50429600227699</v>
      </c>
      <c r="AF41" s="30">
        <f>Q41</f>
        <v>422.51974666798742</v>
      </c>
      <c r="AG41" s="21"/>
      <c r="AH41" s="21"/>
      <c r="AI41" s="21"/>
      <c r="AJ41" s="21"/>
      <c r="AK41" s="21"/>
      <c r="AL41" s="21"/>
      <c r="AM41" s="21"/>
      <c r="AN41" s="21"/>
      <c r="AO41" s="21"/>
      <c r="AP41" s="21"/>
      <c r="AQ41" s="21">
        <f t="shared" si="11"/>
        <v>422.37799999999999</v>
      </c>
      <c r="AR41" s="21">
        <f t="shared" si="11"/>
        <v>422.55800000000005</v>
      </c>
    </row>
    <row r="42" spans="1:44">
      <c r="A42" s="90"/>
      <c r="B42" s="90"/>
      <c r="C42" s="90"/>
      <c r="D42" s="90"/>
      <c r="E42" s="90"/>
      <c r="F42" s="90"/>
      <c r="G42" s="90"/>
      <c r="J42" s="5">
        <v>11</v>
      </c>
      <c r="K42" s="23">
        <f t="shared" si="9"/>
        <v>203.64</v>
      </c>
      <c r="L42" s="24">
        <f t="shared" si="4"/>
        <v>5</v>
      </c>
      <c r="M42" s="5">
        <f t="shared" si="5"/>
        <v>422.51600000118344</v>
      </c>
      <c r="N42" s="25">
        <f t="shared" si="6"/>
        <v>1.4888888625907586E-3</v>
      </c>
      <c r="O42" s="26">
        <f t="shared" si="7"/>
        <v>23.639999999999986</v>
      </c>
      <c r="P42" s="27">
        <f t="shared" si="8"/>
        <v>422.55119733389506</v>
      </c>
      <c r="Q42" s="27">
        <f t="shared" si="10"/>
        <v>422.54003066742564</v>
      </c>
      <c r="R42" s="5"/>
      <c r="S42" s="21"/>
      <c r="T42" s="21"/>
      <c r="U42" s="21"/>
      <c r="V42" s="21"/>
      <c r="W42" s="21"/>
      <c r="X42" s="21"/>
      <c r="Y42" s="21"/>
      <c r="Z42" s="21"/>
      <c r="AA42" s="21"/>
      <c r="AB42" s="21"/>
      <c r="AC42" s="21"/>
      <c r="AD42" s="21"/>
      <c r="AE42" s="21"/>
      <c r="AF42" s="30">
        <f>AF41</f>
        <v>422.51974666798742</v>
      </c>
      <c r="AG42" s="30">
        <f>Q42</f>
        <v>422.54003066742564</v>
      </c>
      <c r="AH42" s="21"/>
      <c r="AI42" s="21"/>
      <c r="AJ42" s="21"/>
      <c r="AK42" s="21"/>
      <c r="AL42" s="21"/>
      <c r="AM42" s="21"/>
      <c r="AN42" s="21"/>
      <c r="AO42" s="21"/>
      <c r="AP42" s="21"/>
      <c r="AQ42" s="21">
        <f t="shared" si="11"/>
        <v>422.37799999999999</v>
      </c>
      <c r="AR42" s="21">
        <f t="shared" si="11"/>
        <v>422.55800000000005</v>
      </c>
    </row>
    <row r="43" spans="1:44">
      <c r="A43" s="121"/>
      <c r="B43" s="90"/>
      <c r="C43" s="90"/>
      <c r="D43" s="90"/>
      <c r="E43" s="90"/>
      <c r="F43" s="90"/>
      <c r="G43" s="90"/>
      <c r="J43" s="5">
        <v>10</v>
      </c>
      <c r="K43" s="23">
        <f t="shared" si="9"/>
        <v>218.64</v>
      </c>
      <c r="L43" s="24">
        <f t="shared" si="4"/>
        <v>5</v>
      </c>
      <c r="M43" s="5">
        <f t="shared" si="5"/>
        <v>422.51600000118344</v>
      </c>
      <c r="N43" s="25">
        <f t="shared" si="6"/>
        <v>1.4888888625907586E-3</v>
      </c>
      <c r="O43" s="26">
        <f t="shared" si="7"/>
        <v>38.639999999999986</v>
      </c>
      <c r="P43" s="27">
        <f t="shared" si="8"/>
        <v>422.57353066683396</v>
      </c>
      <c r="Q43" s="27">
        <f t="shared" si="10"/>
        <v>422.56236400036448</v>
      </c>
      <c r="R43" s="5"/>
      <c r="S43" s="21"/>
      <c r="T43" s="21"/>
      <c r="U43" s="21"/>
      <c r="V43" s="21"/>
      <c r="W43" s="21"/>
      <c r="X43" s="21"/>
      <c r="Y43" s="21"/>
      <c r="Z43" s="21"/>
      <c r="AA43" s="21"/>
      <c r="AB43" s="21"/>
      <c r="AC43" s="21"/>
      <c r="AD43" s="21"/>
      <c r="AE43" s="21"/>
      <c r="AF43" s="21"/>
      <c r="AG43" s="30">
        <f>AG42</f>
        <v>422.54003066742564</v>
      </c>
      <c r="AH43" s="30">
        <f>Q43</f>
        <v>422.56236400036448</v>
      </c>
      <c r="AI43" s="21"/>
      <c r="AJ43" s="21"/>
      <c r="AK43" s="21"/>
      <c r="AL43" s="21"/>
      <c r="AM43" s="21"/>
      <c r="AN43" s="21"/>
      <c r="AO43" s="21"/>
      <c r="AP43" s="21"/>
      <c r="AQ43" s="21">
        <f t="shared" si="11"/>
        <v>422.37799999999999</v>
      </c>
      <c r="AR43" s="21">
        <f t="shared" si="11"/>
        <v>422.55800000000005</v>
      </c>
    </row>
    <row r="44" spans="1:44">
      <c r="A44" s="90"/>
      <c r="B44" s="90"/>
      <c r="C44" s="90"/>
      <c r="D44" s="90"/>
      <c r="E44" s="90"/>
      <c r="F44" s="90"/>
      <c r="G44" s="90"/>
      <c r="J44" s="5">
        <v>9</v>
      </c>
      <c r="K44" s="23">
        <f t="shared" si="9"/>
        <v>233.64</v>
      </c>
      <c r="L44" s="24">
        <f t="shared" si="4"/>
        <v>6</v>
      </c>
      <c r="M44" s="5">
        <f t="shared" si="5"/>
        <v>422.58300000000003</v>
      </c>
      <c r="N44" s="25">
        <f t="shared" si="6"/>
        <v>1.8888889151766205E-3</v>
      </c>
      <c r="O44" s="26">
        <f t="shared" si="7"/>
        <v>8.6399999999999864</v>
      </c>
      <c r="P44" s="27">
        <f t="shared" si="8"/>
        <v>422.59932000022718</v>
      </c>
      <c r="Q44" s="27">
        <f t="shared" si="10"/>
        <v>422.58642533353054</v>
      </c>
      <c r="R44" s="5"/>
      <c r="S44" s="21"/>
      <c r="T44" s="21"/>
      <c r="U44" s="21"/>
      <c r="V44" s="21"/>
      <c r="W44" s="21"/>
      <c r="X44" s="21"/>
      <c r="Y44" s="21"/>
      <c r="Z44" s="21"/>
      <c r="AA44" s="21"/>
      <c r="AB44" s="21"/>
      <c r="AC44" s="21"/>
      <c r="AD44" s="21"/>
      <c r="AE44" s="21"/>
      <c r="AF44" s="21"/>
      <c r="AG44" s="21"/>
      <c r="AH44" s="30">
        <f>AH43</f>
        <v>422.56236400036448</v>
      </c>
      <c r="AI44" s="30">
        <f>Q44</f>
        <v>422.58642533353054</v>
      </c>
      <c r="AJ44" s="21"/>
      <c r="AK44" s="21"/>
      <c r="AL44" s="21"/>
      <c r="AM44" s="21"/>
      <c r="AN44" s="21"/>
      <c r="AO44" s="21"/>
      <c r="AP44" s="21"/>
      <c r="AQ44" s="21">
        <f t="shared" si="11"/>
        <v>422.37799999999999</v>
      </c>
      <c r="AR44" s="21">
        <f t="shared" si="11"/>
        <v>422.55800000000005</v>
      </c>
    </row>
    <row r="45" spans="1:44">
      <c r="A45" s="90"/>
      <c r="B45" s="90"/>
      <c r="C45" s="90"/>
      <c r="D45" s="90"/>
      <c r="E45" s="90"/>
      <c r="F45" s="90"/>
      <c r="G45" s="90"/>
      <c r="J45" s="5">
        <v>8</v>
      </c>
      <c r="K45" s="23">
        <f t="shared" si="9"/>
        <v>248.64</v>
      </c>
      <c r="L45" s="24">
        <f t="shared" si="4"/>
        <v>6</v>
      </c>
      <c r="M45" s="5">
        <f t="shared" si="5"/>
        <v>422.58300000000003</v>
      </c>
      <c r="N45" s="25">
        <f t="shared" si="6"/>
        <v>1.8888889151766205E-3</v>
      </c>
      <c r="O45" s="26">
        <f t="shared" si="7"/>
        <v>23.639999999999986</v>
      </c>
      <c r="P45" s="27">
        <f t="shared" si="8"/>
        <v>422.62765333395481</v>
      </c>
      <c r="Q45" s="27">
        <f t="shared" si="10"/>
        <v>422.61348666709102</v>
      </c>
      <c r="R45" s="5"/>
      <c r="S45" s="21"/>
      <c r="T45" s="21"/>
      <c r="U45" s="21"/>
      <c r="V45" s="21"/>
      <c r="W45" s="21"/>
      <c r="X45" s="21"/>
      <c r="Y45" s="21"/>
      <c r="Z45" s="21"/>
      <c r="AA45" s="21"/>
      <c r="AB45" s="21"/>
      <c r="AC45" s="21"/>
      <c r="AD45" s="21"/>
      <c r="AE45" s="21"/>
      <c r="AF45" s="21"/>
      <c r="AG45" s="21"/>
      <c r="AH45" s="30"/>
      <c r="AI45" s="30">
        <f>AI44</f>
        <v>422.58642533353054</v>
      </c>
      <c r="AJ45" s="30">
        <f>Q45</f>
        <v>422.61348666709102</v>
      </c>
      <c r="AK45" s="21"/>
      <c r="AL45" s="21"/>
      <c r="AM45" s="21"/>
      <c r="AN45" s="21"/>
      <c r="AO45" s="21"/>
      <c r="AP45" s="21"/>
      <c r="AQ45" s="21">
        <f t="shared" si="11"/>
        <v>422.37799999999999</v>
      </c>
      <c r="AR45" s="21">
        <f t="shared" si="11"/>
        <v>422.55800000000005</v>
      </c>
    </row>
    <row r="46" spans="1:44">
      <c r="A46" s="121"/>
      <c r="B46" s="90"/>
      <c r="C46" s="90"/>
      <c r="D46" s="90"/>
      <c r="E46" s="90"/>
      <c r="F46" s="90"/>
      <c r="G46" s="90"/>
      <c r="J46" s="5">
        <v>7</v>
      </c>
      <c r="K46" s="23">
        <f t="shared" si="9"/>
        <v>263.64</v>
      </c>
      <c r="L46" s="24">
        <f t="shared" si="4"/>
        <v>6</v>
      </c>
      <c r="M46" s="5">
        <f t="shared" si="5"/>
        <v>422.58300000000003</v>
      </c>
      <c r="N46" s="25">
        <f t="shared" si="6"/>
        <v>1.8888889151766205E-3</v>
      </c>
      <c r="O46" s="26">
        <f t="shared" si="7"/>
        <v>38.639999999999986</v>
      </c>
      <c r="P46" s="27">
        <f t="shared" si="8"/>
        <v>422.65598666768244</v>
      </c>
      <c r="Q46" s="27">
        <f t="shared" si="10"/>
        <v>422.6418200008186</v>
      </c>
      <c r="R46" s="5"/>
      <c r="S46" s="21"/>
      <c r="T46" s="21"/>
      <c r="U46" s="21"/>
      <c r="V46" s="21"/>
      <c r="W46" s="21"/>
      <c r="X46" s="21"/>
      <c r="Y46" s="21"/>
      <c r="Z46" s="21"/>
      <c r="AA46" s="21"/>
      <c r="AB46" s="21"/>
      <c r="AC46" s="21"/>
      <c r="AD46" s="21"/>
      <c r="AE46" s="21"/>
      <c r="AF46" s="21"/>
      <c r="AG46" s="21"/>
      <c r="AH46" s="30"/>
      <c r="AI46" s="30"/>
      <c r="AJ46" s="30">
        <f>AJ45</f>
        <v>422.61348666709102</v>
      </c>
      <c r="AK46" s="30">
        <f>Q46</f>
        <v>422.6418200008186</v>
      </c>
      <c r="AL46" s="21"/>
      <c r="AM46" s="21"/>
      <c r="AN46" s="21"/>
      <c r="AO46" s="21"/>
      <c r="AP46" s="21"/>
      <c r="AQ46" s="21">
        <f t="shared" ref="AQ46:AR51" si="12">AQ45</f>
        <v>422.37799999999999</v>
      </c>
      <c r="AR46" s="21">
        <f t="shared" si="12"/>
        <v>422.55800000000005</v>
      </c>
    </row>
    <row r="47" spans="1:44">
      <c r="A47" s="90"/>
      <c r="B47" s="90"/>
      <c r="C47" s="90"/>
      <c r="D47" s="90"/>
      <c r="E47" s="90"/>
      <c r="F47" s="90"/>
      <c r="G47" s="90"/>
      <c r="J47" s="5">
        <v>6</v>
      </c>
      <c r="K47" s="23">
        <f t="shared" si="9"/>
        <v>278.64</v>
      </c>
      <c r="L47" s="24">
        <f t="shared" si="4"/>
        <v>7</v>
      </c>
      <c r="M47" s="5">
        <f t="shared" si="5"/>
        <v>422.66800000118297</v>
      </c>
      <c r="N47" s="25">
        <f t="shared" si="6"/>
        <v>-5.8444443655149472E-3</v>
      </c>
      <c r="O47" s="26">
        <f t="shared" si="7"/>
        <v>8.6399999999999864</v>
      </c>
      <c r="P47" s="27">
        <f t="shared" si="8"/>
        <v>422.61750400186492</v>
      </c>
      <c r="Q47" s="27">
        <f t="shared" si="10"/>
        <v>422.63674533477365</v>
      </c>
      <c r="R47" s="5"/>
      <c r="S47" s="21"/>
      <c r="T47" s="21"/>
      <c r="U47" s="21"/>
      <c r="V47" s="21"/>
      <c r="W47" s="21"/>
      <c r="X47" s="21"/>
      <c r="Y47" s="21"/>
      <c r="Z47" s="21"/>
      <c r="AA47" s="21"/>
      <c r="AB47" s="21"/>
      <c r="AC47" s="21"/>
      <c r="AD47" s="21"/>
      <c r="AE47" s="21"/>
      <c r="AF47" s="21"/>
      <c r="AG47" s="21"/>
      <c r="AH47" s="30"/>
      <c r="AI47" s="30"/>
      <c r="AJ47" s="21"/>
      <c r="AK47" s="30">
        <f>AK46</f>
        <v>422.6418200008186</v>
      </c>
      <c r="AL47" s="30">
        <f>Q47</f>
        <v>422.63674533477365</v>
      </c>
      <c r="AM47" s="21"/>
      <c r="AN47" s="21"/>
      <c r="AO47" s="21"/>
      <c r="AP47" s="21"/>
      <c r="AQ47" s="21">
        <f t="shared" si="12"/>
        <v>422.37799999999999</v>
      </c>
      <c r="AR47" s="21">
        <f t="shared" si="12"/>
        <v>422.55800000000005</v>
      </c>
    </row>
    <row r="48" spans="1:44">
      <c r="A48" s="90"/>
      <c r="B48" s="90"/>
      <c r="C48" s="90"/>
      <c r="D48" s="90"/>
      <c r="E48" s="90"/>
      <c r="F48" s="90"/>
      <c r="G48" s="90"/>
      <c r="J48" s="5">
        <v>5</v>
      </c>
      <c r="K48" s="23">
        <f t="shared" si="9"/>
        <v>293.64</v>
      </c>
      <c r="L48" s="24">
        <f t="shared" si="4"/>
        <v>7</v>
      </c>
      <c r="M48" s="5">
        <f t="shared" si="5"/>
        <v>422.66800000118297</v>
      </c>
      <c r="N48" s="25">
        <f t="shared" si="6"/>
        <v>-5.8444443655149472E-3</v>
      </c>
      <c r="O48" s="26">
        <f t="shared" si="7"/>
        <v>23.639999999999986</v>
      </c>
      <c r="P48" s="27">
        <f t="shared" si="8"/>
        <v>422.52983733638223</v>
      </c>
      <c r="Q48" s="27">
        <f t="shared" si="10"/>
        <v>422.57367066912354</v>
      </c>
      <c r="R48" s="5"/>
      <c r="S48" s="21"/>
      <c r="T48" s="21"/>
      <c r="U48" s="21"/>
      <c r="V48" s="21"/>
      <c r="W48" s="21"/>
      <c r="X48" s="21"/>
      <c r="Y48" s="21"/>
      <c r="Z48" s="21"/>
      <c r="AA48" s="21"/>
      <c r="AB48" s="21"/>
      <c r="AC48" s="21"/>
      <c r="AD48" s="21"/>
      <c r="AE48" s="21"/>
      <c r="AF48" s="21"/>
      <c r="AG48" s="21"/>
      <c r="AH48" s="30"/>
      <c r="AI48" s="30"/>
      <c r="AJ48" s="21"/>
      <c r="AK48" s="21"/>
      <c r="AL48" s="30">
        <f>AL47</f>
        <v>422.63674533477365</v>
      </c>
      <c r="AM48" s="30">
        <f>Q48</f>
        <v>422.57367066912354</v>
      </c>
      <c r="AN48" s="21"/>
      <c r="AO48" s="21"/>
      <c r="AP48" s="21"/>
      <c r="AQ48" s="21">
        <f t="shared" si="12"/>
        <v>422.37799999999999</v>
      </c>
      <c r="AR48" s="21">
        <f t="shared" si="12"/>
        <v>422.55800000000005</v>
      </c>
    </row>
    <row r="49" spans="1:44">
      <c r="A49" s="121"/>
      <c r="B49" s="90"/>
      <c r="C49" s="90"/>
      <c r="D49" s="90"/>
      <c r="E49" s="90"/>
      <c r="F49" s="90"/>
      <c r="G49" s="90"/>
      <c r="J49" s="5">
        <v>4</v>
      </c>
      <c r="K49" s="23">
        <f t="shared" si="9"/>
        <v>308.64</v>
      </c>
      <c r="L49" s="24">
        <f t="shared" si="4"/>
        <v>7</v>
      </c>
      <c r="M49" s="5">
        <f t="shared" si="5"/>
        <v>422.66800000118297</v>
      </c>
      <c r="N49" s="25">
        <f t="shared" si="6"/>
        <v>-5.8444443655149472E-3</v>
      </c>
      <c r="O49" s="26">
        <f t="shared" si="7"/>
        <v>38.639999999999986</v>
      </c>
      <c r="P49" s="27">
        <f t="shared" si="8"/>
        <v>422.44217067089949</v>
      </c>
      <c r="Q49" s="27">
        <f t="shared" si="10"/>
        <v>422.48600400364086</v>
      </c>
      <c r="R49" s="5"/>
      <c r="S49" s="21"/>
      <c r="T49" s="21"/>
      <c r="U49" s="21"/>
      <c r="V49" s="21"/>
      <c r="W49" s="21"/>
      <c r="X49" s="21"/>
      <c r="Y49" s="21"/>
      <c r="Z49" s="21"/>
      <c r="AA49" s="21"/>
      <c r="AB49" s="21"/>
      <c r="AC49" s="21"/>
      <c r="AD49" s="21"/>
      <c r="AE49" s="21"/>
      <c r="AF49" s="21"/>
      <c r="AG49" s="21"/>
      <c r="AH49" s="30"/>
      <c r="AI49" s="30"/>
      <c r="AJ49" s="21"/>
      <c r="AK49" s="21"/>
      <c r="AL49" s="21"/>
      <c r="AM49" s="30">
        <f>AM48</f>
        <v>422.57367066912354</v>
      </c>
      <c r="AN49" s="30">
        <f>Q49</f>
        <v>422.48600400364086</v>
      </c>
      <c r="AO49" s="30"/>
      <c r="AP49" s="21"/>
      <c r="AQ49" s="21">
        <f t="shared" si="12"/>
        <v>422.37799999999999</v>
      </c>
      <c r="AR49" s="21">
        <f t="shared" si="12"/>
        <v>422.55800000000005</v>
      </c>
    </row>
    <row r="50" spans="1:44">
      <c r="A50" s="90"/>
      <c r="B50" s="90"/>
      <c r="C50" s="90"/>
      <c r="D50" s="90"/>
      <c r="E50" s="90"/>
      <c r="F50" s="90"/>
      <c r="G50" s="90"/>
      <c r="J50" s="5">
        <v>3</v>
      </c>
      <c r="K50" s="23">
        <f t="shared" si="9"/>
        <v>323.64</v>
      </c>
      <c r="L50" s="24">
        <f t="shared" si="4"/>
        <v>8</v>
      </c>
      <c r="M50" s="5">
        <f t="shared" si="5"/>
        <v>422.4050000047348</v>
      </c>
      <c r="N50" s="25">
        <f t="shared" si="6"/>
        <v>-4.4444444443393475E-5</v>
      </c>
      <c r="O50" s="26">
        <f t="shared" si="7"/>
        <v>8.6399999999999864</v>
      </c>
      <c r="P50" s="27">
        <f t="shared" si="8"/>
        <v>422.40461600473481</v>
      </c>
      <c r="Q50" s="27">
        <f t="shared" si="10"/>
        <v>422.42339333781717</v>
      </c>
      <c r="R50" s="5"/>
      <c r="S50" s="21"/>
      <c r="T50" s="21"/>
      <c r="U50" s="21"/>
      <c r="V50" s="21"/>
      <c r="W50" s="21"/>
      <c r="X50" s="21"/>
      <c r="Y50" s="21"/>
      <c r="Z50" s="21"/>
      <c r="AA50" s="21"/>
      <c r="AB50" s="21"/>
      <c r="AC50" s="21"/>
      <c r="AD50" s="21"/>
      <c r="AE50" s="21"/>
      <c r="AF50" s="21"/>
      <c r="AG50" s="21"/>
      <c r="AH50" s="30"/>
      <c r="AI50" s="30"/>
      <c r="AJ50" s="21"/>
      <c r="AK50" s="21"/>
      <c r="AL50" s="21"/>
      <c r="AM50" s="30"/>
      <c r="AN50" s="30">
        <f>AN49</f>
        <v>422.48600400364086</v>
      </c>
      <c r="AO50" s="30">
        <f>Q50</f>
        <v>422.42339333781717</v>
      </c>
      <c r="AP50" s="21"/>
      <c r="AQ50" s="21">
        <f t="shared" si="12"/>
        <v>422.37799999999999</v>
      </c>
      <c r="AR50" s="21">
        <f t="shared" si="12"/>
        <v>422.55800000000005</v>
      </c>
    </row>
    <row r="51" spans="1:44">
      <c r="A51" s="90"/>
      <c r="B51" s="90"/>
      <c r="C51" s="90"/>
      <c r="D51" s="90"/>
      <c r="E51" s="90"/>
      <c r="F51" s="90"/>
      <c r="G51" s="90"/>
      <c r="J51" s="5">
        <v>2</v>
      </c>
      <c r="K51" s="23">
        <f t="shared" si="9"/>
        <v>338.64</v>
      </c>
      <c r="L51" s="24">
        <f t="shared" si="4"/>
        <v>8</v>
      </c>
      <c r="M51" s="5">
        <f t="shared" si="5"/>
        <v>422.4050000047348</v>
      </c>
      <c r="N51" s="25">
        <f t="shared" si="6"/>
        <v>-4.4444444443393475E-5</v>
      </c>
      <c r="O51" s="26">
        <f t="shared" si="7"/>
        <v>23.639999999999986</v>
      </c>
      <c r="P51" s="27">
        <f t="shared" si="8"/>
        <v>422.40394933806817</v>
      </c>
      <c r="Q51" s="27">
        <f>(P49+P51)/2</f>
        <v>422.42306000448383</v>
      </c>
      <c r="R51" s="5"/>
      <c r="S51" s="31"/>
      <c r="T51" s="31"/>
      <c r="U51" s="31"/>
      <c r="V51" s="31"/>
      <c r="W51" s="31"/>
      <c r="X51" s="31"/>
      <c r="Y51" s="31"/>
      <c r="Z51" s="31"/>
      <c r="AA51" s="31"/>
      <c r="AB51" s="31"/>
      <c r="AC51" s="31"/>
      <c r="AD51" s="31"/>
      <c r="AE51" s="31"/>
      <c r="AF51" s="31"/>
      <c r="AG51" s="31"/>
      <c r="AH51" s="31"/>
      <c r="AI51" s="32"/>
      <c r="AJ51" s="32"/>
      <c r="AK51" s="32"/>
      <c r="AL51" s="32"/>
      <c r="AM51" s="32"/>
      <c r="AN51" s="32"/>
      <c r="AO51" s="32">
        <f>AO50</f>
        <v>422.42339333781717</v>
      </c>
      <c r="AP51" s="32">
        <f>Q51</f>
        <v>422.42306000448383</v>
      </c>
      <c r="AQ51" s="31">
        <f t="shared" si="12"/>
        <v>422.37799999999999</v>
      </c>
      <c r="AR51" s="31">
        <f t="shared" si="12"/>
        <v>422.55800000000005</v>
      </c>
    </row>
    <row r="52" spans="1:44">
      <c r="A52" s="121"/>
      <c r="B52" s="90"/>
      <c r="C52" s="90"/>
      <c r="D52" s="90"/>
      <c r="E52" s="90"/>
      <c r="F52" s="90"/>
      <c r="G52" s="90"/>
    </row>
    <row r="53" spans="1:44">
      <c r="A53" s="90"/>
      <c r="B53" s="90"/>
      <c r="C53" s="90"/>
      <c r="D53" s="90"/>
      <c r="E53" s="90"/>
      <c r="F53" s="90"/>
      <c r="G53" s="90"/>
      <c r="S53" s="52"/>
    </row>
    <row r="54" spans="1:44">
      <c r="A54" s="90"/>
      <c r="B54" s="90"/>
      <c r="C54" s="90"/>
      <c r="D54" s="90"/>
      <c r="E54" s="90"/>
      <c r="F54" s="90"/>
      <c r="G54" s="90"/>
      <c r="J54" s="33"/>
      <c r="K54" s="33"/>
      <c r="L54" s="33"/>
      <c r="M54" s="33"/>
      <c r="N54" s="33"/>
      <c r="O54" s="33"/>
      <c r="P54" s="33"/>
      <c r="Q54" s="33"/>
      <c r="R54" s="33"/>
      <c r="S54" s="5"/>
      <c r="T54" s="33"/>
      <c r="U54" s="33"/>
      <c r="V54" s="33"/>
      <c r="W54" s="33"/>
      <c r="X54" s="33"/>
      <c r="Y54" s="33"/>
      <c r="Z54" s="33"/>
      <c r="AA54" s="33"/>
      <c r="AB54" s="33"/>
      <c r="AC54" s="33"/>
    </row>
    <row r="55" spans="1:44">
      <c r="A55" s="90"/>
      <c r="B55" s="90"/>
      <c r="C55" s="90"/>
      <c r="D55" s="90"/>
      <c r="E55" s="90"/>
      <c r="F55" s="90"/>
      <c r="G55" s="90"/>
      <c r="J55" s="33"/>
      <c r="K55" s="33"/>
      <c r="L55" s="33"/>
      <c r="M55" s="33"/>
      <c r="N55" s="33"/>
      <c r="O55" s="33"/>
      <c r="P55" s="33"/>
      <c r="Q55" s="33"/>
      <c r="R55" s="33"/>
      <c r="S55" s="5"/>
      <c r="T55" s="33"/>
      <c r="U55" s="33"/>
      <c r="V55" s="33"/>
      <c r="W55" s="33"/>
      <c r="X55" s="33"/>
      <c r="Y55" s="33"/>
      <c r="Z55" s="33"/>
      <c r="AA55" s="33"/>
      <c r="AB55" s="33"/>
      <c r="AC55" s="33"/>
    </row>
    <row r="56" spans="1:44">
      <c r="A56" s="90"/>
      <c r="B56" s="90"/>
      <c r="C56" s="90"/>
      <c r="D56" s="90"/>
      <c r="E56" s="90"/>
      <c r="F56" s="90"/>
      <c r="G56" s="90"/>
      <c r="J56" s="33"/>
      <c r="K56" s="33"/>
      <c r="L56" s="33"/>
      <c r="M56" s="33"/>
      <c r="N56" s="33"/>
      <c r="O56" s="33"/>
      <c r="P56" s="33"/>
      <c r="Q56" s="33"/>
      <c r="R56" s="33"/>
      <c r="S56" s="5"/>
      <c r="T56" s="33"/>
      <c r="U56" s="33"/>
      <c r="V56" s="33"/>
      <c r="W56" s="33"/>
      <c r="X56" s="33"/>
      <c r="Y56" s="33"/>
      <c r="Z56" s="33"/>
      <c r="AA56" s="33"/>
      <c r="AB56" s="33"/>
      <c r="AC56" s="33"/>
    </row>
    <row r="57" spans="1:44">
      <c r="A57" s="90"/>
      <c r="B57" s="90"/>
      <c r="C57" s="90"/>
      <c r="D57" s="90"/>
      <c r="E57" s="90"/>
      <c r="F57" s="90"/>
      <c r="G57" s="90"/>
      <c r="J57" s="33"/>
      <c r="K57" s="33"/>
      <c r="L57" s="33"/>
      <c r="M57" s="33"/>
      <c r="N57" s="33"/>
      <c r="O57" s="33"/>
      <c r="P57" s="33"/>
      <c r="Q57" s="33"/>
      <c r="R57" s="33"/>
      <c r="S57" s="5"/>
      <c r="T57" s="33"/>
      <c r="U57" s="33"/>
      <c r="V57" s="33"/>
      <c r="W57" s="33"/>
      <c r="X57" s="33"/>
      <c r="Y57" s="33"/>
      <c r="Z57" s="33"/>
      <c r="AA57" s="33"/>
      <c r="AB57" s="33"/>
      <c r="AC57" s="33"/>
    </row>
    <row r="58" spans="1:44">
      <c r="J58" s="33"/>
      <c r="K58" s="33"/>
      <c r="L58" s="33"/>
      <c r="M58" s="33"/>
      <c r="N58" s="33"/>
      <c r="O58" s="33"/>
      <c r="P58" s="33"/>
      <c r="Q58" s="33"/>
      <c r="R58" s="33"/>
      <c r="S58" s="5"/>
      <c r="T58" s="33"/>
      <c r="U58" s="33"/>
      <c r="V58" s="33"/>
      <c r="W58" s="33"/>
      <c r="X58" s="33"/>
      <c r="Y58" s="33"/>
      <c r="Z58" s="33"/>
      <c r="AA58" s="33"/>
      <c r="AB58" s="33"/>
      <c r="AC58" s="33"/>
    </row>
    <row r="59" spans="1:44">
      <c r="J59" s="33"/>
      <c r="K59" s="33"/>
      <c r="L59" s="33"/>
      <c r="M59" s="33"/>
      <c r="N59" s="33"/>
      <c r="O59" s="33"/>
      <c r="P59" s="33"/>
      <c r="Q59" s="33"/>
      <c r="R59" s="33"/>
      <c r="S59" s="5"/>
      <c r="T59" s="33"/>
      <c r="U59" s="33"/>
      <c r="V59" s="33"/>
      <c r="W59" s="33"/>
      <c r="X59" s="33"/>
      <c r="Y59" s="33"/>
      <c r="Z59" s="33"/>
      <c r="AA59" s="33"/>
      <c r="AB59" s="33"/>
      <c r="AC59" s="33"/>
    </row>
    <row r="60" spans="1:44">
      <c r="J60" s="33"/>
      <c r="K60" s="33"/>
      <c r="L60" s="33"/>
      <c r="M60" s="33"/>
      <c r="N60" s="33"/>
      <c r="O60" s="33"/>
      <c r="P60" s="33"/>
      <c r="Q60" s="33"/>
      <c r="R60" s="33"/>
      <c r="S60" s="5"/>
      <c r="T60" s="33"/>
      <c r="U60" s="33"/>
      <c r="V60" s="33"/>
      <c r="W60" s="33"/>
      <c r="X60" s="33"/>
      <c r="Y60" s="33"/>
      <c r="Z60" s="33"/>
      <c r="AA60" s="33"/>
      <c r="AB60" s="33"/>
      <c r="AC60" s="33"/>
    </row>
    <row r="61" spans="1:44">
      <c r="J61" s="33"/>
      <c r="K61" s="33"/>
      <c r="L61" s="33"/>
      <c r="M61" s="33"/>
      <c r="N61" s="33"/>
      <c r="O61" s="33"/>
      <c r="P61" s="33"/>
      <c r="Q61" s="33"/>
      <c r="R61" s="33"/>
      <c r="S61" s="5"/>
      <c r="T61" s="33"/>
      <c r="U61" s="33"/>
      <c r="V61" s="33"/>
      <c r="W61" s="33"/>
      <c r="X61" s="33"/>
      <c r="Y61" s="33"/>
      <c r="Z61" s="33"/>
      <c r="AA61" s="33"/>
      <c r="AB61" s="33"/>
      <c r="AC61" s="33"/>
    </row>
    <row r="62" spans="1:44">
      <c r="J62" s="33"/>
      <c r="K62" s="33"/>
      <c r="L62" s="33"/>
      <c r="M62" s="33"/>
      <c r="N62" s="33"/>
      <c r="O62" s="33"/>
      <c r="P62" s="33"/>
      <c r="Q62" s="33"/>
      <c r="R62" s="33"/>
      <c r="S62" s="5"/>
      <c r="T62" s="33"/>
      <c r="U62" s="33"/>
      <c r="V62" s="33"/>
      <c r="W62" s="33"/>
      <c r="X62" s="33"/>
      <c r="Y62" s="33"/>
      <c r="Z62" s="33"/>
      <c r="AA62" s="33"/>
      <c r="AB62" s="33"/>
      <c r="AC62" s="33"/>
    </row>
    <row r="63" spans="1:44">
      <c r="J63" s="33"/>
      <c r="K63" s="33"/>
      <c r="L63" s="33"/>
      <c r="M63" s="33"/>
      <c r="N63" s="33"/>
      <c r="O63" s="33"/>
      <c r="P63" s="33"/>
      <c r="Q63" s="33"/>
      <c r="R63" s="33"/>
      <c r="S63" s="5"/>
      <c r="T63" s="33"/>
      <c r="U63" s="33"/>
      <c r="V63" s="33"/>
      <c r="W63" s="33"/>
      <c r="X63" s="33"/>
      <c r="Y63" s="33"/>
      <c r="Z63" s="33"/>
      <c r="AA63" s="33"/>
      <c r="AB63" s="33"/>
      <c r="AC63" s="33"/>
    </row>
    <row r="64" spans="1:44">
      <c r="J64" s="33"/>
      <c r="K64" s="33"/>
      <c r="L64" s="33"/>
      <c r="M64" s="33"/>
      <c r="N64" s="33"/>
      <c r="O64" s="33"/>
      <c r="P64" s="33"/>
      <c r="Q64" s="33"/>
      <c r="R64" s="33"/>
      <c r="S64" s="5"/>
      <c r="T64" s="33"/>
      <c r="U64" s="33"/>
      <c r="V64" s="33"/>
      <c r="W64" s="33"/>
      <c r="X64" s="33"/>
      <c r="Y64" s="33"/>
      <c r="Z64" s="33"/>
      <c r="AA64" s="33"/>
      <c r="AB64" s="33"/>
      <c r="AC64" s="33"/>
    </row>
    <row r="65" spans="10:29">
      <c r="J65" s="33"/>
      <c r="K65" s="33"/>
      <c r="L65" s="33"/>
      <c r="M65" s="33"/>
      <c r="N65" s="33"/>
      <c r="O65" s="33"/>
      <c r="P65" s="33"/>
      <c r="Q65" s="33"/>
      <c r="R65" s="33"/>
      <c r="S65" s="5"/>
      <c r="T65" s="33"/>
      <c r="U65" s="33"/>
      <c r="V65" s="33"/>
      <c r="W65" s="33"/>
      <c r="X65" s="33"/>
      <c r="Y65" s="33"/>
      <c r="Z65" s="33"/>
      <c r="AA65" s="33"/>
      <c r="AB65" s="33"/>
      <c r="AC65" s="33"/>
    </row>
    <row r="66" spans="10:29">
      <c r="J66" s="33"/>
      <c r="K66" s="33"/>
      <c r="L66" s="33"/>
      <c r="M66" s="33"/>
      <c r="N66" s="33"/>
      <c r="O66" s="33"/>
      <c r="P66" s="33"/>
      <c r="Q66" s="33"/>
      <c r="R66" s="33"/>
      <c r="S66" s="5"/>
      <c r="T66" s="33"/>
      <c r="U66" s="33"/>
      <c r="V66" s="33"/>
      <c r="W66" s="33"/>
      <c r="X66" s="33"/>
      <c r="Y66" s="33"/>
      <c r="Z66" s="33"/>
      <c r="AA66" s="33"/>
      <c r="AB66" s="33"/>
      <c r="AC66" s="33"/>
    </row>
    <row r="67" spans="10:29">
      <c r="J67" s="33"/>
      <c r="K67" s="33"/>
      <c r="L67" s="33"/>
      <c r="M67" s="33"/>
      <c r="N67" s="33"/>
      <c r="O67" s="33"/>
      <c r="P67" s="33"/>
      <c r="Q67" s="33"/>
      <c r="R67" s="33"/>
      <c r="S67" s="5"/>
      <c r="T67" s="33"/>
      <c r="U67" s="33"/>
      <c r="V67" s="33"/>
      <c r="W67" s="33"/>
      <c r="X67" s="33"/>
      <c r="Y67" s="33"/>
      <c r="Z67" s="33"/>
      <c r="AA67" s="33"/>
      <c r="AB67" s="33"/>
      <c r="AC67" s="33"/>
    </row>
    <row r="68" spans="10:29">
      <c r="J68" s="33"/>
      <c r="K68" s="33"/>
      <c r="L68" s="33"/>
      <c r="M68" s="33"/>
      <c r="N68" s="33"/>
      <c r="O68" s="33"/>
      <c r="P68" s="33"/>
      <c r="Q68" s="33"/>
      <c r="R68" s="33"/>
      <c r="S68" s="5"/>
      <c r="T68" s="33"/>
      <c r="U68" s="33"/>
      <c r="V68" s="33"/>
      <c r="W68" s="33"/>
      <c r="X68" s="33"/>
      <c r="Y68" s="33"/>
      <c r="Z68" s="33"/>
      <c r="AA68" s="33"/>
      <c r="AB68" s="33"/>
      <c r="AC68" s="33"/>
    </row>
    <row r="69" spans="10:29">
      <c r="J69" s="33"/>
      <c r="K69" s="33"/>
      <c r="L69" s="33"/>
      <c r="M69" s="33"/>
      <c r="N69" s="33"/>
      <c r="O69" s="33"/>
      <c r="P69" s="33"/>
      <c r="Q69" s="33"/>
      <c r="R69" s="33"/>
      <c r="S69" s="5"/>
      <c r="T69" s="33"/>
      <c r="U69" s="33"/>
      <c r="V69" s="33"/>
      <c r="W69" s="33"/>
      <c r="X69" s="33"/>
      <c r="Y69" s="33"/>
      <c r="Z69" s="33"/>
      <c r="AA69" s="33"/>
      <c r="AB69" s="33"/>
      <c r="AC69" s="33"/>
    </row>
    <row r="70" spans="10:29">
      <c r="J70" s="33"/>
      <c r="K70" s="33"/>
      <c r="L70" s="33"/>
      <c r="M70" s="33"/>
      <c r="N70" s="33"/>
      <c r="O70" s="33"/>
      <c r="P70" s="33"/>
      <c r="Q70" s="33"/>
      <c r="R70" s="33"/>
      <c r="S70" s="5"/>
      <c r="T70" s="33"/>
      <c r="U70" s="33"/>
      <c r="V70" s="33"/>
      <c r="W70" s="33"/>
      <c r="X70" s="33"/>
      <c r="Y70" s="33"/>
      <c r="Z70" s="33"/>
      <c r="AA70" s="33"/>
      <c r="AB70" s="33"/>
      <c r="AC70" s="33"/>
    </row>
    <row r="71" spans="10:29">
      <c r="J71" s="33"/>
      <c r="K71" s="33"/>
      <c r="L71" s="33"/>
      <c r="M71" s="33"/>
      <c r="N71" s="33"/>
      <c r="O71" s="33"/>
      <c r="P71" s="33"/>
      <c r="Q71" s="33"/>
      <c r="R71" s="33"/>
      <c r="S71" s="5"/>
      <c r="T71" s="33"/>
      <c r="U71" s="33"/>
      <c r="V71" s="33"/>
      <c r="W71" s="33"/>
      <c r="X71" s="33"/>
      <c r="Y71" s="33"/>
      <c r="Z71" s="33"/>
      <c r="AA71" s="33"/>
      <c r="AB71" s="33"/>
      <c r="AC71" s="33"/>
    </row>
    <row r="72" spans="10:29">
      <c r="J72" s="33"/>
      <c r="K72" s="33"/>
      <c r="L72" s="33"/>
      <c r="M72" s="33"/>
      <c r="N72" s="33"/>
      <c r="O72" s="33"/>
      <c r="P72" s="33"/>
      <c r="Q72" s="33"/>
      <c r="R72" s="33"/>
      <c r="S72" s="5"/>
      <c r="T72" s="33"/>
      <c r="U72" s="33"/>
      <c r="V72" s="33"/>
      <c r="W72" s="33"/>
      <c r="X72" s="33"/>
      <c r="Y72" s="33"/>
      <c r="Z72" s="33"/>
      <c r="AA72" s="33"/>
      <c r="AB72" s="33"/>
      <c r="AC72" s="33"/>
    </row>
    <row r="73" spans="10:29">
      <c r="J73" s="33"/>
      <c r="K73" s="33"/>
      <c r="L73" s="33"/>
      <c r="M73" s="33"/>
      <c r="N73" s="33"/>
      <c r="O73" s="33"/>
      <c r="P73" s="33"/>
      <c r="Q73" s="33"/>
      <c r="R73" s="33"/>
      <c r="S73" s="5"/>
      <c r="T73" s="33"/>
      <c r="U73" s="33"/>
      <c r="V73" s="33"/>
      <c r="W73" s="33"/>
      <c r="X73" s="33"/>
      <c r="Y73" s="33"/>
      <c r="Z73" s="33"/>
      <c r="AA73" s="33"/>
      <c r="AB73" s="33"/>
      <c r="AC73" s="33"/>
    </row>
    <row r="74" spans="10:29">
      <c r="J74" s="33"/>
      <c r="K74" s="33"/>
      <c r="L74" s="33"/>
      <c r="M74" s="33"/>
      <c r="N74" s="33"/>
      <c r="O74" s="33"/>
      <c r="P74" s="33"/>
      <c r="Q74" s="33"/>
      <c r="R74" s="33"/>
      <c r="S74" s="5"/>
      <c r="T74" s="33"/>
      <c r="U74" s="33"/>
      <c r="V74" s="33"/>
      <c r="W74" s="33"/>
      <c r="X74" s="33"/>
      <c r="Y74" s="33"/>
      <c r="Z74" s="33"/>
      <c r="AA74" s="33"/>
      <c r="AB74" s="33"/>
      <c r="AC74" s="33"/>
    </row>
    <row r="75" spans="10:29">
      <c r="J75" s="33"/>
      <c r="K75" s="33"/>
      <c r="L75" s="33"/>
      <c r="M75" s="33"/>
      <c r="N75" s="33"/>
      <c r="O75" s="33"/>
      <c r="P75" s="33"/>
      <c r="Q75" s="33"/>
      <c r="R75" s="33"/>
      <c r="S75" s="5"/>
      <c r="T75" s="33"/>
      <c r="U75" s="33"/>
      <c r="V75" s="33"/>
      <c r="W75" s="33"/>
      <c r="X75" s="33"/>
      <c r="Y75" s="33"/>
      <c r="Z75" s="33"/>
      <c r="AA75" s="33"/>
      <c r="AB75" s="33"/>
      <c r="AC75" s="33"/>
    </row>
    <row r="76" spans="10:29">
      <c r="J76" s="33"/>
      <c r="K76" s="33"/>
      <c r="L76" s="33"/>
      <c r="M76" s="33"/>
      <c r="N76" s="33"/>
      <c r="O76" s="33"/>
      <c r="P76" s="33"/>
      <c r="Q76" s="33"/>
      <c r="R76" s="33"/>
      <c r="S76" s="5"/>
      <c r="T76" s="33"/>
      <c r="U76" s="33"/>
      <c r="V76" s="33"/>
      <c r="W76" s="33"/>
      <c r="X76" s="33"/>
      <c r="Y76" s="33"/>
      <c r="Z76" s="33"/>
      <c r="AA76" s="33"/>
      <c r="AB76" s="33"/>
      <c r="AC76" s="33"/>
    </row>
    <row r="77" spans="10:29">
      <c r="J77" s="33"/>
      <c r="K77" s="33"/>
      <c r="L77" s="33"/>
      <c r="M77" s="33"/>
      <c r="N77" s="33"/>
      <c r="O77" s="33"/>
      <c r="P77" s="33"/>
      <c r="Q77" s="33"/>
      <c r="R77" s="33"/>
      <c r="S77" s="5"/>
      <c r="T77" s="33"/>
      <c r="U77" s="33"/>
      <c r="V77" s="33"/>
      <c r="W77" s="33"/>
      <c r="X77" s="33"/>
      <c r="Y77" s="33"/>
      <c r="Z77" s="33"/>
      <c r="AA77" s="33"/>
      <c r="AB77" s="33"/>
      <c r="AC77" s="33"/>
    </row>
    <row r="78" spans="10:29">
      <c r="J78" s="33"/>
      <c r="K78" s="33"/>
      <c r="L78" s="33"/>
      <c r="M78" s="33"/>
      <c r="N78" s="33"/>
      <c r="O78" s="33"/>
      <c r="P78" s="33"/>
      <c r="Q78" s="33"/>
      <c r="R78" s="33"/>
      <c r="S78" s="5"/>
      <c r="T78" s="33"/>
      <c r="U78" s="33"/>
      <c r="V78" s="33"/>
      <c r="W78" s="33"/>
      <c r="X78" s="33"/>
      <c r="Y78" s="33"/>
      <c r="Z78" s="33"/>
      <c r="AA78" s="33"/>
      <c r="AB78" s="33"/>
      <c r="AC78" s="33"/>
    </row>
    <row r="79" spans="10:29">
      <c r="J79" s="33"/>
      <c r="K79" s="33"/>
      <c r="L79" s="33"/>
      <c r="M79" s="33"/>
      <c r="N79" s="33"/>
      <c r="O79" s="33"/>
      <c r="P79" s="33"/>
      <c r="Q79" s="33"/>
      <c r="R79" s="33"/>
      <c r="S79" s="5"/>
      <c r="T79" s="33"/>
      <c r="U79" s="33"/>
      <c r="V79" s="33"/>
      <c r="W79" s="33"/>
      <c r="X79" s="33"/>
      <c r="Y79" s="33"/>
      <c r="Z79" s="33"/>
      <c r="AA79" s="33"/>
      <c r="AB79" s="33"/>
      <c r="AC79" s="33"/>
    </row>
    <row r="80" spans="10:29">
      <c r="J80" s="33"/>
      <c r="K80" s="33"/>
      <c r="L80" s="33"/>
      <c r="M80" s="33"/>
      <c r="N80" s="33"/>
      <c r="O80" s="33"/>
      <c r="P80" s="33"/>
      <c r="Q80" s="33"/>
      <c r="R80" s="33"/>
      <c r="S80" s="5"/>
      <c r="T80" s="33"/>
      <c r="U80" s="33"/>
      <c r="V80" s="33"/>
      <c r="W80" s="33"/>
      <c r="X80" s="33"/>
      <c r="Y80" s="33"/>
      <c r="Z80" s="33"/>
      <c r="AA80" s="33"/>
      <c r="AB80" s="33"/>
      <c r="AC80" s="33"/>
    </row>
    <row r="81" spans="10:50">
      <c r="J81" s="33"/>
      <c r="K81" s="33"/>
      <c r="L81" s="33"/>
      <c r="M81" s="33"/>
      <c r="N81" s="33"/>
      <c r="O81" s="33"/>
      <c r="P81" s="33"/>
      <c r="Q81" s="33"/>
      <c r="R81" s="33"/>
      <c r="S81" s="5"/>
      <c r="T81" s="33"/>
      <c r="U81" s="33"/>
      <c r="V81" s="33"/>
      <c r="W81" s="33"/>
      <c r="X81" s="33"/>
      <c r="Y81" s="33"/>
      <c r="Z81" s="33"/>
      <c r="AA81" s="33"/>
      <c r="AB81" s="33"/>
      <c r="AC81" s="33"/>
    </row>
    <row r="82" spans="10:50">
      <c r="J82" s="33"/>
      <c r="K82" s="33"/>
      <c r="L82" s="33"/>
      <c r="M82" s="33"/>
      <c r="N82" s="33"/>
      <c r="O82" s="33"/>
      <c r="P82" s="33"/>
      <c r="Q82" s="33"/>
      <c r="R82" s="33"/>
      <c r="S82" s="5"/>
      <c r="T82" s="33"/>
      <c r="U82" s="33"/>
      <c r="V82" s="33"/>
      <c r="W82" s="33"/>
      <c r="X82" s="33"/>
      <c r="Y82" s="33"/>
      <c r="Z82" s="33"/>
      <c r="AA82" s="33"/>
      <c r="AB82" s="33"/>
      <c r="AC82" s="33"/>
    </row>
    <row r="85" spans="10:50">
      <c r="S85" s="20" t="str">
        <f ca="1">CONCATENATE(LEFT($S$24, LEN($S$24)-4), " Step#", OFFSET($J$27, S25, 0))</f>
        <v>Stg.4 Shroud Step#1</v>
      </c>
      <c r="T85" s="20" t="str">
        <f t="shared" ref="T85:AP85" ca="1" si="13">CONCATENATE(LEFT($S$24, LEN($S$24)-4), " Step#", OFFSET($J$27, T25, 0))</f>
        <v>Stg.4 Shroud Step#24</v>
      </c>
      <c r="U85" s="20" t="str">
        <f t="shared" ca="1" si="13"/>
        <v>Stg.4 Shroud Step#23</v>
      </c>
      <c r="V85" s="20" t="str">
        <f t="shared" ca="1" si="13"/>
        <v>Stg.4 Shroud Step#22</v>
      </c>
      <c r="W85" s="20" t="str">
        <f t="shared" ca="1" si="13"/>
        <v>Stg.4 Shroud Step#21</v>
      </c>
      <c r="X85" s="20" t="str">
        <f t="shared" ca="1" si="13"/>
        <v>Stg.4 Shroud Step#20</v>
      </c>
      <c r="Y85" s="20" t="str">
        <f t="shared" ca="1" si="13"/>
        <v>Stg.4 Shroud Step#19</v>
      </c>
      <c r="Z85" s="20" t="str">
        <f t="shared" ca="1" si="13"/>
        <v>Stg.4 Shroud Step#18</v>
      </c>
      <c r="AA85" s="20" t="str">
        <f t="shared" ca="1" si="13"/>
        <v>Stg.4 Shroud Step#17</v>
      </c>
      <c r="AB85" s="20" t="str">
        <f t="shared" ca="1" si="13"/>
        <v>Stg.4 Shroud Step#16</v>
      </c>
      <c r="AC85" s="20" t="str">
        <f t="shared" ca="1" si="13"/>
        <v>Stg.4 Shroud Step#15</v>
      </c>
      <c r="AD85" s="20" t="str">
        <f t="shared" ca="1" si="13"/>
        <v>Stg.4 Shroud Step#14</v>
      </c>
      <c r="AE85" s="20" t="str">
        <f t="shared" ca="1" si="13"/>
        <v>Stg.4 Shroud Step#13</v>
      </c>
      <c r="AF85" s="20" t="str">
        <f t="shared" ca="1" si="13"/>
        <v>Stg.4 Shroud Step#12</v>
      </c>
      <c r="AG85" s="20" t="str">
        <f t="shared" ca="1" si="13"/>
        <v>Stg.4 Shroud Step#11</v>
      </c>
      <c r="AH85" s="20" t="str">
        <f t="shared" ca="1" si="13"/>
        <v>Stg.4 Shroud Step#10</v>
      </c>
      <c r="AI85" s="20" t="str">
        <f t="shared" ca="1" si="13"/>
        <v>Stg.4 Shroud Step#9</v>
      </c>
      <c r="AJ85" s="20" t="str">
        <f t="shared" ca="1" si="13"/>
        <v>Stg.4 Shroud Step#8</v>
      </c>
      <c r="AK85" s="20" t="str">
        <f t="shared" ca="1" si="13"/>
        <v>Stg.4 Shroud Step#7</v>
      </c>
      <c r="AL85" s="20" t="str">
        <f t="shared" ca="1" si="13"/>
        <v>Stg.4 Shroud Step#6</v>
      </c>
      <c r="AM85" s="20" t="str">
        <f t="shared" ca="1" si="13"/>
        <v>Stg.4 Shroud Step#5</v>
      </c>
      <c r="AN85" s="20" t="str">
        <f t="shared" ca="1" si="13"/>
        <v>Stg.4 Shroud Step#4</v>
      </c>
      <c r="AO85" s="20" t="str">
        <f t="shared" ca="1" si="13"/>
        <v>Stg.4 Shroud Step#3</v>
      </c>
      <c r="AP85" s="20" t="str">
        <f t="shared" ca="1" si="13"/>
        <v>Stg.4 Shroud Step#2</v>
      </c>
      <c r="AQ85" s="20" t="s">
        <v>349</v>
      </c>
      <c r="AR85" s="20" t="s">
        <v>350</v>
      </c>
    </row>
    <row r="86" spans="10:50">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7" t="s">
        <v>320</v>
      </c>
      <c r="AR86" s="17" t="s">
        <v>320</v>
      </c>
    </row>
    <row r="87" spans="10:50">
      <c r="S87" s="35">
        <f ca="1">IF(S28&lt;&gt;"", S28-'246'!S36-$AQ$115,"")</f>
        <v>1.0399976364396935E-3</v>
      </c>
      <c r="T87" s="35"/>
      <c r="U87" s="35"/>
      <c r="V87" s="35"/>
      <c r="W87" s="35"/>
      <c r="X87" s="35"/>
      <c r="Y87" s="35"/>
      <c r="Z87" s="35"/>
      <c r="AA87" s="35"/>
      <c r="AB87" s="35"/>
      <c r="AC87" s="35"/>
      <c r="AD87" s="35"/>
      <c r="AE87" s="35"/>
      <c r="AF87" s="35"/>
      <c r="AG87" s="35"/>
      <c r="AH87" s="35"/>
      <c r="AI87" s="35"/>
      <c r="AJ87" s="35"/>
      <c r="AK87" s="35"/>
      <c r="AL87" s="35"/>
      <c r="AM87" s="35"/>
      <c r="AN87" s="35"/>
      <c r="AO87" s="35"/>
      <c r="AP87" s="35">
        <f ca="1">IF(AP28&lt;&gt;"", AP28-'246'!AP36-$AQ$115,"")</f>
        <v>3.0153332241866337E-2</v>
      </c>
      <c r="AQ87" s="21">
        <f>AQ28-'246'!AR36-$AQ$115</f>
        <v>-0.1220000000000141</v>
      </c>
      <c r="AR87" s="21">
        <f>AR28-'246'!AQ36-$AQ$115</f>
        <v>0.1220000000000141</v>
      </c>
      <c r="AS87" s="13" t="s">
        <v>351</v>
      </c>
      <c r="AT87" s="36">
        <f ca="1">MAX(S87:AP110)</f>
        <v>0.1530118752503995</v>
      </c>
      <c r="AU87" s="13" t="str">
        <f ca="1">IF(AT87&gt;AR87, CONCATENATE("O/Max ", TEXT(AT87-AR87,"0.000")), "-")</f>
        <v>O/Max 0.031</v>
      </c>
      <c r="AV87" s="36">
        <f ca="1">$Q28-'246'!$Q36-$AQ$115</f>
        <v>1.0399976364396935E-3</v>
      </c>
      <c r="AW87" s="13">
        <f ca="1">INDEX($J28:$J51,MATCH(AT87,AV87:AV110,0))</f>
        <v>10</v>
      </c>
      <c r="AX87" s="5">
        <f ca="1">MATCH(AT87,AV87:AV110,0)</f>
        <v>16</v>
      </c>
    </row>
    <row r="88" spans="10:50">
      <c r="S88" s="35">
        <f ca="1">IF(S29&lt;&gt;"", S29-'246'!S37-$AQ$115,"")</f>
        <v>1.0399976364396935E-3</v>
      </c>
      <c r="T88" s="35">
        <f ca="1">IF(T29&lt;&gt;"", T29-'246'!T37-$AQ$115,"")</f>
        <v>-3.5573331604268787E-2</v>
      </c>
      <c r="U88" s="35"/>
      <c r="V88" s="35"/>
      <c r="W88" s="35"/>
      <c r="X88" s="35"/>
      <c r="Y88" s="35"/>
      <c r="Z88" s="35"/>
      <c r="AA88" s="35"/>
      <c r="AB88" s="35"/>
      <c r="AC88" s="35"/>
      <c r="AD88" s="35"/>
      <c r="AE88" s="35"/>
      <c r="AF88" s="35"/>
      <c r="AG88" s="35"/>
      <c r="AH88" s="35"/>
      <c r="AI88" s="35"/>
      <c r="AJ88" s="35"/>
      <c r="AK88" s="35"/>
      <c r="AL88" s="35"/>
      <c r="AM88" s="35"/>
      <c r="AN88" s="35"/>
      <c r="AO88" s="35"/>
      <c r="AP88" s="35"/>
      <c r="AQ88" s="21">
        <f>AQ87</f>
        <v>-0.1220000000000141</v>
      </c>
      <c r="AR88" s="21">
        <f>AR87</f>
        <v>0.1220000000000141</v>
      </c>
      <c r="AS88" s="13" t="s">
        <v>352</v>
      </c>
      <c r="AT88" s="36">
        <f ca="1">MIN(S87:AP110)</f>
        <v>-6.6312001117978525E-2</v>
      </c>
      <c r="AU88" s="13" t="str">
        <f ca="1">IF(AT88&lt;AQ87, CONCATENATE("U/Min ", TEXT(AQ87-AT88,"0.000")), "-")</f>
        <v>-</v>
      </c>
      <c r="AV88" s="36">
        <f ca="1">$Q29-'246'!$Q37-$AQ$115</f>
        <v>-3.5573331604268787E-2</v>
      </c>
      <c r="AW88" s="13">
        <f ca="1">INDEX($J28:$J51,MATCH(AT88,AV87:AV110,0))</f>
        <v>22</v>
      </c>
      <c r="AX88" s="5">
        <f ca="1">MATCH(AT88,AV87:AV110,0)</f>
        <v>4</v>
      </c>
    </row>
    <row r="89" spans="10:50">
      <c r="S89" s="35"/>
      <c r="T89" s="35">
        <f ca="1">IF(T30&lt;&gt;"", T30-'246'!T38-$AQ$115,"")</f>
        <v>-3.5573331604268787E-2</v>
      </c>
      <c r="U89" s="35">
        <f ca="1">IF(U30&lt;&gt;"", U30-'246'!U38-$AQ$115,"")</f>
        <v>-5.9582664918252704E-2</v>
      </c>
      <c r="V89" s="35"/>
      <c r="W89" s="35"/>
      <c r="X89" s="35"/>
      <c r="Y89" s="35"/>
      <c r="Z89" s="35"/>
      <c r="AA89" s="35"/>
      <c r="AB89" s="35"/>
      <c r="AC89" s="35"/>
      <c r="AD89" s="35"/>
      <c r="AE89" s="35"/>
      <c r="AF89" s="35"/>
      <c r="AG89" s="35"/>
      <c r="AH89" s="35"/>
      <c r="AI89" s="35"/>
      <c r="AJ89" s="35"/>
      <c r="AK89" s="35"/>
      <c r="AL89" s="35"/>
      <c r="AM89" s="35"/>
      <c r="AN89" s="35"/>
      <c r="AO89" s="35"/>
      <c r="AP89" s="35"/>
      <c r="AQ89" s="21">
        <f t="shared" ref="AQ89:AR104" si="14">AQ88</f>
        <v>-0.1220000000000141</v>
      </c>
      <c r="AR89" s="21">
        <f t="shared" si="14"/>
        <v>0.1220000000000141</v>
      </c>
      <c r="AV89" s="36">
        <f ca="1">$Q30-'246'!$Q38-$AQ$115</f>
        <v>-5.9582664918252704E-2</v>
      </c>
      <c r="AW89" s="2"/>
    </row>
    <row r="90" spans="10:50">
      <c r="S90" s="35"/>
      <c r="T90" s="35"/>
      <c r="U90" s="35">
        <f ca="1">IF(U31&lt;&gt;"", U31-'246'!U39-$AQ$115,"")</f>
        <v>-5.9582664918252704E-2</v>
      </c>
      <c r="V90" s="35">
        <f ca="1">IF(V31&lt;&gt;"", V31-'246'!V39-$AQ$115,"")</f>
        <v>-6.6312001117978525E-2</v>
      </c>
      <c r="W90" s="35"/>
      <c r="X90" s="35"/>
      <c r="Y90" s="35"/>
      <c r="Z90" s="35"/>
      <c r="AA90" s="35"/>
      <c r="AB90" s="35"/>
      <c r="AC90" s="35"/>
      <c r="AD90" s="35"/>
      <c r="AE90" s="35"/>
      <c r="AF90" s="35"/>
      <c r="AG90" s="35"/>
      <c r="AH90" s="35"/>
      <c r="AI90" s="35"/>
      <c r="AJ90" s="35"/>
      <c r="AK90" s="35"/>
      <c r="AL90" s="35"/>
      <c r="AM90" s="35"/>
      <c r="AN90" s="35"/>
      <c r="AO90" s="35"/>
      <c r="AP90" s="35"/>
      <c r="AQ90" s="21">
        <f t="shared" si="14"/>
        <v>-0.1220000000000141</v>
      </c>
      <c r="AR90" s="21">
        <f t="shared" si="14"/>
        <v>0.1220000000000141</v>
      </c>
      <c r="AV90" s="36">
        <f ca="1">$Q31-'246'!$Q39-$AQ$115</f>
        <v>-6.6312001117978525E-2</v>
      </c>
      <c r="AW90" s="2"/>
    </row>
    <row r="91" spans="10:50">
      <c r="S91" s="35"/>
      <c r="T91" s="35"/>
      <c r="U91" s="35"/>
      <c r="V91" s="35">
        <f ca="1">IF(V32&lt;&gt;"", V32-'246'!V40-$AQ$115,"")</f>
        <v>-6.6312001117978525E-2</v>
      </c>
      <c r="W91" s="35">
        <f ca="1">IF(W32&lt;&gt;"", W32-'246'!W40-$AQ$115,"")</f>
        <v>-6.0877339924559237E-2</v>
      </c>
      <c r="X91" s="35"/>
      <c r="Y91" s="35"/>
      <c r="Z91" s="35"/>
      <c r="AA91" s="35"/>
      <c r="AB91" s="35"/>
      <c r="AC91" s="35"/>
      <c r="AD91" s="35"/>
      <c r="AE91" s="35"/>
      <c r="AF91" s="35"/>
      <c r="AG91" s="35"/>
      <c r="AH91" s="35"/>
      <c r="AI91" s="35"/>
      <c r="AJ91" s="35"/>
      <c r="AK91" s="35"/>
      <c r="AL91" s="35"/>
      <c r="AM91" s="35"/>
      <c r="AN91" s="35"/>
      <c r="AO91" s="35"/>
      <c r="AP91" s="35"/>
      <c r="AQ91" s="21">
        <f t="shared" si="14"/>
        <v>-0.1220000000000141</v>
      </c>
      <c r="AR91" s="21">
        <f t="shared" si="14"/>
        <v>0.1220000000000141</v>
      </c>
      <c r="AV91" s="36">
        <f ca="1">$Q32-'246'!$Q40-$AQ$115</f>
        <v>-6.0877339924559237E-2</v>
      </c>
      <c r="AW91" s="2"/>
    </row>
    <row r="92" spans="10:50">
      <c r="S92" s="35"/>
      <c r="T92" s="35"/>
      <c r="U92" s="35"/>
      <c r="V92" s="35"/>
      <c r="W92" s="35">
        <f ca="1">IF(W33&lt;&gt;"", W33-'246'!W41-$AQ$115,"")</f>
        <v>-6.0877339924559237E-2</v>
      </c>
      <c r="X92" s="35">
        <f ca="1">IF(X33&lt;&gt;"", X33-'246'!X41-$AQ$115,"")</f>
        <v>-5.481868051759875E-2</v>
      </c>
      <c r="Y92" s="35"/>
      <c r="Z92" s="35"/>
      <c r="AA92" s="35"/>
      <c r="AB92" s="35"/>
      <c r="AC92" s="35"/>
      <c r="AD92" s="35"/>
      <c r="AE92" s="35"/>
      <c r="AF92" s="35"/>
      <c r="AG92" s="35"/>
      <c r="AH92" s="35"/>
      <c r="AI92" s="35"/>
      <c r="AJ92" s="35"/>
      <c r="AK92" s="35"/>
      <c r="AL92" s="35"/>
      <c r="AM92" s="35"/>
      <c r="AN92" s="35"/>
      <c r="AO92" s="35"/>
      <c r="AP92" s="35"/>
      <c r="AQ92" s="21">
        <f t="shared" si="14"/>
        <v>-0.1220000000000141</v>
      </c>
      <c r="AR92" s="21">
        <f t="shared" si="14"/>
        <v>0.1220000000000141</v>
      </c>
      <c r="AV92" s="36">
        <f ca="1">$Q33-'246'!$Q41-$AQ$115</f>
        <v>-5.481868051759875E-2</v>
      </c>
      <c r="AW92" s="2"/>
    </row>
    <row r="93" spans="10:50">
      <c r="S93" s="35"/>
      <c r="T93" s="35"/>
      <c r="U93" s="35"/>
      <c r="V93" s="35"/>
      <c r="W93" s="35"/>
      <c r="X93" s="35">
        <f ca="1">IF(X34&lt;&gt;"", X34-'246'!X42-$AQ$115,"")</f>
        <v>-5.481868051759875E-2</v>
      </c>
      <c r="Y93" s="35">
        <f ca="1">IF(Y34&lt;&gt;"", Y34-'246'!Y42-$AQ$115,"")</f>
        <v>-5.7528011440354021E-2</v>
      </c>
      <c r="Z93" s="35"/>
      <c r="AA93" s="35"/>
      <c r="AB93" s="35"/>
      <c r="AC93" s="35"/>
      <c r="AD93" s="35"/>
      <c r="AE93" s="35"/>
      <c r="AF93" s="35"/>
      <c r="AG93" s="35"/>
      <c r="AH93" s="35"/>
      <c r="AI93" s="35"/>
      <c r="AJ93" s="35"/>
      <c r="AK93" s="35"/>
      <c r="AL93" s="35"/>
      <c r="AM93" s="35"/>
      <c r="AN93" s="35"/>
      <c r="AO93" s="35"/>
      <c r="AP93" s="35"/>
      <c r="AQ93" s="21">
        <f t="shared" si="14"/>
        <v>-0.1220000000000141</v>
      </c>
      <c r="AR93" s="21">
        <f t="shared" si="14"/>
        <v>0.1220000000000141</v>
      </c>
      <c r="AV93" s="36">
        <f ca="1">$Q34-'246'!$Q42-$AQ$115</f>
        <v>-5.7528011440354021E-2</v>
      </c>
      <c r="AW93" s="2"/>
    </row>
    <row r="94" spans="10:50">
      <c r="S94" s="35"/>
      <c r="T94" s="35"/>
      <c r="U94" s="35"/>
      <c r="V94" s="35"/>
      <c r="W94" s="35"/>
      <c r="X94" s="35"/>
      <c r="Y94" s="35">
        <f ca="1">IF(Y35&lt;&gt;"", Y35-'246'!Y43-$AQ$115,"")</f>
        <v>-5.7528011440354021E-2</v>
      </c>
      <c r="Z94" s="35">
        <f ca="1">IF(Z35&lt;&gt;"", Z35-'246'!Z43-$AQ$115,"")</f>
        <v>-6.0893335627724809E-2</v>
      </c>
      <c r="AA94" s="35"/>
      <c r="AB94" s="35"/>
      <c r="AC94" s="35"/>
      <c r="AD94" s="35"/>
      <c r="AE94" s="35"/>
      <c r="AF94" s="35"/>
      <c r="AG94" s="35"/>
      <c r="AH94" s="35"/>
      <c r="AI94" s="35"/>
      <c r="AJ94" s="35"/>
      <c r="AK94" s="35"/>
      <c r="AL94" s="35"/>
      <c r="AM94" s="35"/>
      <c r="AN94" s="35"/>
      <c r="AO94" s="35"/>
      <c r="AP94" s="35"/>
      <c r="AQ94" s="21">
        <f t="shared" si="14"/>
        <v>-0.1220000000000141</v>
      </c>
      <c r="AR94" s="21">
        <f t="shared" si="14"/>
        <v>0.1220000000000141</v>
      </c>
      <c r="AV94" s="36">
        <f ca="1">$Q35-'246'!$Q43-$AQ$115</f>
        <v>-6.0893335627724809E-2</v>
      </c>
      <c r="AW94" s="2"/>
    </row>
    <row r="95" spans="10:50">
      <c r="S95" s="35"/>
      <c r="T95" s="35"/>
      <c r="U95" s="35"/>
      <c r="V95" s="35"/>
      <c r="W95" s="35"/>
      <c r="X95" s="35"/>
      <c r="Y95" s="35"/>
      <c r="Z95" s="35">
        <f ca="1">IF(Z36&lt;&gt;"", Z36-'246'!Z44-$AQ$115,"")</f>
        <v>-6.0893335627724809E-2</v>
      </c>
      <c r="AA95" s="35">
        <f ca="1">IF(AA36&lt;&gt;"", AA36-'246'!AA44-$AQ$115,"")</f>
        <v>-4.948799874011911E-2</v>
      </c>
      <c r="AB95" s="35"/>
      <c r="AC95" s="35"/>
      <c r="AD95" s="35"/>
      <c r="AE95" s="35"/>
      <c r="AF95" s="35"/>
      <c r="AG95" s="35"/>
      <c r="AH95" s="35"/>
      <c r="AI95" s="35"/>
      <c r="AJ95" s="35"/>
      <c r="AK95" s="35"/>
      <c r="AL95" s="35"/>
      <c r="AM95" s="35"/>
      <c r="AN95" s="35"/>
      <c r="AO95" s="35"/>
      <c r="AP95" s="35"/>
      <c r="AQ95" s="21">
        <f t="shared" si="14"/>
        <v>-0.1220000000000141</v>
      </c>
      <c r="AR95" s="21">
        <f t="shared" si="14"/>
        <v>0.1220000000000141</v>
      </c>
      <c r="AV95" s="36">
        <f ca="1">$Q36-'246'!$Q44-$AQ$115</f>
        <v>-4.948799874011911E-2</v>
      </c>
      <c r="AW95" s="2"/>
    </row>
    <row r="96" spans="10:50">
      <c r="S96" s="35"/>
      <c r="T96" s="35"/>
      <c r="U96" s="35"/>
      <c r="V96" s="35"/>
      <c r="W96" s="35"/>
      <c r="X96" s="35"/>
      <c r="Y96" s="35"/>
      <c r="Z96" s="35"/>
      <c r="AA96" s="35">
        <f ca="1">IF(AA37&lt;&gt;"", AA37-'246'!AA45-$AQ$115,"")</f>
        <v>-4.948799874011911E-2</v>
      </c>
      <c r="AB96" s="35">
        <f ca="1">IF(AB37&lt;&gt;"", AB37-'246'!AB45-$AQ$115,"")</f>
        <v>-1.9883997556689792E-2</v>
      </c>
      <c r="AC96" s="35"/>
      <c r="AD96" s="35"/>
      <c r="AE96" s="35"/>
      <c r="AF96" s="35"/>
      <c r="AG96" s="35"/>
      <c r="AH96" s="35"/>
      <c r="AI96" s="35"/>
      <c r="AJ96" s="35"/>
      <c r="AK96" s="35"/>
      <c r="AL96" s="35"/>
      <c r="AM96" s="35"/>
      <c r="AN96" s="35"/>
      <c r="AO96" s="35"/>
      <c r="AP96" s="35"/>
      <c r="AQ96" s="21">
        <f t="shared" si="14"/>
        <v>-0.1220000000000141</v>
      </c>
      <c r="AR96" s="21">
        <f t="shared" si="14"/>
        <v>0.1220000000000141</v>
      </c>
      <c r="AV96" s="36">
        <f ca="1">$Q37-'246'!$Q45-$AQ$115</f>
        <v>-1.9883997556689792E-2</v>
      </c>
      <c r="AW96" s="2"/>
    </row>
    <row r="97" spans="19:49">
      <c r="S97" s="35"/>
      <c r="T97" s="35"/>
      <c r="U97" s="35"/>
      <c r="V97" s="35"/>
      <c r="W97" s="35"/>
      <c r="X97" s="35"/>
      <c r="Y97" s="35"/>
      <c r="Z97" s="35"/>
      <c r="AA97" s="35"/>
      <c r="AB97" s="35">
        <f ca="1">IF(AB38&lt;&gt;"", AB38-'246'!AB46-$AQ$115,"")</f>
        <v>-1.9883997556689792E-2</v>
      </c>
      <c r="AC97" s="35">
        <f ca="1">IF(AC38&lt;&gt;"", AC38-'246'!AC46-$AQ$115,"")</f>
        <v>1.1612003174889196E-2</v>
      </c>
      <c r="AD97" s="35"/>
      <c r="AE97" s="35"/>
      <c r="AF97" s="35"/>
      <c r="AG97" s="35"/>
      <c r="AH97" s="35"/>
      <c r="AI97" s="35"/>
      <c r="AJ97" s="35"/>
      <c r="AK97" s="35"/>
      <c r="AL97" s="35"/>
      <c r="AM97" s="35"/>
      <c r="AN97" s="35"/>
      <c r="AO97" s="35"/>
      <c r="AP97" s="35"/>
      <c r="AQ97" s="21">
        <f t="shared" si="14"/>
        <v>-0.1220000000000141</v>
      </c>
      <c r="AR97" s="21">
        <f t="shared" si="14"/>
        <v>0.1220000000000141</v>
      </c>
      <c r="AV97" s="36">
        <f ca="1">$Q38-'246'!$Q46-$AQ$115</f>
        <v>1.1612003174889196E-2</v>
      </c>
      <c r="AW97" s="2"/>
    </row>
    <row r="98" spans="19:49">
      <c r="S98" s="35"/>
      <c r="T98" s="35"/>
      <c r="U98" s="35"/>
      <c r="V98" s="35"/>
      <c r="W98" s="35"/>
      <c r="X98" s="35"/>
      <c r="Y98" s="35"/>
      <c r="Z98" s="35"/>
      <c r="AA98" s="35"/>
      <c r="AB98" s="35"/>
      <c r="AC98" s="35">
        <f ca="1">IF(AC39&lt;&gt;"", AC39-'246'!AC47-$AQ$115,"")</f>
        <v>1.1612003174889196E-2</v>
      </c>
      <c r="AD98" s="35">
        <f ca="1">IF(AD39&lt;&gt;"", AD39-'246'!AD47-$AQ$115,"")</f>
        <v>2.7874669728078061E-2</v>
      </c>
      <c r="AE98" s="35"/>
      <c r="AF98" s="35"/>
      <c r="AG98" s="35"/>
      <c r="AH98" s="35"/>
      <c r="AI98" s="35"/>
      <c r="AJ98" s="35"/>
      <c r="AK98" s="35"/>
      <c r="AL98" s="35"/>
      <c r="AM98" s="35"/>
      <c r="AN98" s="35"/>
      <c r="AO98" s="35"/>
      <c r="AP98" s="35"/>
      <c r="AQ98" s="21">
        <f t="shared" si="14"/>
        <v>-0.1220000000000141</v>
      </c>
      <c r="AR98" s="21">
        <f t="shared" si="14"/>
        <v>0.1220000000000141</v>
      </c>
      <c r="AV98" s="36">
        <f ca="1">$Q39-'246'!$Q47-$AQ$115</f>
        <v>2.7874669728078061E-2</v>
      </c>
      <c r="AW98" s="2"/>
    </row>
    <row r="99" spans="19:49">
      <c r="S99" s="35"/>
      <c r="T99" s="35"/>
      <c r="U99" s="35"/>
      <c r="V99" s="35"/>
      <c r="W99" s="35"/>
      <c r="X99" s="35"/>
      <c r="Y99" s="35"/>
      <c r="Z99" s="35"/>
      <c r="AA99" s="35"/>
      <c r="AB99" s="35"/>
      <c r="AC99" s="35"/>
      <c r="AD99" s="35">
        <f ca="1">IF(AD40&lt;&gt;"", AD40-'246'!AD48-$AQ$115,"")</f>
        <v>2.7874669728078061E-2</v>
      </c>
      <c r="AE99" s="35">
        <f ca="1">IF(AE40&lt;&gt;"", AE40-'246'!AE48-$AQ$115,"")</f>
        <v>5.3808001817230888E-2</v>
      </c>
      <c r="AF99" s="35"/>
      <c r="AG99" s="35"/>
      <c r="AH99" s="35"/>
      <c r="AI99" s="35"/>
      <c r="AJ99" s="35"/>
      <c r="AK99" s="35"/>
      <c r="AL99" s="35"/>
      <c r="AM99" s="35"/>
      <c r="AN99" s="35"/>
      <c r="AO99" s="35"/>
      <c r="AP99" s="35"/>
      <c r="AQ99" s="21">
        <f t="shared" si="14"/>
        <v>-0.1220000000000141</v>
      </c>
      <c r="AR99" s="21">
        <f t="shared" si="14"/>
        <v>0.1220000000000141</v>
      </c>
      <c r="AV99" s="36">
        <f ca="1">$Q40-'246'!$Q48-$AQ$115</f>
        <v>5.3808001817230888E-2</v>
      </c>
      <c r="AW99" s="2"/>
    </row>
    <row r="100" spans="19:49">
      <c r="S100" s="35"/>
      <c r="T100" s="35"/>
      <c r="U100" s="35"/>
      <c r="V100" s="35"/>
      <c r="W100" s="35"/>
      <c r="X100" s="35"/>
      <c r="Y100" s="35"/>
      <c r="Z100" s="35"/>
      <c r="AA100" s="35"/>
      <c r="AB100" s="35"/>
      <c r="AC100" s="35"/>
      <c r="AD100" s="35"/>
      <c r="AE100" s="35">
        <f ca="1">IF(AE41&lt;&gt;"", AE41-'246'!AE49-$AQ$115,"")</f>
        <v>5.3808001817230888E-2</v>
      </c>
      <c r="AF100" s="35">
        <f ca="1">IF(AF41&lt;&gt;"", AF41-'246'!AF49-$AQ$115,"")</f>
        <v>9.6389295002552444E-2</v>
      </c>
      <c r="AG100" s="35"/>
      <c r="AH100" s="35"/>
      <c r="AI100" s="35"/>
      <c r="AJ100" s="35"/>
      <c r="AK100" s="35"/>
      <c r="AL100" s="35"/>
      <c r="AM100" s="35"/>
      <c r="AN100" s="35"/>
      <c r="AO100" s="35"/>
      <c r="AP100" s="35"/>
      <c r="AQ100" s="21">
        <f t="shared" si="14"/>
        <v>-0.1220000000000141</v>
      </c>
      <c r="AR100" s="21">
        <f t="shared" si="14"/>
        <v>0.1220000000000141</v>
      </c>
      <c r="AV100" s="36">
        <f ca="1">$Q41-'246'!$Q49-$AQ$115</f>
        <v>9.6389295002552444E-2</v>
      </c>
      <c r="AW100" s="2"/>
    </row>
    <row r="101" spans="19:49">
      <c r="S101" s="35"/>
      <c r="T101" s="35"/>
      <c r="U101" s="35"/>
      <c r="V101" s="35"/>
      <c r="W101" s="35"/>
      <c r="X101" s="35"/>
      <c r="Y101" s="35"/>
      <c r="Z101" s="35"/>
      <c r="AA101" s="35"/>
      <c r="AB101" s="35"/>
      <c r="AC101" s="35"/>
      <c r="AD101" s="35"/>
      <c r="AE101" s="35"/>
      <c r="AF101" s="35">
        <f ca="1">IF(AF42&lt;&gt;"", AF42-'246'!AF50-$AQ$115,"")</f>
        <v>9.6389295002552444E-2</v>
      </c>
      <c r="AG101" s="35">
        <f ca="1">IF(AG42&lt;&gt;"", AG42-'246'!AG50-$AQ$115,"")</f>
        <v>0.1389078654526088</v>
      </c>
      <c r="AH101" s="35"/>
      <c r="AI101" s="35"/>
      <c r="AJ101" s="35"/>
      <c r="AK101" s="35"/>
      <c r="AL101" s="35"/>
      <c r="AM101" s="35"/>
      <c r="AN101" s="35"/>
      <c r="AO101" s="35"/>
      <c r="AP101" s="35"/>
      <c r="AQ101" s="21">
        <f t="shared" si="14"/>
        <v>-0.1220000000000141</v>
      </c>
      <c r="AR101" s="21">
        <f t="shared" si="14"/>
        <v>0.1220000000000141</v>
      </c>
      <c r="AV101" s="36">
        <f ca="1">$Q42-'246'!$Q50-$AQ$115</f>
        <v>0.1389078654526088</v>
      </c>
      <c r="AW101" s="2"/>
    </row>
    <row r="102" spans="19:49">
      <c r="S102" s="35"/>
      <c r="T102" s="35"/>
      <c r="U102" s="35"/>
      <c r="V102" s="35"/>
      <c r="W102" s="35"/>
      <c r="X102" s="35"/>
      <c r="Y102" s="35"/>
      <c r="Z102" s="35"/>
      <c r="AA102" s="35"/>
      <c r="AB102" s="35"/>
      <c r="AC102" s="35"/>
      <c r="AD102" s="35"/>
      <c r="AE102" s="35"/>
      <c r="AF102" s="35"/>
      <c r="AG102" s="35">
        <f ca="1">IF(AG43&lt;&gt;"", AG43-'246'!AG51-$AQ$115,"")</f>
        <v>0.1389078654526088</v>
      </c>
      <c r="AH102" s="35">
        <f ca="1">IF(AH43&lt;&gt;"", AH43-'246'!AH51-$AQ$115,"")</f>
        <v>0.1530118752503995</v>
      </c>
      <c r="AI102" s="35"/>
      <c r="AJ102" s="35"/>
      <c r="AK102" s="35"/>
      <c r="AL102" s="35"/>
      <c r="AM102" s="35"/>
      <c r="AN102" s="35"/>
      <c r="AO102" s="35"/>
      <c r="AP102" s="35"/>
      <c r="AQ102" s="21">
        <f t="shared" si="14"/>
        <v>-0.1220000000000141</v>
      </c>
      <c r="AR102" s="21">
        <f t="shared" si="14"/>
        <v>0.1220000000000141</v>
      </c>
      <c r="AV102" s="36">
        <f ca="1">$Q43-'246'!$Q51-$AQ$115</f>
        <v>0.1530118752503995</v>
      </c>
      <c r="AW102" s="2"/>
    </row>
    <row r="103" spans="19:49">
      <c r="S103" s="35"/>
      <c r="T103" s="35"/>
      <c r="U103" s="35"/>
      <c r="V103" s="35"/>
      <c r="W103" s="35"/>
      <c r="X103" s="35"/>
      <c r="Y103" s="35"/>
      <c r="Z103" s="35"/>
      <c r="AA103" s="35"/>
      <c r="AB103" s="35"/>
      <c r="AC103" s="35"/>
      <c r="AD103" s="35"/>
      <c r="AE103" s="35"/>
      <c r="AF103" s="35"/>
      <c r="AG103" s="35"/>
      <c r="AH103" s="35">
        <f ca="1">IF(AH44&lt;&gt;"", AH44-'246'!AH52-$AQ$115,"")</f>
        <v>0.1530118752503995</v>
      </c>
      <c r="AI103" s="35">
        <f ca="1">IF(AI44&lt;&gt;"", AI44-'246'!AI52-$AQ$115,"")</f>
        <v>0.13578796987934538</v>
      </c>
      <c r="AJ103" s="35"/>
      <c r="AK103" s="35"/>
      <c r="AL103" s="35"/>
      <c r="AM103" s="35"/>
      <c r="AN103" s="35"/>
      <c r="AO103" s="35"/>
      <c r="AP103" s="35"/>
      <c r="AQ103" s="21">
        <f t="shared" si="14"/>
        <v>-0.1220000000000141</v>
      </c>
      <c r="AR103" s="21">
        <f t="shared" si="14"/>
        <v>0.1220000000000141</v>
      </c>
      <c r="AV103" s="36">
        <f ca="1">$Q44-'246'!$Q52-$AQ$115</f>
        <v>0.13578796987934538</v>
      </c>
      <c r="AW103" s="2"/>
    </row>
    <row r="104" spans="19:49">
      <c r="S104" s="35"/>
      <c r="T104" s="35"/>
      <c r="U104" s="35"/>
      <c r="V104" s="35"/>
      <c r="W104" s="35"/>
      <c r="X104" s="35"/>
      <c r="Y104" s="35"/>
      <c r="Z104" s="35"/>
      <c r="AA104" s="35"/>
      <c r="AB104" s="35"/>
      <c r="AC104" s="35"/>
      <c r="AD104" s="35"/>
      <c r="AE104" s="35"/>
      <c r="AF104" s="35"/>
      <c r="AG104" s="35"/>
      <c r="AH104" s="35"/>
      <c r="AI104" s="35">
        <f ca="1">IF(AI45&lt;&gt;"", AI45-'246'!AI53-$AQ$115,"")</f>
        <v>0.13578796987934538</v>
      </c>
      <c r="AJ104" s="35">
        <f ca="1">IF(AJ45&lt;&gt;"", AJ45-'246'!AJ53-$AQ$115,"")</f>
        <v>0.11330799683315718</v>
      </c>
      <c r="AK104" s="35"/>
      <c r="AL104" s="35"/>
      <c r="AM104" s="35"/>
      <c r="AN104" s="35"/>
      <c r="AO104" s="35"/>
      <c r="AP104" s="35"/>
      <c r="AQ104" s="21">
        <f t="shared" si="14"/>
        <v>-0.1220000000000141</v>
      </c>
      <c r="AR104" s="21">
        <f t="shared" si="14"/>
        <v>0.1220000000000141</v>
      </c>
      <c r="AV104" s="36">
        <f ca="1">$Q45-'246'!$Q53-$AQ$115</f>
        <v>0.11330799683315718</v>
      </c>
      <c r="AW104" s="2"/>
    </row>
    <row r="105" spans="19:49">
      <c r="S105" s="35"/>
      <c r="T105" s="35"/>
      <c r="U105" s="35"/>
      <c r="V105" s="35"/>
      <c r="W105" s="35"/>
      <c r="X105" s="35"/>
      <c r="Y105" s="35"/>
      <c r="Z105" s="35"/>
      <c r="AA105" s="35"/>
      <c r="AB105" s="35"/>
      <c r="AC105" s="35"/>
      <c r="AD105" s="35"/>
      <c r="AE105" s="35"/>
      <c r="AF105" s="35"/>
      <c r="AG105" s="35"/>
      <c r="AH105" s="35"/>
      <c r="AI105" s="35"/>
      <c r="AJ105" s="35">
        <f ca="1">IF(AJ46&lt;&gt;"", AJ46-'246'!AJ54-$AQ$115,"")</f>
        <v>0.11330799683315718</v>
      </c>
      <c r="AK105" s="35">
        <f ca="1">IF(AK46&lt;&gt;"", AK46-'246'!AK54-$AQ$115,"")</f>
        <v>0.11505199740946637</v>
      </c>
      <c r="AL105" s="35"/>
      <c r="AM105" s="35"/>
      <c r="AN105" s="35"/>
      <c r="AO105" s="35"/>
      <c r="AP105" s="35"/>
      <c r="AQ105" s="21">
        <f t="shared" ref="AQ105:AR110" si="15">AQ104</f>
        <v>-0.1220000000000141</v>
      </c>
      <c r="AR105" s="21">
        <f t="shared" si="15"/>
        <v>0.1220000000000141</v>
      </c>
      <c r="AV105" s="36">
        <f ca="1">$Q46-'246'!$Q54-$AQ$115</f>
        <v>0.11505199740946637</v>
      </c>
      <c r="AW105" s="2"/>
    </row>
    <row r="106" spans="19:49">
      <c r="S106" s="35"/>
      <c r="T106" s="35"/>
      <c r="U106" s="35"/>
      <c r="V106" s="35"/>
      <c r="W106" s="35"/>
      <c r="X106" s="35"/>
      <c r="Y106" s="35"/>
      <c r="Z106" s="35"/>
      <c r="AA106" s="35"/>
      <c r="AB106" s="35"/>
      <c r="AC106" s="35"/>
      <c r="AD106" s="35"/>
      <c r="AE106" s="35"/>
      <c r="AF106" s="35"/>
      <c r="AG106" s="35"/>
      <c r="AH106" s="35"/>
      <c r="AI106" s="35"/>
      <c r="AJ106" s="35"/>
      <c r="AK106" s="35">
        <f ca="1">IF(AK47&lt;&gt;"", AK47-'246'!AK55-$AQ$115,"")</f>
        <v>0.11505199740946637</v>
      </c>
      <c r="AL106" s="35">
        <f ca="1">IF(AL47&lt;&gt;"", AL47-'246'!AL55-$AQ$115,"")</f>
        <v>0.11977999996560129</v>
      </c>
      <c r="AM106" s="35"/>
      <c r="AN106" s="35"/>
      <c r="AO106" s="35"/>
      <c r="AP106" s="35"/>
      <c r="AQ106" s="21">
        <f t="shared" si="15"/>
        <v>-0.1220000000000141</v>
      </c>
      <c r="AR106" s="21">
        <f t="shared" si="15"/>
        <v>0.1220000000000141</v>
      </c>
      <c r="AV106" s="36">
        <f ca="1">$Q47-'246'!$Q55-$AQ$115</f>
        <v>0.11977999996560129</v>
      </c>
      <c r="AW106" s="2"/>
    </row>
    <row r="107" spans="19:49">
      <c r="S107" s="35"/>
      <c r="T107" s="35"/>
      <c r="U107" s="35"/>
      <c r="V107" s="35"/>
      <c r="W107" s="35"/>
      <c r="X107" s="35"/>
      <c r="Y107" s="35"/>
      <c r="Z107" s="35"/>
      <c r="AA107" s="35"/>
      <c r="AB107" s="35"/>
      <c r="AC107" s="35"/>
      <c r="AD107" s="35"/>
      <c r="AE107" s="35"/>
      <c r="AF107" s="35"/>
      <c r="AG107" s="35"/>
      <c r="AH107" s="35"/>
      <c r="AI107" s="35"/>
      <c r="AJ107" s="35"/>
      <c r="AK107" s="35"/>
      <c r="AL107" s="35">
        <f ca="1">IF(AL48&lt;&gt;"", AL48-'246'!AL56-$AQ$115,"")</f>
        <v>0.11977999996560129</v>
      </c>
      <c r="AM107" s="35">
        <f ca="1">IF(AM48&lt;&gt;"", AM48-'246'!AM56-$AQ$115,"")</f>
        <v>8.6804002057817797E-2</v>
      </c>
      <c r="AN107" s="35"/>
      <c r="AO107" s="35"/>
      <c r="AP107" s="35"/>
      <c r="AQ107" s="21">
        <f t="shared" si="15"/>
        <v>-0.1220000000000141</v>
      </c>
      <c r="AR107" s="21">
        <f t="shared" si="15"/>
        <v>0.1220000000000141</v>
      </c>
      <c r="AV107" s="36">
        <f ca="1">$Q48-'246'!$Q56-$AQ$115</f>
        <v>8.6804002057817797E-2</v>
      </c>
      <c r="AW107" s="2"/>
    </row>
    <row r="108" spans="19:49">
      <c r="S108" s="35"/>
      <c r="T108" s="35"/>
      <c r="U108" s="35"/>
      <c r="V108" s="35"/>
      <c r="W108" s="35"/>
      <c r="X108" s="35"/>
      <c r="Y108" s="35"/>
      <c r="Z108" s="35"/>
      <c r="AA108" s="35"/>
      <c r="AB108" s="35"/>
      <c r="AC108" s="35"/>
      <c r="AD108" s="35"/>
      <c r="AE108" s="35"/>
      <c r="AF108" s="35"/>
      <c r="AG108" s="35"/>
      <c r="AH108" s="35"/>
      <c r="AI108" s="35"/>
      <c r="AJ108" s="35"/>
      <c r="AK108" s="35"/>
      <c r="AL108" s="35"/>
      <c r="AM108" s="35">
        <f ca="1">IF(AM49&lt;&gt;"", AM49-'246'!AM57-$AQ$115,"")</f>
        <v>8.6804002057817797E-2</v>
      </c>
      <c r="AN108" s="35">
        <f ca="1">IF(AN49&lt;&gt;"", AN49-'246'!AN57-$AQ$115,"")</f>
        <v>5.0100003181000829E-2</v>
      </c>
      <c r="AO108" s="35"/>
      <c r="AP108" s="35"/>
      <c r="AQ108" s="21">
        <f t="shared" si="15"/>
        <v>-0.1220000000000141</v>
      </c>
      <c r="AR108" s="21">
        <f t="shared" si="15"/>
        <v>0.1220000000000141</v>
      </c>
      <c r="AV108" s="36">
        <f ca="1">$Q49-'246'!$Q57-$AQ$115</f>
        <v>5.0100003181000829E-2</v>
      </c>
      <c r="AW108" s="2"/>
    </row>
    <row r="109" spans="19:49">
      <c r="S109" s="35"/>
      <c r="T109" s="35"/>
      <c r="U109" s="35"/>
      <c r="V109" s="35"/>
      <c r="W109" s="35"/>
      <c r="X109" s="35"/>
      <c r="Y109" s="35"/>
      <c r="Z109" s="35"/>
      <c r="AA109" s="35"/>
      <c r="AB109" s="35"/>
      <c r="AC109" s="35"/>
      <c r="AD109" s="35"/>
      <c r="AE109" s="35"/>
      <c r="AF109" s="35"/>
      <c r="AG109" s="35"/>
      <c r="AH109" s="35"/>
      <c r="AI109" s="35"/>
      <c r="AJ109" s="35"/>
      <c r="AK109" s="35"/>
      <c r="AL109" s="35"/>
      <c r="AM109" s="35"/>
      <c r="AN109" s="35">
        <f ca="1">IF(AN50&lt;&gt;"", AN50-'246'!AN58-$AQ$115,"")</f>
        <v>5.0100003181000829E-2</v>
      </c>
      <c r="AO109" s="35">
        <f ca="1">IF(AO50&lt;&gt;"", AO50-'246'!AO58-$AQ$115,"")</f>
        <v>3.2108001616336423E-2</v>
      </c>
      <c r="AP109" s="35"/>
      <c r="AQ109" s="21">
        <f t="shared" si="15"/>
        <v>-0.1220000000000141</v>
      </c>
      <c r="AR109" s="21">
        <f t="shared" si="15"/>
        <v>0.1220000000000141</v>
      </c>
      <c r="AV109" s="36">
        <f ca="1">$Q50-'246'!$Q58-$AQ$115</f>
        <v>3.2108001616336423E-2</v>
      </c>
      <c r="AW109" s="2"/>
    </row>
    <row r="110" spans="19:49">
      <c r="S110" s="39"/>
      <c r="T110" s="39"/>
      <c r="U110" s="39"/>
      <c r="V110" s="39"/>
      <c r="W110" s="39"/>
      <c r="X110" s="39"/>
      <c r="Y110" s="39"/>
      <c r="Z110" s="39"/>
      <c r="AA110" s="39"/>
      <c r="AB110" s="39"/>
      <c r="AC110" s="39"/>
      <c r="AD110" s="39"/>
      <c r="AE110" s="39"/>
      <c r="AF110" s="39"/>
      <c r="AG110" s="39"/>
      <c r="AH110" s="39"/>
      <c r="AI110" s="39"/>
      <c r="AJ110" s="39"/>
      <c r="AK110" s="39"/>
      <c r="AL110" s="39"/>
      <c r="AM110" s="39"/>
      <c r="AN110" s="39"/>
      <c r="AO110" s="39">
        <f ca="1">IF(AO51&lt;&gt;"", AO51-'246'!AO59-$AQ$115,"")</f>
        <v>3.2108001616336423E-2</v>
      </c>
      <c r="AP110" s="39">
        <f ca="1">IF(AP51&lt;&gt;"", AP51-'246'!AP59-$AQ$115,"")</f>
        <v>3.0153332241866337E-2</v>
      </c>
      <c r="AQ110" s="21">
        <f t="shared" si="15"/>
        <v>-0.1220000000000141</v>
      </c>
      <c r="AR110" s="21">
        <f t="shared" si="15"/>
        <v>0.1220000000000141</v>
      </c>
      <c r="AV110" s="36">
        <f ca="1">$Q51-'246'!$Q59-$AQ$115</f>
        <v>3.0153332241866337E-2</v>
      </c>
    </row>
    <row r="112" spans="19:49">
      <c r="AQ112" t="s">
        <v>355</v>
      </c>
      <c r="AR112" t="s">
        <v>356</v>
      </c>
    </row>
    <row r="113" spans="43:44">
      <c r="AQ113">
        <f>AQ28-'246'!AR36</f>
        <v>4.6960000000000264</v>
      </c>
      <c r="AR113">
        <f>AR28-'246'!AQ36</f>
        <v>4.9400000000000546</v>
      </c>
    </row>
    <row r="114" spans="43:44">
      <c r="AQ114" t="s">
        <v>357</v>
      </c>
    </row>
    <row r="115" spans="43:44">
      <c r="AQ115">
        <f>AVERAGE(AQ113:AR113)</f>
        <v>4.8180000000000405</v>
      </c>
    </row>
  </sheetData>
  <mergeCells count="2">
    <mergeCell ref="J9:J10"/>
    <mergeCell ref="U9:U10"/>
  </mergeCells>
  <phoneticPr fontId="2"/>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FFC000"/>
  </sheetPr>
  <dimension ref="A1:AX123"/>
  <sheetViews>
    <sheetView zoomScale="70" zoomScaleNormal="70" workbookViewId="0">
      <selection activeCell="P27" sqref="P27:R30"/>
    </sheetView>
  </sheetViews>
  <sheetFormatPr defaultRowHeight="15"/>
  <cols>
    <col min="1" max="1" width="24.42578125" customWidth="1"/>
    <col min="10" max="14" width="9.140625" style="5"/>
    <col min="43" max="43" width="9.42578125" bestFit="1" customWidth="1"/>
  </cols>
  <sheetData>
    <row r="1" spans="1:27">
      <c r="A1" s="90" t="s">
        <v>997</v>
      </c>
      <c r="B1" s="90"/>
      <c r="C1" s="90"/>
      <c r="D1" s="90"/>
      <c r="E1" s="90"/>
      <c r="F1" s="90"/>
      <c r="G1" s="90"/>
      <c r="Y1" s="2"/>
      <c r="Z1" s="2"/>
      <c r="AA1" s="2"/>
    </row>
    <row r="2" spans="1:27">
      <c r="A2" s="90" t="s">
        <v>998</v>
      </c>
      <c r="B2" s="90" t="s">
        <v>406</v>
      </c>
      <c r="C2" s="90"/>
      <c r="D2" s="90" t="s">
        <v>406</v>
      </c>
      <c r="E2" s="90"/>
      <c r="F2" s="90"/>
      <c r="G2" s="90"/>
      <c r="Y2" s="2"/>
      <c r="Z2" s="2"/>
      <c r="AA2" s="2"/>
    </row>
    <row r="3" spans="1:27">
      <c r="A3" s="90" t="s">
        <v>999</v>
      </c>
      <c r="B3" s="90" t="s">
        <v>408</v>
      </c>
      <c r="C3" s="90">
        <v>0.22900000000000001</v>
      </c>
      <c r="D3" s="90" t="s">
        <v>409</v>
      </c>
      <c r="E3" s="90">
        <v>0.76</v>
      </c>
      <c r="F3" s="90" t="s">
        <v>406</v>
      </c>
      <c r="G3" s="90"/>
      <c r="Y3" s="2"/>
      <c r="Z3" s="2"/>
      <c r="AA3" s="2"/>
    </row>
    <row r="4" spans="1:27">
      <c r="A4" s="121" t="s">
        <v>1000</v>
      </c>
      <c r="B4" s="90" t="s">
        <v>406</v>
      </c>
      <c r="C4" s="90"/>
      <c r="D4" s="90"/>
      <c r="E4" s="90"/>
      <c r="F4" s="90"/>
      <c r="G4" s="90"/>
      <c r="J4" s="5" t="s">
        <v>342</v>
      </c>
      <c r="Y4" s="2"/>
      <c r="Z4" s="2"/>
      <c r="AA4" s="2"/>
    </row>
    <row r="5" spans="1:27">
      <c r="A5" s="90" t="s">
        <v>1034</v>
      </c>
      <c r="B5" s="90"/>
      <c r="C5" s="90" t="s">
        <v>411</v>
      </c>
      <c r="D5" s="90"/>
      <c r="E5" s="90"/>
      <c r="F5" s="90"/>
      <c r="G5" s="90"/>
      <c r="L5" s="6" t="s">
        <v>1</v>
      </c>
      <c r="M5" s="6">
        <v>844.93600000000004</v>
      </c>
      <c r="Y5" s="2"/>
      <c r="Z5" s="2"/>
      <c r="AA5" s="2"/>
    </row>
    <row r="6" spans="1:27">
      <c r="A6" s="90" t="s">
        <v>412</v>
      </c>
      <c r="B6" s="90" t="s">
        <v>413</v>
      </c>
      <c r="C6" s="90">
        <v>422.52100000000002</v>
      </c>
      <c r="D6" s="90"/>
      <c r="E6" s="90"/>
      <c r="F6" s="90"/>
      <c r="G6" s="90"/>
      <c r="L6" s="6" t="s">
        <v>2</v>
      </c>
      <c r="M6" s="13">
        <f>M5+0.051</f>
        <v>844.98700000000008</v>
      </c>
      <c r="Y6" s="2"/>
      <c r="Z6" s="2"/>
      <c r="AA6" s="2"/>
    </row>
    <row r="7" spans="1:27">
      <c r="A7" s="90" t="s">
        <v>1001</v>
      </c>
      <c r="B7" s="90" t="s">
        <v>415</v>
      </c>
      <c r="C7" s="90">
        <v>0</v>
      </c>
      <c r="D7" s="90"/>
      <c r="E7" s="90"/>
      <c r="F7" s="90"/>
      <c r="G7" s="90"/>
      <c r="L7" s="6" t="s">
        <v>3</v>
      </c>
      <c r="M7" s="13">
        <f>M5-0.051</f>
        <v>844.88499999999999</v>
      </c>
      <c r="Y7" s="2"/>
      <c r="Z7" s="2"/>
      <c r="AA7" s="2"/>
    </row>
    <row r="8" spans="1:27">
      <c r="A8" s="121" t="s">
        <v>1002</v>
      </c>
      <c r="B8" s="90" t="s">
        <v>417</v>
      </c>
      <c r="C8" s="90">
        <v>-2.5</v>
      </c>
      <c r="D8" s="90"/>
      <c r="E8" s="90"/>
      <c r="F8" s="90"/>
      <c r="G8" s="90"/>
      <c r="U8" s="5">
        <v>248</v>
      </c>
      <c r="V8" s="5">
        <v>246</v>
      </c>
      <c r="Y8" s="2"/>
      <c r="Z8" s="2"/>
      <c r="AA8" s="2"/>
    </row>
    <row r="9" spans="1:27">
      <c r="A9" s="90" t="s">
        <v>412</v>
      </c>
      <c r="B9" s="90" t="s">
        <v>413</v>
      </c>
      <c r="C9" s="90">
        <v>422.40800000000002</v>
      </c>
      <c r="D9" s="90"/>
      <c r="E9" s="90"/>
      <c r="F9" s="90"/>
      <c r="G9" s="90"/>
      <c r="H9" s="5"/>
      <c r="I9" s="9" t="s">
        <v>316</v>
      </c>
      <c r="J9" s="144" t="s">
        <v>361</v>
      </c>
      <c r="K9" s="109" t="s">
        <v>6</v>
      </c>
      <c r="L9" s="109" t="s">
        <v>7</v>
      </c>
      <c r="M9" s="109" t="s">
        <v>8</v>
      </c>
      <c r="P9" s="11" t="s">
        <v>317</v>
      </c>
      <c r="Q9" s="2"/>
      <c r="S9" s="5"/>
      <c r="T9" s="9" t="str">
        <f t="shared" ref="T9:U26" si="0">I9</f>
        <v>Angle</v>
      </c>
      <c r="U9" s="144" t="str">
        <f t="shared" si="0"/>
        <v>201
Position</v>
      </c>
      <c r="V9" s="80" t="s">
        <v>306</v>
      </c>
      <c r="W9" s="80" t="s">
        <v>311</v>
      </c>
      <c r="Y9" s="13"/>
      <c r="Z9" s="13" t="s">
        <v>343</v>
      </c>
      <c r="AA9" s="13" t="s">
        <v>344</v>
      </c>
    </row>
    <row r="10" spans="1:27">
      <c r="A10" s="90" t="s">
        <v>1003</v>
      </c>
      <c r="B10" s="90" t="s">
        <v>415</v>
      </c>
      <c r="C10" s="90">
        <v>0</v>
      </c>
      <c r="D10" s="90"/>
      <c r="E10" s="90"/>
      <c r="F10" s="90"/>
      <c r="G10" s="90"/>
      <c r="H10" s="9" t="s">
        <v>318</v>
      </c>
      <c r="I10" s="9" t="s">
        <v>319</v>
      </c>
      <c r="J10" s="145"/>
      <c r="K10" s="109" t="s">
        <v>12</v>
      </c>
      <c r="L10" s="109" t="s">
        <v>12</v>
      </c>
      <c r="M10" s="109" t="s">
        <v>12</v>
      </c>
      <c r="P10" s="11" t="s">
        <v>320</v>
      </c>
      <c r="Q10" s="2"/>
      <c r="S10" s="9" t="str">
        <f t="shared" ref="S10:S26" si="1">H10</f>
        <v>Area#</v>
      </c>
      <c r="T10" s="9" t="str">
        <f t="shared" si="0"/>
        <v>[deg]</v>
      </c>
      <c r="U10" s="145"/>
      <c r="V10" s="109" t="s">
        <v>12</v>
      </c>
      <c r="W10" s="109" t="s">
        <v>12</v>
      </c>
      <c r="Y10" s="13" t="s">
        <v>345</v>
      </c>
      <c r="Z10" s="13">
        <f t="shared" ref="Z10:AA11" ca="1" si="2">AW95</f>
        <v>23</v>
      </c>
      <c r="AA10" s="13">
        <f t="shared" ca="1" si="2"/>
        <v>3</v>
      </c>
    </row>
    <row r="11" spans="1:27">
      <c r="A11" s="121" t="s">
        <v>1004</v>
      </c>
      <c r="B11" s="90" t="s">
        <v>417</v>
      </c>
      <c r="C11" s="90">
        <v>-2.5</v>
      </c>
      <c r="D11" s="90"/>
      <c r="E11" s="90"/>
      <c r="F11" s="90"/>
      <c r="G11" s="90"/>
      <c r="H11" s="13">
        <v>1</v>
      </c>
      <c r="I11" s="13">
        <v>0</v>
      </c>
      <c r="J11" s="109">
        <v>1</v>
      </c>
      <c r="K11" s="111">
        <f>SQRT(C6^2+C7^2)</f>
        <v>422.52100000000002</v>
      </c>
      <c r="L11" s="112">
        <f>M7/2</f>
        <v>422.4425</v>
      </c>
      <c r="M11" s="112">
        <f>M6/2</f>
        <v>422.49350000000004</v>
      </c>
      <c r="P11" s="13">
        <f>K11+K19</f>
        <v>844.95800000000008</v>
      </c>
      <c r="Q11" s="2"/>
      <c r="S11" s="13">
        <f t="shared" si="1"/>
        <v>1</v>
      </c>
      <c r="T11" s="13">
        <f t="shared" si="0"/>
        <v>0</v>
      </c>
      <c r="U11" s="109">
        <f t="shared" si="0"/>
        <v>1</v>
      </c>
      <c r="V11" s="14">
        <f>K11-'246'!V11</f>
        <v>4.9069999952109242</v>
      </c>
      <c r="W11" s="14">
        <f>K11-'246'!W11</f>
        <v>4.8969999988026984</v>
      </c>
      <c r="Y11" s="13" t="s">
        <v>346</v>
      </c>
      <c r="Z11" s="13">
        <f t="shared" ca="1" si="2"/>
        <v>19</v>
      </c>
      <c r="AA11" s="13">
        <f t="shared" ca="1" si="2"/>
        <v>7</v>
      </c>
    </row>
    <row r="12" spans="1:27">
      <c r="A12" s="90" t="s">
        <v>412</v>
      </c>
      <c r="B12" s="90" t="s">
        <v>413</v>
      </c>
      <c r="C12" s="90">
        <v>422.358</v>
      </c>
      <c r="D12" s="90"/>
      <c r="E12" s="90"/>
      <c r="F12" s="90"/>
      <c r="G12" s="90"/>
      <c r="H12" s="13">
        <v>2</v>
      </c>
      <c r="I12" s="13">
        <f>I11+360/16</f>
        <v>22.5</v>
      </c>
      <c r="J12" s="109">
        <v>16</v>
      </c>
      <c r="K12" s="111">
        <f>SQRT(C51^2+C52^2)</f>
        <v>422.59000000118317</v>
      </c>
      <c r="L12" s="112">
        <f>L11</f>
        <v>422.4425</v>
      </c>
      <c r="M12" s="112">
        <f>M11</f>
        <v>422.49350000000004</v>
      </c>
      <c r="P12" s="13">
        <f t="shared" ref="P12:P18" si="3">K12+K20</f>
        <v>844.982000020123</v>
      </c>
      <c r="Q12" s="2"/>
      <c r="S12" s="13">
        <f t="shared" si="1"/>
        <v>2</v>
      </c>
      <c r="T12" s="13">
        <f t="shared" si="0"/>
        <v>22.5</v>
      </c>
      <c r="U12" s="109">
        <f t="shared" si="0"/>
        <v>16</v>
      </c>
      <c r="V12" s="14">
        <f>K12-'246'!V12</f>
        <v>4.9369999999859715</v>
      </c>
      <c r="W12" s="14">
        <f>K12-'246'!W12</f>
        <v>4.9279999999860706</v>
      </c>
    </row>
    <row r="13" spans="1:27">
      <c r="A13" s="90" t="s">
        <v>1005</v>
      </c>
      <c r="B13" s="90" t="s">
        <v>415</v>
      </c>
      <c r="C13" s="90">
        <v>2E-3</v>
      </c>
      <c r="D13" s="90"/>
      <c r="E13" s="90"/>
      <c r="F13" s="90"/>
      <c r="G13" s="90"/>
      <c r="H13" s="13">
        <v>3</v>
      </c>
      <c r="I13" s="13">
        <f t="shared" ref="I13:I26" si="4">I12+360/16</f>
        <v>45</v>
      </c>
      <c r="J13" s="109">
        <v>15</v>
      </c>
      <c r="K13" s="111">
        <f>SQRT(C48^2+C49^2)</f>
        <v>422.53200000473333</v>
      </c>
      <c r="L13" s="112">
        <f t="shared" ref="L13:L26" si="5">L12</f>
        <v>422.4425</v>
      </c>
      <c r="M13" s="112">
        <f t="shared" ref="M13:M26" si="6">M12</f>
        <v>422.49350000000004</v>
      </c>
      <c r="P13" s="13">
        <f t="shared" si="3"/>
        <v>845.01300000591687</v>
      </c>
      <c r="Q13" s="2"/>
      <c r="S13" s="13">
        <f t="shared" si="1"/>
        <v>3</v>
      </c>
      <c r="T13" s="13">
        <f t="shared" si="0"/>
        <v>45</v>
      </c>
      <c r="U13" s="109">
        <f t="shared" si="0"/>
        <v>15</v>
      </c>
      <c r="V13" s="14">
        <f>K13-'246'!V13</f>
        <v>4.8769999999447009</v>
      </c>
      <c r="W13" s="14">
        <f>K13-'246'!W13</f>
        <v>4.8689999999447764</v>
      </c>
    </row>
    <row r="14" spans="1:27">
      <c r="A14" s="121" t="s">
        <v>1006</v>
      </c>
      <c r="B14" s="90" t="s">
        <v>417</v>
      </c>
      <c r="C14" s="90">
        <v>-2.5</v>
      </c>
      <c r="D14" s="90"/>
      <c r="E14" s="90"/>
      <c r="F14" s="90"/>
      <c r="G14" s="90"/>
      <c r="H14" s="13">
        <v>4</v>
      </c>
      <c r="I14" s="13">
        <f t="shared" si="4"/>
        <v>67.5</v>
      </c>
      <c r="J14" s="109">
        <v>14</v>
      </c>
      <c r="K14" s="111">
        <f>SQRT(C45^2+C46^2)</f>
        <v>422.41899999999998</v>
      </c>
      <c r="L14" s="112">
        <f t="shared" si="5"/>
        <v>422.4425</v>
      </c>
      <c r="M14" s="112">
        <f t="shared" si="6"/>
        <v>422.49350000000004</v>
      </c>
      <c r="P14" s="13">
        <f t="shared" si="3"/>
        <v>844.98800000118331</v>
      </c>
      <c r="Q14" s="2"/>
      <c r="S14" s="13">
        <f t="shared" si="1"/>
        <v>4</v>
      </c>
      <c r="T14" s="13">
        <f t="shared" si="0"/>
        <v>67.5</v>
      </c>
      <c r="U14" s="109">
        <f t="shared" si="0"/>
        <v>14</v>
      </c>
      <c r="V14" s="14">
        <f>K14-'246'!V14</f>
        <v>4.7879999988027748</v>
      </c>
      <c r="W14" s="14">
        <f>K14-'246'!W14</f>
        <v>4.7829999808445223</v>
      </c>
    </row>
    <row r="15" spans="1:27">
      <c r="A15" s="90" t="s">
        <v>412</v>
      </c>
      <c r="B15" s="90" t="s">
        <v>413</v>
      </c>
      <c r="C15" s="90">
        <v>422.44499999999999</v>
      </c>
      <c r="D15" s="90"/>
      <c r="E15" s="90"/>
      <c r="F15" s="90"/>
      <c r="G15" s="90"/>
      <c r="H15" s="13">
        <v>5</v>
      </c>
      <c r="I15" s="13">
        <f t="shared" si="4"/>
        <v>90</v>
      </c>
      <c r="J15" s="109">
        <v>13</v>
      </c>
      <c r="K15" s="111">
        <f>SQRT(C42^2+C43^2)</f>
        <v>422.42200000000003</v>
      </c>
      <c r="L15" s="112">
        <f t="shared" si="5"/>
        <v>422.4425</v>
      </c>
      <c r="M15" s="112">
        <f t="shared" si="6"/>
        <v>422.49350000000004</v>
      </c>
      <c r="P15" s="13">
        <f t="shared" si="3"/>
        <v>844.98200000118322</v>
      </c>
      <c r="Q15" s="2"/>
      <c r="S15" s="13">
        <f t="shared" si="1"/>
        <v>5</v>
      </c>
      <c r="T15" s="13">
        <f t="shared" si="0"/>
        <v>90</v>
      </c>
      <c r="U15" s="109">
        <f t="shared" si="0"/>
        <v>13</v>
      </c>
      <c r="V15" s="14">
        <f>K15-'246'!V15</f>
        <v>4.7859999988027653</v>
      </c>
      <c r="W15" s="14">
        <f>K15-'246'!W15</f>
        <v>4.7849999988027889</v>
      </c>
    </row>
    <row r="16" spans="1:27">
      <c r="A16" s="90" t="s">
        <v>1007</v>
      </c>
      <c r="B16" s="90" t="s">
        <v>415</v>
      </c>
      <c r="C16" s="90">
        <v>3.0000000000000001E-3</v>
      </c>
      <c r="D16" s="90"/>
      <c r="E16" s="90"/>
      <c r="F16" s="90"/>
      <c r="G16" s="90"/>
      <c r="H16" s="13">
        <v>6</v>
      </c>
      <c r="I16" s="13">
        <f t="shared" si="4"/>
        <v>112.5</v>
      </c>
      <c r="J16" s="109">
        <v>12</v>
      </c>
      <c r="K16" s="111">
        <f>SQRT(C39^2+C40^2)</f>
        <v>422.476</v>
      </c>
      <c r="L16" s="112">
        <f t="shared" si="5"/>
        <v>422.4425</v>
      </c>
      <c r="M16" s="112">
        <f t="shared" si="6"/>
        <v>422.49350000000004</v>
      </c>
      <c r="P16" s="13">
        <f t="shared" si="3"/>
        <v>844.92100001065228</v>
      </c>
      <c r="Q16" s="2"/>
      <c r="S16" s="13">
        <f t="shared" si="1"/>
        <v>6</v>
      </c>
      <c r="T16" s="13">
        <f t="shared" si="0"/>
        <v>112.5</v>
      </c>
      <c r="U16" s="109">
        <f t="shared" si="0"/>
        <v>12</v>
      </c>
      <c r="V16" s="14">
        <f>K16-'246'!V16</f>
        <v>4.8259999988028426</v>
      </c>
      <c r="W16" s="14">
        <f>K16-'246'!W16</f>
        <v>4.8179999988028612</v>
      </c>
    </row>
    <row r="17" spans="1:23">
      <c r="A17" s="121" t="s">
        <v>1008</v>
      </c>
      <c r="B17" s="90" t="s">
        <v>417</v>
      </c>
      <c r="C17" s="90">
        <v>-2.5</v>
      </c>
      <c r="D17" s="90"/>
      <c r="E17" s="90"/>
      <c r="F17" s="90"/>
      <c r="G17" s="90"/>
      <c r="H17" s="13">
        <v>7</v>
      </c>
      <c r="I17" s="13">
        <f t="shared" si="4"/>
        <v>135</v>
      </c>
      <c r="J17" s="109">
        <v>11</v>
      </c>
      <c r="K17" s="111">
        <f>SQRT(C36^2+C37^2)</f>
        <v>422.505</v>
      </c>
      <c r="L17" s="112">
        <f t="shared" si="5"/>
        <v>422.4425</v>
      </c>
      <c r="M17" s="112">
        <f t="shared" si="6"/>
        <v>422.49350000000004</v>
      </c>
      <c r="P17" s="13">
        <f t="shared" si="3"/>
        <v>844.86300000473534</v>
      </c>
      <c r="Q17" s="2"/>
      <c r="S17" s="13">
        <f t="shared" si="1"/>
        <v>7</v>
      </c>
      <c r="T17" s="13">
        <f t="shared" si="0"/>
        <v>135</v>
      </c>
      <c r="U17" s="109">
        <f t="shared" si="0"/>
        <v>11</v>
      </c>
      <c r="V17" s="14">
        <f>K17-'246'!V17</f>
        <v>4.8709999999999809</v>
      </c>
      <c r="W17" s="14">
        <f>K17-'246'!W17</f>
        <v>4.8629999988028203</v>
      </c>
    </row>
    <row r="18" spans="1:23">
      <c r="A18" s="90" t="s">
        <v>412</v>
      </c>
      <c r="B18" s="90" t="s">
        <v>413</v>
      </c>
      <c r="C18" s="90">
        <v>422.56</v>
      </c>
      <c r="D18" s="90"/>
      <c r="E18" s="90"/>
      <c r="F18" s="90"/>
      <c r="G18" s="90"/>
      <c r="H18" s="13">
        <v>8</v>
      </c>
      <c r="I18" s="13">
        <f t="shared" si="4"/>
        <v>157.5</v>
      </c>
      <c r="J18" s="109">
        <v>10</v>
      </c>
      <c r="K18" s="111">
        <f>SQRT(C33^2+C34^2)</f>
        <v>422.51300001065056</v>
      </c>
      <c r="L18" s="112">
        <f t="shared" si="5"/>
        <v>422.4425</v>
      </c>
      <c r="M18" s="112">
        <f t="shared" si="6"/>
        <v>422.49350000000004</v>
      </c>
      <c r="P18" s="13">
        <f t="shared" si="3"/>
        <v>844.92100001065057</v>
      </c>
      <c r="Q18" s="2"/>
      <c r="S18" s="13">
        <f t="shared" si="1"/>
        <v>8</v>
      </c>
      <c r="T18" s="13">
        <f t="shared" si="0"/>
        <v>157.5</v>
      </c>
      <c r="U18" s="109">
        <f t="shared" si="0"/>
        <v>10</v>
      </c>
      <c r="V18" s="14">
        <f>K18-'246'!V18</f>
        <v>4.874000005861717</v>
      </c>
      <c r="W18" s="14">
        <f>K18-'246'!W18</f>
        <v>4.8640000106505568</v>
      </c>
    </row>
    <row r="19" spans="1:23">
      <c r="A19" s="90" t="s">
        <v>1009</v>
      </c>
      <c r="B19" s="90" t="s">
        <v>415</v>
      </c>
      <c r="C19" s="90">
        <v>-1E-3</v>
      </c>
      <c r="D19" s="90"/>
      <c r="E19" s="90"/>
      <c r="F19" s="90"/>
      <c r="G19" s="90"/>
      <c r="H19" s="13">
        <v>9</v>
      </c>
      <c r="I19" s="13">
        <f t="shared" si="4"/>
        <v>180</v>
      </c>
      <c r="J19" s="109">
        <v>9</v>
      </c>
      <c r="K19" s="111">
        <f>SQRT(C30^2+C31^2)</f>
        <v>422.43700000000001</v>
      </c>
      <c r="L19" s="112">
        <f t="shared" si="5"/>
        <v>422.4425</v>
      </c>
      <c r="M19" s="112">
        <f t="shared" si="6"/>
        <v>422.49350000000004</v>
      </c>
      <c r="P19" s="13"/>
      <c r="Q19" s="2"/>
      <c r="S19" s="13">
        <f t="shared" si="1"/>
        <v>9</v>
      </c>
      <c r="T19" s="13">
        <f t="shared" si="0"/>
        <v>180</v>
      </c>
      <c r="U19" s="109">
        <f t="shared" si="0"/>
        <v>9</v>
      </c>
      <c r="V19" s="14">
        <f>K19-'246'!V19</f>
        <v>4.8359999952107842</v>
      </c>
      <c r="W19" s="14">
        <f>K19-'246'!W19</f>
        <v>4.8309999988027243</v>
      </c>
    </row>
    <row r="20" spans="1:23">
      <c r="A20" s="121" t="s">
        <v>1010</v>
      </c>
      <c r="B20" s="90" t="s">
        <v>417</v>
      </c>
      <c r="C20" s="90">
        <v>-2.5</v>
      </c>
      <c r="D20" s="90"/>
      <c r="E20" s="90"/>
      <c r="F20" s="90"/>
      <c r="G20" s="90"/>
      <c r="H20" s="13">
        <v>10</v>
      </c>
      <c r="I20" s="13">
        <f t="shared" si="4"/>
        <v>202.5</v>
      </c>
      <c r="J20" s="109">
        <v>8</v>
      </c>
      <c r="K20" s="111">
        <f>SQRT(C27^2+C28^2)</f>
        <v>422.39200001893977</v>
      </c>
      <c r="L20" s="112">
        <f t="shared" si="5"/>
        <v>422.4425</v>
      </c>
      <c r="M20" s="112">
        <f t="shared" si="6"/>
        <v>422.49350000000004</v>
      </c>
      <c r="P20" s="13">
        <f>MAX(P11:P18)</f>
        <v>845.01300000591687</v>
      </c>
      <c r="Q20" s="13" t="str">
        <f>IF(P20&gt;M6, CONCATENATE("O/Max ", TEXT(P20-M6, "0.000")), "-")</f>
        <v>O/Max 0.026</v>
      </c>
      <c r="S20" s="13">
        <f t="shared" si="1"/>
        <v>10</v>
      </c>
      <c r="T20" s="13">
        <f t="shared" si="0"/>
        <v>202.5</v>
      </c>
      <c r="U20" s="109">
        <f t="shared" si="0"/>
        <v>8</v>
      </c>
      <c r="V20" s="14">
        <f>K20-'246'!V20</f>
        <v>4.8210000177423353</v>
      </c>
      <c r="W20" s="14">
        <f>K20-'246'!W20</f>
        <v>4.820999816578933</v>
      </c>
    </row>
    <row r="21" spans="1:23">
      <c r="A21" s="90" t="s">
        <v>412</v>
      </c>
      <c r="B21" s="90" t="s">
        <v>413</v>
      </c>
      <c r="C21" s="90">
        <v>422.56900000000002</v>
      </c>
      <c r="D21" s="90"/>
      <c r="E21" s="90"/>
      <c r="F21" s="90"/>
      <c r="G21" s="90"/>
      <c r="H21" s="13">
        <v>11</v>
      </c>
      <c r="I21" s="13">
        <f t="shared" si="4"/>
        <v>225</v>
      </c>
      <c r="J21" s="109">
        <v>7</v>
      </c>
      <c r="K21" s="111">
        <f>SQRT(C24^2+C25^2)</f>
        <v>422.48100000118347</v>
      </c>
      <c r="L21" s="112">
        <f t="shared" si="5"/>
        <v>422.4425</v>
      </c>
      <c r="M21" s="112">
        <f t="shared" si="6"/>
        <v>422.49350000000004</v>
      </c>
      <c r="P21" s="13">
        <f>MIN(P11:P18)</f>
        <v>844.86300000473534</v>
      </c>
      <c r="Q21" s="13" t="str">
        <f>IF(P21&lt;M7, CONCATENATE("U/Min ", TEXT(M7-P21, "0.000")), "-")</f>
        <v>U/Min 0.022</v>
      </c>
      <c r="S21" s="13">
        <f t="shared" si="1"/>
        <v>11</v>
      </c>
      <c r="T21" s="13">
        <f t="shared" si="0"/>
        <v>225</v>
      </c>
      <c r="U21" s="109">
        <f t="shared" si="0"/>
        <v>7</v>
      </c>
      <c r="V21" s="14">
        <f>K21-'246'!V21</f>
        <v>4.8609999999862339</v>
      </c>
      <c r="W21" s="14">
        <f>K21-'246'!W21</f>
        <v>4.8569999999861579</v>
      </c>
    </row>
    <row r="22" spans="1:23">
      <c r="A22" s="90" t="s">
        <v>1011</v>
      </c>
      <c r="B22" s="90" t="s">
        <v>415</v>
      </c>
      <c r="C22" s="90">
        <v>-1E-3</v>
      </c>
      <c r="D22" s="90"/>
      <c r="E22" s="90"/>
      <c r="F22" s="90"/>
      <c r="G22" s="90"/>
      <c r="H22" s="13">
        <v>12</v>
      </c>
      <c r="I22" s="13">
        <f t="shared" si="4"/>
        <v>247.5</v>
      </c>
      <c r="J22" s="109">
        <v>6</v>
      </c>
      <c r="K22" s="111">
        <f>SQRT(C21^2+C22^2)</f>
        <v>422.56900000118327</v>
      </c>
      <c r="L22" s="112">
        <f t="shared" si="5"/>
        <v>422.4425</v>
      </c>
      <c r="M22" s="112">
        <f t="shared" si="6"/>
        <v>422.49350000000004</v>
      </c>
      <c r="S22" s="13">
        <f t="shared" si="1"/>
        <v>12</v>
      </c>
      <c r="T22" s="13">
        <f t="shared" si="0"/>
        <v>247.5</v>
      </c>
      <c r="U22" s="109">
        <f t="shared" si="0"/>
        <v>6</v>
      </c>
      <c r="V22" s="14">
        <f>K22-'246'!V22</f>
        <v>4.8739999999862107</v>
      </c>
      <c r="W22" s="14">
        <f>K22-'246'!W22</f>
        <v>4.8609999963952077</v>
      </c>
    </row>
    <row r="23" spans="1:23">
      <c r="A23" s="121" t="s">
        <v>1012</v>
      </c>
      <c r="B23" s="90" t="s">
        <v>417</v>
      </c>
      <c r="C23" s="90">
        <v>-2.5009999999999999</v>
      </c>
      <c r="D23" s="90"/>
      <c r="E23" s="90"/>
      <c r="F23" s="90"/>
      <c r="G23" s="90"/>
      <c r="H23" s="13">
        <v>13</v>
      </c>
      <c r="I23" s="13">
        <f t="shared" si="4"/>
        <v>270</v>
      </c>
      <c r="J23" s="109">
        <v>5</v>
      </c>
      <c r="K23" s="111">
        <f>SQRT(C18^2+C19^2)</f>
        <v>422.56000000118325</v>
      </c>
      <c r="L23" s="112">
        <f t="shared" si="5"/>
        <v>422.4425</v>
      </c>
      <c r="M23" s="112">
        <f t="shared" si="6"/>
        <v>422.49350000000004</v>
      </c>
      <c r="S23" s="13">
        <f t="shared" si="1"/>
        <v>13</v>
      </c>
      <c r="T23" s="13">
        <f t="shared" si="0"/>
        <v>270</v>
      </c>
      <c r="U23" s="109">
        <f t="shared" si="0"/>
        <v>5</v>
      </c>
      <c r="V23" s="14">
        <f>K23-'246'!V23</f>
        <v>4.8619999999862102</v>
      </c>
      <c r="W23" s="14">
        <f>K23-'246'!W23</f>
        <v>4.8499999999862666</v>
      </c>
    </row>
    <row r="24" spans="1:23">
      <c r="A24" s="90" t="s">
        <v>412</v>
      </c>
      <c r="B24" s="90" t="s">
        <v>413</v>
      </c>
      <c r="C24" s="90">
        <v>422.48099999999999</v>
      </c>
      <c r="D24" s="90"/>
      <c r="E24" s="90"/>
      <c r="F24" s="90"/>
      <c r="G24" s="90"/>
      <c r="H24" s="13">
        <v>14</v>
      </c>
      <c r="I24" s="13">
        <f t="shared" si="4"/>
        <v>292.5</v>
      </c>
      <c r="J24" s="109">
        <v>4</v>
      </c>
      <c r="K24" s="111">
        <f>SQRT(C15^2+C16^2)</f>
        <v>422.44500001065228</v>
      </c>
      <c r="L24" s="112">
        <f t="shared" si="5"/>
        <v>422.4425</v>
      </c>
      <c r="M24" s="112">
        <f t="shared" si="6"/>
        <v>422.49350000000004</v>
      </c>
      <c r="S24" s="13">
        <f t="shared" si="1"/>
        <v>14</v>
      </c>
      <c r="T24" s="13">
        <f t="shared" si="0"/>
        <v>292.5</v>
      </c>
      <c r="U24" s="109">
        <f t="shared" si="0"/>
        <v>4</v>
      </c>
      <c r="V24" s="14">
        <f>K24-'246'!V24</f>
        <v>4.8000000106522975</v>
      </c>
      <c r="W24" s="14">
        <f>K24-'246'!W24</f>
        <v>4.791000010652283</v>
      </c>
    </row>
    <row r="25" spans="1:23">
      <c r="A25" s="90" t="s">
        <v>1013</v>
      </c>
      <c r="B25" s="90" t="s">
        <v>415</v>
      </c>
      <c r="C25" s="90">
        <v>-1E-3</v>
      </c>
      <c r="D25" s="90"/>
      <c r="E25" s="90"/>
      <c r="F25" s="90"/>
      <c r="G25" s="90"/>
      <c r="H25" s="13">
        <v>15</v>
      </c>
      <c r="I25" s="13">
        <f t="shared" si="4"/>
        <v>315</v>
      </c>
      <c r="J25" s="109">
        <v>3</v>
      </c>
      <c r="K25" s="111">
        <f>SQRT(C12^2+C13^2)</f>
        <v>422.35800000473529</v>
      </c>
      <c r="L25" s="112">
        <f t="shared" si="5"/>
        <v>422.4425</v>
      </c>
      <c r="M25" s="112">
        <f t="shared" si="6"/>
        <v>422.49350000000004</v>
      </c>
      <c r="S25" s="13">
        <f t="shared" si="1"/>
        <v>15</v>
      </c>
      <c r="T25" s="13">
        <f t="shared" si="0"/>
        <v>315</v>
      </c>
      <c r="U25" s="109">
        <f t="shared" si="0"/>
        <v>3</v>
      </c>
      <c r="V25" s="14">
        <f>K25-'246'!V25</f>
        <v>4.7970000035378462</v>
      </c>
      <c r="W25" s="14">
        <f>K25-'246'!W25</f>
        <v>4.7980000035378225</v>
      </c>
    </row>
    <row r="26" spans="1:23">
      <c r="A26" s="121" t="s">
        <v>1014</v>
      </c>
      <c r="B26" s="90" t="s">
        <v>417</v>
      </c>
      <c r="C26" s="90">
        <v>-2.5</v>
      </c>
      <c r="D26" s="90"/>
      <c r="E26" s="90"/>
      <c r="F26" s="90"/>
      <c r="G26" s="90"/>
      <c r="H26" s="13">
        <v>16</v>
      </c>
      <c r="I26" s="13">
        <f t="shared" si="4"/>
        <v>337.5</v>
      </c>
      <c r="J26" s="109">
        <v>2</v>
      </c>
      <c r="K26" s="111">
        <f>SQRT(C9^2+C10^2)</f>
        <v>422.40800000000002</v>
      </c>
      <c r="L26" s="112">
        <f t="shared" si="5"/>
        <v>422.4425</v>
      </c>
      <c r="M26" s="112">
        <f t="shared" si="6"/>
        <v>422.49350000000004</v>
      </c>
      <c r="S26" s="13">
        <f t="shared" si="1"/>
        <v>16</v>
      </c>
      <c r="T26" s="13">
        <f t="shared" si="0"/>
        <v>337.5</v>
      </c>
      <c r="U26" s="109">
        <f t="shared" si="0"/>
        <v>2</v>
      </c>
      <c r="V26" s="14">
        <f>K26-'246'!V26</f>
        <v>4.8529999808408775</v>
      </c>
      <c r="W26" s="14">
        <f>K26-'246'!W26</f>
        <v>4.8479999892231262</v>
      </c>
    </row>
    <row r="27" spans="1:23">
      <c r="A27" s="90" t="s">
        <v>412</v>
      </c>
      <c r="B27" s="90" t="s">
        <v>413</v>
      </c>
      <c r="C27" s="90">
        <v>422.392</v>
      </c>
      <c r="D27" s="90"/>
      <c r="E27" s="90"/>
      <c r="F27" s="90"/>
      <c r="G27" s="90"/>
      <c r="H27" s="13">
        <v>17</v>
      </c>
      <c r="I27" s="13">
        <v>360</v>
      </c>
      <c r="J27" s="109">
        <v>1</v>
      </c>
      <c r="K27" s="15">
        <f>K11</f>
        <v>422.52100000000002</v>
      </c>
      <c r="P27" s="19" t="s">
        <v>271</v>
      </c>
      <c r="Q27" s="19" t="str">
        <f>M30</f>
        <v>-</v>
      </c>
      <c r="R27" s="140"/>
      <c r="S27" s="13"/>
      <c r="T27" s="13"/>
      <c r="U27" s="109"/>
    </row>
    <row r="28" spans="1:23">
      <c r="A28" s="90" t="s">
        <v>1015</v>
      </c>
      <c r="B28" s="90" t="s">
        <v>415</v>
      </c>
      <c r="C28" s="90">
        <v>-4.0000000000000001E-3</v>
      </c>
      <c r="D28" s="90"/>
      <c r="E28" s="90"/>
      <c r="F28" s="90"/>
      <c r="G28" s="90"/>
      <c r="J28" s="109" t="s">
        <v>321</v>
      </c>
      <c r="K28" s="5">
        <f>MAX(K11:K26)</f>
        <v>422.59000000118317</v>
      </c>
      <c r="L28" s="15">
        <f>K28*2</f>
        <v>845.18000000236634</v>
      </c>
      <c r="M28" s="15" t="str">
        <f>IF(K28&gt;M26, "O/Max "&amp;TEXT(2*K28-2*M26, "0.000"), "-")</f>
        <v>O/Max 0.193</v>
      </c>
      <c r="P28" s="19" t="s">
        <v>60</v>
      </c>
      <c r="Q28" s="19" t="str">
        <f>M28</f>
        <v>O/Max 0.193</v>
      </c>
      <c r="R28" s="140"/>
    </row>
    <row r="29" spans="1:23">
      <c r="A29" s="121" t="s">
        <v>1016</v>
      </c>
      <c r="B29" s="90" t="s">
        <v>417</v>
      </c>
      <c r="C29" s="90">
        <v>-2.5</v>
      </c>
      <c r="D29" s="90"/>
      <c r="E29" s="90"/>
      <c r="F29" s="90"/>
      <c r="G29" s="90"/>
      <c r="J29" s="109" t="s">
        <v>323</v>
      </c>
      <c r="K29" s="15">
        <f>MIN(K11:K26)</f>
        <v>422.35800000473529</v>
      </c>
      <c r="L29" s="15">
        <f>K29*2</f>
        <v>844.71600000947058</v>
      </c>
      <c r="M29" s="15" t="str">
        <f>IF(K29&lt;L26, "U/Min "&amp;TEXT(2*L26-2*K29, "0.000"), "-")</f>
        <v>U/Min 0.169</v>
      </c>
      <c r="P29" s="19" t="s">
        <v>62</v>
      </c>
      <c r="Q29" s="19" t="str">
        <f>M29</f>
        <v>U/Min 0.169</v>
      </c>
      <c r="R29" s="140"/>
    </row>
    <row r="30" spans="1:23">
      <c r="A30" s="90" t="s">
        <v>412</v>
      </c>
      <c r="B30" s="90" t="s">
        <v>413</v>
      </c>
      <c r="C30" s="90">
        <v>422.43700000000001</v>
      </c>
      <c r="D30" s="90"/>
      <c r="E30" s="90"/>
      <c r="F30" s="90"/>
      <c r="G30" s="90"/>
      <c r="J30" s="17" t="s">
        <v>325</v>
      </c>
      <c r="K30" s="16">
        <f>ROUND(AVERAGE(K11:K26)*2, 3)</f>
        <v>844.95399999999995</v>
      </c>
      <c r="L30" s="15"/>
      <c r="M30" s="15" t="str">
        <f>IF(K30&gt;M6, "O/Max "&amp;TEXT(K30-M6, "0.000"), IF(K30&lt;M7, "U/Min "&amp;TEXT(M7-K30, "0.000"), "-"))</f>
        <v>-</v>
      </c>
      <c r="P30" s="19" t="s">
        <v>18</v>
      </c>
      <c r="Q30" s="19" t="str">
        <f>M31</f>
        <v>O/Max 0.102</v>
      </c>
      <c r="R30" s="140"/>
    </row>
    <row r="31" spans="1:23">
      <c r="A31" s="90" t="s">
        <v>1017</v>
      </c>
      <c r="B31" s="90" t="s">
        <v>415</v>
      </c>
      <c r="C31" s="90">
        <v>0</v>
      </c>
      <c r="D31" s="90"/>
      <c r="E31" s="90"/>
      <c r="F31" s="90"/>
      <c r="G31" s="90"/>
      <c r="J31" s="109" t="s">
        <v>326</v>
      </c>
      <c r="K31" s="18">
        <f>K28-K29</f>
        <v>0.23199999644788249</v>
      </c>
      <c r="L31" s="15"/>
      <c r="M31" s="15" t="str">
        <f>IF(K31&gt;0.13, "O/Max "&amp;TEXT(K31-0.13, "0.000"), "-")</f>
        <v>O/Max 0.102</v>
      </c>
      <c r="N31" s="5" t="s">
        <v>327</v>
      </c>
    </row>
    <row r="32" spans="1:23">
      <c r="A32" s="121" t="s">
        <v>1018</v>
      </c>
      <c r="B32" s="90" t="s">
        <v>417</v>
      </c>
      <c r="C32" s="90">
        <v>-2.5</v>
      </c>
      <c r="D32" s="90"/>
      <c r="E32" s="90"/>
      <c r="F32" s="90"/>
      <c r="G32" s="90"/>
      <c r="S32" s="19" t="s">
        <v>347</v>
      </c>
    </row>
    <row r="33" spans="1:44">
      <c r="A33" s="90" t="s">
        <v>412</v>
      </c>
      <c r="B33" s="90" t="s">
        <v>413</v>
      </c>
      <c r="C33" s="90">
        <v>422.51299999999998</v>
      </c>
      <c r="D33" s="90"/>
      <c r="E33" s="90"/>
      <c r="F33" s="90"/>
      <c r="G33" s="90"/>
      <c r="J33" s="5" t="s">
        <v>348</v>
      </c>
      <c r="M33" s="5" t="s">
        <v>328</v>
      </c>
      <c r="N33" s="5">
        <f>360/24</f>
        <v>15</v>
      </c>
      <c r="O33" s="9" t="s">
        <v>329</v>
      </c>
      <c r="P33" s="5" t="s">
        <v>330</v>
      </c>
      <c r="Q33" s="5">
        <f>'246'!$Q$33</f>
        <v>-6.36</v>
      </c>
      <c r="R33" s="9" t="s">
        <v>329</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v>24</v>
      </c>
      <c r="AQ33" s="5"/>
      <c r="AR33" s="5"/>
    </row>
    <row r="34" spans="1:44">
      <c r="A34" s="90" t="s">
        <v>1019</v>
      </c>
      <c r="B34" s="90" t="s">
        <v>415</v>
      </c>
      <c r="C34" s="90">
        <v>3.0000000000000001E-3</v>
      </c>
      <c r="D34" s="90"/>
      <c r="E34" s="90"/>
      <c r="F34" s="90"/>
      <c r="G34" s="90"/>
      <c r="K34" s="9" t="s">
        <v>331</v>
      </c>
      <c r="M34" s="9" t="s">
        <v>332</v>
      </c>
      <c r="N34" s="9" t="s">
        <v>333</v>
      </c>
      <c r="O34" s="9" t="s">
        <v>334</v>
      </c>
      <c r="P34" s="9" t="s">
        <v>335</v>
      </c>
      <c r="Q34" s="9" t="s">
        <v>336</v>
      </c>
      <c r="R34" s="5"/>
      <c r="S34" s="20" t="str">
        <f ca="1">CONCATENATE($S$32, "#", OFFSET($J$35, S33, 0))</f>
        <v>Stg.4 Shroud Aft#1</v>
      </c>
      <c r="T34" s="20" t="str">
        <f t="shared" ref="T34:AP34" ca="1" si="7">CONCATENATE($S$32, "#", OFFSET($J$35, T33, 0))</f>
        <v>Stg.4 Shroud Aft#24</v>
      </c>
      <c r="U34" s="20" t="str">
        <f t="shared" ca="1" si="7"/>
        <v>Stg.4 Shroud Aft#23</v>
      </c>
      <c r="V34" s="20" t="str">
        <f t="shared" ca="1" si="7"/>
        <v>Stg.4 Shroud Aft#22</v>
      </c>
      <c r="W34" s="20" t="str">
        <f t="shared" ca="1" si="7"/>
        <v>Stg.4 Shroud Aft#21</v>
      </c>
      <c r="X34" s="20" t="str">
        <f t="shared" ca="1" si="7"/>
        <v>Stg.4 Shroud Aft#20</v>
      </c>
      <c r="Y34" s="20" t="str">
        <f t="shared" ca="1" si="7"/>
        <v>Stg.4 Shroud Aft#19</v>
      </c>
      <c r="Z34" s="20" t="str">
        <f t="shared" ca="1" si="7"/>
        <v>Stg.4 Shroud Aft#18</v>
      </c>
      <c r="AA34" s="20" t="str">
        <f t="shared" ca="1" si="7"/>
        <v>Stg.4 Shroud Aft#17</v>
      </c>
      <c r="AB34" s="20" t="str">
        <f t="shared" ca="1" si="7"/>
        <v>Stg.4 Shroud Aft#16</v>
      </c>
      <c r="AC34" s="20" t="str">
        <f t="shared" ca="1" si="7"/>
        <v>Stg.4 Shroud Aft#15</v>
      </c>
      <c r="AD34" s="20" t="str">
        <f t="shared" ca="1" si="7"/>
        <v>Stg.4 Shroud Aft#14</v>
      </c>
      <c r="AE34" s="20" t="str">
        <f t="shared" ca="1" si="7"/>
        <v>Stg.4 Shroud Aft#13</v>
      </c>
      <c r="AF34" s="20" t="str">
        <f t="shared" ca="1" si="7"/>
        <v>Stg.4 Shroud Aft#12</v>
      </c>
      <c r="AG34" s="20" t="str">
        <f t="shared" ca="1" si="7"/>
        <v>Stg.4 Shroud Aft#11</v>
      </c>
      <c r="AH34" s="20" t="str">
        <f t="shared" ca="1" si="7"/>
        <v>Stg.4 Shroud Aft#10</v>
      </c>
      <c r="AI34" s="20" t="str">
        <f t="shared" ca="1" si="7"/>
        <v>Stg.4 Shroud Aft#9</v>
      </c>
      <c r="AJ34" s="20" t="str">
        <f t="shared" ca="1" si="7"/>
        <v>Stg.4 Shroud Aft#8</v>
      </c>
      <c r="AK34" s="20" t="str">
        <f t="shared" ca="1" si="7"/>
        <v>Stg.4 Shroud Aft#7</v>
      </c>
      <c r="AL34" s="20" t="str">
        <f t="shared" ca="1" si="7"/>
        <v>Stg.4 Shroud Aft#6</v>
      </c>
      <c r="AM34" s="20" t="str">
        <f t="shared" ca="1" si="7"/>
        <v>Stg.4 Shroud Aft#5</v>
      </c>
      <c r="AN34" s="20" t="str">
        <f t="shared" ca="1" si="7"/>
        <v>Stg.4 Shroud Aft#4</v>
      </c>
      <c r="AO34" s="20" t="str">
        <f t="shared" ca="1" si="7"/>
        <v>Stg.4 Shroud Aft#3</v>
      </c>
      <c r="AP34" s="20" t="str">
        <f t="shared" ca="1" si="7"/>
        <v>Stg.4 Shroud Aft#2</v>
      </c>
      <c r="AQ34" s="20" t="s">
        <v>337</v>
      </c>
      <c r="AR34" s="20" t="s">
        <v>338</v>
      </c>
    </row>
    <row r="35" spans="1:44">
      <c r="A35" s="121" t="s">
        <v>1020</v>
      </c>
      <c r="B35" s="90" t="s">
        <v>417</v>
      </c>
      <c r="C35" s="90">
        <v>-2.5</v>
      </c>
      <c r="D35" s="90"/>
      <c r="E35" s="90"/>
      <c r="F35" s="90"/>
      <c r="G35" s="90"/>
      <c r="J35" s="9" t="s">
        <v>339</v>
      </c>
      <c r="K35" s="9" t="s">
        <v>319</v>
      </c>
      <c r="L35" s="9" t="s">
        <v>340</v>
      </c>
      <c r="M35" s="9" t="s">
        <v>320</v>
      </c>
      <c r="N35" s="9" t="s">
        <v>341</v>
      </c>
      <c r="O35" s="9" t="s">
        <v>319</v>
      </c>
      <c r="P35" s="9" t="s">
        <v>320</v>
      </c>
      <c r="Q35" s="9" t="s">
        <v>320</v>
      </c>
      <c r="R35" s="5"/>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2" t="s">
        <v>320</v>
      </c>
      <c r="AR35" s="22" t="s">
        <v>320</v>
      </c>
    </row>
    <row r="36" spans="1:44">
      <c r="A36" s="90" t="s">
        <v>412</v>
      </c>
      <c r="B36" s="90" t="s">
        <v>413</v>
      </c>
      <c r="C36" s="90">
        <v>422.505</v>
      </c>
      <c r="D36" s="90"/>
      <c r="E36" s="90"/>
      <c r="F36" s="90"/>
      <c r="G36" s="90"/>
      <c r="J36" s="5">
        <v>1</v>
      </c>
      <c r="K36" s="23">
        <f>IF(Q33&lt;0, 360+$Q$33, $Q$33)</f>
        <v>353.64</v>
      </c>
      <c r="L36" s="24">
        <f>MATCH($K36, $I$11:$I$27, 1)</f>
        <v>16</v>
      </c>
      <c r="M36" s="5">
        <f>VLOOKUP(L36, $H$11:$K$27, 4, FALSE)</f>
        <v>422.40800000000002</v>
      </c>
      <c r="N36" s="25">
        <f>(VLOOKUP(L36+1, $H$11:$K$27, 4, FALSE) - VLOOKUP(L36, $H$11:$K$27, 4, FALSE))/(VLOOKUP(L36+1, $H$11:$K$27, 2, FALSE) - VLOOKUP(L36, $H$11:$K$27, 2, FALSE))</f>
        <v>5.0222222222222022E-3</v>
      </c>
      <c r="O36" s="26">
        <f>K36-VLOOKUP(L36, $H$11:$I$27, 2, FALSE)</f>
        <v>16.139999999999986</v>
      </c>
      <c r="P36" s="27">
        <f>M36+N36*O36</f>
        <v>422.48905866666666</v>
      </c>
      <c r="Q36" s="27">
        <f>(P36+P59)/2</f>
        <v>422.451392</v>
      </c>
      <c r="R36" s="5"/>
      <c r="S36" s="28">
        <f>Q36</f>
        <v>422.451392</v>
      </c>
      <c r="T36" s="29"/>
      <c r="U36" s="29"/>
      <c r="V36" s="29"/>
      <c r="W36" s="29"/>
      <c r="X36" s="29"/>
      <c r="Y36" s="29"/>
      <c r="Z36" s="29"/>
      <c r="AA36" s="29"/>
      <c r="AB36" s="29"/>
      <c r="AC36" s="29"/>
      <c r="AD36" s="29"/>
      <c r="AE36" s="29"/>
      <c r="AF36" s="29"/>
      <c r="AG36" s="29"/>
      <c r="AH36" s="29"/>
      <c r="AI36" s="29"/>
      <c r="AJ36" s="28"/>
      <c r="AK36" s="28"/>
      <c r="AL36" s="28"/>
      <c r="AM36" s="28"/>
      <c r="AN36" s="28"/>
      <c r="AO36" s="28"/>
      <c r="AP36" s="28">
        <f>AP59</f>
        <v>422.39815866987055</v>
      </c>
      <c r="AQ36" s="29">
        <f>L11</f>
        <v>422.4425</v>
      </c>
      <c r="AR36" s="29">
        <f>M11</f>
        <v>422.49350000000004</v>
      </c>
    </row>
    <row r="37" spans="1:44">
      <c r="A37" s="90" t="s">
        <v>1021</v>
      </c>
      <c r="B37" s="90" t="s">
        <v>415</v>
      </c>
      <c r="C37" s="90">
        <v>0</v>
      </c>
      <c r="D37" s="90"/>
      <c r="E37" s="90"/>
      <c r="F37" s="90"/>
      <c r="G37" s="90"/>
      <c r="J37" s="5">
        <v>24</v>
      </c>
      <c r="K37" s="23">
        <f>IF(K36+$N$33&gt;360, K36+$N$33-360, K36+$N$33)</f>
        <v>8.6399999999999864</v>
      </c>
      <c r="L37" s="24">
        <f t="shared" ref="L37:L59" si="8">MATCH($K37, $I$11:$I$27, 1)</f>
        <v>1</v>
      </c>
      <c r="M37" s="5">
        <f t="shared" ref="M37:M58" si="9">VLOOKUP(L37, $H$11:$K$27, 4, FALSE)</f>
        <v>422.52100000000002</v>
      </c>
      <c r="N37" s="25">
        <f t="shared" ref="N37:N59" si="10">(VLOOKUP(L37+1, $H$11:$K$27, 4, FALSE) - VLOOKUP(L37, $H$11:$K$27, 4, FALSE))/(VLOOKUP(L37+1, $H$11:$K$27, 2, FALSE) - VLOOKUP(L37, $H$11:$K$27, 2, FALSE))</f>
        <v>3.0666667192513664E-3</v>
      </c>
      <c r="O37" s="26">
        <f t="shared" ref="O37:O59" si="11">K37-VLOOKUP(L37, $H$11:$I$27, 2, FALSE)</f>
        <v>8.6399999999999864</v>
      </c>
      <c r="P37" s="27">
        <f t="shared" ref="P37:P59" si="12">M37+N37*O37</f>
        <v>422.54749600045437</v>
      </c>
      <c r="Q37" s="27">
        <f>(P36+P37)/2</f>
        <v>422.51827733356049</v>
      </c>
      <c r="R37" s="5"/>
      <c r="S37" s="30">
        <f>S36</f>
        <v>422.451392</v>
      </c>
      <c r="T37" s="30">
        <f>Q37</f>
        <v>422.51827733356049</v>
      </c>
      <c r="U37" s="21"/>
      <c r="V37" s="21"/>
      <c r="W37" s="21"/>
      <c r="X37" s="21"/>
      <c r="Y37" s="21"/>
      <c r="Z37" s="21"/>
      <c r="AA37" s="21"/>
      <c r="AB37" s="21"/>
      <c r="AC37" s="21"/>
      <c r="AD37" s="21"/>
      <c r="AE37" s="21"/>
      <c r="AF37" s="21"/>
      <c r="AG37" s="21"/>
      <c r="AH37" s="21"/>
      <c r="AI37" s="21"/>
      <c r="AJ37" s="21"/>
      <c r="AK37" s="21"/>
      <c r="AL37" s="21"/>
      <c r="AM37" s="21"/>
      <c r="AN37" s="21"/>
      <c r="AO37" s="21"/>
      <c r="AP37" s="21"/>
      <c r="AQ37" s="21">
        <f>AQ36</f>
        <v>422.4425</v>
      </c>
      <c r="AR37" s="21">
        <f>AR36</f>
        <v>422.49350000000004</v>
      </c>
    </row>
    <row r="38" spans="1:44">
      <c r="A38" s="121" t="s">
        <v>1022</v>
      </c>
      <c r="B38" s="90" t="s">
        <v>417</v>
      </c>
      <c r="C38" s="90">
        <v>-2.5009999999999999</v>
      </c>
      <c r="D38" s="90"/>
      <c r="E38" s="90"/>
      <c r="F38" s="90"/>
      <c r="G38" s="90"/>
      <c r="J38" s="5">
        <v>23</v>
      </c>
      <c r="K38" s="23">
        <f t="shared" ref="K38:K59" si="13">IF(K37+$N$33&gt;360, K37+$N$33-360, K37+$N$33)</f>
        <v>23.639999999999986</v>
      </c>
      <c r="L38" s="24">
        <f t="shared" si="8"/>
        <v>2</v>
      </c>
      <c r="M38" s="5">
        <f t="shared" si="9"/>
        <v>422.59000000118317</v>
      </c>
      <c r="N38" s="25">
        <f t="shared" si="10"/>
        <v>-2.5777776199927553E-3</v>
      </c>
      <c r="O38" s="26">
        <f t="shared" si="11"/>
        <v>1.1399999999999864</v>
      </c>
      <c r="P38" s="27">
        <f t="shared" si="12"/>
        <v>422.58706133469639</v>
      </c>
      <c r="Q38" s="27">
        <f t="shared" ref="Q38:Q58" si="14">(P37+P38)/2</f>
        <v>422.56727866757535</v>
      </c>
      <c r="R38" s="5"/>
      <c r="S38" s="21"/>
      <c r="T38" s="30">
        <f>T37</f>
        <v>422.51827733356049</v>
      </c>
      <c r="U38" s="30">
        <f>Q38</f>
        <v>422.56727866757535</v>
      </c>
      <c r="V38" s="21"/>
      <c r="W38" s="21"/>
      <c r="X38" s="21"/>
      <c r="Y38" s="21"/>
      <c r="Z38" s="21"/>
      <c r="AA38" s="21"/>
      <c r="AB38" s="21"/>
      <c r="AC38" s="21"/>
      <c r="AD38" s="21"/>
      <c r="AE38" s="21"/>
      <c r="AF38" s="21"/>
      <c r="AG38" s="21"/>
      <c r="AH38" s="21"/>
      <c r="AI38" s="21"/>
      <c r="AJ38" s="21"/>
      <c r="AK38" s="21"/>
      <c r="AL38" s="21"/>
      <c r="AM38" s="21"/>
      <c r="AN38" s="21"/>
      <c r="AO38" s="21"/>
      <c r="AP38" s="21"/>
      <c r="AQ38" s="21">
        <f t="shared" ref="AQ38:AR53" si="15">AQ37</f>
        <v>422.4425</v>
      </c>
      <c r="AR38" s="21">
        <f t="shared" si="15"/>
        <v>422.49350000000004</v>
      </c>
    </row>
    <row r="39" spans="1:44">
      <c r="A39" s="90" t="s">
        <v>412</v>
      </c>
      <c r="B39" s="90" t="s">
        <v>413</v>
      </c>
      <c r="C39" s="90">
        <v>422.476</v>
      </c>
      <c r="D39" s="90"/>
      <c r="E39" s="90"/>
      <c r="F39" s="90"/>
      <c r="G39" s="90"/>
      <c r="J39" s="5">
        <v>22</v>
      </c>
      <c r="K39" s="23">
        <f t="shared" si="13"/>
        <v>38.639999999999986</v>
      </c>
      <c r="L39" s="24">
        <f t="shared" si="8"/>
        <v>2</v>
      </c>
      <c r="M39" s="5">
        <f t="shared" si="9"/>
        <v>422.59000000118317</v>
      </c>
      <c r="N39" s="25">
        <f t="shared" si="10"/>
        <v>-2.5777776199927553E-3</v>
      </c>
      <c r="O39" s="26">
        <f t="shared" si="11"/>
        <v>16.139999999999986</v>
      </c>
      <c r="P39" s="27">
        <f t="shared" si="12"/>
        <v>422.54839467039648</v>
      </c>
      <c r="Q39" s="27">
        <f t="shared" si="14"/>
        <v>422.56772800254646</v>
      </c>
      <c r="R39" s="5"/>
      <c r="S39" s="21"/>
      <c r="T39" s="21"/>
      <c r="U39" s="30">
        <f>U38</f>
        <v>422.56727866757535</v>
      </c>
      <c r="V39" s="30">
        <f>Q39</f>
        <v>422.56772800254646</v>
      </c>
      <c r="W39" s="21"/>
      <c r="X39" s="21"/>
      <c r="Y39" s="21"/>
      <c r="Z39" s="21"/>
      <c r="AA39" s="21"/>
      <c r="AB39" s="21"/>
      <c r="AC39" s="21"/>
      <c r="AD39" s="21"/>
      <c r="AE39" s="21"/>
      <c r="AF39" s="21"/>
      <c r="AG39" s="21"/>
      <c r="AH39" s="21"/>
      <c r="AI39" s="21"/>
      <c r="AJ39" s="21"/>
      <c r="AK39" s="21"/>
      <c r="AL39" s="21"/>
      <c r="AM39" s="21"/>
      <c r="AN39" s="21"/>
      <c r="AO39" s="21"/>
      <c r="AP39" s="21"/>
      <c r="AQ39" s="21">
        <f t="shared" si="15"/>
        <v>422.4425</v>
      </c>
      <c r="AR39" s="21">
        <f t="shared" si="15"/>
        <v>422.49350000000004</v>
      </c>
    </row>
    <row r="40" spans="1:44">
      <c r="A40" s="90" t="s">
        <v>1023</v>
      </c>
      <c r="B40" s="90" t="s">
        <v>415</v>
      </c>
      <c r="C40" s="90">
        <v>0</v>
      </c>
      <c r="D40" s="90"/>
      <c r="E40" s="90"/>
      <c r="F40" s="90"/>
      <c r="G40" s="90"/>
      <c r="J40" s="5">
        <v>21</v>
      </c>
      <c r="K40" s="23">
        <f t="shared" si="13"/>
        <v>53.639999999999986</v>
      </c>
      <c r="L40" s="24">
        <f t="shared" si="8"/>
        <v>3</v>
      </c>
      <c r="M40" s="5">
        <f t="shared" si="9"/>
        <v>422.53200000473333</v>
      </c>
      <c r="N40" s="25">
        <f t="shared" si="10"/>
        <v>-5.0222224325933793E-3</v>
      </c>
      <c r="O40" s="26">
        <f t="shared" si="11"/>
        <v>8.6399999999999864</v>
      </c>
      <c r="P40" s="27">
        <f t="shared" si="12"/>
        <v>422.48860800291573</v>
      </c>
      <c r="Q40" s="27">
        <f t="shared" si="14"/>
        <v>422.51850133665607</v>
      </c>
      <c r="R40" s="5"/>
      <c r="S40" s="21"/>
      <c r="T40" s="21"/>
      <c r="U40" s="21"/>
      <c r="V40" s="30">
        <f>V39</f>
        <v>422.56772800254646</v>
      </c>
      <c r="W40" s="30">
        <f>Q40</f>
        <v>422.51850133665607</v>
      </c>
      <c r="X40" s="21"/>
      <c r="Y40" s="21"/>
      <c r="Z40" s="21"/>
      <c r="AA40" s="21"/>
      <c r="AB40" s="21"/>
      <c r="AC40" s="21"/>
      <c r="AD40" s="21"/>
      <c r="AE40" s="21"/>
      <c r="AF40" s="21"/>
      <c r="AG40" s="21"/>
      <c r="AH40" s="21"/>
      <c r="AI40" s="21"/>
      <c r="AJ40" s="21"/>
      <c r="AK40" s="21"/>
      <c r="AL40" s="21"/>
      <c r="AM40" s="21"/>
      <c r="AN40" s="21"/>
      <c r="AO40" s="21"/>
      <c r="AP40" s="21"/>
      <c r="AQ40" s="21">
        <f t="shared" si="15"/>
        <v>422.4425</v>
      </c>
      <c r="AR40" s="21">
        <f t="shared" si="15"/>
        <v>422.49350000000004</v>
      </c>
    </row>
    <row r="41" spans="1:44">
      <c r="A41" s="121" t="s">
        <v>1024</v>
      </c>
      <c r="B41" s="90" t="s">
        <v>417</v>
      </c>
      <c r="C41" s="90">
        <v>-2.5</v>
      </c>
      <c r="D41" s="90"/>
      <c r="E41" s="90"/>
      <c r="F41" s="90"/>
      <c r="G41" s="90"/>
      <c r="J41" s="5">
        <v>20</v>
      </c>
      <c r="K41" s="23">
        <f t="shared" si="13"/>
        <v>68.639999999999986</v>
      </c>
      <c r="L41" s="24">
        <f t="shared" si="8"/>
        <v>4</v>
      </c>
      <c r="M41" s="5">
        <f t="shared" si="9"/>
        <v>422.41899999999998</v>
      </c>
      <c r="N41" s="25">
        <f t="shared" si="10"/>
        <v>1.3333333333523316E-4</v>
      </c>
      <c r="O41" s="26">
        <f t="shared" si="11"/>
        <v>1.1399999999999864</v>
      </c>
      <c r="P41" s="27">
        <f t="shared" si="12"/>
        <v>422.419152</v>
      </c>
      <c r="Q41" s="27">
        <f t="shared" si="14"/>
        <v>422.45388000145783</v>
      </c>
      <c r="R41" s="5"/>
      <c r="S41" s="21"/>
      <c r="T41" s="21"/>
      <c r="U41" s="21"/>
      <c r="V41" s="21"/>
      <c r="W41" s="30">
        <f>W40</f>
        <v>422.51850133665607</v>
      </c>
      <c r="X41" s="30">
        <f>Q41</f>
        <v>422.45388000145783</v>
      </c>
      <c r="Y41" s="21"/>
      <c r="Z41" s="21"/>
      <c r="AA41" s="21"/>
      <c r="AB41" s="21"/>
      <c r="AC41" s="21"/>
      <c r="AD41" s="21"/>
      <c r="AE41" s="21"/>
      <c r="AF41" s="21"/>
      <c r="AG41" s="21"/>
      <c r="AH41" s="21"/>
      <c r="AI41" s="21"/>
      <c r="AJ41" s="21"/>
      <c r="AK41" s="21"/>
      <c r="AL41" s="21"/>
      <c r="AM41" s="21"/>
      <c r="AN41" s="21"/>
      <c r="AO41" s="21"/>
      <c r="AP41" s="21"/>
      <c r="AQ41" s="21">
        <f t="shared" si="15"/>
        <v>422.4425</v>
      </c>
      <c r="AR41" s="21">
        <f t="shared" si="15"/>
        <v>422.49350000000004</v>
      </c>
    </row>
    <row r="42" spans="1:44">
      <c r="A42" s="90" t="s">
        <v>412</v>
      </c>
      <c r="B42" s="90" t="s">
        <v>413</v>
      </c>
      <c r="C42" s="90">
        <v>422.42200000000003</v>
      </c>
      <c r="D42" s="90"/>
      <c r="E42" s="90"/>
      <c r="F42" s="90"/>
      <c r="G42" s="90"/>
      <c r="J42" s="5">
        <v>19</v>
      </c>
      <c r="K42" s="23">
        <f t="shared" si="13"/>
        <v>83.639999999999986</v>
      </c>
      <c r="L42" s="24">
        <f t="shared" si="8"/>
        <v>4</v>
      </c>
      <c r="M42" s="5">
        <f t="shared" si="9"/>
        <v>422.41899999999998</v>
      </c>
      <c r="N42" s="25">
        <f t="shared" si="10"/>
        <v>1.3333333333523316E-4</v>
      </c>
      <c r="O42" s="26">
        <f t="shared" si="11"/>
        <v>16.139999999999986</v>
      </c>
      <c r="P42" s="27">
        <f t="shared" si="12"/>
        <v>422.42115200000001</v>
      </c>
      <c r="Q42" s="27">
        <f t="shared" si="14"/>
        <v>422.42015200000003</v>
      </c>
      <c r="R42" s="5"/>
      <c r="S42" s="21"/>
      <c r="T42" s="21"/>
      <c r="U42" s="21"/>
      <c r="V42" s="21"/>
      <c r="W42" s="21"/>
      <c r="X42" s="30">
        <f>X41</f>
        <v>422.45388000145783</v>
      </c>
      <c r="Y42" s="30">
        <f>Q42</f>
        <v>422.42015200000003</v>
      </c>
      <c r="Z42" s="21"/>
      <c r="AA42" s="21"/>
      <c r="AB42" s="21"/>
      <c r="AC42" s="21"/>
      <c r="AD42" s="21"/>
      <c r="AE42" s="21"/>
      <c r="AF42" s="21"/>
      <c r="AG42" s="21"/>
      <c r="AH42" s="21"/>
      <c r="AI42" s="21"/>
      <c r="AJ42" s="21"/>
      <c r="AK42" s="21"/>
      <c r="AL42" s="21"/>
      <c r="AM42" s="21"/>
      <c r="AN42" s="21"/>
      <c r="AO42" s="21"/>
      <c r="AP42" s="21"/>
      <c r="AQ42" s="21">
        <f t="shared" si="15"/>
        <v>422.4425</v>
      </c>
      <c r="AR42" s="21">
        <f t="shared" si="15"/>
        <v>422.49350000000004</v>
      </c>
    </row>
    <row r="43" spans="1:44">
      <c r="A43" s="90" t="s">
        <v>1025</v>
      </c>
      <c r="B43" s="90" t="s">
        <v>415</v>
      </c>
      <c r="C43" s="90">
        <v>0</v>
      </c>
      <c r="D43" s="90"/>
      <c r="E43" s="90"/>
      <c r="F43" s="90"/>
      <c r="G43" s="90"/>
      <c r="J43" s="5">
        <v>18</v>
      </c>
      <c r="K43" s="23">
        <f t="shared" si="13"/>
        <v>98.639999999999986</v>
      </c>
      <c r="L43" s="24">
        <f t="shared" si="8"/>
        <v>5</v>
      </c>
      <c r="M43" s="5">
        <f t="shared" si="9"/>
        <v>422.42200000000003</v>
      </c>
      <c r="N43" s="25">
        <f t="shared" si="10"/>
        <v>2.3999999999988276E-3</v>
      </c>
      <c r="O43" s="26">
        <f t="shared" si="11"/>
        <v>8.6399999999999864</v>
      </c>
      <c r="P43" s="27">
        <f t="shared" si="12"/>
        <v>422.44273600000002</v>
      </c>
      <c r="Q43" s="27">
        <f t="shared" si="14"/>
        <v>422.43194400000004</v>
      </c>
      <c r="R43" s="5"/>
      <c r="S43" s="21"/>
      <c r="T43" s="21"/>
      <c r="U43" s="21"/>
      <c r="V43" s="21"/>
      <c r="W43" s="21"/>
      <c r="X43" s="21"/>
      <c r="Y43" s="30">
        <f>Y42</f>
        <v>422.42015200000003</v>
      </c>
      <c r="Z43" s="30">
        <f>Q43</f>
        <v>422.43194400000004</v>
      </c>
      <c r="AA43" s="21"/>
      <c r="AB43" s="21"/>
      <c r="AC43" s="21"/>
      <c r="AD43" s="21"/>
      <c r="AE43" s="21"/>
      <c r="AF43" s="21"/>
      <c r="AG43" s="21"/>
      <c r="AH43" s="21"/>
      <c r="AI43" s="21"/>
      <c r="AJ43" s="21"/>
      <c r="AK43" s="21"/>
      <c r="AL43" s="21"/>
      <c r="AM43" s="21"/>
      <c r="AN43" s="21"/>
      <c r="AO43" s="21"/>
      <c r="AP43" s="21"/>
      <c r="AQ43" s="21">
        <f t="shared" si="15"/>
        <v>422.4425</v>
      </c>
      <c r="AR43" s="21">
        <f t="shared" si="15"/>
        <v>422.49350000000004</v>
      </c>
    </row>
    <row r="44" spans="1:44">
      <c r="A44" s="121" t="s">
        <v>1026</v>
      </c>
      <c r="B44" s="90" t="s">
        <v>417</v>
      </c>
      <c r="C44" s="90">
        <v>-2.4990000000000001</v>
      </c>
      <c r="D44" s="90"/>
      <c r="E44" s="90"/>
      <c r="F44" s="90"/>
      <c r="G44" s="90"/>
      <c r="J44" s="5">
        <v>17</v>
      </c>
      <c r="K44" s="23">
        <f t="shared" si="13"/>
        <v>113.63999999999999</v>
      </c>
      <c r="L44" s="24">
        <f t="shared" si="8"/>
        <v>6</v>
      </c>
      <c r="M44" s="5">
        <f t="shared" si="9"/>
        <v>422.476</v>
      </c>
      <c r="N44" s="25">
        <f t="shared" si="10"/>
        <v>1.2888888888887271E-3</v>
      </c>
      <c r="O44" s="26">
        <f t="shared" si="11"/>
        <v>1.1399999999999864</v>
      </c>
      <c r="P44" s="27">
        <f t="shared" si="12"/>
        <v>422.47746933333332</v>
      </c>
      <c r="Q44" s="27">
        <f t="shared" si="14"/>
        <v>422.46010266666667</v>
      </c>
      <c r="R44" s="5"/>
      <c r="S44" s="21"/>
      <c r="T44" s="21"/>
      <c r="U44" s="21"/>
      <c r="V44" s="21"/>
      <c r="W44" s="21"/>
      <c r="X44" s="21"/>
      <c r="Y44" s="21"/>
      <c r="Z44" s="30">
        <f>Z43</f>
        <v>422.43194400000004</v>
      </c>
      <c r="AA44" s="30">
        <f>Q44</f>
        <v>422.46010266666667</v>
      </c>
      <c r="AB44" s="21"/>
      <c r="AC44" s="21"/>
      <c r="AD44" s="21"/>
      <c r="AE44" s="21"/>
      <c r="AF44" s="21"/>
      <c r="AG44" s="21"/>
      <c r="AH44" s="21"/>
      <c r="AI44" s="21"/>
      <c r="AJ44" s="21"/>
      <c r="AK44" s="21"/>
      <c r="AL44" s="21"/>
      <c r="AM44" s="21"/>
      <c r="AN44" s="21"/>
      <c r="AO44" s="21"/>
      <c r="AP44" s="21"/>
      <c r="AQ44" s="21">
        <f t="shared" si="15"/>
        <v>422.4425</v>
      </c>
      <c r="AR44" s="21">
        <f t="shared" si="15"/>
        <v>422.49350000000004</v>
      </c>
    </row>
    <row r="45" spans="1:44">
      <c r="A45" s="90" t="s">
        <v>412</v>
      </c>
      <c r="B45" s="90" t="s">
        <v>413</v>
      </c>
      <c r="C45" s="90">
        <v>422.41899999999998</v>
      </c>
      <c r="D45" s="90"/>
      <c r="E45" s="90"/>
      <c r="F45" s="90"/>
      <c r="G45" s="90"/>
      <c r="J45" s="5">
        <v>16</v>
      </c>
      <c r="K45" s="23">
        <f t="shared" si="13"/>
        <v>128.63999999999999</v>
      </c>
      <c r="L45" s="24">
        <f t="shared" si="8"/>
        <v>6</v>
      </c>
      <c r="M45" s="5">
        <f t="shared" si="9"/>
        <v>422.476</v>
      </c>
      <c r="N45" s="25">
        <f t="shared" si="10"/>
        <v>1.2888888888887271E-3</v>
      </c>
      <c r="O45" s="26">
        <f t="shared" si="11"/>
        <v>16.139999999999986</v>
      </c>
      <c r="P45" s="27">
        <f t="shared" si="12"/>
        <v>422.49680266666667</v>
      </c>
      <c r="Q45" s="27">
        <f t="shared" si="14"/>
        <v>422.48713599999996</v>
      </c>
      <c r="R45" s="5"/>
      <c r="S45" s="21"/>
      <c r="T45" s="21"/>
      <c r="U45" s="21"/>
      <c r="V45" s="21"/>
      <c r="W45" s="21"/>
      <c r="X45" s="21"/>
      <c r="Y45" s="21"/>
      <c r="Z45" s="21"/>
      <c r="AA45" s="30">
        <f>AA44</f>
        <v>422.46010266666667</v>
      </c>
      <c r="AB45" s="30">
        <f>Q45</f>
        <v>422.48713599999996</v>
      </c>
      <c r="AC45" s="21"/>
      <c r="AD45" s="21"/>
      <c r="AE45" s="21"/>
      <c r="AF45" s="21"/>
      <c r="AG45" s="21"/>
      <c r="AH45" s="21"/>
      <c r="AI45" s="21"/>
      <c r="AJ45" s="21"/>
      <c r="AK45" s="21"/>
      <c r="AL45" s="21"/>
      <c r="AM45" s="21"/>
      <c r="AN45" s="21"/>
      <c r="AO45" s="21"/>
      <c r="AP45" s="21"/>
      <c r="AQ45" s="21">
        <f t="shared" si="15"/>
        <v>422.4425</v>
      </c>
      <c r="AR45" s="21">
        <f t="shared" si="15"/>
        <v>422.49350000000004</v>
      </c>
    </row>
    <row r="46" spans="1:44">
      <c r="A46" s="90" t="s">
        <v>1027</v>
      </c>
      <c r="B46" s="90" t="s">
        <v>415</v>
      </c>
      <c r="C46" s="90">
        <v>0</v>
      </c>
      <c r="D46" s="90"/>
      <c r="E46" s="90"/>
      <c r="F46" s="90"/>
      <c r="G46" s="90"/>
      <c r="J46" s="5">
        <v>15</v>
      </c>
      <c r="K46" s="23">
        <f t="shared" si="13"/>
        <v>143.63999999999999</v>
      </c>
      <c r="L46" s="24">
        <f t="shared" si="8"/>
        <v>7</v>
      </c>
      <c r="M46" s="5">
        <f t="shared" si="9"/>
        <v>422.505</v>
      </c>
      <c r="N46" s="25">
        <f t="shared" si="10"/>
        <v>3.5555602891387632E-4</v>
      </c>
      <c r="O46" s="26">
        <f t="shared" si="11"/>
        <v>8.6399999999999864</v>
      </c>
      <c r="P46" s="27">
        <f t="shared" si="12"/>
        <v>422.5080720040898</v>
      </c>
      <c r="Q46" s="27">
        <f t="shared" si="14"/>
        <v>422.5024373353782</v>
      </c>
      <c r="R46" s="5"/>
      <c r="S46" s="21"/>
      <c r="T46" s="21"/>
      <c r="U46" s="21"/>
      <c r="V46" s="21"/>
      <c r="W46" s="21"/>
      <c r="X46" s="21"/>
      <c r="Y46" s="21"/>
      <c r="Z46" s="21"/>
      <c r="AA46" s="21"/>
      <c r="AB46" s="30">
        <f>AB45</f>
        <v>422.48713599999996</v>
      </c>
      <c r="AC46" s="30">
        <f>Q46</f>
        <v>422.5024373353782</v>
      </c>
      <c r="AD46" s="21"/>
      <c r="AE46" s="21"/>
      <c r="AF46" s="21"/>
      <c r="AG46" s="21"/>
      <c r="AH46" s="21"/>
      <c r="AI46" s="21"/>
      <c r="AJ46" s="21"/>
      <c r="AK46" s="21"/>
      <c r="AL46" s="21"/>
      <c r="AM46" s="21"/>
      <c r="AN46" s="21"/>
      <c r="AO46" s="21"/>
      <c r="AP46" s="21"/>
      <c r="AQ46" s="21">
        <f t="shared" si="15"/>
        <v>422.4425</v>
      </c>
      <c r="AR46" s="21">
        <f t="shared" si="15"/>
        <v>422.49350000000004</v>
      </c>
    </row>
    <row r="47" spans="1:44">
      <c r="A47" s="121" t="s">
        <v>1028</v>
      </c>
      <c r="B47" s="90" t="s">
        <v>417</v>
      </c>
      <c r="C47" s="90">
        <v>-2.4990000000000001</v>
      </c>
      <c r="D47" s="90"/>
      <c r="E47" s="90"/>
      <c r="F47" s="90"/>
      <c r="G47" s="90"/>
      <c r="J47" s="5">
        <v>14</v>
      </c>
      <c r="K47" s="23">
        <f t="shared" si="13"/>
        <v>158.63999999999999</v>
      </c>
      <c r="L47" s="24">
        <f t="shared" si="8"/>
        <v>8</v>
      </c>
      <c r="M47" s="5">
        <f t="shared" si="9"/>
        <v>422.51300001065056</v>
      </c>
      <c r="N47" s="25">
        <f t="shared" si="10"/>
        <v>-3.3777782511353709E-3</v>
      </c>
      <c r="O47" s="26">
        <f t="shared" si="11"/>
        <v>1.1399999999999864</v>
      </c>
      <c r="P47" s="27">
        <f t="shared" si="12"/>
        <v>422.50914934344428</v>
      </c>
      <c r="Q47" s="27">
        <f t="shared" si="14"/>
        <v>422.50861067376707</v>
      </c>
      <c r="R47" s="5"/>
      <c r="S47" s="21"/>
      <c r="T47" s="21"/>
      <c r="U47" s="21"/>
      <c r="V47" s="21"/>
      <c r="W47" s="21"/>
      <c r="X47" s="21"/>
      <c r="Y47" s="21"/>
      <c r="Z47" s="21"/>
      <c r="AA47" s="21"/>
      <c r="AB47" s="21"/>
      <c r="AC47" s="30">
        <f>AC46</f>
        <v>422.5024373353782</v>
      </c>
      <c r="AD47" s="30">
        <f>Q47</f>
        <v>422.50861067376707</v>
      </c>
      <c r="AE47" s="21"/>
      <c r="AF47" s="21"/>
      <c r="AG47" s="21"/>
      <c r="AH47" s="21"/>
      <c r="AI47" s="21"/>
      <c r="AJ47" s="21"/>
      <c r="AK47" s="21"/>
      <c r="AL47" s="21"/>
      <c r="AM47" s="21"/>
      <c r="AN47" s="21"/>
      <c r="AO47" s="21"/>
      <c r="AP47" s="21"/>
      <c r="AQ47" s="21">
        <f t="shared" si="15"/>
        <v>422.4425</v>
      </c>
      <c r="AR47" s="21">
        <f t="shared" si="15"/>
        <v>422.49350000000004</v>
      </c>
    </row>
    <row r="48" spans="1:44">
      <c r="A48" s="90" t="s">
        <v>412</v>
      </c>
      <c r="B48" s="90" t="s">
        <v>413</v>
      </c>
      <c r="C48" s="90">
        <v>422.53199999999998</v>
      </c>
      <c r="D48" s="90"/>
      <c r="E48" s="90"/>
      <c r="F48" s="90"/>
      <c r="G48" s="90"/>
      <c r="J48" s="5">
        <v>13</v>
      </c>
      <c r="K48" s="23">
        <f t="shared" si="13"/>
        <v>173.64</v>
      </c>
      <c r="L48" s="24">
        <f t="shared" si="8"/>
        <v>8</v>
      </c>
      <c r="M48" s="5">
        <f t="shared" si="9"/>
        <v>422.51300001065056</v>
      </c>
      <c r="N48" s="25">
        <f t="shared" si="10"/>
        <v>-3.3777782511353709E-3</v>
      </c>
      <c r="O48" s="26">
        <f t="shared" si="11"/>
        <v>16.139999999999986</v>
      </c>
      <c r="P48" s="27">
        <f t="shared" si="12"/>
        <v>422.45848266967721</v>
      </c>
      <c r="Q48" s="27">
        <f t="shared" si="14"/>
        <v>422.48381600656074</v>
      </c>
      <c r="R48" s="5"/>
      <c r="S48" s="21"/>
      <c r="T48" s="21"/>
      <c r="U48" s="21"/>
      <c r="V48" s="21"/>
      <c r="W48" s="21"/>
      <c r="X48" s="21"/>
      <c r="Y48" s="21"/>
      <c r="Z48" s="21"/>
      <c r="AA48" s="21"/>
      <c r="AB48" s="21"/>
      <c r="AC48" s="21"/>
      <c r="AD48" s="30">
        <f>AD47</f>
        <v>422.50861067376707</v>
      </c>
      <c r="AE48" s="30">
        <f>Q48</f>
        <v>422.48381600656074</v>
      </c>
      <c r="AF48" s="21"/>
      <c r="AG48" s="21"/>
      <c r="AH48" s="21"/>
      <c r="AI48" s="21"/>
      <c r="AJ48" s="21"/>
      <c r="AK48" s="21"/>
      <c r="AL48" s="21"/>
      <c r="AM48" s="21"/>
      <c r="AN48" s="21"/>
      <c r="AO48" s="21"/>
      <c r="AP48" s="21"/>
      <c r="AQ48" s="21">
        <f t="shared" si="15"/>
        <v>422.4425</v>
      </c>
      <c r="AR48" s="21">
        <f t="shared" si="15"/>
        <v>422.49350000000004</v>
      </c>
    </row>
    <row r="49" spans="1:44">
      <c r="A49" s="90" t="s">
        <v>1029</v>
      </c>
      <c r="B49" s="90" t="s">
        <v>415</v>
      </c>
      <c r="C49" s="90">
        <v>-2E-3</v>
      </c>
      <c r="D49" s="90"/>
      <c r="E49" s="90"/>
      <c r="F49" s="90"/>
      <c r="G49" s="90"/>
      <c r="J49" s="5">
        <v>12</v>
      </c>
      <c r="K49" s="23">
        <f t="shared" si="13"/>
        <v>188.64</v>
      </c>
      <c r="L49" s="24">
        <f t="shared" si="8"/>
        <v>9</v>
      </c>
      <c r="M49" s="5">
        <f t="shared" si="9"/>
        <v>422.43700000000001</v>
      </c>
      <c r="N49" s="25">
        <f t="shared" si="10"/>
        <v>-1.9999991582330444E-3</v>
      </c>
      <c r="O49" s="26">
        <f t="shared" si="11"/>
        <v>8.6399999999999864</v>
      </c>
      <c r="P49" s="27">
        <f t="shared" si="12"/>
        <v>422.41972000727287</v>
      </c>
      <c r="Q49" s="27">
        <f t="shared" si="14"/>
        <v>422.43910133847504</v>
      </c>
      <c r="R49" s="5"/>
      <c r="S49" s="21"/>
      <c r="T49" s="21"/>
      <c r="U49" s="21"/>
      <c r="V49" s="21"/>
      <c r="W49" s="21"/>
      <c r="X49" s="21"/>
      <c r="Y49" s="21"/>
      <c r="Z49" s="21"/>
      <c r="AA49" s="21"/>
      <c r="AB49" s="21"/>
      <c r="AC49" s="21"/>
      <c r="AD49" s="21"/>
      <c r="AE49" s="30">
        <f>AE48</f>
        <v>422.48381600656074</v>
      </c>
      <c r="AF49" s="30">
        <f>Q49</f>
        <v>422.43910133847504</v>
      </c>
      <c r="AG49" s="21"/>
      <c r="AH49" s="21"/>
      <c r="AI49" s="21"/>
      <c r="AJ49" s="21"/>
      <c r="AK49" s="21"/>
      <c r="AL49" s="21"/>
      <c r="AM49" s="21"/>
      <c r="AN49" s="21"/>
      <c r="AO49" s="21"/>
      <c r="AP49" s="21"/>
      <c r="AQ49" s="21">
        <f t="shared" si="15"/>
        <v>422.4425</v>
      </c>
      <c r="AR49" s="21">
        <f t="shared" si="15"/>
        <v>422.49350000000004</v>
      </c>
    </row>
    <row r="50" spans="1:44">
      <c r="A50" s="121" t="s">
        <v>1030</v>
      </c>
      <c r="B50" s="90" t="s">
        <v>417</v>
      </c>
      <c r="C50" s="90">
        <v>-2.5</v>
      </c>
      <c r="D50" s="90"/>
      <c r="E50" s="90"/>
      <c r="F50" s="90"/>
      <c r="G50" s="90"/>
      <c r="J50" s="5">
        <v>11</v>
      </c>
      <c r="K50" s="23">
        <f t="shared" si="13"/>
        <v>203.64</v>
      </c>
      <c r="L50" s="24">
        <f t="shared" si="8"/>
        <v>10</v>
      </c>
      <c r="M50" s="5">
        <f t="shared" si="9"/>
        <v>422.39200001893977</v>
      </c>
      <c r="N50" s="25">
        <f t="shared" si="10"/>
        <v>3.9555547663869418E-3</v>
      </c>
      <c r="O50" s="26">
        <f t="shared" si="11"/>
        <v>1.1399999999999864</v>
      </c>
      <c r="P50" s="27">
        <f t="shared" si="12"/>
        <v>422.39650935137342</v>
      </c>
      <c r="Q50" s="27">
        <f t="shared" si="14"/>
        <v>422.40811467932315</v>
      </c>
      <c r="R50" s="5"/>
      <c r="S50" s="21"/>
      <c r="T50" s="21"/>
      <c r="U50" s="21"/>
      <c r="V50" s="21"/>
      <c r="W50" s="21"/>
      <c r="X50" s="21"/>
      <c r="Y50" s="21"/>
      <c r="Z50" s="21"/>
      <c r="AA50" s="21"/>
      <c r="AB50" s="21"/>
      <c r="AC50" s="21"/>
      <c r="AD50" s="21"/>
      <c r="AE50" s="21"/>
      <c r="AF50" s="30">
        <f>AF49</f>
        <v>422.43910133847504</v>
      </c>
      <c r="AG50" s="30">
        <f>Q50</f>
        <v>422.40811467932315</v>
      </c>
      <c r="AH50" s="21"/>
      <c r="AI50" s="21"/>
      <c r="AJ50" s="21"/>
      <c r="AK50" s="21"/>
      <c r="AL50" s="21"/>
      <c r="AM50" s="21"/>
      <c r="AN50" s="21"/>
      <c r="AO50" s="21"/>
      <c r="AP50" s="21"/>
      <c r="AQ50" s="21">
        <f t="shared" si="15"/>
        <v>422.4425</v>
      </c>
      <c r="AR50" s="21">
        <f t="shared" si="15"/>
        <v>422.49350000000004</v>
      </c>
    </row>
    <row r="51" spans="1:44">
      <c r="A51" s="90" t="s">
        <v>412</v>
      </c>
      <c r="B51" s="90" t="s">
        <v>413</v>
      </c>
      <c r="C51" s="90">
        <v>422.59</v>
      </c>
      <c r="D51" s="90"/>
      <c r="E51" s="90"/>
      <c r="F51" s="90"/>
      <c r="G51" s="90"/>
      <c r="J51" s="5">
        <v>10</v>
      </c>
      <c r="K51" s="23">
        <f t="shared" si="13"/>
        <v>218.64</v>
      </c>
      <c r="L51" s="24">
        <f t="shared" si="8"/>
        <v>10</v>
      </c>
      <c r="M51" s="5">
        <f t="shared" si="9"/>
        <v>422.39200001893977</v>
      </c>
      <c r="N51" s="25">
        <f t="shared" si="10"/>
        <v>3.9555547663869418E-3</v>
      </c>
      <c r="O51" s="26">
        <f t="shared" si="11"/>
        <v>16.139999999999986</v>
      </c>
      <c r="P51" s="27">
        <f t="shared" si="12"/>
        <v>422.45584267286927</v>
      </c>
      <c r="Q51" s="27">
        <f t="shared" si="14"/>
        <v>422.42617601212135</v>
      </c>
      <c r="R51" s="5"/>
      <c r="S51" s="21"/>
      <c r="T51" s="21"/>
      <c r="U51" s="21"/>
      <c r="V51" s="21"/>
      <c r="W51" s="21"/>
      <c r="X51" s="21"/>
      <c r="Y51" s="21"/>
      <c r="Z51" s="21"/>
      <c r="AA51" s="21"/>
      <c r="AB51" s="21"/>
      <c r="AC51" s="21"/>
      <c r="AD51" s="21"/>
      <c r="AE51" s="21"/>
      <c r="AF51" s="21"/>
      <c r="AG51" s="30">
        <f>AG50</f>
        <v>422.40811467932315</v>
      </c>
      <c r="AH51" s="30">
        <f>Q51</f>
        <v>422.42617601212135</v>
      </c>
      <c r="AI51" s="21"/>
      <c r="AJ51" s="21"/>
      <c r="AK51" s="21"/>
      <c r="AL51" s="21"/>
      <c r="AM51" s="21"/>
      <c r="AN51" s="21"/>
      <c r="AO51" s="21"/>
      <c r="AP51" s="21"/>
      <c r="AQ51" s="21">
        <f t="shared" si="15"/>
        <v>422.4425</v>
      </c>
      <c r="AR51" s="21">
        <f t="shared" si="15"/>
        <v>422.49350000000004</v>
      </c>
    </row>
    <row r="52" spans="1:44">
      <c r="A52" s="90" t="s">
        <v>1031</v>
      </c>
      <c r="B52" s="90" t="s">
        <v>415</v>
      </c>
      <c r="C52" s="90">
        <v>-1E-3</v>
      </c>
      <c r="D52" s="90"/>
      <c r="E52" s="90"/>
      <c r="F52" s="90"/>
      <c r="G52" s="90"/>
      <c r="J52" s="5">
        <v>9</v>
      </c>
      <c r="K52" s="23">
        <f t="shared" si="13"/>
        <v>233.64</v>
      </c>
      <c r="L52" s="24">
        <f t="shared" si="8"/>
        <v>11</v>
      </c>
      <c r="M52" s="5">
        <f t="shared" si="9"/>
        <v>422.48100000118347</v>
      </c>
      <c r="N52" s="25">
        <f t="shared" si="10"/>
        <v>3.9111111111019958E-3</v>
      </c>
      <c r="O52" s="26">
        <f t="shared" si="11"/>
        <v>8.6399999999999864</v>
      </c>
      <c r="P52" s="27">
        <f t="shared" si="12"/>
        <v>422.51479200118342</v>
      </c>
      <c r="Q52" s="27">
        <f t="shared" si="14"/>
        <v>422.48531733702634</v>
      </c>
      <c r="R52" s="5"/>
      <c r="S52" s="21"/>
      <c r="T52" s="21"/>
      <c r="U52" s="21"/>
      <c r="V52" s="21"/>
      <c r="W52" s="21"/>
      <c r="X52" s="21"/>
      <c r="Y52" s="21"/>
      <c r="Z52" s="21"/>
      <c r="AA52" s="21"/>
      <c r="AB52" s="21"/>
      <c r="AC52" s="21"/>
      <c r="AD52" s="21"/>
      <c r="AE52" s="21"/>
      <c r="AF52" s="21"/>
      <c r="AG52" s="21"/>
      <c r="AH52" s="30">
        <f>AH51</f>
        <v>422.42617601212135</v>
      </c>
      <c r="AI52" s="30">
        <f>Q52</f>
        <v>422.48531733702634</v>
      </c>
      <c r="AJ52" s="21"/>
      <c r="AK52" s="21"/>
      <c r="AL52" s="21"/>
      <c r="AM52" s="21"/>
      <c r="AN52" s="21"/>
      <c r="AO52" s="21"/>
      <c r="AP52" s="21"/>
      <c r="AQ52" s="21">
        <f t="shared" si="15"/>
        <v>422.4425</v>
      </c>
      <c r="AR52" s="21">
        <f t="shared" si="15"/>
        <v>422.49350000000004</v>
      </c>
    </row>
    <row r="53" spans="1:44">
      <c r="A53" s="121" t="s">
        <v>1032</v>
      </c>
      <c r="B53" s="90" t="s">
        <v>417</v>
      </c>
      <c r="C53" s="90">
        <v>-2.5</v>
      </c>
      <c r="D53" s="90"/>
      <c r="E53" s="90"/>
      <c r="F53" s="90"/>
      <c r="G53" s="90"/>
      <c r="J53" s="5">
        <v>8</v>
      </c>
      <c r="K53" s="23">
        <f t="shared" si="13"/>
        <v>248.64</v>
      </c>
      <c r="L53" s="24">
        <f t="shared" si="8"/>
        <v>12</v>
      </c>
      <c r="M53" s="5">
        <f t="shared" si="9"/>
        <v>422.56900000118327</v>
      </c>
      <c r="N53" s="25">
        <f t="shared" si="10"/>
        <v>-4.0000000000064675E-4</v>
      </c>
      <c r="O53" s="26">
        <f t="shared" si="11"/>
        <v>1.1399999999999864</v>
      </c>
      <c r="P53" s="27">
        <f t="shared" si="12"/>
        <v>422.56854400118328</v>
      </c>
      <c r="Q53" s="27">
        <f t="shared" si="14"/>
        <v>422.54166800118333</v>
      </c>
      <c r="R53" s="5"/>
      <c r="S53" s="21"/>
      <c r="T53" s="21"/>
      <c r="U53" s="21"/>
      <c r="V53" s="21"/>
      <c r="W53" s="21"/>
      <c r="X53" s="21"/>
      <c r="Y53" s="21"/>
      <c r="Z53" s="21"/>
      <c r="AA53" s="21"/>
      <c r="AB53" s="21"/>
      <c r="AC53" s="21"/>
      <c r="AD53" s="21"/>
      <c r="AE53" s="21"/>
      <c r="AF53" s="21"/>
      <c r="AG53" s="21"/>
      <c r="AH53" s="30"/>
      <c r="AI53" s="30">
        <f>AI52</f>
        <v>422.48531733702634</v>
      </c>
      <c r="AJ53" s="30">
        <f>Q53</f>
        <v>422.54166800118333</v>
      </c>
      <c r="AK53" s="21"/>
      <c r="AL53" s="21"/>
      <c r="AM53" s="21"/>
      <c r="AN53" s="21"/>
      <c r="AO53" s="21"/>
      <c r="AP53" s="21"/>
      <c r="AQ53" s="21">
        <f t="shared" si="15"/>
        <v>422.4425</v>
      </c>
      <c r="AR53" s="21">
        <f t="shared" si="15"/>
        <v>422.49350000000004</v>
      </c>
    </row>
    <row r="54" spans="1:44">
      <c r="A54" s="90"/>
      <c r="B54" s="90"/>
      <c r="C54" s="90"/>
      <c r="D54" s="90"/>
      <c r="E54" s="90"/>
      <c r="F54" s="90"/>
      <c r="G54" s="90"/>
      <c r="J54" s="5">
        <v>7</v>
      </c>
      <c r="K54" s="23">
        <f t="shared" si="13"/>
        <v>263.64</v>
      </c>
      <c r="L54" s="24">
        <f t="shared" si="8"/>
        <v>12</v>
      </c>
      <c r="M54" s="5">
        <f t="shared" si="9"/>
        <v>422.56900000118327</v>
      </c>
      <c r="N54" s="25">
        <f t="shared" si="10"/>
        <v>-4.0000000000064675E-4</v>
      </c>
      <c r="O54" s="26">
        <f t="shared" si="11"/>
        <v>16.139999999999986</v>
      </c>
      <c r="P54" s="27">
        <f t="shared" si="12"/>
        <v>422.56254400118326</v>
      </c>
      <c r="Q54" s="27">
        <f t="shared" si="14"/>
        <v>422.5655440011833</v>
      </c>
      <c r="R54" s="5"/>
      <c r="S54" s="21"/>
      <c r="T54" s="21"/>
      <c r="U54" s="21"/>
      <c r="V54" s="21"/>
      <c r="W54" s="21"/>
      <c r="X54" s="21"/>
      <c r="Y54" s="21"/>
      <c r="Z54" s="21"/>
      <c r="AA54" s="21"/>
      <c r="AB54" s="21"/>
      <c r="AC54" s="21"/>
      <c r="AD54" s="21"/>
      <c r="AE54" s="21"/>
      <c r="AF54" s="21"/>
      <c r="AG54" s="21"/>
      <c r="AH54" s="30"/>
      <c r="AI54" s="30"/>
      <c r="AJ54" s="30">
        <f>AJ53</f>
        <v>422.54166800118333</v>
      </c>
      <c r="AK54" s="30">
        <f>Q54</f>
        <v>422.5655440011833</v>
      </c>
      <c r="AL54" s="21"/>
      <c r="AM54" s="21"/>
      <c r="AN54" s="21"/>
      <c r="AO54" s="21"/>
      <c r="AP54" s="21"/>
      <c r="AQ54" s="21">
        <f t="shared" ref="AQ54:AR59" si="16">AQ53</f>
        <v>422.4425</v>
      </c>
      <c r="AR54" s="21">
        <f t="shared" si="16"/>
        <v>422.49350000000004</v>
      </c>
    </row>
    <row r="55" spans="1:44">
      <c r="A55" s="90"/>
      <c r="B55" s="90"/>
      <c r="C55" s="90"/>
      <c r="D55" s="90"/>
      <c r="E55" s="90"/>
      <c r="F55" s="90"/>
      <c r="G55" s="90"/>
      <c r="J55" s="5">
        <v>6</v>
      </c>
      <c r="K55" s="23">
        <f t="shared" si="13"/>
        <v>278.64</v>
      </c>
      <c r="L55" s="24">
        <f t="shared" si="8"/>
        <v>13</v>
      </c>
      <c r="M55" s="5">
        <f t="shared" si="9"/>
        <v>422.56000000118325</v>
      </c>
      <c r="N55" s="25">
        <f t="shared" si="10"/>
        <v>-5.1111106902655794E-3</v>
      </c>
      <c r="O55" s="26">
        <f t="shared" si="11"/>
        <v>8.6399999999999864</v>
      </c>
      <c r="P55" s="27">
        <f t="shared" si="12"/>
        <v>422.51584000481938</v>
      </c>
      <c r="Q55" s="27">
        <f t="shared" si="14"/>
        <v>422.53919200300129</v>
      </c>
      <c r="R55" s="5"/>
      <c r="S55" s="21"/>
      <c r="T55" s="21"/>
      <c r="U55" s="21"/>
      <c r="V55" s="21"/>
      <c r="W55" s="21"/>
      <c r="X55" s="21"/>
      <c r="Y55" s="21"/>
      <c r="Z55" s="21"/>
      <c r="AA55" s="21"/>
      <c r="AB55" s="21"/>
      <c r="AC55" s="21"/>
      <c r="AD55" s="21"/>
      <c r="AE55" s="21"/>
      <c r="AF55" s="21"/>
      <c r="AG55" s="21"/>
      <c r="AH55" s="30"/>
      <c r="AI55" s="30"/>
      <c r="AJ55" s="21"/>
      <c r="AK55" s="30">
        <f>AK54</f>
        <v>422.5655440011833</v>
      </c>
      <c r="AL55" s="30">
        <f>Q55</f>
        <v>422.53919200300129</v>
      </c>
      <c r="AM55" s="21"/>
      <c r="AN55" s="21"/>
      <c r="AO55" s="21"/>
      <c r="AP55" s="21"/>
      <c r="AQ55" s="21">
        <f t="shared" si="16"/>
        <v>422.4425</v>
      </c>
      <c r="AR55" s="21">
        <f t="shared" si="16"/>
        <v>422.49350000000004</v>
      </c>
    </row>
    <row r="56" spans="1:44">
      <c r="A56" s="90"/>
      <c r="B56" s="90"/>
      <c r="C56" s="90"/>
      <c r="D56" s="90"/>
      <c r="E56" s="90"/>
      <c r="F56" s="90"/>
      <c r="G56" s="90"/>
      <c r="J56" s="5">
        <v>5</v>
      </c>
      <c r="K56" s="23">
        <f t="shared" si="13"/>
        <v>293.64</v>
      </c>
      <c r="L56" s="24">
        <f t="shared" si="8"/>
        <v>14</v>
      </c>
      <c r="M56" s="5">
        <f t="shared" si="9"/>
        <v>422.44500001065228</v>
      </c>
      <c r="N56" s="25">
        <f t="shared" si="10"/>
        <v>-3.8666669296440483E-3</v>
      </c>
      <c r="O56" s="26">
        <f t="shared" si="11"/>
        <v>1.1399999999999864</v>
      </c>
      <c r="P56" s="27">
        <f t="shared" si="12"/>
        <v>422.44059201035247</v>
      </c>
      <c r="Q56" s="27">
        <f t="shared" si="14"/>
        <v>422.47821600758596</v>
      </c>
      <c r="R56" s="5"/>
      <c r="S56" s="21"/>
      <c r="T56" s="21"/>
      <c r="U56" s="21"/>
      <c r="V56" s="21"/>
      <c r="W56" s="21"/>
      <c r="X56" s="21"/>
      <c r="Y56" s="21"/>
      <c r="Z56" s="21"/>
      <c r="AA56" s="21"/>
      <c r="AB56" s="21"/>
      <c r="AC56" s="21"/>
      <c r="AD56" s="21"/>
      <c r="AE56" s="21"/>
      <c r="AF56" s="21"/>
      <c r="AG56" s="21"/>
      <c r="AH56" s="30"/>
      <c r="AI56" s="30"/>
      <c r="AJ56" s="21"/>
      <c r="AK56" s="21"/>
      <c r="AL56" s="30">
        <f>AL55</f>
        <v>422.53919200300129</v>
      </c>
      <c r="AM56" s="30">
        <f>Q56</f>
        <v>422.47821600758596</v>
      </c>
      <c r="AN56" s="21"/>
      <c r="AO56" s="21"/>
      <c r="AP56" s="21"/>
      <c r="AQ56" s="21">
        <f t="shared" si="16"/>
        <v>422.4425</v>
      </c>
      <c r="AR56" s="21">
        <f t="shared" si="16"/>
        <v>422.49350000000004</v>
      </c>
    </row>
    <row r="57" spans="1:44">
      <c r="A57" s="90"/>
      <c r="B57" s="90"/>
      <c r="C57" s="90"/>
      <c r="D57" s="90"/>
      <c r="E57" s="90"/>
      <c r="F57" s="90"/>
      <c r="G57" s="90"/>
      <c r="J57" s="5">
        <v>4</v>
      </c>
      <c r="K57" s="23">
        <f t="shared" si="13"/>
        <v>308.64</v>
      </c>
      <c r="L57" s="24">
        <f t="shared" si="8"/>
        <v>14</v>
      </c>
      <c r="M57" s="5">
        <f t="shared" si="9"/>
        <v>422.44500001065228</v>
      </c>
      <c r="N57" s="25">
        <f t="shared" si="10"/>
        <v>-3.8666669296440483E-3</v>
      </c>
      <c r="O57" s="26">
        <f t="shared" si="11"/>
        <v>16.139999999999986</v>
      </c>
      <c r="P57" s="27">
        <f t="shared" si="12"/>
        <v>422.38259200640783</v>
      </c>
      <c r="Q57" s="27">
        <f t="shared" si="14"/>
        <v>422.41159200838013</v>
      </c>
      <c r="R57" s="5"/>
      <c r="S57" s="21"/>
      <c r="T57" s="21"/>
      <c r="U57" s="21"/>
      <c r="V57" s="21"/>
      <c r="W57" s="21"/>
      <c r="X57" s="21"/>
      <c r="Y57" s="21"/>
      <c r="Z57" s="21"/>
      <c r="AA57" s="21"/>
      <c r="AB57" s="21"/>
      <c r="AC57" s="21"/>
      <c r="AD57" s="21"/>
      <c r="AE57" s="21"/>
      <c r="AF57" s="21"/>
      <c r="AG57" s="21"/>
      <c r="AH57" s="30"/>
      <c r="AI57" s="30"/>
      <c r="AJ57" s="21"/>
      <c r="AK57" s="21"/>
      <c r="AL57" s="21"/>
      <c r="AM57" s="30">
        <f>AM56</f>
        <v>422.47821600758596</v>
      </c>
      <c r="AN57" s="30">
        <f>Q57</f>
        <v>422.41159200838013</v>
      </c>
      <c r="AO57" s="30"/>
      <c r="AP57" s="21"/>
      <c r="AQ57" s="21">
        <f t="shared" si="16"/>
        <v>422.4425</v>
      </c>
      <c r="AR57" s="21">
        <f t="shared" si="16"/>
        <v>422.49350000000004</v>
      </c>
    </row>
    <row r="58" spans="1:44">
      <c r="A58" s="90"/>
      <c r="B58" s="90"/>
      <c r="C58" s="90"/>
      <c r="D58" s="90"/>
      <c r="E58" s="90"/>
      <c r="F58" s="90"/>
      <c r="G58" s="90"/>
      <c r="J58" s="5">
        <v>3</v>
      </c>
      <c r="K58" s="23">
        <f t="shared" si="13"/>
        <v>323.64</v>
      </c>
      <c r="L58" s="24">
        <f t="shared" si="8"/>
        <v>15</v>
      </c>
      <c r="M58" s="5">
        <f t="shared" si="9"/>
        <v>422.35800000473529</v>
      </c>
      <c r="N58" s="25">
        <f t="shared" si="10"/>
        <v>2.2222220117656534E-3</v>
      </c>
      <c r="O58" s="26">
        <f t="shared" si="11"/>
        <v>8.6399999999999864</v>
      </c>
      <c r="P58" s="27">
        <f t="shared" si="12"/>
        <v>422.37720000291694</v>
      </c>
      <c r="Q58" s="27">
        <f t="shared" si="14"/>
        <v>422.37989600466238</v>
      </c>
      <c r="R58" s="5"/>
      <c r="S58" s="21"/>
      <c r="T58" s="21"/>
      <c r="U58" s="21"/>
      <c r="V58" s="21"/>
      <c r="W58" s="21"/>
      <c r="X58" s="21"/>
      <c r="Y58" s="21"/>
      <c r="Z58" s="21"/>
      <c r="AA58" s="21"/>
      <c r="AB58" s="21"/>
      <c r="AC58" s="21"/>
      <c r="AD58" s="21"/>
      <c r="AE58" s="21"/>
      <c r="AF58" s="21"/>
      <c r="AG58" s="21"/>
      <c r="AH58" s="30"/>
      <c r="AI58" s="30"/>
      <c r="AJ58" s="21"/>
      <c r="AK58" s="21"/>
      <c r="AL58" s="21"/>
      <c r="AM58" s="30"/>
      <c r="AN58" s="30">
        <f>AN57</f>
        <v>422.41159200838013</v>
      </c>
      <c r="AO58" s="30">
        <f>Q58</f>
        <v>422.37989600466238</v>
      </c>
      <c r="AP58" s="21"/>
      <c r="AQ58" s="21">
        <f t="shared" si="16"/>
        <v>422.4425</v>
      </c>
      <c r="AR58" s="21">
        <f t="shared" si="16"/>
        <v>422.49350000000004</v>
      </c>
    </row>
    <row r="59" spans="1:44">
      <c r="J59" s="5">
        <v>2</v>
      </c>
      <c r="K59" s="23">
        <f t="shared" si="13"/>
        <v>338.64</v>
      </c>
      <c r="L59" s="24">
        <f t="shared" si="8"/>
        <v>16</v>
      </c>
      <c r="M59" s="5">
        <f>VLOOKUP(L59, $H$11:$K$27, 4, FALSE)</f>
        <v>422.40800000000002</v>
      </c>
      <c r="N59" s="25">
        <f t="shared" si="10"/>
        <v>5.0222222222222022E-3</v>
      </c>
      <c r="O59" s="26">
        <f t="shared" si="11"/>
        <v>1.1399999999999864</v>
      </c>
      <c r="P59" s="27">
        <f t="shared" si="12"/>
        <v>422.41372533333333</v>
      </c>
      <c r="Q59" s="27">
        <f>(P57+P59)/2</f>
        <v>422.39815866987055</v>
      </c>
      <c r="R59" s="5"/>
      <c r="S59" s="31"/>
      <c r="T59" s="31"/>
      <c r="U59" s="31"/>
      <c r="V59" s="31"/>
      <c r="W59" s="31"/>
      <c r="X59" s="31"/>
      <c r="Y59" s="31"/>
      <c r="Z59" s="31"/>
      <c r="AA59" s="31"/>
      <c r="AB59" s="31"/>
      <c r="AC59" s="31"/>
      <c r="AD59" s="31"/>
      <c r="AE59" s="31"/>
      <c r="AF59" s="31"/>
      <c r="AG59" s="31"/>
      <c r="AH59" s="31"/>
      <c r="AI59" s="32"/>
      <c r="AJ59" s="32"/>
      <c r="AK59" s="32"/>
      <c r="AL59" s="32"/>
      <c r="AM59" s="32"/>
      <c r="AN59" s="32"/>
      <c r="AO59" s="32">
        <f>AO58</f>
        <v>422.37989600466238</v>
      </c>
      <c r="AP59" s="32">
        <f>Q59</f>
        <v>422.39815866987055</v>
      </c>
      <c r="AQ59" s="31">
        <f t="shared" si="16"/>
        <v>422.4425</v>
      </c>
      <c r="AR59" s="31">
        <f t="shared" si="16"/>
        <v>422.49350000000004</v>
      </c>
    </row>
    <row r="61" spans="1:44">
      <c r="S61" s="52"/>
    </row>
    <row r="62" spans="1:44">
      <c r="J62" s="33"/>
      <c r="K62" s="33"/>
      <c r="L62" s="33"/>
      <c r="M62" s="33"/>
      <c r="N62" s="33"/>
      <c r="O62" s="33"/>
      <c r="P62" s="33"/>
      <c r="Q62" s="33"/>
      <c r="R62" s="33"/>
      <c r="S62" s="5"/>
      <c r="T62" s="33"/>
      <c r="U62" s="33"/>
      <c r="V62" s="33"/>
      <c r="W62" s="33"/>
      <c r="X62" s="33"/>
      <c r="Y62" s="33"/>
      <c r="Z62" s="33"/>
      <c r="AA62" s="33"/>
      <c r="AB62" s="33"/>
      <c r="AC62" s="33"/>
    </row>
    <row r="63" spans="1:44">
      <c r="J63" s="33"/>
      <c r="K63" s="33"/>
      <c r="L63" s="33"/>
      <c r="M63" s="33"/>
      <c r="N63" s="33"/>
      <c r="O63" s="33"/>
      <c r="P63" s="33"/>
      <c r="Q63" s="33"/>
      <c r="R63" s="33"/>
      <c r="S63" s="5"/>
      <c r="T63" s="33"/>
      <c r="U63" s="33"/>
      <c r="V63" s="33"/>
      <c r="W63" s="33"/>
      <c r="X63" s="33"/>
      <c r="Y63" s="33"/>
      <c r="Z63" s="33"/>
      <c r="AA63" s="33"/>
      <c r="AB63" s="33"/>
      <c r="AC63" s="33"/>
    </row>
    <row r="64" spans="1:44">
      <c r="J64" s="33"/>
      <c r="K64" s="33"/>
      <c r="L64" s="33"/>
      <c r="M64" s="33"/>
      <c r="N64" s="33"/>
      <c r="O64" s="33"/>
      <c r="P64" s="33"/>
      <c r="Q64" s="33"/>
      <c r="R64" s="33"/>
      <c r="S64" s="5"/>
      <c r="T64" s="33"/>
      <c r="U64" s="33"/>
      <c r="V64" s="33"/>
      <c r="W64" s="33"/>
      <c r="X64" s="33"/>
      <c r="Y64" s="33"/>
      <c r="Z64" s="33"/>
      <c r="AA64" s="33"/>
      <c r="AB64" s="33"/>
      <c r="AC64" s="33"/>
    </row>
    <row r="65" spans="10:29">
      <c r="J65" s="33"/>
      <c r="K65" s="33"/>
      <c r="L65" s="33"/>
      <c r="M65" s="33"/>
      <c r="N65" s="33"/>
      <c r="O65" s="33"/>
      <c r="P65" s="33"/>
      <c r="Q65" s="33"/>
      <c r="R65" s="33"/>
      <c r="S65" s="5"/>
      <c r="T65" s="33"/>
      <c r="U65" s="33"/>
      <c r="V65" s="33"/>
      <c r="W65" s="33"/>
      <c r="X65" s="33"/>
      <c r="Y65" s="33"/>
      <c r="Z65" s="33"/>
      <c r="AA65" s="33"/>
      <c r="AB65" s="33"/>
      <c r="AC65" s="33"/>
    </row>
    <row r="66" spans="10:29">
      <c r="J66" s="33"/>
      <c r="K66" s="33"/>
      <c r="L66" s="33"/>
      <c r="M66" s="33"/>
      <c r="N66" s="33"/>
      <c r="O66" s="33"/>
      <c r="P66" s="33"/>
      <c r="Q66" s="33"/>
      <c r="R66" s="33"/>
      <c r="S66" s="5"/>
      <c r="T66" s="33"/>
      <c r="U66" s="33"/>
      <c r="V66" s="33"/>
      <c r="W66" s="33"/>
      <c r="X66" s="33"/>
      <c r="Y66" s="33"/>
      <c r="Z66" s="33"/>
      <c r="AA66" s="33"/>
      <c r="AB66" s="33"/>
      <c r="AC66" s="33"/>
    </row>
    <row r="67" spans="10:29">
      <c r="J67" s="33"/>
      <c r="K67" s="33"/>
      <c r="L67" s="33"/>
      <c r="M67" s="33"/>
      <c r="N67" s="33"/>
      <c r="O67" s="33"/>
      <c r="P67" s="33"/>
      <c r="Q67" s="33"/>
      <c r="R67" s="33"/>
      <c r="S67" s="5"/>
      <c r="T67" s="33"/>
      <c r="U67" s="33"/>
      <c r="V67" s="33"/>
      <c r="W67" s="33"/>
      <c r="X67" s="33"/>
      <c r="Y67" s="33"/>
      <c r="Z67" s="33"/>
      <c r="AA67" s="33"/>
      <c r="AB67" s="33"/>
      <c r="AC67" s="33"/>
    </row>
    <row r="68" spans="10:29">
      <c r="J68" s="33"/>
      <c r="K68" s="33"/>
      <c r="L68" s="33"/>
      <c r="M68" s="33"/>
      <c r="N68" s="33"/>
      <c r="O68" s="33"/>
      <c r="P68" s="33"/>
      <c r="Q68" s="33"/>
      <c r="R68" s="33"/>
      <c r="S68" s="5"/>
      <c r="T68" s="33"/>
      <c r="U68" s="33"/>
      <c r="V68" s="33"/>
      <c r="W68" s="33"/>
      <c r="X68" s="33"/>
      <c r="Y68" s="33"/>
      <c r="Z68" s="33"/>
      <c r="AA68" s="33"/>
      <c r="AB68" s="33"/>
      <c r="AC68" s="33"/>
    </row>
    <row r="69" spans="10:29">
      <c r="J69" s="33"/>
      <c r="K69" s="33"/>
      <c r="L69" s="33"/>
      <c r="M69" s="33"/>
      <c r="N69" s="33"/>
      <c r="O69" s="33"/>
      <c r="P69" s="33"/>
      <c r="Q69" s="33"/>
      <c r="R69" s="33"/>
      <c r="S69" s="5"/>
      <c r="T69" s="33"/>
      <c r="U69" s="33"/>
      <c r="V69" s="33"/>
      <c r="W69" s="33"/>
      <c r="X69" s="33"/>
      <c r="Y69" s="33"/>
      <c r="Z69" s="33"/>
      <c r="AA69" s="33"/>
      <c r="AB69" s="33"/>
      <c r="AC69" s="33"/>
    </row>
    <row r="70" spans="10:29">
      <c r="J70" s="33"/>
      <c r="K70" s="33"/>
      <c r="L70" s="33"/>
      <c r="M70" s="33"/>
      <c r="N70" s="33"/>
      <c r="O70" s="33"/>
      <c r="P70" s="33"/>
      <c r="Q70" s="33"/>
      <c r="R70" s="33"/>
      <c r="S70" s="5"/>
      <c r="T70" s="33"/>
      <c r="U70" s="33"/>
      <c r="V70" s="33"/>
      <c r="W70" s="33"/>
      <c r="X70" s="33"/>
      <c r="Y70" s="33"/>
      <c r="Z70" s="33"/>
      <c r="AA70" s="33"/>
      <c r="AB70" s="33"/>
      <c r="AC70" s="33"/>
    </row>
    <row r="71" spans="10:29">
      <c r="J71" s="33"/>
      <c r="K71" s="33"/>
      <c r="L71" s="33"/>
      <c r="M71" s="33"/>
      <c r="N71" s="33"/>
      <c r="O71" s="33"/>
      <c r="P71" s="33"/>
      <c r="Q71" s="33"/>
      <c r="R71" s="33"/>
      <c r="S71" s="5"/>
      <c r="T71" s="33"/>
      <c r="U71" s="33"/>
      <c r="V71" s="33"/>
      <c r="W71" s="33"/>
      <c r="X71" s="33"/>
      <c r="Y71" s="33"/>
      <c r="Z71" s="33"/>
      <c r="AA71" s="33"/>
      <c r="AB71" s="33"/>
      <c r="AC71" s="33"/>
    </row>
    <row r="72" spans="10:29">
      <c r="J72" s="33"/>
      <c r="K72" s="33"/>
      <c r="L72" s="33"/>
      <c r="M72" s="33"/>
      <c r="N72" s="33"/>
      <c r="O72" s="33"/>
      <c r="P72" s="33"/>
      <c r="Q72" s="33"/>
      <c r="R72" s="33"/>
      <c r="S72" s="5"/>
      <c r="T72" s="33"/>
      <c r="U72" s="33"/>
      <c r="V72" s="33"/>
      <c r="W72" s="33"/>
      <c r="X72" s="33"/>
      <c r="Y72" s="33"/>
      <c r="Z72" s="33"/>
      <c r="AA72" s="33"/>
      <c r="AB72" s="33"/>
      <c r="AC72" s="33"/>
    </row>
    <row r="73" spans="10:29">
      <c r="J73" s="33"/>
      <c r="K73" s="33"/>
      <c r="L73" s="33"/>
      <c r="M73" s="33"/>
      <c r="N73" s="33"/>
      <c r="O73" s="33"/>
      <c r="P73" s="33"/>
      <c r="Q73" s="33"/>
      <c r="R73" s="33"/>
      <c r="S73" s="5"/>
      <c r="T73" s="33"/>
      <c r="U73" s="33"/>
      <c r="V73" s="33"/>
      <c r="W73" s="33"/>
      <c r="X73" s="33"/>
      <c r="Y73" s="33"/>
      <c r="Z73" s="33"/>
      <c r="AA73" s="33"/>
      <c r="AB73" s="33"/>
      <c r="AC73" s="33"/>
    </row>
    <row r="74" spans="10:29">
      <c r="J74" s="33"/>
      <c r="K74" s="33"/>
      <c r="L74" s="33"/>
      <c r="M74" s="33"/>
      <c r="N74" s="33"/>
      <c r="O74" s="33"/>
      <c r="P74" s="33"/>
      <c r="Q74" s="33"/>
      <c r="R74" s="33"/>
      <c r="S74" s="5"/>
      <c r="T74" s="33"/>
      <c r="U74" s="33"/>
      <c r="V74" s="33"/>
      <c r="W74" s="33"/>
      <c r="X74" s="33"/>
      <c r="Y74" s="33"/>
      <c r="Z74" s="33"/>
      <c r="AA74" s="33"/>
      <c r="AB74" s="33"/>
      <c r="AC74" s="33"/>
    </row>
    <row r="75" spans="10:29">
      <c r="J75" s="33"/>
      <c r="K75" s="33"/>
      <c r="L75" s="33"/>
      <c r="M75" s="33"/>
      <c r="N75" s="33"/>
      <c r="O75" s="33"/>
      <c r="P75" s="33"/>
      <c r="Q75" s="33"/>
      <c r="R75" s="33"/>
      <c r="S75" s="5"/>
      <c r="T75" s="33"/>
      <c r="U75" s="33"/>
      <c r="V75" s="33"/>
      <c r="W75" s="33"/>
      <c r="X75" s="33"/>
      <c r="Y75" s="33"/>
      <c r="Z75" s="33"/>
      <c r="AA75" s="33"/>
      <c r="AB75" s="33"/>
      <c r="AC75" s="33"/>
    </row>
    <row r="76" spans="10:29">
      <c r="J76" s="33"/>
      <c r="K76" s="33"/>
      <c r="L76" s="33"/>
      <c r="M76" s="33"/>
      <c r="N76" s="33"/>
      <c r="O76" s="33"/>
      <c r="P76" s="33"/>
      <c r="Q76" s="33"/>
      <c r="R76" s="33"/>
      <c r="S76" s="5"/>
      <c r="T76" s="33"/>
      <c r="U76" s="33"/>
      <c r="V76" s="33"/>
      <c r="W76" s="33"/>
      <c r="X76" s="33"/>
      <c r="Y76" s="33"/>
      <c r="Z76" s="33"/>
      <c r="AA76" s="33"/>
      <c r="AB76" s="33"/>
      <c r="AC76" s="33"/>
    </row>
    <row r="77" spans="10:29">
      <c r="J77" s="33"/>
      <c r="K77" s="33"/>
      <c r="L77" s="33"/>
      <c r="M77" s="33"/>
      <c r="N77" s="33"/>
      <c r="O77" s="33"/>
      <c r="P77" s="33"/>
      <c r="Q77" s="33"/>
      <c r="R77" s="33"/>
      <c r="S77" s="5"/>
      <c r="T77" s="33"/>
      <c r="U77" s="33"/>
      <c r="V77" s="33"/>
      <c r="W77" s="33"/>
      <c r="X77" s="33"/>
      <c r="Y77" s="33"/>
      <c r="Z77" s="33"/>
      <c r="AA77" s="33"/>
      <c r="AB77" s="33"/>
      <c r="AC77" s="33"/>
    </row>
    <row r="78" spans="10:29">
      <c r="J78" s="33"/>
      <c r="K78" s="33"/>
      <c r="L78" s="33"/>
      <c r="M78" s="33"/>
      <c r="N78" s="33"/>
      <c r="O78" s="33"/>
      <c r="P78" s="33"/>
      <c r="Q78" s="33"/>
      <c r="R78" s="33"/>
      <c r="S78" s="5"/>
      <c r="T78" s="33"/>
      <c r="U78" s="33"/>
      <c r="V78" s="33"/>
      <c r="W78" s="33"/>
      <c r="X78" s="33"/>
      <c r="Y78" s="33"/>
      <c r="Z78" s="33"/>
      <c r="AA78" s="33"/>
      <c r="AB78" s="33"/>
      <c r="AC78" s="33"/>
    </row>
    <row r="79" spans="10:29">
      <c r="J79" s="33"/>
      <c r="K79" s="33"/>
      <c r="L79" s="33"/>
      <c r="M79" s="33"/>
      <c r="N79" s="33"/>
      <c r="O79" s="33"/>
      <c r="P79" s="33"/>
      <c r="Q79" s="33"/>
      <c r="R79" s="33"/>
      <c r="S79" s="5"/>
      <c r="T79" s="33"/>
      <c r="U79" s="33"/>
      <c r="V79" s="33"/>
      <c r="W79" s="33"/>
      <c r="X79" s="33"/>
      <c r="Y79" s="33"/>
      <c r="Z79" s="33"/>
      <c r="AA79" s="33"/>
      <c r="AB79" s="33"/>
      <c r="AC79" s="33"/>
    </row>
    <row r="80" spans="10:29">
      <c r="J80" s="33"/>
      <c r="K80" s="33"/>
      <c r="L80" s="33"/>
      <c r="M80" s="33"/>
      <c r="N80" s="33"/>
      <c r="O80" s="33"/>
      <c r="P80" s="33"/>
      <c r="Q80" s="33"/>
      <c r="R80" s="33"/>
      <c r="S80" s="5"/>
      <c r="T80" s="33"/>
      <c r="U80" s="33"/>
      <c r="V80" s="33"/>
      <c r="W80" s="33"/>
      <c r="X80" s="33"/>
      <c r="Y80" s="33"/>
      <c r="Z80" s="33"/>
      <c r="AA80" s="33"/>
      <c r="AB80" s="33"/>
      <c r="AC80" s="33"/>
    </row>
    <row r="81" spans="10:50">
      <c r="J81" s="33"/>
      <c r="K81" s="33"/>
      <c r="L81" s="33"/>
      <c r="M81" s="33"/>
      <c r="N81" s="33"/>
      <c r="O81" s="33"/>
      <c r="P81" s="33"/>
      <c r="Q81" s="33"/>
      <c r="R81" s="33"/>
      <c r="S81" s="5"/>
      <c r="T81" s="33"/>
      <c r="U81" s="33"/>
      <c r="V81" s="33"/>
      <c r="W81" s="33"/>
      <c r="X81" s="33"/>
      <c r="Y81" s="33"/>
      <c r="Z81" s="33"/>
      <c r="AA81" s="33"/>
      <c r="AB81" s="33"/>
      <c r="AC81" s="33"/>
    </row>
    <row r="82" spans="10:50">
      <c r="J82" s="33"/>
      <c r="K82" s="33"/>
      <c r="L82" s="33"/>
      <c r="M82" s="33"/>
      <c r="N82" s="33"/>
      <c r="O82" s="33"/>
      <c r="P82" s="33"/>
      <c r="Q82" s="33"/>
      <c r="R82" s="33"/>
      <c r="S82" s="5"/>
      <c r="T82" s="33"/>
      <c r="U82" s="33"/>
      <c r="V82" s="33"/>
      <c r="W82" s="33"/>
      <c r="X82" s="33"/>
      <c r="Y82" s="33"/>
      <c r="Z82" s="33"/>
      <c r="AA82" s="33"/>
      <c r="AB82" s="33"/>
      <c r="AC82" s="33"/>
    </row>
    <row r="83" spans="10:50">
      <c r="J83" s="33"/>
      <c r="K83" s="33"/>
      <c r="L83" s="33"/>
      <c r="M83" s="33"/>
      <c r="N83" s="33"/>
      <c r="O83" s="33"/>
      <c r="P83" s="33"/>
      <c r="Q83" s="33"/>
      <c r="R83" s="33"/>
      <c r="S83" s="5"/>
      <c r="T83" s="33"/>
      <c r="U83" s="33"/>
      <c r="V83" s="33"/>
      <c r="W83" s="33"/>
      <c r="X83" s="33"/>
      <c r="Y83" s="33"/>
      <c r="Z83" s="33"/>
      <c r="AA83" s="33"/>
      <c r="AB83" s="33"/>
      <c r="AC83" s="33"/>
    </row>
    <row r="84" spans="10:50">
      <c r="J84" s="33"/>
      <c r="K84" s="33"/>
      <c r="L84" s="33"/>
      <c r="M84" s="33"/>
      <c r="N84" s="33"/>
      <c r="O84" s="33"/>
      <c r="P84" s="33"/>
      <c r="Q84" s="33"/>
      <c r="R84" s="33"/>
      <c r="S84" s="5"/>
      <c r="T84" s="33"/>
      <c r="U84" s="33"/>
      <c r="V84" s="33"/>
      <c r="W84" s="33"/>
      <c r="X84" s="33"/>
      <c r="Y84" s="33"/>
      <c r="Z84" s="33"/>
      <c r="AA84" s="33"/>
      <c r="AB84" s="33"/>
      <c r="AC84" s="33"/>
    </row>
    <row r="85" spans="10:50">
      <c r="J85" s="33"/>
      <c r="K85" s="33"/>
      <c r="L85" s="33"/>
      <c r="M85" s="33"/>
      <c r="N85" s="33"/>
      <c r="O85" s="33"/>
      <c r="P85" s="33"/>
      <c r="Q85" s="33"/>
      <c r="R85" s="33"/>
      <c r="S85" s="5"/>
      <c r="T85" s="33"/>
      <c r="U85" s="33"/>
      <c r="V85" s="33"/>
      <c r="W85" s="33"/>
      <c r="X85" s="33"/>
      <c r="Y85" s="33"/>
      <c r="Z85" s="33"/>
      <c r="AA85" s="33"/>
      <c r="AB85" s="33"/>
      <c r="AC85" s="33"/>
    </row>
    <row r="86" spans="10:50">
      <c r="J86" s="33"/>
      <c r="K86" s="33"/>
      <c r="L86" s="33"/>
      <c r="M86" s="33"/>
      <c r="N86" s="33"/>
      <c r="O86" s="33"/>
      <c r="P86" s="33"/>
      <c r="Q86" s="33"/>
      <c r="R86" s="33"/>
      <c r="S86" s="5"/>
      <c r="T86" s="33"/>
      <c r="U86" s="33"/>
      <c r="V86" s="33"/>
      <c r="W86" s="33"/>
      <c r="X86" s="33"/>
      <c r="Y86" s="33"/>
      <c r="Z86" s="33"/>
      <c r="AA86" s="33"/>
      <c r="AB86" s="33"/>
      <c r="AC86" s="33"/>
    </row>
    <row r="87" spans="10:50">
      <c r="J87" s="33"/>
      <c r="K87" s="33"/>
      <c r="L87" s="33"/>
      <c r="M87" s="33"/>
      <c r="N87" s="33"/>
      <c r="O87" s="33"/>
      <c r="P87" s="33"/>
      <c r="Q87" s="33"/>
      <c r="R87" s="33"/>
      <c r="S87" s="5"/>
      <c r="T87" s="33"/>
      <c r="U87" s="33"/>
      <c r="V87" s="33"/>
      <c r="W87" s="33"/>
      <c r="X87" s="33"/>
      <c r="Y87" s="33"/>
      <c r="Z87" s="33"/>
      <c r="AA87" s="33"/>
      <c r="AB87" s="33"/>
      <c r="AC87" s="33"/>
    </row>
    <row r="88" spans="10:50">
      <c r="J88" s="33"/>
      <c r="K88" s="33"/>
      <c r="L88" s="33"/>
      <c r="M88" s="33"/>
      <c r="N88" s="33"/>
      <c r="O88" s="33"/>
      <c r="P88" s="33"/>
      <c r="Q88" s="33"/>
      <c r="R88" s="33"/>
      <c r="S88" s="5"/>
      <c r="T88" s="33"/>
      <c r="U88" s="33"/>
      <c r="V88" s="33"/>
      <c r="W88" s="33"/>
      <c r="X88" s="33"/>
      <c r="Y88" s="33"/>
      <c r="Z88" s="33"/>
      <c r="AA88" s="33"/>
      <c r="AB88" s="33"/>
      <c r="AC88" s="33"/>
    </row>
    <row r="89" spans="10:50">
      <c r="J89" s="33"/>
      <c r="K89" s="33"/>
      <c r="L89" s="33"/>
      <c r="M89" s="33"/>
      <c r="N89" s="33"/>
      <c r="O89" s="33"/>
      <c r="P89" s="33"/>
      <c r="Q89" s="33"/>
      <c r="R89" s="33"/>
      <c r="S89" s="5"/>
      <c r="T89" s="33"/>
      <c r="U89" s="33"/>
      <c r="V89" s="33"/>
      <c r="W89" s="33"/>
      <c r="X89" s="33"/>
      <c r="Y89" s="33"/>
      <c r="Z89" s="33"/>
      <c r="AA89" s="33"/>
      <c r="AB89" s="33"/>
      <c r="AC89" s="33"/>
    </row>
    <row r="90" spans="10:50">
      <c r="J90" s="33"/>
      <c r="K90" s="33"/>
      <c r="L90" s="33"/>
      <c r="M90" s="33"/>
      <c r="N90" s="33"/>
      <c r="O90" s="33"/>
      <c r="P90" s="33"/>
      <c r="Q90" s="33"/>
      <c r="R90" s="33"/>
      <c r="S90" s="5"/>
      <c r="T90" s="33"/>
      <c r="U90" s="33"/>
      <c r="V90" s="33"/>
      <c r="W90" s="33"/>
      <c r="X90" s="33"/>
      <c r="Y90" s="33"/>
      <c r="Z90" s="33"/>
      <c r="AA90" s="33"/>
      <c r="AB90" s="33"/>
      <c r="AC90" s="33"/>
    </row>
    <row r="93" spans="10:50">
      <c r="S93" s="20" t="str">
        <f ca="1">CONCATENATE(LEFT($S$32, LEN($S$32)-4), " Step#", OFFSET($J$35, S33, 0))</f>
        <v>Stg.4 Shroud Step#1</v>
      </c>
      <c r="T93" s="20" t="str">
        <f t="shared" ref="T93:AP93" ca="1" si="17">CONCATENATE(LEFT($S$32, LEN($S$32)-4), " Step#", OFFSET($J$35, T33, 0))</f>
        <v>Stg.4 Shroud Step#24</v>
      </c>
      <c r="U93" s="20" t="str">
        <f t="shared" ca="1" si="17"/>
        <v>Stg.4 Shroud Step#23</v>
      </c>
      <c r="V93" s="20" t="str">
        <f t="shared" ca="1" si="17"/>
        <v>Stg.4 Shroud Step#22</v>
      </c>
      <c r="W93" s="20" t="str">
        <f t="shared" ca="1" si="17"/>
        <v>Stg.4 Shroud Step#21</v>
      </c>
      <c r="X93" s="20" t="str">
        <f t="shared" ca="1" si="17"/>
        <v>Stg.4 Shroud Step#20</v>
      </c>
      <c r="Y93" s="20" t="str">
        <f t="shared" ca="1" si="17"/>
        <v>Stg.4 Shroud Step#19</v>
      </c>
      <c r="Z93" s="20" t="str">
        <f t="shared" ca="1" si="17"/>
        <v>Stg.4 Shroud Step#18</v>
      </c>
      <c r="AA93" s="20" t="str">
        <f t="shared" ca="1" si="17"/>
        <v>Stg.4 Shroud Step#17</v>
      </c>
      <c r="AB93" s="20" t="str">
        <f t="shared" ca="1" si="17"/>
        <v>Stg.4 Shroud Step#16</v>
      </c>
      <c r="AC93" s="20" t="str">
        <f t="shared" ca="1" si="17"/>
        <v>Stg.4 Shroud Step#15</v>
      </c>
      <c r="AD93" s="20" t="str">
        <f t="shared" ca="1" si="17"/>
        <v>Stg.4 Shroud Step#14</v>
      </c>
      <c r="AE93" s="20" t="str">
        <f t="shared" ca="1" si="17"/>
        <v>Stg.4 Shroud Step#13</v>
      </c>
      <c r="AF93" s="20" t="str">
        <f t="shared" ca="1" si="17"/>
        <v>Stg.4 Shroud Step#12</v>
      </c>
      <c r="AG93" s="20" t="str">
        <f t="shared" ca="1" si="17"/>
        <v>Stg.4 Shroud Step#11</v>
      </c>
      <c r="AH93" s="20" t="str">
        <f t="shared" ca="1" si="17"/>
        <v>Stg.4 Shroud Step#10</v>
      </c>
      <c r="AI93" s="20" t="str">
        <f t="shared" ca="1" si="17"/>
        <v>Stg.4 Shroud Step#9</v>
      </c>
      <c r="AJ93" s="20" t="str">
        <f t="shared" ca="1" si="17"/>
        <v>Stg.4 Shroud Step#8</v>
      </c>
      <c r="AK93" s="20" t="str">
        <f t="shared" ca="1" si="17"/>
        <v>Stg.4 Shroud Step#7</v>
      </c>
      <c r="AL93" s="20" t="str">
        <f t="shared" ca="1" si="17"/>
        <v>Stg.4 Shroud Step#6</v>
      </c>
      <c r="AM93" s="20" t="str">
        <f t="shared" ca="1" si="17"/>
        <v>Stg.4 Shroud Step#5</v>
      </c>
      <c r="AN93" s="20" t="str">
        <f t="shared" ca="1" si="17"/>
        <v>Stg.4 Shroud Step#4</v>
      </c>
      <c r="AO93" s="20" t="str">
        <f t="shared" ca="1" si="17"/>
        <v>Stg.4 Shroud Step#3</v>
      </c>
      <c r="AP93" s="20" t="str">
        <f t="shared" ca="1" si="17"/>
        <v>Stg.4 Shroud Step#2</v>
      </c>
      <c r="AQ93" s="20" t="s">
        <v>349</v>
      </c>
      <c r="AR93" s="20" t="s">
        <v>350</v>
      </c>
    </row>
    <row r="94" spans="10:50">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7" t="s">
        <v>320</v>
      </c>
      <c r="AR94" s="17" t="s">
        <v>320</v>
      </c>
    </row>
    <row r="95" spans="10:50">
      <c r="S95" s="35">
        <f ca="1">IF(S36&lt;&gt;"", S36-'246'!S36-$AQ$123,"")</f>
        <v>4.8815992901609206E-2</v>
      </c>
      <c r="T95" s="35"/>
      <c r="U95" s="35"/>
      <c r="V95" s="35"/>
      <c r="W95" s="35"/>
      <c r="X95" s="35"/>
      <c r="Y95" s="35"/>
      <c r="Z95" s="35"/>
      <c r="AA95" s="35"/>
      <c r="AB95" s="35"/>
      <c r="AC95" s="35"/>
      <c r="AD95" s="35"/>
      <c r="AE95" s="35"/>
      <c r="AF95" s="35"/>
      <c r="AG95" s="35"/>
      <c r="AH95" s="35"/>
      <c r="AI95" s="35"/>
      <c r="AJ95" s="35"/>
      <c r="AK95" s="35"/>
      <c r="AL95" s="35"/>
      <c r="AM95" s="35"/>
      <c r="AN95" s="35"/>
      <c r="AO95" s="35"/>
      <c r="AP95" s="35">
        <f ca="1">IF(AP36&lt;&gt;"", AP36-'246'!AP36-$AQ$123,"")</f>
        <v>5.2519976285907433E-3</v>
      </c>
      <c r="AQ95" s="21">
        <f>AQ36-'246'!AR36-$AQ$123</f>
        <v>-5.7500000000004547E-2</v>
      </c>
      <c r="AR95" s="21">
        <f>AR36-'246'!AQ36-$AQ$123</f>
        <v>5.7500000000004547E-2</v>
      </c>
      <c r="AS95" s="13" t="s">
        <v>351</v>
      </c>
      <c r="AT95" s="36">
        <f ca="1">MAX(S95:AP118)</f>
        <v>9.8957332953830246E-2</v>
      </c>
      <c r="AU95" s="13" t="str">
        <f ca="1">IF(AT95&gt;AR95, CONCATENATE("O/Max ", TEXT(AT95-AR95,"0.000")), "-")</f>
        <v>O/Max 0.041</v>
      </c>
      <c r="AV95" s="36">
        <f ca="1">$Q36-'246'!$Q36-$AQ$123</f>
        <v>4.8815992901609206E-2</v>
      </c>
      <c r="AW95" s="13">
        <f ca="1">INDEX($J36:$J59,MATCH(AT95,AV95:AV118,0))</f>
        <v>23</v>
      </c>
      <c r="AX95" s="5">
        <f ca="1">MATCH(AT95,AV95:AV118,0)</f>
        <v>3</v>
      </c>
    </row>
    <row r="96" spans="10:50">
      <c r="S96" s="35">
        <f ca="1">IF(S37&lt;&gt;"", S37-'246'!S37-$AQ$123,"")</f>
        <v>4.8815992901609206E-2</v>
      </c>
      <c r="T96" s="35">
        <f ca="1">IF(T37&lt;&gt;"", T37-'246'!T37-$AQ$123,"")</f>
        <v>7.8026664342587537E-2</v>
      </c>
      <c r="U96" s="35"/>
      <c r="V96" s="35"/>
      <c r="W96" s="35"/>
      <c r="X96" s="35"/>
      <c r="Y96" s="35"/>
      <c r="Z96" s="35"/>
      <c r="AA96" s="35"/>
      <c r="AB96" s="35"/>
      <c r="AC96" s="35"/>
      <c r="AD96" s="35"/>
      <c r="AE96" s="35"/>
      <c r="AF96" s="35"/>
      <c r="AG96" s="35"/>
      <c r="AH96" s="35"/>
      <c r="AI96" s="35"/>
      <c r="AJ96" s="35"/>
      <c r="AK96" s="35"/>
      <c r="AL96" s="35"/>
      <c r="AM96" s="35"/>
      <c r="AN96" s="35"/>
      <c r="AO96" s="35"/>
      <c r="AP96" s="35"/>
      <c r="AQ96" s="21">
        <f>AQ95</f>
        <v>-5.7500000000004547E-2</v>
      </c>
      <c r="AR96" s="21">
        <f>AR95</f>
        <v>5.7500000000004547E-2</v>
      </c>
      <c r="AS96" s="13" t="s">
        <v>352</v>
      </c>
      <c r="AT96" s="36">
        <f ca="1">MIN(S95:AP118)</f>
        <v>-3.4232012259508338E-2</v>
      </c>
      <c r="AU96" s="13" t="str">
        <f ca="1">IF(AT96&lt;AQ95, CONCATENATE("U/Min ", TEXT(AQ95-AT96,"0.000")), "-")</f>
        <v>-</v>
      </c>
      <c r="AV96" s="36">
        <f ca="1">$Q37-'246'!$Q37-$AQ$123</f>
        <v>7.8026664342587537E-2</v>
      </c>
      <c r="AW96" s="13">
        <f ca="1">INDEX($J36:$J59,MATCH(AT96,AV95:AV118,0))</f>
        <v>19</v>
      </c>
      <c r="AX96" s="5">
        <f ca="1">MATCH(AT96,AV95:AV118,0)</f>
        <v>7</v>
      </c>
    </row>
    <row r="97" spans="19:49">
      <c r="S97" s="35"/>
      <c r="T97" s="35">
        <f ca="1">IF(T38&lt;&gt;"", T38-'246'!T38-$AQ$123,"")</f>
        <v>7.8026664342587537E-2</v>
      </c>
      <c r="U97" s="35">
        <f ca="1">IF(U38&lt;&gt;"", U38-'246'!U38-$AQ$123,"")</f>
        <v>9.8957332953830246E-2</v>
      </c>
      <c r="V97" s="35"/>
      <c r="W97" s="35"/>
      <c r="X97" s="35"/>
      <c r="Y97" s="35"/>
      <c r="Z97" s="35"/>
      <c r="AA97" s="35"/>
      <c r="AB97" s="35"/>
      <c r="AC97" s="35"/>
      <c r="AD97" s="35"/>
      <c r="AE97" s="35"/>
      <c r="AF97" s="35"/>
      <c r="AG97" s="35"/>
      <c r="AH97" s="35"/>
      <c r="AI97" s="35"/>
      <c r="AJ97" s="35"/>
      <c r="AK97" s="35"/>
      <c r="AL97" s="35"/>
      <c r="AM97" s="35"/>
      <c r="AN97" s="35"/>
      <c r="AO97" s="35"/>
      <c r="AP97" s="35"/>
      <c r="AQ97" s="21">
        <f t="shared" ref="AQ97:AQ118" si="18">AQ96</f>
        <v>-5.7500000000004547E-2</v>
      </c>
      <c r="AR97" s="21">
        <f t="shared" ref="AR97:AR118" si="19">AR96</f>
        <v>5.7500000000004547E-2</v>
      </c>
      <c r="AV97" s="36">
        <f ca="1">$Q38-'246'!$Q38-$AQ$123</f>
        <v>9.8957332953830246E-2</v>
      </c>
      <c r="AW97" s="2"/>
    </row>
    <row r="98" spans="19:49">
      <c r="S98" s="35"/>
      <c r="T98" s="35"/>
      <c r="U98" s="35">
        <f ca="1">IF(U39&lt;&gt;"", U39-'246'!U39-$AQ$123,"")</f>
        <v>9.8957332953830246E-2</v>
      </c>
      <c r="V98" s="35">
        <f ca="1">IF(V39&lt;&gt;"", V39-'246'!V39-$AQ$123,"")</f>
        <v>8.7343999970187269E-2</v>
      </c>
      <c r="W98" s="35"/>
      <c r="X98" s="35"/>
      <c r="Y98" s="35"/>
      <c r="Z98" s="35"/>
      <c r="AA98" s="35"/>
      <c r="AB98" s="35"/>
      <c r="AC98" s="35"/>
      <c r="AD98" s="35"/>
      <c r="AE98" s="35"/>
      <c r="AF98" s="35"/>
      <c r="AG98" s="35"/>
      <c r="AH98" s="35"/>
      <c r="AI98" s="35"/>
      <c r="AJ98" s="35"/>
      <c r="AK98" s="35"/>
      <c r="AL98" s="35"/>
      <c r="AM98" s="35"/>
      <c r="AN98" s="35"/>
      <c r="AO98" s="35"/>
      <c r="AP98" s="35"/>
      <c r="AQ98" s="21">
        <f t="shared" si="18"/>
        <v>-5.7500000000004547E-2</v>
      </c>
      <c r="AR98" s="21">
        <f t="shared" si="19"/>
        <v>5.7500000000004547E-2</v>
      </c>
      <c r="AV98" s="36">
        <f ca="1">$Q39-'246'!$Q39-$AQ$123</f>
        <v>8.7343999970187269E-2</v>
      </c>
      <c r="AW98" s="2"/>
    </row>
    <row r="99" spans="19:49">
      <c r="S99" s="35"/>
      <c r="T99" s="35"/>
      <c r="U99" s="35"/>
      <c r="V99" s="35">
        <f ca="1">IF(V40&lt;&gt;"", V40-'246'!V40-$AQ$123,"")</f>
        <v>8.7343999970187269E-2</v>
      </c>
      <c r="W99" s="35">
        <f ca="1">IF(W40&lt;&gt;"", W40-'246'!W40-$AQ$123,"")</f>
        <v>4.2826662949948968E-2</v>
      </c>
      <c r="X99" s="35"/>
      <c r="Y99" s="35"/>
      <c r="Z99" s="35"/>
      <c r="AA99" s="35"/>
      <c r="AB99" s="35"/>
      <c r="AC99" s="35"/>
      <c r="AD99" s="35"/>
      <c r="AE99" s="35"/>
      <c r="AF99" s="35"/>
      <c r="AG99" s="35"/>
      <c r="AH99" s="35"/>
      <c r="AI99" s="35"/>
      <c r="AJ99" s="35"/>
      <c r="AK99" s="35"/>
      <c r="AL99" s="35"/>
      <c r="AM99" s="35"/>
      <c r="AN99" s="35"/>
      <c r="AO99" s="35"/>
      <c r="AP99" s="35"/>
      <c r="AQ99" s="21">
        <f t="shared" si="18"/>
        <v>-5.7500000000004547E-2</v>
      </c>
      <c r="AR99" s="21">
        <f t="shared" si="19"/>
        <v>5.7500000000004547E-2</v>
      </c>
      <c r="AV99" s="36">
        <f ca="1">$Q40-'246'!$Q40-$AQ$123</f>
        <v>4.2826662949948968E-2</v>
      </c>
      <c r="AW99" s="2"/>
    </row>
    <row r="100" spans="19:49">
      <c r="S100" s="35"/>
      <c r="T100" s="35"/>
      <c r="U100" s="35"/>
      <c r="V100" s="35"/>
      <c r="W100" s="35">
        <f ca="1">IF(W41&lt;&gt;"", W41-'246'!W41-$AQ$123,"")</f>
        <v>4.2826662949948968E-2</v>
      </c>
      <c r="X100" s="35">
        <f ca="1">IF(X41&lt;&gt;"", X41-'246'!X41-$AQ$123,"")</f>
        <v>-8.4613461510230081E-3</v>
      </c>
      <c r="Y100" s="35"/>
      <c r="Z100" s="35"/>
      <c r="AA100" s="35"/>
      <c r="AB100" s="35"/>
      <c r="AC100" s="35"/>
      <c r="AD100" s="35"/>
      <c r="AE100" s="35"/>
      <c r="AF100" s="35"/>
      <c r="AG100" s="35"/>
      <c r="AH100" s="35"/>
      <c r="AI100" s="35"/>
      <c r="AJ100" s="35"/>
      <c r="AK100" s="35"/>
      <c r="AL100" s="35"/>
      <c r="AM100" s="35"/>
      <c r="AN100" s="35"/>
      <c r="AO100" s="35"/>
      <c r="AP100" s="35"/>
      <c r="AQ100" s="21">
        <f t="shared" si="18"/>
        <v>-5.7500000000004547E-2</v>
      </c>
      <c r="AR100" s="21">
        <f t="shared" si="19"/>
        <v>5.7500000000004547E-2</v>
      </c>
      <c r="AV100" s="36">
        <f ca="1">$Q41-'246'!$Q41-$AQ$123</f>
        <v>-8.4613461510230081E-3</v>
      </c>
      <c r="AW100" s="2"/>
    </row>
    <row r="101" spans="19:49">
      <c r="S101" s="35"/>
      <c r="T101" s="35"/>
      <c r="U101" s="35"/>
      <c r="V101" s="35"/>
      <c r="W101" s="35"/>
      <c r="X101" s="35">
        <f ca="1">IF(X42&lt;&gt;"", X42-'246'!X42-$AQ$123,"")</f>
        <v>-8.4613461510230081E-3</v>
      </c>
      <c r="Y101" s="35">
        <f ca="1">IF(Y42&lt;&gt;"", Y42-'246'!Y42-$AQ$123,"")</f>
        <v>-3.4232012259508338E-2</v>
      </c>
      <c r="Z101" s="35"/>
      <c r="AA101" s="35"/>
      <c r="AB101" s="35"/>
      <c r="AC101" s="35"/>
      <c r="AD101" s="35"/>
      <c r="AE101" s="35"/>
      <c r="AF101" s="35"/>
      <c r="AG101" s="35"/>
      <c r="AH101" s="35"/>
      <c r="AI101" s="35"/>
      <c r="AJ101" s="35"/>
      <c r="AK101" s="35"/>
      <c r="AL101" s="35"/>
      <c r="AM101" s="35"/>
      <c r="AN101" s="35"/>
      <c r="AO101" s="35"/>
      <c r="AP101" s="35"/>
      <c r="AQ101" s="21">
        <f t="shared" si="18"/>
        <v>-5.7500000000004547E-2</v>
      </c>
      <c r="AR101" s="21">
        <f t="shared" si="19"/>
        <v>5.7500000000004547E-2</v>
      </c>
      <c r="AV101" s="36">
        <f ca="1">$Q42-'246'!$Q42-$AQ$123</f>
        <v>-3.4232012259508338E-2</v>
      </c>
      <c r="AW101" s="2"/>
    </row>
    <row r="102" spans="19:49">
      <c r="S102" s="35"/>
      <c r="T102" s="35"/>
      <c r="U102" s="35"/>
      <c r="V102" s="35"/>
      <c r="W102" s="35"/>
      <c r="X102" s="35"/>
      <c r="Y102" s="35">
        <f ca="1">IF(Y43&lt;&gt;"", Y43-'246'!Y43-$AQ$123,"")</f>
        <v>-3.4232012259508338E-2</v>
      </c>
      <c r="Z102" s="35">
        <f ca="1">IF(Z43&lt;&gt;"", Z43-'246'!Z43-$AQ$123,"")</f>
        <v>-2.6946670401969186E-2</v>
      </c>
      <c r="AA102" s="35"/>
      <c r="AB102" s="35"/>
      <c r="AC102" s="35"/>
      <c r="AD102" s="35"/>
      <c r="AE102" s="35"/>
      <c r="AF102" s="35"/>
      <c r="AG102" s="35"/>
      <c r="AH102" s="35"/>
      <c r="AI102" s="35"/>
      <c r="AJ102" s="35"/>
      <c r="AK102" s="35"/>
      <c r="AL102" s="35"/>
      <c r="AM102" s="35"/>
      <c r="AN102" s="35"/>
      <c r="AO102" s="35"/>
      <c r="AP102" s="35"/>
      <c r="AQ102" s="21">
        <f t="shared" si="18"/>
        <v>-5.7500000000004547E-2</v>
      </c>
      <c r="AR102" s="21">
        <f t="shared" si="19"/>
        <v>5.7500000000004547E-2</v>
      </c>
      <c r="AV102" s="36">
        <f ca="1">$Q43-'246'!$Q43-$AQ$123</f>
        <v>-2.6946670401969186E-2</v>
      </c>
      <c r="AW102" s="2"/>
    </row>
    <row r="103" spans="19:49">
      <c r="S103" s="35"/>
      <c r="T103" s="35"/>
      <c r="U103" s="35"/>
      <c r="V103" s="35"/>
      <c r="W103" s="35"/>
      <c r="X103" s="35"/>
      <c r="Y103" s="35"/>
      <c r="Z103" s="35">
        <f ca="1">IF(Z44&lt;&gt;"", Z44-'246'!Z44-$AQ$123,"")</f>
        <v>-2.6946670401969186E-2</v>
      </c>
      <c r="AA103" s="35">
        <f ca="1">IF(AA44&lt;&gt;"", AA44-'246'!AA44-$AQ$123,"")</f>
        <v>-9.0240011972468892E-3</v>
      </c>
      <c r="AB103" s="35"/>
      <c r="AC103" s="35"/>
      <c r="AD103" s="35"/>
      <c r="AE103" s="35"/>
      <c r="AF103" s="35"/>
      <c r="AG103" s="35"/>
      <c r="AH103" s="35"/>
      <c r="AI103" s="35"/>
      <c r="AJ103" s="35"/>
      <c r="AK103" s="35"/>
      <c r="AL103" s="35"/>
      <c r="AM103" s="35"/>
      <c r="AN103" s="35"/>
      <c r="AO103" s="35"/>
      <c r="AP103" s="35"/>
      <c r="AQ103" s="21">
        <f t="shared" si="18"/>
        <v>-5.7500000000004547E-2</v>
      </c>
      <c r="AR103" s="21">
        <f t="shared" si="19"/>
        <v>5.7500000000004547E-2</v>
      </c>
      <c r="AV103" s="36">
        <f ca="1">$Q44-'246'!$Q44-$AQ$123</f>
        <v>-9.0240011972468892E-3</v>
      </c>
      <c r="AW103" s="2"/>
    </row>
    <row r="104" spans="19:49">
      <c r="S104" s="35"/>
      <c r="T104" s="35"/>
      <c r="U104" s="35"/>
      <c r="V104" s="35"/>
      <c r="W104" s="35"/>
      <c r="X104" s="35"/>
      <c r="Y104" s="35"/>
      <c r="Z104" s="35"/>
      <c r="AA104" s="35">
        <f ca="1">IF(AA45&lt;&gt;"", AA45-'246'!AA45-$AQ$123,"")</f>
        <v>-9.0240011972468892E-3</v>
      </c>
      <c r="AB104" s="35">
        <f ca="1">IF(AB45&lt;&gt;"", AB45-'246'!AB45-$AQ$123,"")</f>
        <v>1.7279998802735008E-2</v>
      </c>
      <c r="AC104" s="35"/>
      <c r="AD104" s="35"/>
      <c r="AE104" s="35"/>
      <c r="AF104" s="35"/>
      <c r="AG104" s="35"/>
      <c r="AH104" s="35"/>
      <c r="AI104" s="35"/>
      <c r="AJ104" s="35"/>
      <c r="AK104" s="35"/>
      <c r="AL104" s="35"/>
      <c r="AM104" s="35"/>
      <c r="AN104" s="35"/>
      <c r="AO104" s="35"/>
      <c r="AP104" s="35"/>
      <c r="AQ104" s="21">
        <f t="shared" si="18"/>
        <v>-5.7500000000004547E-2</v>
      </c>
      <c r="AR104" s="21">
        <f t="shared" si="19"/>
        <v>5.7500000000004547E-2</v>
      </c>
      <c r="AV104" s="36">
        <f ca="1">$Q45-'246'!$Q45-$AQ$123</f>
        <v>1.7279998802735008E-2</v>
      </c>
      <c r="AW104" s="2"/>
    </row>
    <row r="105" spans="19:49">
      <c r="S105" s="35"/>
      <c r="T105" s="35"/>
      <c r="U105" s="35"/>
      <c r="V105" s="35"/>
      <c r="W105" s="35"/>
      <c r="X105" s="35"/>
      <c r="Y105" s="35"/>
      <c r="Z105" s="35"/>
      <c r="AA105" s="35"/>
      <c r="AB105" s="35">
        <f ca="1">IF(AB46&lt;&gt;"", AB46-'246'!AB46-$AQ$123,"")</f>
        <v>1.7279998802735008E-2</v>
      </c>
      <c r="AC105" s="35">
        <f ca="1">IF(AC46&lt;&gt;"", AC46-'246'!AC46-$AQ$123,"")</f>
        <v>3.883200107753737E-2</v>
      </c>
      <c r="AD105" s="35"/>
      <c r="AE105" s="35"/>
      <c r="AF105" s="35"/>
      <c r="AG105" s="35"/>
      <c r="AH105" s="35"/>
      <c r="AI105" s="35"/>
      <c r="AJ105" s="35"/>
      <c r="AK105" s="35"/>
      <c r="AL105" s="35"/>
      <c r="AM105" s="35"/>
      <c r="AN105" s="35"/>
      <c r="AO105" s="35"/>
      <c r="AP105" s="35"/>
      <c r="AQ105" s="21">
        <f t="shared" si="18"/>
        <v>-5.7500000000004547E-2</v>
      </c>
      <c r="AR105" s="21">
        <f t="shared" si="19"/>
        <v>5.7500000000004547E-2</v>
      </c>
      <c r="AV105" s="36">
        <f ca="1">$Q46-'246'!$Q46-$AQ$123</f>
        <v>3.883200107753737E-2</v>
      </c>
      <c r="AW105" s="2"/>
    </row>
    <row r="106" spans="19:49">
      <c r="S106" s="35"/>
      <c r="T106" s="35"/>
      <c r="U106" s="35"/>
      <c r="V106" s="35"/>
      <c r="W106" s="35"/>
      <c r="X106" s="35"/>
      <c r="Y106" s="35"/>
      <c r="Z106" s="35"/>
      <c r="AA106" s="35"/>
      <c r="AB106" s="35"/>
      <c r="AC106" s="35">
        <f ca="1">IF(AC47&lt;&gt;"", AC47-'246'!AC47-$AQ$123,"")</f>
        <v>3.883200107753737E-2</v>
      </c>
      <c r="AD106" s="35">
        <f ca="1">IF(AD47&lt;&gt;"", AD47-'246'!AD47-$AQ$123,"")</f>
        <v>4.485600670130907E-2</v>
      </c>
      <c r="AE106" s="35"/>
      <c r="AF106" s="35"/>
      <c r="AG106" s="35"/>
      <c r="AH106" s="35"/>
      <c r="AI106" s="35"/>
      <c r="AJ106" s="35"/>
      <c r="AK106" s="35"/>
      <c r="AL106" s="35"/>
      <c r="AM106" s="35"/>
      <c r="AN106" s="35"/>
      <c r="AO106" s="35"/>
      <c r="AP106" s="35"/>
      <c r="AQ106" s="21">
        <f t="shared" si="18"/>
        <v>-5.7500000000004547E-2</v>
      </c>
      <c r="AR106" s="21">
        <f t="shared" si="19"/>
        <v>5.7500000000004547E-2</v>
      </c>
      <c r="AV106" s="36">
        <f ca="1">$Q47-'246'!$Q47-$AQ$123</f>
        <v>4.485600670130907E-2</v>
      </c>
      <c r="AW106" s="2"/>
    </row>
    <row r="107" spans="19:49">
      <c r="S107" s="35"/>
      <c r="T107" s="35"/>
      <c r="U107" s="35"/>
      <c r="V107" s="35"/>
      <c r="W107" s="35"/>
      <c r="X107" s="35"/>
      <c r="Y107" s="35"/>
      <c r="Z107" s="35"/>
      <c r="AA107" s="35"/>
      <c r="AB107" s="35"/>
      <c r="AC107" s="35"/>
      <c r="AD107" s="35">
        <f ca="1">IF(AD48&lt;&gt;"", AD48-'246'!AD48-$AQ$123,"")</f>
        <v>4.485600670130907E-2</v>
      </c>
      <c r="AE107" s="35">
        <f ca="1">IF(AE48&lt;&gt;"", AE48-'246'!AE48-$AQ$123,"")</f>
        <v>3.3328006100987295E-2</v>
      </c>
      <c r="AF107" s="35"/>
      <c r="AG107" s="35"/>
      <c r="AH107" s="35"/>
      <c r="AI107" s="35"/>
      <c r="AJ107" s="35"/>
      <c r="AK107" s="35"/>
      <c r="AL107" s="35"/>
      <c r="AM107" s="35"/>
      <c r="AN107" s="35"/>
      <c r="AO107" s="35"/>
      <c r="AP107" s="35"/>
      <c r="AQ107" s="21">
        <f t="shared" si="18"/>
        <v>-5.7500000000004547E-2</v>
      </c>
      <c r="AR107" s="21">
        <f t="shared" si="19"/>
        <v>5.7500000000004547E-2</v>
      </c>
      <c r="AV107" s="36">
        <f ca="1">$Q48-'246'!$Q48-$AQ$123</f>
        <v>3.3328006100987295E-2</v>
      </c>
      <c r="AW107" s="2"/>
    </row>
    <row r="108" spans="19:49">
      <c r="S108" s="35"/>
      <c r="T108" s="35"/>
      <c r="U108" s="35"/>
      <c r="V108" s="35"/>
      <c r="W108" s="35"/>
      <c r="X108" s="35"/>
      <c r="Y108" s="35"/>
      <c r="Z108" s="35"/>
      <c r="AA108" s="35"/>
      <c r="AB108" s="35"/>
      <c r="AC108" s="35"/>
      <c r="AD108" s="35"/>
      <c r="AE108" s="35">
        <f ca="1">IF(AE49&lt;&gt;"", AE49-'246'!AE49-$AQ$123,"")</f>
        <v>3.3328006100987295E-2</v>
      </c>
      <c r="AF108" s="35">
        <f ca="1">IF(AF49&lt;&gt;"", AF49-'246'!AF49-$AQ$123,"")</f>
        <v>1.574396549017365E-2</v>
      </c>
      <c r="AG108" s="35"/>
      <c r="AH108" s="35"/>
      <c r="AI108" s="35"/>
      <c r="AJ108" s="35"/>
      <c r="AK108" s="35"/>
      <c r="AL108" s="35"/>
      <c r="AM108" s="35"/>
      <c r="AN108" s="35"/>
      <c r="AO108" s="35"/>
      <c r="AP108" s="35"/>
      <c r="AQ108" s="21">
        <f t="shared" si="18"/>
        <v>-5.7500000000004547E-2</v>
      </c>
      <c r="AR108" s="21">
        <f t="shared" si="19"/>
        <v>5.7500000000004547E-2</v>
      </c>
      <c r="AV108" s="36">
        <f ca="1">$Q49-'246'!$Q49-$AQ$123</f>
        <v>1.574396549017365E-2</v>
      </c>
      <c r="AW108" s="2"/>
    </row>
    <row r="109" spans="19:49">
      <c r="S109" s="35"/>
      <c r="T109" s="35"/>
      <c r="U109" s="35"/>
      <c r="V109" s="35"/>
      <c r="W109" s="35"/>
      <c r="X109" s="35"/>
      <c r="Y109" s="35"/>
      <c r="Z109" s="35"/>
      <c r="AA109" s="35"/>
      <c r="AB109" s="35"/>
      <c r="AC109" s="35"/>
      <c r="AD109" s="35"/>
      <c r="AE109" s="35"/>
      <c r="AF109" s="35">
        <f ca="1">IF(AF50&lt;&gt;"", AF50-'246'!AF50-$AQ$123,"")</f>
        <v>1.574396549017365E-2</v>
      </c>
      <c r="AG109" s="35">
        <f ca="1">IF(AG50&lt;&gt;"", AG50-'246'!AG50-$AQ$123,"")</f>
        <v>6.9918773501171927E-3</v>
      </c>
      <c r="AH109" s="35"/>
      <c r="AI109" s="35"/>
      <c r="AJ109" s="35"/>
      <c r="AK109" s="35"/>
      <c r="AL109" s="35"/>
      <c r="AM109" s="35"/>
      <c r="AN109" s="35"/>
      <c r="AO109" s="35"/>
      <c r="AP109" s="35"/>
      <c r="AQ109" s="21">
        <f t="shared" si="18"/>
        <v>-5.7500000000004547E-2</v>
      </c>
      <c r="AR109" s="21">
        <f t="shared" si="19"/>
        <v>5.7500000000004547E-2</v>
      </c>
      <c r="AV109" s="36">
        <f ca="1">$Q50-'246'!$Q50-$AQ$123</f>
        <v>6.9918773501171927E-3</v>
      </c>
      <c r="AW109" s="2"/>
    </row>
    <row r="110" spans="19:49">
      <c r="S110" s="35"/>
      <c r="T110" s="35"/>
      <c r="U110" s="35"/>
      <c r="V110" s="35"/>
      <c r="W110" s="35"/>
      <c r="X110" s="35"/>
      <c r="Y110" s="35"/>
      <c r="Z110" s="35"/>
      <c r="AA110" s="35"/>
      <c r="AB110" s="35"/>
      <c r="AC110" s="35"/>
      <c r="AD110" s="35"/>
      <c r="AE110" s="35"/>
      <c r="AF110" s="35"/>
      <c r="AG110" s="35">
        <f ca="1">IF(AG51&lt;&gt;"", AG51-'246'!AG51-$AQ$123,"")</f>
        <v>6.9918773501171927E-3</v>
      </c>
      <c r="AH110" s="35">
        <f ca="1">IF(AH51&lt;&gt;"", AH51-'246'!AH51-$AQ$123,"")</f>
        <v>1.6823887007262783E-2</v>
      </c>
      <c r="AI110" s="35"/>
      <c r="AJ110" s="35"/>
      <c r="AK110" s="35"/>
      <c r="AL110" s="35"/>
      <c r="AM110" s="35"/>
      <c r="AN110" s="35"/>
      <c r="AO110" s="35"/>
      <c r="AP110" s="35"/>
      <c r="AQ110" s="21">
        <f t="shared" si="18"/>
        <v>-5.7500000000004547E-2</v>
      </c>
      <c r="AR110" s="21">
        <f t="shared" si="19"/>
        <v>5.7500000000004547E-2</v>
      </c>
      <c r="AV110" s="36">
        <f ca="1">$Q51-'246'!$Q51-$AQ$123</f>
        <v>1.6823887007262783E-2</v>
      </c>
      <c r="AW110" s="2"/>
    </row>
    <row r="111" spans="19:49">
      <c r="S111" s="35"/>
      <c r="T111" s="35"/>
      <c r="U111" s="35"/>
      <c r="V111" s="35"/>
      <c r="W111" s="35"/>
      <c r="X111" s="35"/>
      <c r="Y111" s="35"/>
      <c r="Z111" s="35"/>
      <c r="AA111" s="35"/>
      <c r="AB111" s="35"/>
      <c r="AC111" s="35"/>
      <c r="AD111" s="35"/>
      <c r="AE111" s="35"/>
      <c r="AF111" s="35"/>
      <c r="AG111" s="35"/>
      <c r="AH111" s="35">
        <f ca="1">IF(AH52&lt;&gt;"", AH52-'246'!AH52-$AQ$123,"")</f>
        <v>1.6823887007262783E-2</v>
      </c>
      <c r="AI111" s="35">
        <f ca="1">IF(AI52&lt;&gt;"", AI52-'246'!AI52-$AQ$123,"")</f>
        <v>3.4679973375148165E-2</v>
      </c>
      <c r="AJ111" s="35"/>
      <c r="AK111" s="35"/>
      <c r="AL111" s="35"/>
      <c r="AM111" s="35"/>
      <c r="AN111" s="35"/>
      <c r="AO111" s="35"/>
      <c r="AP111" s="35"/>
      <c r="AQ111" s="21">
        <f t="shared" si="18"/>
        <v>-5.7500000000004547E-2</v>
      </c>
      <c r="AR111" s="21">
        <f t="shared" si="19"/>
        <v>5.7500000000004547E-2</v>
      </c>
      <c r="AV111" s="36">
        <f ca="1">$Q52-'246'!$Q52-$AQ$123</f>
        <v>3.4679973375148165E-2</v>
      </c>
      <c r="AW111" s="2"/>
    </row>
    <row r="112" spans="19:49">
      <c r="S112" s="35"/>
      <c r="T112" s="35"/>
      <c r="U112" s="35"/>
      <c r="V112" s="35"/>
      <c r="W112" s="35"/>
      <c r="X112" s="35"/>
      <c r="Y112" s="35"/>
      <c r="Z112" s="35"/>
      <c r="AA112" s="35"/>
      <c r="AB112" s="35"/>
      <c r="AC112" s="35"/>
      <c r="AD112" s="35"/>
      <c r="AE112" s="35"/>
      <c r="AF112" s="35"/>
      <c r="AG112" s="35"/>
      <c r="AH112" s="35"/>
      <c r="AI112" s="35">
        <f ca="1">IF(AI53&lt;&gt;"", AI53-'246'!AI53-$AQ$123,"")</f>
        <v>3.4679973375148165E-2</v>
      </c>
      <c r="AJ112" s="35">
        <f ca="1">IF(AJ53&lt;&gt;"", AJ53-'246'!AJ53-$AQ$123,"")</f>
        <v>4.1489330925458034E-2</v>
      </c>
      <c r="AK112" s="35"/>
      <c r="AL112" s="35"/>
      <c r="AM112" s="35"/>
      <c r="AN112" s="35"/>
      <c r="AO112" s="35"/>
      <c r="AP112" s="35"/>
      <c r="AQ112" s="21">
        <f t="shared" si="18"/>
        <v>-5.7500000000004547E-2</v>
      </c>
      <c r="AR112" s="21">
        <f t="shared" si="19"/>
        <v>5.7500000000004547E-2</v>
      </c>
      <c r="AV112" s="36">
        <f ca="1">$Q53-'246'!$Q53-$AQ$123</f>
        <v>4.1489330925458034E-2</v>
      </c>
      <c r="AW112" s="2"/>
    </row>
    <row r="113" spans="19:49">
      <c r="S113" s="35"/>
      <c r="T113" s="35"/>
      <c r="U113" s="35"/>
      <c r="V113" s="35"/>
      <c r="W113" s="35"/>
      <c r="X113" s="35"/>
      <c r="Y113" s="35"/>
      <c r="Z113" s="35"/>
      <c r="AA113" s="35"/>
      <c r="AB113" s="35"/>
      <c r="AC113" s="35"/>
      <c r="AD113" s="35"/>
      <c r="AE113" s="35"/>
      <c r="AF113" s="35"/>
      <c r="AG113" s="35"/>
      <c r="AH113" s="35"/>
      <c r="AI113" s="35"/>
      <c r="AJ113" s="35">
        <f ca="1">IF(AJ54&lt;&gt;"", AJ54-'246'!AJ54-$AQ$123,"")</f>
        <v>4.1489330925458034E-2</v>
      </c>
      <c r="AK113" s="35">
        <f ca="1">IF(AK54&lt;&gt;"", AK54-'246'!AK54-$AQ$123,"")</f>
        <v>3.8775997774166626E-2</v>
      </c>
      <c r="AL113" s="35"/>
      <c r="AM113" s="35"/>
      <c r="AN113" s="35"/>
      <c r="AO113" s="35"/>
      <c r="AP113" s="35"/>
      <c r="AQ113" s="21">
        <f t="shared" si="18"/>
        <v>-5.7500000000004547E-2</v>
      </c>
      <c r="AR113" s="21">
        <f t="shared" si="19"/>
        <v>5.7500000000004547E-2</v>
      </c>
      <c r="AV113" s="36">
        <f ca="1">$Q54-'246'!$Q54-$AQ$123</f>
        <v>3.8775997774166626E-2</v>
      </c>
      <c r="AW113" s="2"/>
    </row>
    <row r="114" spans="19:49">
      <c r="S114" s="35"/>
      <c r="T114" s="35"/>
      <c r="U114" s="35"/>
      <c r="V114" s="35"/>
      <c r="W114" s="35"/>
      <c r="X114" s="35"/>
      <c r="Y114" s="35"/>
      <c r="Z114" s="35"/>
      <c r="AA114" s="35"/>
      <c r="AB114" s="35"/>
      <c r="AC114" s="35"/>
      <c r="AD114" s="35"/>
      <c r="AE114" s="35"/>
      <c r="AF114" s="35"/>
      <c r="AG114" s="35"/>
      <c r="AH114" s="35"/>
      <c r="AI114" s="35"/>
      <c r="AJ114" s="35"/>
      <c r="AK114" s="35">
        <f ca="1">IF(AK55&lt;&gt;"", AK55-'246'!AK55-$AQ$123,"")</f>
        <v>3.8775997774166626E-2</v>
      </c>
      <c r="AL114" s="35">
        <f ca="1">IF(AL55&lt;&gt;"", AL55-'246'!AL55-$AQ$123,"")</f>
        <v>2.2226668193241039E-2</v>
      </c>
      <c r="AM114" s="35"/>
      <c r="AN114" s="35"/>
      <c r="AO114" s="35"/>
      <c r="AP114" s="35"/>
      <c r="AQ114" s="21">
        <f t="shared" si="18"/>
        <v>-5.7500000000004547E-2</v>
      </c>
      <c r="AR114" s="21">
        <f t="shared" si="19"/>
        <v>5.7500000000004547E-2</v>
      </c>
      <c r="AV114" s="36">
        <f ca="1">$Q55-'246'!$Q55-$AQ$123</f>
        <v>2.2226668193241039E-2</v>
      </c>
      <c r="AW114" s="2"/>
    </row>
    <row r="115" spans="19:49">
      <c r="S115" s="35"/>
      <c r="T115" s="35"/>
      <c r="U115" s="35"/>
      <c r="V115" s="35"/>
      <c r="W115" s="35"/>
      <c r="X115" s="35"/>
      <c r="Y115" s="35"/>
      <c r="Z115" s="35"/>
      <c r="AA115" s="35"/>
      <c r="AB115" s="35"/>
      <c r="AC115" s="35"/>
      <c r="AD115" s="35"/>
      <c r="AE115" s="35"/>
      <c r="AF115" s="35"/>
      <c r="AG115" s="35"/>
      <c r="AH115" s="35"/>
      <c r="AI115" s="35"/>
      <c r="AJ115" s="35"/>
      <c r="AK115" s="35"/>
      <c r="AL115" s="35">
        <f ca="1">IF(AL56&lt;&gt;"", AL56-'246'!AL56-$AQ$123,"")</f>
        <v>2.2226668193241039E-2</v>
      </c>
      <c r="AM115" s="35">
        <f ca="1">IF(AM56&lt;&gt;"", AM56-'246'!AM56-$AQ$123,"")</f>
        <v>-8.6506594797697289E-3</v>
      </c>
      <c r="AN115" s="35"/>
      <c r="AO115" s="35"/>
      <c r="AP115" s="35"/>
      <c r="AQ115" s="21">
        <f t="shared" si="18"/>
        <v>-5.7500000000004547E-2</v>
      </c>
      <c r="AR115" s="21">
        <f t="shared" si="19"/>
        <v>5.7500000000004547E-2</v>
      </c>
      <c r="AV115" s="36">
        <f ca="1">$Q56-'246'!$Q56-$AQ$123</f>
        <v>-8.6506594797697289E-3</v>
      </c>
      <c r="AW115" s="2"/>
    </row>
    <row r="116" spans="19:49">
      <c r="S116" s="35"/>
      <c r="T116" s="35"/>
      <c r="U116" s="35"/>
      <c r="V116" s="35"/>
      <c r="W116" s="35"/>
      <c r="X116" s="35"/>
      <c r="Y116" s="35"/>
      <c r="Z116" s="35"/>
      <c r="AA116" s="35"/>
      <c r="AB116" s="35"/>
      <c r="AC116" s="35"/>
      <c r="AD116" s="35"/>
      <c r="AE116" s="35"/>
      <c r="AF116" s="35"/>
      <c r="AG116" s="35"/>
      <c r="AH116" s="35"/>
      <c r="AI116" s="35"/>
      <c r="AJ116" s="35"/>
      <c r="AK116" s="35"/>
      <c r="AL116" s="35"/>
      <c r="AM116" s="35">
        <f ca="1">IF(AM57&lt;&gt;"", AM57-'246'!AM57-$AQ$123,"")</f>
        <v>-8.6506594797697289E-3</v>
      </c>
      <c r="AN116" s="35">
        <f ca="1">IF(AN57&lt;&gt;"", AN57-'246'!AN57-$AQ$123,"")</f>
        <v>-2.4311992079731226E-2</v>
      </c>
      <c r="AO116" s="35"/>
      <c r="AP116" s="35"/>
      <c r="AQ116" s="21">
        <f t="shared" si="18"/>
        <v>-5.7500000000004547E-2</v>
      </c>
      <c r="AR116" s="21">
        <f t="shared" si="19"/>
        <v>5.7500000000004547E-2</v>
      </c>
      <c r="AV116" s="36">
        <f ca="1">$Q57-'246'!$Q57-$AQ$123</f>
        <v>-2.4311992079731226E-2</v>
      </c>
      <c r="AW116" s="2"/>
    </row>
    <row r="117" spans="19:49">
      <c r="S117" s="35"/>
      <c r="T117" s="35"/>
      <c r="U117" s="35"/>
      <c r="V117" s="35"/>
      <c r="W117" s="35"/>
      <c r="X117" s="35"/>
      <c r="Y117" s="35"/>
      <c r="Z117" s="35"/>
      <c r="AA117" s="35"/>
      <c r="AB117" s="35"/>
      <c r="AC117" s="35"/>
      <c r="AD117" s="35"/>
      <c r="AE117" s="35"/>
      <c r="AF117" s="35"/>
      <c r="AG117" s="35"/>
      <c r="AH117" s="35"/>
      <c r="AI117" s="35"/>
      <c r="AJ117" s="35"/>
      <c r="AK117" s="35"/>
      <c r="AL117" s="35"/>
      <c r="AM117" s="35"/>
      <c r="AN117" s="35">
        <f ca="1">IF(AN58&lt;&gt;"", AN58-'246'!AN58-$AQ$123,"")</f>
        <v>-2.4311992079731226E-2</v>
      </c>
      <c r="AO117" s="35">
        <f ca="1">IF(AO58&lt;&gt;"", AO58-'246'!AO58-$AQ$123,"")</f>
        <v>-1.1389331538453007E-2</v>
      </c>
      <c r="AP117" s="35"/>
      <c r="AQ117" s="21">
        <f t="shared" si="18"/>
        <v>-5.7500000000004547E-2</v>
      </c>
      <c r="AR117" s="21">
        <f t="shared" si="19"/>
        <v>5.7500000000004547E-2</v>
      </c>
      <c r="AV117" s="36">
        <f ca="1">$Q58-'246'!$Q58-$AQ$123</f>
        <v>-1.1389331538453007E-2</v>
      </c>
      <c r="AW117" s="2"/>
    </row>
    <row r="118" spans="19:49">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f ca="1">IF(AO59&lt;&gt;"", AO59-'246'!AO59-$AQ$123,"")</f>
        <v>-1.1389331538453007E-2</v>
      </c>
      <c r="AP118" s="39">
        <f ca="1">IF(AP59&lt;&gt;"", AP59-'246'!AP59-$AQ$123,"")</f>
        <v>5.2519976285907433E-3</v>
      </c>
      <c r="AQ118" s="21">
        <f t="shared" si="18"/>
        <v>-5.7500000000004547E-2</v>
      </c>
      <c r="AR118" s="21">
        <f t="shared" si="19"/>
        <v>5.7500000000004547E-2</v>
      </c>
      <c r="AV118" s="36">
        <f ca="1">$Q59-'246'!$Q59-$AQ$123</f>
        <v>5.2519976285907433E-3</v>
      </c>
    </row>
    <row r="120" spans="19:49">
      <c r="AQ120" t="s">
        <v>355</v>
      </c>
      <c r="AR120" t="s">
        <v>356</v>
      </c>
    </row>
    <row r="121" spans="19:49">
      <c r="AQ121">
        <f>AQ36-'246'!AR36</f>
        <v>4.7605000000000359</v>
      </c>
      <c r="AR121">
        <f>AR36-'246'!AQ36</f>
        <v>4.875500000000045</v>
      </c>
    </row>
    <row r="122" spans="19:49">
      <c r="AQ122" t="s">
        <v>357</v>
      </c>
    </row>
    <row r="123" spans="19:49">
      <c r="AQ123">
        <f>AVERAGE(AQ121:AR121)</f>
        <v>4.8180000000000405</v>
      </c>
    </row>
  </sheetData>
  <mergeCells count="2">
    <mergeCell ref="J9:J10"/>
    <mergeCell ref="U9:U10"/>
  </mergeCells>
  <phoneticPr fontId="2"/>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FFC000"/>
  </sheetPr>
  <dimension ref="A2:AR118"/>
  <sheetViews>
    <sheetView zoomScale="70" zoomScaleNormal="70" workbookViewId="0">
      <selection activeCell="M8" sqref="M8"/>
    </sheetView>
  </sheetViews>
  <sheetFormatPr defaultRowHeight="15"/>
  <cols>
    <col min="1" max="1" width="24.42578125" customWidth="1"/>
    <col min="2" max="7" width="9" customWidth="1"/>
    <col min="8" max="8" width="9.140625" customWidth="1"/>
    <col min="10" max="14" width="8.5703125" style="5"/>
  </cols>
  <sheetData>
    <row r="2" spans="1:24">
      <c r="A2" s="1"/>
    </row>
    <row r="3" spans="1:24">
      <c r="A3" s="1"/>
    </row>
    <row r="4" spans="1:24">
      <c r="A4" s="1"/>
      <c r="J4" s="5" t="s">
        <v>377</v>
      </c>
    </row>
    <row r="5" spans="1:24">
      <c r="L5" s="13" t="s">
        <v>1</v>
      </c>
      <c r="M5" s="5">
        <f>AVERAGE(L11:M11)*2</f>
        <v>839.3</v>
      </c>
    </row>
    <row r="6" spans="1:24">
      <c r="L6" s="13" t="s">
        <v>2</v>
      </c>
      <c r="M6" s="13">
        <f>M11*2</f>
        <v>839.62399999999991</v>
      </c>
    </row>
    <row r="7" spans="1:24">
      <c r="A7" s="1"/>
      <c r="L7" s="13" t="s">
        <v>3</v>
      </c>
      <c r="M7" s="13">
        <f>L11*2</f>
        <v>838.976</v>
      </c>
    </row>
    <row r="8" spans="1:24">
      <c r="A8" s="1"/>
    </row>
    <row r="9" spans="1:24">
      <c r="A9" s="1"/>
      <c r="H9" s="5"/>
      <c r="I9" s="134" t="s">
        <v>316</v>
      </c>
      <c r="J9" s="144" t="s">
        <v>378</v>
      </c>
      <c r="K9" s="133" t="s">
        <v>6</v>
      </c>
      <c r="L9" s="133" t="s">
        <v>7</v>
      </c>
      <c r="M9" s="133" t="s">
        <v>8</v>
      </c>
      <c r="P9" s="11" t="s">
        <v>317</v>
      </c>
      <c r="Q9" s="2"/>
      <c r="S9" s="5"/>
      <c r="T9" s="134" t="str">
        <f t="shared" ref="T9:V27" si="0">I9</f>
        <v>Angle</v>
      </c>
      <c r="U9" s="144" t="str">
        <f t="shared" si="0"/>
        <v>246
Position</v>
      </c>
      <c r="V9" s="133" t="s">
        <v>303</v>
      </c>
      <c r="W9" s="133" t="s">
        <v>307</v>
      </c>
      <c r="X9" s="133" t="s">
        <v>308</v>
      </c>
    </row>
    <row r="10" spans="1:24">
      <c r="H10" s="134" t="s">
        <v>318</v>
      </c>
      <c r="I10" s="134" t="s">
        <v>319</v>
      </c>
      <c r="J10" s="145"/>
      <c r="K10" s="133" t="s">
        <v>12</v>
      </c>
      <c r="L10" s="133" t="s">
        <v>12</v>
      </c>
      <c r="M10" s="133" t="s">
        <v>12</v>
      </c>
      <c r="P10" s="11" t="s">
        <v>320</v>
      </c>
      <c r="Q10" s="2"/>
      <c r="S10" s="134" t="str">
        <f t="shared" ref="S10:S27" si="1">H10</f>
        <v>Area#</v>
      </c>
      <c r="T10" s="134" t="str">
        <f t="shared" si="0"/>
        <v>[deg]</v>
      </c>
      <c r="U10" s="145">
        <f t="shared" si="0"/>
        <v>0</v>
      </c>
      <c r="V10" s="133" t="str">
        <f t="shared" si="0"/>
        <v>[mm]</v>
      </c>
      <c r="W10" s="133" t="str">
        <f t="shared" ref="W10:X10" si="2">K10</f>
        <v>[mm]</v>
      </c>
      <c r="X10" s="133" t="str">
        <f t="shared" si="2"/>
        <v>[mm]</v>
      </c>
    </row>
    <row r="11" spans="1:24">
      <c r="A11" s="1"/>
      <c r="H11" s="13">
        <v>1</v>
      </c>
      <c r="I11" s="13">
        <v>0</v>
      </c>
      <c r="J11" s="133">
        <v>1</v>
      </c>
      <c r="K11" s="111">
        <f ca="1">'246'!K11+2.03</f>
        <v>419.65400000119729</v>
      </c>
      <c r="L11" s="15">
        <v>419.488</v>
      </c>
      <c r="M11" s="15">
        <v>419.81199999999995</v>
      </c>
      <c r="P11" s="13">
        <f ca="1">K11+K19</f>
        <v>839.29000000239455</v>
      </c>
      <c r="Q11" s="2"/>
      <c r="S11" s="13">
        <f t="shared" si="1"/>
        <v>1</v>
      </c>
      <c r="T11" s="13">
        <f t="shared" si="0"/>
        <v>0</v>
      </c>
      <c r="U11" s="133">
        <f t="shared" si="0"/>
        <v>1</v>
      </c>
      <c r="V11" s="14">
        <f t="shared" ca="1" si="0"/>
        <v>419.65400000119729</v>
      </c>
      <c r="W11" s="111">
        <f>'246'!W11+2.03</f>
        <v>419.65400000119729</v>
      </c>
      <c r="X11" s="14">
        <f ca="1">W11-V11</f>
        <v>0</v>
      </c>
    </row>
    <row r="12" spans="1:24">
      <c r="A12" s="1"/>
      <c r="H12" s="13">
        <v>2</v>
      </c>
      <c r="I12" s="13">
        <f>I11+360/16</f>
        <v>22.5</v>
      </c>
      <c r="J12" s="133">
        <v>16</v>
      </c>
      <c r="K12" s="111">
        <f ca="1">'246'!K12+2.03</f>
        <v>419.69200000119707</v>
      </c>
      <c r="L12" s="15">
        <v>419.488</v>
      </c>
      <c r="M12" s="15">
        <v>419.81199999999995</v>
      </c>
      <c r="P12" s="13">
        <f t="shared" ref="P12:P18" ca="1" si="3">K12+K20</f>
        <v>839.29300020355788</v>
      </c>
      <c r="Q12" s="2"/>
      <c r="S12" s="13">
        <f t="shared" si="1"/>
        <v>2</v>
      </c>
      <c r="T12" s="13">
        <f t="shared" si="0"/>
        <v>22.5</v>
      </c>
      <c r="U12" s="133">
        <f t="shared" si="0"/>
        <v>16</v>
      </c>
      <c r="V12" s="16">
        <f t="shared" ca="1" si="0"/>
        <v>419.69200000119707</v>
      </c>
      <c r="W12" s="111">
        <f>'246'!W12+2.03</f>
        <v>419.69200000119707</v>
      </c>
      <c r="X12" s="14">
        <f t="shared" ref="X12:X26" ca="1" si="4">W12-V12</f>
        <v>0</v>
      </c>
    </row>
    <row r="13" spans="1:24">
      <c r="A13" s="1"/>
      <c r="H13" s="13">
        <v>3</v>
      </c>
      <c r="I13" s="13">
        <f t="shared" ref="I13:I26" si="5">I12+360/16</f>
        <v>45</v>
      </c>
      <c r="J13" s="133">
        <v>15</v>
      </c>
      <c r="K13" s="111">
        <f ca="1">'246'!K13+2.03</f>
        <v>419.69300000478853</v>
      </c>
      <c r="L13" s="15">
        <v>419.488</v>
      </c>
      <c r="M13" s="15">
        <v>419.81199999999995</v>
      </c>
      <c r="P13" s="13">
        <f t="shared" ca="1" si="3"/>
        <v>839.34700000598582</v>
      </c>
      <c r="Q13" s="2"/>
      <c r="S13" s="13">
        <f t="shared" si="1"/>
        <v>3</v>
      </c>
      <c r="T13" s="13">
        <f t="shared" si="0"/>
        <v>45</v>
      </c>
      <c r="U13" s="133">
        <f t="shared" si="0"/>
        <v>15</v>
      </c>
      <c r="V13" s="16">
        <f t="shared" ca="1" si="0"/>
        <v>419.69300000478853</v>
      </c>
      <c r="W13" s="111">
        <f>'246'!W13+2.03</f>
        <v>419.69300000478853</v>
      </c>
      <c r="X13" s="14">
        <f t="shared" ca="1" si="4"/>
        <v>0</v>
      </c>
    </row>
    <row r="14" spans="1:24">
      <c r="A14" s="1"/>
      <c r="D14" s="1"/>
      <c r="H14" s="13">
        <v>4</v>
      </c>
      <c r="I14" s="13">
        <f t="shared" si="5"/>
        <v>67.5</v>
      </c>
      <c r="J14" s="133">
        <v>14</v>
      </c>
      <c r="K14" s="111">
        <f ca="1">'246'!K14+2.03</f>
        <v>419.66600001915543</v>
      </c>
      <c r="L14" s="15">
        <v>419.488</v>
      </c>
      <c r="M14" s="15">
        <v>419.81199999999995</v>
      </c>
      <c r="P14" s="13">
        <f t="shared" ca="1" si="3"/>
        <v>839.40400002394347</v>
      </c>
      <c r="Q14" s="2"/>
      <c r="S14" s="13">
        <f t="shared" si="1"/>
        <v>4</v>
      </c>
      <c r="T14" s="13">
        <f t="shared" si="0"/>
        <v>67.5</v>
      </c>
      <c r="U14" s="133">
        <f t="shared" si="0"/>
        <v>14</v>
      </c>
      <c r="V14" s="16">
        <f t="shared" ca="1" si="0"/>
        <v>419.66600001915543</v>
      </c>
      <c r="W14" s="111">
        <f>'246'!W14+2.03</f>
        <v>419.66600001915543</v>
      </c>
      <c r="X14" s="14">
        <f t="shared" ca="1" si="4"/>
        <v>0</v>
      </c>
    </row>
    <row r="15" spans="1:24">
      <c r="A15" s="1"/>
      <c r="D15" s="1"/>
      <c r="H15" s="13">
        <v>5</v>
      </c>
      <c r="I15" s="13">
        <f t="shared" si="5"/>
        <v>90</v>
      </c>
      <c r="J15" s="133">
        <v>13</v>
      </c>
      <c r="K15" s="111">
        <f ca="1">'246'!K15+2.03</f>
        <v>419.66700000119721</v>
      </c>
      <c r="L15" s="15">
        <v>419.488</v>
      </c>
      <c r="M15" s="15">
        <v>419.81199999999995</v>
      </c>
      <c r="P15" s="13">
        <f t="shared" ca="1" si="3"/>
        <v>839.40700000239417</v>
      </c>
      <c r="Q15" s="2"/>
      <c r="S15" s="13">
        <f t="shared" si="1"/>
        <v>5</v>
      </c>
      <c r="T15" s="13">
        <f t="shared" si="0"/>
        <v>90</v>
      </c>
      <c r="U15" s="133">
        <f t="shared" si="0"/>
        <v>13</v>
      </c>
      <c r="V15" s="16">
        <f t="shared" ca="1" si="0"/>
        <v>419.66700000119721</v>
      </c>
      <c r="W15" s="111">
        <f>'246'!W15+2.03</f>
        <v>419.66700000119721</v>
      </c>
      <c r="X15" s="14">
        <f t="shared" ca="1" si="4"/>
        <v>0</v>
      </c>
    </row>
    <row r="16" spans="1:24">
      <c r="A16" s="1"/>
      <c r="D16" s="1"/>
      <c r="H16" s="13">
        <v>6</v>
      </c>
      <c r="I16" s="13">
        <f t="shared" si="5"/>
        <v>112.5</v>
      </c>
      <c r="J16" s="133">
        <v>12</v>
      </c>
      <c r="K16" s="111">
        <f ca="1">'246'!K16+2.03</f>
        <v>419.68800000119711</v>
      </c>
      <c r="L16" s="15">
        <v>419.488</v>
      </c>
      <c r="M16" s="15">
        <v>419.81199999999995</v>
      </c>
      <c r="P16" s="13">
        <f t="shared" ca="1" si="3"/>
        <v>839.37200000119708</v>
      </c>
      <c r="Q16" s="2"/>
      <c r="S16" s="13">
        <f t="shared" si="1"/>
        <v>6</v>
      </c>
      <c r="T16" s="13">
        <f t="shared" si="0"/>
        <v>112.5</v>
      </c>
      <c r="U16" s="133">
        <f t="shared" si="0"/>
        <v>12</v>
      </c>
      <c r="V16" s="16">
        <f t="shared" ca="1" si="0"/>
        <v>419.68800000119711</v>
      </c>
      <c r="W16" s="111">
        <f>'246'!W16+2.03</f>
        <v>419.68800000119711</v>
      </c>
      <c r="X16" s="14">
        <f t="shared" ca="1" si="4"/>
        <v>0</v>
      </c>
    </row>
    <row r="17" spans="1:44">
      <c r="A17" s="1"/>
      <c r="D17" s="1"/>
      <c r="H17" s="13">
        <v>7</v>
      </c>
      <c r="I17" s="13">
        <f t="shared" si="5"/>
        <v>135</v>
      </c>
      <c r="J17" s="133">
        <v>11</v>
      </c>
      <c r="K17" s="111">
        <f ca="1">'246'!K17+2.03</f>
        <v>419.67200000119715</v>
      </c>
      <c r="L17" s="15">
        <v>419.488</v>
      </c>
      <c r="M17" s="15">
        <v>419.81199999999995</v>
      </c>
      <c r="P17" s="13">
        <f t="shared" ca="1" si="3"/>
        <v>839.26200000239464</v>
      </c>
      <c r="Q17" s="2"/>
      <c r="S17" s="13">
        <f t="shared" si="1"/>
        <v>7</v>
      </c>
      <c r="T17" s="13">
        <f t="shared" si="0"/>
        <v>135</v>
      </c>
      <c r="U17" s="133">
        <f t="shared" si="0"/>
        <v>11</v>
      </c>
      <c r="V17" s="16">
        <f t="shared" ca="1" si="0"/>
        <v>419.67200000119715</v>
      </c>
      <c r="W17" s="111">
        <f>'246'!W17+2.03</f>
        <v>419.67200000119715</v>
      </c>
      <c r="X17" s="14">
        <f t="shared" ca="1" si="4"/>
        <v>0</v>
      </c>
    </row>
    <row r="18" spans="1:44">
      <c r="A18" s="1"/>
      <c r="D18" s="1"/>
      <c r="H18" s="13">
        <v>8</v>
      </c>
      <c r="I18" s="13">
        <f t="shared" si="5"/>
        <v>157.5</v>
      </c>
      <c r="J18" s="133">
        <v>10</v>
      </c>
      <c r="K18" s="111">
        <f ca="1">'246'!K18+2.03</f>
        <v>419.67899999999997</v>
      </c>
      <c r="L18" s="15">
        <v>419.488</v>
      </c>
      <c r="M18" s="15">
        <v>419.81199999999995</v>
      </c>
      <c r="P18" s="13">
        <f t="shared" ca="1" si="3"/>
        <v>839.26900001077684</v>
      </c>
      <c r="Q18" s="2"/>
      <c r="S18" s="13">
        <f t="shared" si="1"/>
        <v>8</v>
      </c>
      <c r="T18" s="13">
        <f t="shared" si="0"/>
        <v>157.5</v>
      </c>
      <c r="U18" s="133">
        <f t="shared" si="0"/>
        <v>10</v>
      </c>
      <c r="V18" s="16">
        <f t="shared" ca="1" si="0"/>
        <v>419.67899999999997</v>
      </c>
      <c r="W18" s="111">
        <f>'246'!W18+2.03</f>
        <v>419.67899999999997</v>
      </c>
      <c r="X18" s="14">
        <f t="shared" ca="1" si="4"/>
        <v>0</v>
      </c>
    </row>
    <row r="19" spans="1:44">
      <c r="A19" s="1"/>
      <c r="D19" s="1"/>
      <c r="H19" s="13">
        <v>9</v>
      </c>
      <c r="I19" s="13">
        <f t="shared" si="5"/>
        <v>180</v>
      </c>
      <c r="J19" s="133">
        <v>9</v>
      </c>
      <c r="K19" s="111">
        <f ca="1">'246'!K19+2.03</f>
        <v>419.63600000119726</v>
      </c>
      <c r="L19" s="15">
        <v>419.488</v>
      </c>
      <c r="M19" s="15">
        <v>419.81199999999995</v>
      </c>
      <c r="P19" s="13"/>
      <c r="Q19" s="2"/>
      <c r="S19" s="13">
        <f t="shared" si="1"/>
        <v>9</v>
      </c>
      <c r="T19" s="13">
        <f t="shared" si="0"/>
        <v>180</v>
      </c>
      <c r="U19" s="133">
        <f t="shared" si="0"/>
        <v>9</v>
      </c>
      <c r="V19" s="16">
        <f t="shared" ca="1" si="0"/>
        <v>419.63600000119726</v>
      </c>
      <c r="W19" s="111">
        <f>'246'!W19+2.03</f>
        <v>419.63600000119726</v>
      </c>
      <c r="X19" s="14">
        <f t="shared" ca="1" si="4"/>
        <v>0</v>
      </c>
    </row>
    <row r="20" spans="1:44">
      <c r="A20" s="1"/>
      <c r="D20" s="1"/>
      <c r="H20" s="13">
        <v>10</v>
      </c>
      <c r="I20" s="13">
        <f t="shared" si="5"/>
        <v>202.5</v>
      </c>
      <c r="J20" s="133">
        <v>8</v>
      </c>
      <c r="K20" s="111">
        <f ca="1">'246'!K20+2.03</f>
        <v>419.60100020236081</v>
      </c>
      <c r="L20" s="15">
        <v>419.488</v>
      </c>
      <c r="M20" s="15">
        <v>419.81199999999995</v>
      </c>
      <c r="P20" s="13">
        <f ca="1">MAX(P11:P18)</f>
        <v>839.40700000239417</v>
      </c>
      <c r="Q20" s="13" t="str">
        <f ca="1">IF(P20&gt;M6, CONCATENATE("O/Max ", TEXT(P20-M6, "0.000")), "-")</f>
        <v>-</v>
      </c>
      <c r="S20" s="13">
        <f t="shared" si="1"/>
        <v>10</v>
      </c>
      <c r="T20" s="13">
        <f t="shared" si="0"/>
        <v>202.5</v>
      </c>
      <c r="U20" s="133">
        <f t="shared" si="0"/>
        <v>8</v>
      </c>
      <c r="V20" s="16">
        <f t="shared" ca="1" si="0"/>
        <v>419.60100020236081</v>
      </c>
      <c r="W20" s="111">
        <f>'246'!W20+2.03</f>
        <v>419.60100020236081</v>
      </c>
      <c r="X20" s="14">
        <f t="shared" ca="1" si="4"/>
        <v>0</v>
      </c>
    </row>
    <row r="21" spans="1:44">
      <c r="A21" s="1"/>
      <c r="D21" s="1"/>
      <c r="H21" s="13">
        <v>11</v>
      </c>
      <c r="I21" s="13">
        <f t="shared" si="5"/>
        <v>225</v>
      </c>
      <c r="J21" s="133">
        <v>7</v>
      </c>
      <c r="K21" s="111">
        <f ca="1">'246'!K21+2.03</f>
        <v>419.65400000119729</v>
      </c>
      <c r="L21" s="15">
        <v>419.488</v>
      </c>
      <c r="M21" s="15">
        <v>419.81199999999995</v>
      </c>
      <c r="P21" s="13">
        <f ca="1">MIN(P11:P18)</f>
        <v>839.26200000239464</v>
      </c>
      <c r="Q21" s="13" t="str">
        <f ca="1">IF(P21&lt;M7, CONCATENATE("U/Min ", TEXT(M7-P21, "0.000")), "-")</f>
        <v>-</v>
      </c>
      <c r="S21" s="13">
        <f t="shared" si="1"/>
        <v>11</v>
      </c>
      <c r="T21" s="13">
        <f t="shared" si="0"/>
        <v>225</v>
      </c>
      <c r="U21" s="133">
        <f t="shared" si="0"/>
        <v>7</v>
      </c>
      <c r="V21" s="16">
        <f t="shared" ca="1" si="0"/>
        <v>419.65400000119729</v>
      </c>
      <c r="W21" s="111">
        <f>'246'!W21+2.03</f>
        <v>419.65400000119729</v>
      </c>
      <c r="X21" s="14">
        <f t="shared" ca="1" si="4"/>
        <v>0</v>
      </c>
    </row>
    <row r="22" spans="1:44">
      <c r="A22" s="1"/>
      <c r="D22" s="1"/>
      <c r="H22" s="13">
        <v>12</v>
      </c>
      <c r="I22" s="13">
        <f t="shared" si="5"/>
        <v>247.5</v>
      </c>
      <c r="J22" s="133">
        <v>6</v>
      </c>
      <c r="K22" s="111">
        <f ca="1">'246'!K22+2.03</f>
        <v>419.73800000478803</v>
      </c>
      <c r="L22" s="15">
        <v>419.488</v>
      </c>
      <c r="M22" s="15">
        <v>419.81199999999995</v>
      </c>
      <c r="S22" s="13">
        <f t="shared" si="1"/>
        <v>12</v>
      </c>
      <c r="T22" s="13">
        <f t="shared" si="0"/>
        <v>247.5</v>
      </c>
      <c r="U22" s="133">
        <f t="shared" si="0"/>
        <v>6</v>
      </c>
      <c r="V22" s="16">
        <f t="shared" ca="1" si="0"/>
        <v>419.73800000478803</v>
      </c>
      <c r="W22" s="111">
        <f>'246'!W22+2.03</f>
        <v>419.73800000478803</v>
      </c>
      <c r="X22" s="14">
        <f t="shared" ca="1" si="4"/>
        <v>0</v>
      </c>
    </row>
    <row r="23" spans="1:44">
      <c r="A23" s="1"/>
      <c r="D23" s="1"/>
      <c r="H23" s="13">
        <v>13</v>
      </c>
      <c r="I23" s="13">
        <f t="shared" si="5"/>
        <v>270</v>
      </c>
      <c r="J23" s="133">
        <v>5</v>
      </c>
      <c r="K23" s="111">
        <f ca="1">'246'!K23+2.03</f>
        <v>419.74000000119696</v>
      </c>
      <c r="L23" s="15">
        <v>419.488</v>
      </c>
      <c r="M23" s="15">
        <v>419.81199999999995</v>
      </c>
      <c r="S23" s="13">
        <f t="shared" si="1"/>
        <v>13</v>
      </c>
      <c r="T23" s="13">
        <f t="shared" si="0"/>
        <v>270</v>
      </c>
      <c r="U23" s="133">
        <f t="shared" si="0"/>
        <v>5</v>
      </c>
      <c r="V23" s="16">
        <f t="shared" ca="1" si="0"/>
        <v>419.74000000119696</v>
      </c>
      <c r="W23" s="111">
        <f>'246'!W23+2.03</f>
        <v>419.74000000119696</v>
      </c>
      <c r="X23" s="14">
        <f t="shared" ca="1" si="4"/>
        <v>0</v>
      </c>
    </row>
    <row r="24" spans="1:44">
      <c r="A24" s="1"/>
      <c r="D24" s="1"/>
      <c r="H24" s="13">
        <v>14</v>
      </c>
      <c r="I24" s="13">
        <f t="shared" si="5"/>
        <v>292.5</v>
      </c>
      <c r="J24" s="133">
        <v>4</v>
      </c>
      <c r="K24" s="111">
        <f ca="1">'246'!K24+2.03</f>
        <v>419.68399999999997</v>
      </c>
      <c r="L24" s="15">
        <v>419.488</v>
      </c>
      <c r="M24" s="15">
        <v>419.81199999999995</v>
      </c>
      <c r="S24" s="13">
        <f t="shared" si="1"/>
        <v>14</v>
      </c>
      <c r="T24" s="13">
        <f t="shared" si="0"/>
        <v>292.5</v>
      </c>
      <c r="U24" s="133">
        <f t="shared" si="0"/>
        <v>4</v>
      </c>
      <c r="V24" s="16">
        <f t="shared" ca="1" si="0"/>
        <v>419.68399999999997</v>
      </c>
      <c r="W24" s="111">
        <f>'246'!W24+2.03</f>
        <v>419.68399999999997</v>
      </c>
      <c r="X24" s="14">
        <f t="shared" ca="1" si="4"/>
        <v>0</v>
      </c>
    </row>
    <row r="25" spans="1:44">
      <c r="A25" s="1"/>
      <c r="D25" s="1"/>
      <c r="H25" s="13">
        <v>15</v>
      </c>
      <c r="I25" s="13">
        <f t="shared" si="5"/>
        <v>315</v>
      </c>
      <c r="J25" s="133">
        <v>3</v>
      </c>
      <c r="K25" s="111">
        <f ca="1">'246'!K25+2.03</f>
        <v>419.59000000119744</v>
      </c>
      <c r="L25" s="15">
        <v>419.488</v>
      </c>
      <c r="M25" s="15">
        <v>419.81199999999995</v>
      </c>
      <c r="S25" s="13">
        <f t="shared" si="1"/>
        <v>15</v>
      </c>
      <c r="T25" s="13">
        <f t="shared" si="0"/>
        <v>315</v>
      </c>
      <c r="U25" s="133">
        <f t="shared" si="0"/>
        <v>3</v>
      </c>
      <c r="V25" s="16">
        <f t="shared" ca="1" si="0"/>
        <v>419.59000000119744</v>
      </c>
      <c r="W25" s="111">
        <f>'246'!W25+2.03</f>
        <v>419.59000000119744</v>
      </c>
      <c r="X25" s="14">
        <f t="shared" ca="1" si="4"/>
        <v>0</v>
      </c>
    </row>
    <row r="26" spans="1:44">
      <c r="A26" s="1"/>
      <c r="D26" s="1"/>
      <c r="H26" s="13">
        <v>16</v>
      </c>
      <c r="I26" s="13">
        <f t="shared" si="5"/>
        <v>337.5</v>
      </c>
      <c r="J26" s="133">
        <v>2</v>
      </c>
      <c r="K26" s="111">
        <f ca="1">'246'!K26+2.03</f>
        <v>419.59000001077686</v>
      </c>
      <c r="L26" s="15">
        <v>419.488</v>
      </c>
      <c r="M26" s="15">
        <v>419.81199999999995</v>
      </c>
      <c r="S26" s="13">
        <f t="shared" si="1"/>
        <v>16</v>
      </c>
      <c r="T26" s="13">
        <f t="shared" si="0"/>
        <v>337.5</v>
      </c>
      <c r="U26" s="133">
        <f t="shared" si="0"/>
        <v>2</v>
      </c>
      <c r="V26" s="16">
        <f t="shared" ca="1" si="0"/>
        <v>419.59000001077686</v>
      </c>
      <c r="W26" s="111">
        <f>'246'!W26+2.03</f>
        <v>419.59000001077686</v>
      </c>
      <c r="X26" s="14">
        <f t="shared" ca="1" si="4"/>
        <v>0</v>
      </c>
    </row>
    <row r="27" spans="1:44">
      <c r="A27" s="1"/>
      <c r="D27" s="1"/>
      <c r="H27" s="13">
        <v>17</v>
      </c>
      <c r="I27" s="13">
        <v>360</v>
      </c>
      <c r="J27" s="133">
        <v>1</v>
      </c>
      <c r="K27" s="15">
        <f ca="1">K11</f>
        <v>419.65400000119729</v>
      </c>
      <c r="S27" s="13">
        <f t="shared" si="1"/>
        <v>17</v>
      </c>
      <c r="T27" s="13">
        <f t="shared" si="0"/>
        <v>360</v>
      </c>
      <c r="U27" s="133">
        <f t="shared" si="0"/>
        <v>1</v>
      </c>
      <c r="V27" s="15"/>
      <c r="W27" s="15"/>
      <c r="X27" s="15"/>
    </row>
    <row r="28" spans="1:44">
      <c r="A28" s="1"/>
      <c r="D28" s="1"/>
      <c r="J28" s="133" t="s">
        <v>321</v>
      </c>
      <c r="K28" s="5">
        <f ca="1">MAX(K11:K26)</f>
        <v>419.74000000119696</v>
      </c>
      <c r="L28" s="15" t="s">
        <v>322</v>
      </c>
      <c r="M28" s="15" t="str">
        <f ca="1">IF(K28&gt;M26, K28-M26, "-")</f>
        <v>-</v>
      </c>
      <c r="U28" s="133" t="s">
        <v>321</v>
      </c>
      <c r="V28" s="15">
        <f ca="1">MAX(V11:V26)</f>
        <v>419.74000000119696</v>
      </c>
      <c r="W28" s="15">
        <f>MAX(W11:W26)</f>
        <v>419.74000000119696</v>
      </c>
      <c r="X28" s="15">
        <f ca="1">MAX(X11:X26)</f>
        <v>0</v>
      </c>
      <c r="Y28">
        <f ca="1">INDEX(U$11:U$26,MATCH(X28,X$11:X$26,0))</f>
        <v>1</v>
      </c>
    </row>
    <row r="29" spans="1:44">
      <c r="A29" s="1"/>
      <c r="D29" s="1"/>
      <c r="J29" s="133" t="s">
        <v>323</v>
      </c>
      <c r="K29" s="15">
        <f ca="1">MIN(K11:K26)</f>
        <v>419.59000000119744</v>
      </c>
      <c r="L29" s="15" t="s">
        <v>324</v>
      </c>
      <c r="M29" s="15" t="str">
        <f ca="1">IF(K29&lt;L26, K29-L26, "-")</f>
        <v>-</v>
      </c>
      <c r="U29" s="133" t="s">
        <v>323</v>
      </c>
      <c r="V29" s="15">
        <f ca="1">MIN(V11:V26)</f>
        <v>419.59000000119744</v>
      </c>
      <c r="W29" s="15">
        <f>MIN(W11:W26)</f>
        <v>419.59000000119744</v>
      </c>
      <c r="X29" s="15">
        <f ca="1">MIN(X11:X26)</f>
        <v>0</v>
      </c>
      <c r="Y29">
        <f ca="1">INDEX(U$11:U$26,MATCH(X29,X$11:X$26,0))</f>
        <v>1</v>
      </c>
    </row>
    <row r="30" spans="1:44">
      <c r="A30" s="1"/>
      <c r="D30" s="1"/>
      <c r="J30" s="17" t="s">
        <v>325</v>
      </c>
      <c r="K30" s="16">
        <f ca="1">AVERAGE(K11:K26)*2</f>
        <v>839.33050003158041</v>
      </c>
      <c r="L30" s="15"/>
      <c r="M30" s="15" t="str">
        <f ca="1">IF(K30&gt;M6, "O/Max "&amp;TEXT(K30-M6, "0.000"), IF(K30&lt;M7, "U/Min "&amp;TEXT(M7-K30, "0.000"), "-"))</f>
        <v>-</v>
      </c>
    </row>
    <row r="31" spans="1:44">
      <c r="A31" s="1"/>
      <c r="D31" s="1"/>
      <c r="J31" s="133" t="s">
        <v>326</v>
      </c>
      <c r="K31" s="18">
        <f ca="1">K28-K29</f>
        <v>0.14999999999952252</v>
      </c>
      <c r="L31" s="15"/>
      <c r="M31" s="15"/>
      <c r="N31" s="5" t="s">
        <v>327</v>
      </c>
    </row>
    <row r="32" spans="1:44">
      <c r="A32" s="1"/>
      <c r="D32" s="1"/>
      <c r="J32" s="13"/>
      <c r="K32" s="13"/>
      <c r="L32" s="13"/>
      <c r="M32" s="13"/>
      <c r="N32" s="13"/>
      <c r="O32" s="2"/>
      <c r="P32" s="2"/>
      <c r="Q32" s="2"/>
      <c r="R32" s="2"/>
      <c r="S32" s="34" t="s">
        <v>379</v>
      </c>
      <c r="T32" s="2"/>
      <c r="U32" s="2"/>
      <c r="V32" s="2"/>
      <c r="W32" s="2"/>
      <c r="X32" s="2"/>
      <c r="Y32" s="2"/>
      <c r="Z32" s="2"/>
      <c r="AA32" s="2"/>
      <c r="AB32" s="2"/>
      <c r="AC32" s="2"/>
      <c r="AD32" s="2"/>
      <c r="AE32" s="2"/>
      <c r="AF32" s="2"/>
      <c r="AG32" s="2"/>
      <c r="AH32" s="2"/>
      <c r="AI32" s="2"/>
      <c r="AJ32" s="2"/>
      <c r="AK32" s="2"/>
      <c r="AL32" s="2"/>
      <c r="AM32" s="2"/>
      <c r="AN32" s="2"/>
      <c r="AO32" s="2"/>
      <c r="AP32" s="2"/>
      <c r="AQ32" s="2"/>
      <c r="AR32" s="2"/>
    </row>
    <row r="33" spans="1:44">
      <c r="A33" s="1"/>
      <c r="D33" s="1"/>
      <c r="J33" s="5" t="s">
        <v>380</v>
      </c>
      <c r="M33" s="5" t="s">
        <v>328</v>
      </c>
      <c r="N33" s="5">
        <f>360/24</f>
        <v>15</v>
      </c>
      <c r="O33" s="134" t="s">
        <v>329</v>
      </c>
      <c r="P33" s="5" t="s">
        <v>330</v>
      </c>
      <c r="Q33" s="5">
        <v>-6.36</v>
      </c>
      <c r="R33" s="134" t="s">
        <v>329</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v>24</v>
      </c>
      <c r="AQ33" s="5"/>
      <c r="AR33" s="5"/>
    </row>
    <row r="34" spans="1:44">
      <c r="A34" s="1"/>
      <c r="D34" s="1"/>
      <c r="K34" s="134" t="s">
        <v>331</v>
      </c>
      <c r="M34" s="134" t="s">
        <v>332</v>
      </c>
      <c r="N34" s="134" t="s">
        <v>333</v>
      </c>
      <c r="O34" s="134" t="s">
        <v>334</v>
      </c>
      <c r="P34" s="134" t="s">
        <v>335</v>
      </c>
      <c r="Q34" s="134" t="s">
        <v>336</v>
      </c>
      <c r="R34" s="5"/>
      <c r="S34" s="20" t="str">
        <f ca="1">CONCATENATE($S$32, "#", OFFSET($J$35, S33, 0))</f>
        <v>Stg.4 Shroud Fwd#1</v>
      </c>
      <c r="T34" s="20" t="str">
        <f t="shared" ref="T34:AP34" ca="1" si="6">CONCATENATE($S$32, "#", OFFSET($J$35, T33, 0))</f>
        <v>Stg.4 Shroud Fwd#24</v>
      </c>
      <c r="U34" s="20" t="str">
        <f t="shared" ca="1" si="6"/>
        <v>Stg.4 Shroud Fwd#23</v>
      </c>
      <c r="V34" s="20" t="str">
        <f t="shared" ca="1" si="6"/>
        <v>Stg.4 Shroud Fwd#22</v>
      </c>
      <c r="W34" s="20" t="str">
        <f t="shared" ca="1" si="6"/>
        <v>Stg.4 Shroud Fwd#21</v>
      </c>
      <c r="X34" s="20" t="str">
        <f t="shared" ca="1" si="6"/>
        <v>Stg.4 Shroud Fwd#20</v>
      </c>
      <c r="Y34" s="20" t="str">
        <f t="shared" ca="1" si="6"/>
        <v>Stg.4 Shroud Fwd#19</v>
      </c>
      <c r="Z34" s="20" t="str">
        <f t="shared" ca="1" si="6"/>
        <v>Stg.4 Shroud Fwd#18</v>
      </c>
      <c r="AA34" s="20" t="str">
        <f t="shared" ca="1" si="6"/>
        <v>Stg.4 Shroud Fwd#17</v>
      </c>
      <c r="AB34" s="20" t="str">
        <f t="shared" ca="1" si="6"/>
        <v>Stg.4 Shroud Fwd#16</v>
      </c>
      <c r="AC34" s="20" t="str">
        <f t="shared" ca="1" si="6"/>
        <v>Stg.4 Shroud Fwd#15</v>
      </c>
      <c r="AD34" s="20" t="str">
        <f t="shared" ca="1" si="6"/>
        <v>Stg.4 Shroud Fwd#14</v>
      </c>
      <c r="AE34" s="20" t="str">
        <f t="shared" ca="1" si="6"/>
        <v>Stg.4 Shroud Fwd#13</v>
      </c>
      <c r="AF34" s="20" t="str">
        <f t="shared" ca="1" si="6"/>
        <v>Stg.4 Shroud Fwd#12</v>
      </c>
      <c r="AG34" s="20" t="str">
        <f t="shared" ca="1" si="6"/>
        <v>Stg.4 Shroud Fwd#11</v>
      </c>
      <c r="AH34" s="20" t="str">
        <f t="shared" ca="1" si="6"/>
        <v>Stg.4 Shroud Fwd#10</v>
      </c>
      <c r="AI34" s="20" t="str">
        <f t="shared" ca="1" si="6"/>
        <v>Stg.4 Shroud Fwd#9</v>
      </c>
      <c r="AJ34" s="20" t="str">
        <f t="shared" ca="1" si="6"/>
        <v>Stg.4 Shroud Fwd#8</v>
      </c>
      <c r="AK34" s="20" t="str">
        <f t="shared" ca="1" si="6"/>
        <v>Stg.4 Shroud Fwd#7</v>
      </c>
      <c r="AL34" s="20" t="str">
        <f t="shared" ca="1" si="6"/>
        <v>Stg.4 Shroud Fwd#6</v>
      </c>
      <c r="AM34" s="20" t="str">
        <f t="shared" ca="1" si="6"/>
        <v>Stg.4 Shroud Fwd#5</v>
      </c>
      <c r="AN34" s="20" t="str">
        <f t="shared" ca="1" si="6"/>
        <v>Stg.4 Shroud Fwd#4</v>
      </c>
      <c r="AO34" s="20" t="str">
        <f t="shared" ca="1" si="6"/>
        <v>Stg.4 Shroud Fwd#3</v>
      </c>
      <c r="AP34" s="20" t="str">
        <f t="shared" ca="1" si="6"/>
        <v>Stg.4 Shroud Fwd#2</v>
      </c>
      <c r="AQ34" s="20" t="s">
        <v>337</v>
      </c>
      <c r="AR34" s="20" t="s">
        <v>338</v>
      </c>
    </row>
    <row r="35" spans="1:44">
      <c r="A35" s="1"/>
      <c r="D35" s="1"/>
      <c r="J35" s="134" t="s">
        <v>339</v>
      </c>
      <c r="K35" s="134" t="s">
        <v>319</v>
      </c>
      <c r="L35" s="134" t="s">
        <v>340</v>
      </c>
      <c r="M35" s="134" t="s">
        <v>320</v>
      </c>
      <c r="N35" s="134" t="s">
        <v>341</v>
      </c>
      <c r="O35" s="134" t="s">
        <v>319</v>
      </c>
      <c r="P35" s="134" t="s">
        <v>320</v>
      </c>
      <c r="Q35" s="134" t="s">
        <v>320</v>
      </c>
      <c r="R35" s="5"/>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2" t="s">
        <v>320</v>
      </c>
      <c r="AR35" s="22" t="s">
        <v>320</v>
      </c>
    </row>
    <row r="36" spans="1:44">
      <c r="A36" s="1"/>
      <c r="D36" s="1"/>
      <c r="J36" s="5">
        <v>1</v>
      </c>
      <c r="K36" s="23">
        <f>IF(Q33&lt;0, 360+$Q$33, $Q$33)</f>
        <v>353.64</v>
      </c>
      <c r="L36" s="24">
        <f>MATCH($K36, $I$11:$I$27, 1)</f>
        <v>16</v>
      </c>
      <c r="M36" s="5">
        <f ca="1">VLOOKUP(L36, $H$11:$K$27, 4, FALSE)</f>
        <v>419.59000001077686</v>
      </c>
      <c r="N36" s="25">
        <f ca="1">(VLOOKUP(L36+1, $H$11:$K$27, 4, FALSE) - VLOOKUP(L36, $H$11:$K$27, 4, FALSE))/(VLOOKUP(L36+1, $H$11:$K$27, 2, FALSE) - VLOOKUP(L36, $H$11:$K$27, 2, FALSE))</f>
        <v>2.8444440186856609E-3</v>
      </c>
      <c r="O36" s="26">
        <f>K36-VLOOKUP(L36, $H$11:$I$27, 2, FALSE)</f>
        <v>16.139999999999986</v>
      </c>
      <c r="P36" s="27">
        <f ca="1">M36+N36*O36</f>
        <v>419.63590933723845</v>
      </c>
      <c r="Q36" s="27">
        <f ca="1">(P36+P59)/2</f>
        <v>419.61457600709832</v>
      </c>
      <c r="R36" s="5"/>
      <c r="S36" s="28">
        <f ca="1">Q36</f>
        <v>419.61457600709832</v>
      </c>
      <c r="T36" s="29"/>
      <c r="U36" s="29"/>
      <c r="V36" s="29"/>
      <c r="W36" s="29"/>
      <c r="X36" s="29"/>
      <c r="Y36" s="29"/>
      <c r="Z36" s="29"/>
      <c r="AA36" s="29"/>
      <c r="AB36" s="29"/>
      <c r="AC36" s="29"/>
      <c r="AD36" s="29"/>
      <c r="AE36" s="29"/>
      <c r="AF36" s="29"/>
      <c r="AG36" s="29"/>
      <c r="AH36" s="29"/>
      <c r="AI36" s="29"/>
      <c r="AJ36" s="28"/>
      <c r="AK36" s="28"/>
      <c r="AL36" s="28"/>
      <c r="AM36" s="28"/>
      <c r="AN36" s="28"/>
      <c r="AO36" s="28"/>
      <c r="AP36" s="28">
        <f ca="1">AP59</f>
        <v>419.6049066722419</v>
      </c>
      <c r="AQ36" s="29">
        <f>L11</f>
        <v>419.488</v>
      </c>
      <c r="AR36" s="29">
        <f>M11</f>
        <v>419.81199999999995</v>
      </c>
    </row>
    <row r="37" spans="1:44">
      <c r="A37" s="1"/>
      <c r="D37" s="1"/>
      <c r="J37" s="5">
        <v>24</v>
      </c>
      <c r="K37" s="23">
        <f>IF(K36+$N$33&gt;360, K36+$N$33-360, K36+$N$33)</f>
        <v>8.6399999999999864</v>
      </c>
      <c r="L37" s="24">
        <f t="shared" ref="L37:L59" si="7">MATCH($K37, $I$11:$I$27, 1)</f>
        <v>1</v>
      </c>
      <c r="M37" s="5">
        <f t="shared" ref="M37:M58" ca="1" si="8">VLOOKUP(L37, $H$11:$K$27, 4, FALSE)</f>
        <v>419.65400000119729</v>
      </c>
      <c r="N37" s="25">
        <f t="shared" ref="N37:N59" ca="1" si="9">(VLOOKUP(L37+1, $H$11:$K$27, 4, FALSE) - VLOOKUP(L37, $H$11:$K$27, 4, FALSE))/(VLOOKUP(L37+1, $H$11:$K$27, 2, FALSE) - VLOOKUP(L37, $H$11:$K$27, 2, FALSE))</f>
        <v>1.6888888888792685E-3</v>
      </c>
      <c r="O37" s="26">
        <f t="shared" ref="O37:O59" si="10">K37-VLOOKUP(L37, $H$11:$I$27, 2, FALSE)</f>
        <v>8.6399999999999864</v>
      </c>
      <c r="P37" s="27">
        <f t="shared" ref="P37:P59" ca="1" si="11">M37+N37*O37</f>
        <v>419.66859200119723</v>
      </c>
      <c r="Q37" s="27">
        <f ca="1">(P36+P37)/2</f>
        <v>419.65225066921784</v>
      </c>
      <c r="R37" s="5"/>
      <c r="S37" s="30">
        <f ca="1">S36</f>
        <v>419.61457600709832</v>
      </c>
      <c r="T37" s="30">
        <f ca="1">Q37</f>
        <v>419.65225066921784</v>
      </c>
      <c r="U37" s="21"/>
      <c r="V37" s="21"/>
      <c r="W37" s="21"/>
      <c r="X37" s="21"/>
      <c r="Y37" s="21"/>
      <c r="Z37" s="21"/>
      <c r="AA37" s="21"/>
      <c r="AB37" s="21"/>
      <c r="AC37" s="21"/>
      <c r="AD37" s="21"/>
      <c r="AE37" s="21"/>
      <c r="AF37" s="21"/>
      <c r="AG37" s="21"/>
      <c r="AH37" s="21"/>
      <c r="AI37" s="21"/>
      <c r="AJ37" s="21"/>
      <c r="AK37" s="21"/>
      <c r="AL37" s="21"/>
      <c r="AM37" s="21"/>
      <c r="AN37" s="21"/>
      <c r="AO37" s="21"/>
      <c r="AP37" s="21"/>
      <c r="AQ37" s="21">
        <f>AQ36</f>
        <v>419.488</v>
      </c>
      <c r="AR37" s="21">
        <f>AR36</f>
        <v>419.81199999999995</v>
      </c>
    </row>
    <row r="38" spans="1:44">
      <c r="A38" s="1"/>
      <c r="D38" s="1"/>
      <c r="J38" s="5">
        <v>23</v>
      </c>
      <c r="K38" s="23">
        <f t="shared" ref="K38:K59" si="12">IF(K37+$N$33&gt;360, K37+$N$33-360, K37+$N$33)</f>
        <v>23.639999999999986</v>
      </c>
      <c r="L38" s="24">
        <f t="shared" si="7"/>
        <v>2</v>
      </c>
      <c r="M38" s="5">
        <f t="shared" ca="1" si="8"/>
        <v>419.69200000119707</v>
      </c>
      <c r="N38" s="25">
        <f t="shared" ca="1" si="9"/>
        <v>4.4444604064766384E-5</v>
      </c>
      <c r="O38" s="26">
        <f t="shared" si="10"/>
        <v>1.1399999999999864</v>
      </c>
      <c r="P38" s="27">
        <f t="shared" ca="1" si="11"/>
        <v>419.69205066804568</v>
      </c>
      <c r="Q38" s="27">
        <f t="shared" ref="Q38:Q58" ca="1" si="13">(P37+P38)/2</f>
        <v>419.68032133462145</v>
      </c>
      <c r="R38" s="5"/>
      <c r="S38" s="21"/>
      <c r="T38" s="30">
        <f ca="1">T37</f>
        <v>419.65225066921784</v>
      </c>
      <c r="U38" s="30">
        <f ca="1">Q38</f>
        <v>419.68032133462145</v>
      </c>
      <c r="V38" s="21"/>
      <c r="W38" s="21"/>
      <c r="X38" s="21"/>
      <c r="Y38" s="21"/>
      <c r="Z38" s="21"/>
      <c r="AA38" s="21"/>
      <c r="AB38" s="21"/>
      <c r="AC38" s="21"/>
      <c r="AD38" s="21"/>
      <c r="AE38" s="21"/>
      <c r="AF38" s="21"/>
      <c r="AG38" s="21"/>
      <c r="AH38" s="21"/>
      <c r="AI38" s="21"/>
      <c r="AJ38" s="21"/>
      <c r="AK38" s="21"/>
      <c r="AL38" s="21"/>
      <c r="AM38" s="21"/>
      <c r="AN38" s="21"/>
      <c r="AO38" s="21"/>
      <c r="AP38" s="21"/>
      <c r="AQ38" s="21">
        <f t="shared" ref="AQ38:AR53" si="14">AQ37</f>
        <v>419.488</v>
      </c>
      <c r="AR38" s="21">
        <f t="shared" si="14"/>
        <v>419.81199999999995</v>
      </c>
    </row>
    <row r="39" spans="1:44">
      <c r="A39" s="1"/>
      <c r="D39" s="1"/>
      <c r="J39" s="5">
        <v>22</v>
      </c>
      <c r="K39" s="23">
        <f t="shared" si="12"/>
        <v>38.639999999999986</v>
      </c>
      <c r="L39" s="24">
        <f t="shared" si="7"/>
        <v>2</v>
      </c>
      <c r="M39" s="5">
        <f t="shared" ca="1" si="8"/>
        <v>419.69200000119707</v>
      </c>
      <c r="N39" s="25">
        <f t="shared" ca="1" si="9"/>
        <v>4.4444604064766384E-5</v>
      </c>
      <c r="O39" s="26">
        <f t="shared" si="10"/>
        <v>16.139999999999986</v>
      </c>
      <c r="P39" s="27">
        <f t="shared" ca="1" si="11"/>
        <v>419.69271733710667</v>
      </c>
      <c r="Q39" s="27">
        <f t="shared" ca="1" si="13"/>
        <v>419.6923840025762</v>
      </c>
      <c r="R39" s="5"/>
      <c r="S39" s="21"/>
      <c r="T39" s="21"/>
      <c r="U39" s="30">
        <f ca="1">U38</f>
        <v>419.68032133462145</v>
      </c>
      <c r="V39" s="30">
        <f ca="1">Q39</f>
        <v>419.6923840025762</v>
      </c>
      <c r="W39" s="21"/>
      <c r="X39" s="21"/>
      <c r="Y39" s="21"/>
      <c r="Z39" s="21"/>
      <c r="AA39" s="21"/>
      <c r="AB39" s="21"/>
      <c r="AC39" s="21"/>
      <c r="AD39" s="21"/>
      <c r="AE39" s="21"/>
      <c r="AF39" s="21"/>
      <c r="AG39" s="21"/>
      <c r="AH39" s="21"/>
      <c r="AI39" s="21"/>
      <c r="AJ39" s="21"/>
      <c r="AK39" s="21"/>
      <c r="AL39" s="21"/>
      <c r="AM39" s="21"/>
      <c r="AN39" s="21"/>
      <c r="AO39" s="21"/>
      <c r="AP39" s="21"/>
      <c r="AQ39" s="21">
        <f t="shared" si="14"/>
        <v>419.488</v>
      </c>
      <c r="AR39" s="21">
        <f t="shared" si="14"/>
        <v>419.81199999999995</v>
      </c>
    </row>
    <row r="40" spans="1:44">
      <c r="A40" s="1"/>
      <c r="D40" s="1"/>
      <c r="J40" s="5">
        <v>21</v>
      </c>
      <c r="K40" s="23">
        <f t="shared" si="12"/>
        <v>53.639999999999986</v>
      </c>
      <c r="L40" s="24">
        <f t="shared" si="7"/>
        <v>3</v>
      </c>
      <c r="M40" s="5">
        <f t="shared" ca="1" si="8"/>
        <v>419.69300000478853</v>
      </c>
      <c r="N40" s="25">
        <f t="shared" ca="1" si="9"/>
        <v>-1.1999993614709738E-3</v>
      </c>
      <c r="O40" s="26">
        <f t="shared" si="10"/>
        <v>8.6399999999999864</v>
      </c>
      <c r="P40" s="27">
        <f t="shared" ca="1" si="11"/>
        <v>419.68263201030544</v>
      </c>
      <c r="Q40" s="27">
        <f t="shared" ca="1" si="13"/>
        <v>419.68767467370606</v>
      </c>
      <c r="R40" s="5"/>
      <c r="S40" s="21"/>
      <c r="T40" s="21"/>
      <c r="U40" s="21"/>
      <c r="V40" s="30">
        <f ca="1">V39</f>
        <v>419.6923840025762</v>
      </c>
      <c r="W40" s="30">
        <f ca="1">Q40</f>
        <v>419.68767467370606</v>
      </c>
      <c r="X40" s="21"/>
      <c r="Y40" s="21"/>
      <c r="Z40" s="21"/>
      <c r="AA40" s="21"/>
      <c r="AB40" s="21"/>
      <c r="AC40" s="21"/>
      <c r="AD40" s="21"/>
      <c r="AE40" s="21"/>
      <c r="AF40" s="21"/>
      <c r="AG40" s="21"/>
      <c r="AH40" s="21"/>
      <c r="AI40" s="21"/>
      <c r="AJ40" s="21"/>
      <c r="AK40" s="21"/>
      <c r="AL40" s="21"/>
      <c r="AM40" s="21"/>
      <c r="AN40" s="21"/>
      <c r="AO40" s="21"/>
      <c r="AP40" s="21"/>
      <c r="AQ40" s="21">
        <f t="shared" si="14"/>
        <v>419.488</v>
      </c>
      <c r="AR40" s="21">
        <f t="shared" si="14"/>
        <v>419.81199999999995</v>
      </c>
    </row>
    <row r="41" spans="1:44">
      <c r="A41" s="1"/>
      <c r="D41" s="1"/>
      <c r="J41" s="5">
        <v>20</v>
      </c>
      <c r="K41" s="23">
        <f t="shared" si="12"/>
        <v>68.639999999999986</v>
      </c>
      <c r="L41" s="24">
        <f t="shared" si="7"/>
        <v>4</v>
      </c>
      <c r="M41" s="5">
        <f t="shared" ca="1" si="8"/>
        <v>419.66600001915543</v>
      </c>
      <c r="N41" s="25">
        <f t="shared" ca="1" si="9"/>
        <v>4.4443646301159686E-5</v>
      </c>
      <c r="O41" s="26">
        <f t="shared" si="10"/>
        <v>1.1399999999999864</v>
      </c>
      <c r="P41" s="27">
        <f t="shared" ca="1" si="11"/>
        <v>419.66605068491219</v>
      </c>
      <c r="Q41" s="27">
        <f t="shared" ca="1" si="13"/>
        <v>419.67434134760879</v>
      </c>
      <c r="R41" s="5"/>
      <c r="S41" s="21"/>
      <c r="T41" s="21"/>
      <c r="U41" s="21"/>
      <c r="V41" s="21"/>
      <c r="W41" s="30">
        <f ca="1">W40</f>
        <v>419.68767467370606</v>
      </c>
      <c r="X41" s="30">
        <f ca="1">Q41</f>
        <v>419.67434134760879</v>
      </c>
      <c r="Y41" s="21"/>
      <c r="Z41" s="21"/>
      <c r="AA41" s="21"/>
      <c r="AB41" s="21"/>
      <c r="AC41" s="21"/>
      <c r="AD41" s="21"/>
      <c r="AE41" s="21"/>
      <c r="AF41" s="21"/>
      <c r="AG41" s="21"/>
      <c r="AH41" s="21"/>
      <c r="AI41" s="21"/>
      <c r="AJ41" s="21"/>
      <c r="AK41" s="21"/>
      <c r="AL41" s="21"/>
      <c r="AM41" s="21"/>
      <c r="AN41" s="21"/>
      <c r="AO41" s="21"/>
      <c r="AP41" s="21"/>
      <c r="AQ41" s="21">
        <f t="shared" si="14"/>
        <v>419.488</v>
      </c>
      <c r="AR41" s="21">
        <f t="shared" si="14"/>
        <v>419.81199999999995</v>
      </c>
    </row>
    <row r="42" spans="1:44">
      <c r="A42" s="1"/>
      <c r="D42" s="1"/>
      <c r="J42" s="5">
        <v>19</v>
      </c>
      <c r="K42" s="23">
        <f t="shared" si="12"/>
        <v>83.639999999999986</v>
      </c>
      <c r="L42" s="24">
        <f t="shared" si="7"/>
        <v>4</v>
      </c>
      <c r="M42" s="5">
        <f t="shared" ca="1" si="8"/>
        <v>419.66600001915543</v>
      </c>
      <c r="N42" s="25">
        <f t="shared" ca="1" si="9"/>
        <v>4.4443646301159686E-5</v>
      </c>
      <c r="O42" s="26">
        <f t="shared" si="10"/>
        <v>16.139999999999986</v>
      </c>
      <c r="P42" s="27">
        <f t="shared" ca="1" si="11"/>
        <v>419.66671733960675</v>
      </c>
      <c r="Q42" s="27">
        <f t="shared" ca="1" si="13"/>
        <v>419.66638401225947</v>
      </c>
      <c r="R42" s="5"/>
      <c r="S42" s="21"/>
      <c r="T42" s="21"/>
      <c r="U42" s="21"/>
      <c r="V42" s="21"/>
      <c r="W42" s="21"/>
      <c r="X42" s="30">
        <f ca="1">X41</f>
        <v>419.67434134760879</v>
      </c>
      <c r="Y42" s="30">
        <f ca="1">Q42</f>
        <v>419.66638401225947</v>
      </c>
      <c r="Z42" s="21"/>
      <c r="AA42" s="21"/>
      <c r="AB42" s="21"/>
      <c r="AC42" s="21"/>
      <c r="AD42" s="21"/>
      <c r="AE42" s="21"/>
      <c r="AF42" s="21"/>
      <c r="AG42" s="21"/>
      <c r="AH42" s="21"/>
      <c r="AI42" s="21"/>
      <c r="AJ42" s="21"/>
      <c r="AK42" s="21"/>
      <c r="AL42" s="21"/>
      <c r="AM42" s="21"/>
      <c r="AN42" s="21"/>
      <c r="AO42" s="21"/>
      <c r="AP42" s="21"/>
      <c r="AQ42" s="21">
        <f t="shared" si="14"/>
        <v>419.488</v>
      </c>
      <c r="AR42" s="21">
        <f t="shared" si="14"/>
        <v>419.81199999999995</v>
      </c>
    </row>
    <row r="43" spans="1:44">
      <c r="A43" s="1"/>
      <c r="D43" s="1"/>
      <c r="J43" s="5">
        <v>18</v>
      </c>
      <c r="K43" s="23">
        <f t="shared" si="12"/>
        <v>98.639999999999986</v>
      </c>
      <c r="L43" s="24">
        <f t="shared" si="7"/>
        <v>5</v>
      </c>
      <c r="M43" s="5">
        <f t="shared" ca="1" si="8"/>
        <v>419.66700000119721</v>
      </c>
      <c r="N43" s="25">
        <f t="shared" ca="1" si="9"/>
        <v>9.3333333332894751E-4</v>
      </c>
      <c r="O43" s="26">
        <f t="shared" si="10"/>
        <v>8.6399999999999864</v>
      </c>
      <c r="P43" s="27">
        <f t="shared" ca="1" si="11"/>
        <v>419.6750640011972</v>
      </c>
      <c r="Q43" s="27">
        <f t="shared" ca="1" si="13"/>
        <v>419.67089067040195</v>
      </c>
      <c r="R43" s="5"/>
      <c r="S43" s="21"/>
      <c r="T43" s="21"/>
      <c r="U43" s="21"/>
      <c r="V43" s="21"/>
      <c r="W43" s="21"/>
      <c r="X43" s="21"/>
      <c r="Y43" s="30">
        <f ca="1">Y42</f>
        <v>419.66638401225947</v>
      </c>
      <c r="Z43" s="30">
        <f ca="1">Q43</f>
        <v>419.67089067040195</v>
      </c>
      <c r="AA43" s="21"/>
      <c r="AB43" s="21"/>
      <c r="AC43" s="21"/>
      <c r="AD43" s="21"/>
      <c r="AE43" s="21"/>
      <c r="AF43" s="21"/>
      <c r="AG43" s="21"/>
      <c r="AH43" s="21"/>
      <c r="AI43" s="21"/>
      <c r="AJ43" s="21"/>
      <c r="AK43" s="21"/>
      <c r="AL43" s="21"/>
      <c r="AM43" s="21"/>
      <c r="AN43" s="21"/>
      <c r="AO43" s="21"/>
      <c r="AP43" s="21"/>
      <c r="AQ43" s="21">
        <f t="shared" si="14"/>
        <v>419.488</v>
      </c>
      <c r="AR43" s="21">
        <f t="shared" si="14"/>
        <v>419.81199999999995</v>
      </c>
    </row>
    <row r="44" spans="1:44">
      <c r="A44" s="1"/>
      <c r="D44" s="1"/>
      <c r="J44" s="5">
        <v>17</v>
      </c>
      <c r="K44" s="23">
        <f t="shared" si="12"/>
        <v>113.63999999999999</v>
      </c>
      <c r="L44" s="24">
        <f t="shared" si="7"/>
        <v>6</v>
      </c>
      <c r="M44" s="5">
        <f t="shared" ca="1" si="8"/>
        <v>419.68800000119711</v>
      </c>
      <c r="N44" s="25">
        <f t="shared" ca="1" si="9"/>
        <v>-7.1111111110945383E-4</v>
      </c>
      <c r="O44" s="26">
        <f t="shared" si="10"/>
        <v>1.1399999999999864</v>
      </c>
      <c r="P44" s="27">
        <f t="shared" ca="1" si="11"/>
        <v>419.68718933453044</v>
      </c>
      <c r="Q44" s="27">
        <f t="shared" ca="1" si="13"/>
        <v>419.68112666786385</v>
      </c>
      <c r="R44" s="5"/>
      <c r="S44" s="21"/>
      <c r="T44" s="21"/>
      <c r="U44" s="21"/>
      <c r="V44" s="21"/>
      <c r="W44" s="21"/>
      <c r="X44" s="21"/>
      <c r="Y44" s="21"/>
      <c r="Z44" s="30">
        <f ca="1">Z43</f>
        <v>419.67089067040195</v>
      </c>
      <c r="AA44" s="30">
        <f ca="1">Q44</f>
        <v>419.68112666786385</v>
      </c>
      <c r="AB44" s="21"/>
      <c r="AC44" s="21"/>
      <c r="AD44" s="21"/>
      <c r="AE44" s="21"/>
      <c r="AF44" s="21"/>
      <c r="AG44" s="21"/>
      <c r="AH44" s="21"/>
      <c r="AI44" s="21"/>
      <c r="AJ44" s="21"/>
      <c r="AK44" s="21"/>
      <c r="AL44" s="21"/>
      <c r="AM44" s="21"/>
      <c r="AN44" s="21"/>
      <c r="AO44" s="21"/>
      <c r="AP44" s="21"/>
      <c r="AQ44" s="21">
        <f t="shared" si="14"/>
        <v>419.488</v>
      </c>
      <c r="AR44" s="21">
        <f t="shared" si="14"/>
        <v>419.81199999999995</v>
      </c>
    </row>
    <row r="45" spans="1:44">
      <c r="A45" s="1"/>
      <c r="D45" s="1"/>
      <c r="J45" s="5">
        <v>16</v>
      </c>
      <c r="K45" s="23">
        <f t="shared" si="12"/>
        <v>128.63999999999999</v>
      </c>
      <c r="L45" s="24">
        <f t="shared" si="7"/>
        <v>6</v>
      </c>
      <c r="M45" s="5">
        <f t="shared" ca="1" si="8"/>
        <v>419.68800000119711</v>
      </c>
      <c r="N45" s="25">
        <f t="shared" ca="1" si="9"/>
        <v>-7.1111111110945383E-4</v>
      </c>
      <c r="O45" s="26">
        <f t="shared" si="10"/>
        <v>16.139999999999986</v>
      </c>
      <c r="P45" s="27">
        <f t="shared" ca="1" si="11"/>
        <v>419.67652266786382</v>
      </c>
      <c r="Q45" s="27">
        <f t="shared" ca="1" si="13"/>
        <v>419.68185600119716</v>
      </c>
      <c r="R45" s="5"/>
      <c r="S45" s="21"/>
      <c r="T45" s="21"/>
      <c r="U45" s="21"/>
      <c r="V45" s="21"/>
      <c r="W45" s="21"/>
      <c r="X45" s="21"/>
      <c r="Y45" s="21"/>
      <c r="Z45" s="21"/>
      <c r="AA45" s="30">
        <f ca="1">AA44</f>
        <v>419.68112666786385</v>
      </c>
      <c r="AB45" s="30">
        <f ca="1">Q45</f>
        <v>419.68185600119716</v>
      </c>
      <c r="AC45" s="21"/>
      <c r="AD45" s="21"/>
      <c r="AE45" s="21"/>
      <c r="AF45" s="21"/>
      <c r="AG45" s="21"/>
      <c r="AH45" s="21"/>
      <c r="AI45" s="21"/>
      <c r="AJ45" s="21"/>
      <c r="AK45" s="21"/>
      <c r="AL45" s="21"/>
      <c r="AM45" s="21"/>
      <c r="AN45" s="21"/>
      <c r="AO45" s="21"/>
      <c r="AP45" s="21"/>
      <c r="AQ45" s="21">
        <f t="shared" si="14"/>
        <v>419.488</v>
      </c>
      <c r="AR45" s="21">
        <f t="shared" si="14"/>
        <v>419.81199999999995</v>
      </c>
    </row>
    <row r="46" spans="1:44">
      <c r="A46" s="1"/>
      <c r="D46" s="1"/>
      <c r="J46" s="5">
        <v>15</v>
      </c>
      <c r="K46" s="23">
        <f t="shared" si="12"/>
        <v>143.63999999999999</v>
      </c>
      <c r="L46" s="24">
        <f t="shared" si="7"/>
        <v>7</v>
      </c>
      <c r="M46" s="5">
        <f t="shared" ca="1" si="8"/>
        <v>419.67200000119715</v>
      </c>
      <c r="N46" s="25">
        <f t="shared" ca="1" si="9"/>
        <v>3.1111105790336698E-4</v>
      </c>
      <c r="O46" s="26">
        <f t="shared" si="10"/>
        <v>8.6399999999999864</v>
      </c>
      <c r="P46" s="27">
        <f t="shared" ca="1" si="11"/>
        <v>419.67468800073743</v>
      </c>
      <c r="Q46" s="27">
        <f t="shared" ca="1" si="13"/>
        <v>419.6756053343006</v>
      </c>
      <c r="R46" s="5"/>
      <c r="S46" s="21"/>
      <c r="T46" s="21"/>
      <c r="U46" s="21"/>
      <c r="V46" s="21"/>
      <c r="W46" s="21"/>
      <c r="X46" s="21"/>
      <c r="Y46" s="21"/>
      <c r="Z46" s="21"/>
      <c r="AA46" s="21"/>
      <c r="AB46" s="30">
        <f ca="1">AB45</f>
        <v>419.68185600119716</v>
      </c>
      <c r="AC46" s="30">
        <f ca="1">Q46</f>
        <v>419.6756053343006</v>
      </c>
      <c r="AD46" s="21"/>
      <c r="AE46" s="21"/>
      <c r="AF46" s="21"/>
      <c r="AG46" s="21"/>
      <c r="AH46" s="21"/>
      <c r="AI46" s="21"/>
      <c r="AJ46" s="21"/>
      <c r="AK46" s="21"/>
      <c r="AL46" s="21"/>
      <c r="AM46" s="21"/>
      <c r="AN46" s="21"/>
      <c r="AO46" s="21"/>
      <c r="AP46" s="21"/>
      <c r="AQ46" s="21">
        <f t="shared" si="14"/>
        <v>419.488</v>
      </c>
      <c r="AR46" s="21">
        <f t="shared" si="14"/>
        <v>419.81199999999995</v>
      </c>
    </row>
    <row r="47" spans="1:44">
      <c r="A47" s="1"/>
      <c r="D47" s="1"/>
      <c r="J47" s="5">
        <v>14</v>
      </c>
      <c r="K47" s="23">
        <f t="shared" si="12"/>
        <v>158.63999999999999</v>
      </c>
      <c r="L47" s="24">
        <f t="shared" si="7"/>
        <v>8</v>
      </c>
      <c r="M47" s="5">
        <f t="shared" ca="1" si="8"/>
        <v>419.67899999999997</v>
      </c>
      <c r="N47" s="25">
        <f t="shared" ca="1" si="9"/>
        <v>-1.911111057898375E-3</v>
      </c>
      <c r="O47" s="26">
        <f t="shared" si="10"/>
        <v>1.1399999999999864</v>
      </c>
      <c r="P47" s="27">
        <f t="shared" ca="1" si="11"/>
        <v>419.67682133339395</v>
      </c>
      <c r="Q47" s="27">
        <f t="shared" ca="1" si="13"/>
        <v>419.67575466706569</v>
      </c>
      <c r="R47" s="5"/>
      <c r="S47" s="21"/>
      <c r="T47" s="21"/>
      <c r="U47" s="21"/>
      <c r="V47" s="21"/>
      <c r="W47" s="21"/>
      <c r="X47" s="21"/>
      <c r="Y47" s="21"/>
      <c r="Z47" s="21"/>
      <c r="AA47" s="21"/>
      <c r="AB47" s="21"/>
      <c r="AC47" s="30">
        <f ca="1">AC46</f>
        <v>419.6756053343006</v>
      </c>
      <c r="AD47" s="30">
        <f ca="1">Q47</f>
        <v>419.67575466706569</v>
      </c>
      <c r="AE47" s="21"/>
      <c r="AF47" s="21"/>
      <c r="AG47" s="21"/>
      <c r="AH47" s="21"/>
      <c r="AI47" s="21"/>
      <c r="AJ47" s="21"/>
      <c r="AK47" s="21"/>
      <c r="AL47" s="21"/>
      <c r="AM47" s="21"/>
      <c r="AN47" s="21"/>
      <c r="AO47" s="21"/>
      <c r="AP47" s="21"/>
      <c r="AQ47" s="21">
        <f t="shared" si="14"/>
        <v>419.488</v>
      </c>
      <c r="AR47" s="21">
        <f t="shared" si="14"/>
        <v>419.81199999999995</v>
      </c>
    </row>
    <row r="48" spans="1:44">
      <c r="A48" s="1"/>
      <c r="D48" s="1"/>
      <c r="J48" s="5">
        <v>13</v>
      </c>
      <c r="K48" s="23">
        <f t="shared" si="12"/>
        <v>173.64</v>
      </c>
      <c r="L48" s="24">
        <f t="shared" si="7"/>
        <v>8</v>
      </c>
      <c r="M48" s="5">
        <f t="shared" ca="1" si="8"/>
        <v>419.67899999999997</v>
      </c>
      <c r="N48" s="25">
        <f t="shared" ca="1" si="9"/>
        <v>-1.911111057898375E-3</v>
      </c>
      <c r="O48" s="26">
        <f t="shared" si="10"/>
        <v>16.139999999999986</v>
      </c>
      <c r="P48" s="27">
        <f t="shared" ca="1" si="11"/>
        <v>419.64815466752549</v>
      </c>
      <c r="Q48" s="27">
        <f t="shared" ca="1" si="13"/>
        <v>419.66248800045969</v>
      </c>
      <c r="R48" s="5"/>
      <c r="S48" s="21"/>
      <c r="T48" s="21"/>
      <c r="U48" s="21"/>
      <c r="V48" s="21"/>
      <c r="W48" s="21"/>
      <c r="X48" s="21"/>
      <c r="Y48" s="21"/>
      <c r="Z48" s="21"/>
      <c r="AA48" s="21"/>
      <c r="AB48" s="21"/>
      <c r="AC48" s="21"/>
      <c r="AD48" s="30">
        <f ca="1">AD47</f>
        <v>419.67575466706569</v>
      </c>
      <c r="AE48" s="30">
        <f ca="1">Q48</f>
        <v>419.66248800045969</v>
      </c>
      <c r="AF48" s="21"/>
      <c r="AG48" s="21"/>
      <c r="AH48" s="21"/>
      <c r="AI48" s="21"/>
      <c r="AJ48" s="21"/>
      <c r="AK48" s="21"/>
      <c r="AL48" s="21"/>
      <c r="AM48" s="21"/>
      <c r="AN48" s="21"/>
      <c r="AO48" s="21"/>
      <c r="AP48" s="21"/>
      <c r="AQ48" s="21">
        <f t="shared" si="14"/>
        <v>419.488</v>
      </c>
      <c r="AR48" s="21">
        <f t="shared" si="14"/>
        <v>419.81199999999995</v>
      </c>
    </row>
    <row r="49" spans="1:44">
      <c r="A49" s="1"/>
      <c r="D49" s="1"/>
      <c r="J49" s="5">
        <v>12</v>
      </c>
      <c r="K49" s="23">
        <f t="shared" si="12"/>
        <v>188.64</v>
      </c>
      <c r="L49" s="24">
        <f t="shared" si="7"/>
        <v>9</v>
      </c>
      <c r="M49" s="5">
        <f t="shared" ca="1" si="8"/>
        <v>419.63600000119726</v>
      </c>
      <c r="N49" s="25">
        <f t="shared" ca="1" si="9"/>
        <v>-1.5555466149534266E-3</v>
      </c>
      <c r="O49" s="26">
        <f t="shared" si="10"/>
        <v>8.6399999999999864</v>
      </c>
      <c r="P49" s="27">
        <f t="shared" ca="1" si="11"/>
        <v>419.62256007844405</v>
      </c>
      <c r="Q49" s="27">
        <f t="shared" ca="1" si="13"/>
        <v>419.6353573729848</v>
      </c>
      <c r="R49" s="5"/>
      <c r="S49" s="21"/>
      <c r="T49" s="21"/>
      <c r="U49" s="21"/>
      <c r="V49" s="21"/>
      <c r="W49" s="21"/>
      <c r="X49" s="21"/>
      <c r="Y49" s="21"/>
      <c r="Z49" s="21"/>
      <c r="AA49" s="21"/>
      <c r="AB49" s="21"/>
      <c r="AC49" s="21"/>
      <c r="AD49" s="21"/>
      <c r="AE49" s="30">
        <f ca="1">AE48</f>
        <v>419.66248800045969</v>
      </c>
      <c r="AF49" s="30">
        <f ca="1">Q49</f>
        <v>419.6353573729848</v>
      </c>
      <c r="AG49" s="21"/>
      <c r="AH49" s="21"/>
      <c r="AI49" s="21"/>
      <c r="AJ49" s="21"/>
      <c r="AK49" s="21"/>
      <c r="AL49" s="21"/>
      <c r="AM49" s="21"/>
      <c r="AN49" s="21"/>
      <c r="AO49" s="21"/>
      <c r="AP49" s="21"/>
      <c r="AQ49" s="21">
        <f t="shared" si="14"/>
        <v>419.488</v>
      </c>
      <c r="AR49" s="21">
        <f t="shared" si="14"/>
        <v>419.81199999999995</v>
      </c>
    </row>
    <row r="50" spans="1:44">
      <c r="A50" s="1"/>
      <c r="D50" s="1"/>
      <c r="J50" s="5">
        <v>11</v>
      </c>
      <c r="K50" s="23">
        <f t="shared" si="12"/>
        <v>203.64</v>
      </c>
      <c r="L50" s="24">
        <f t="shared" si="7"/>
        <v>10</v>
      </c>
      <c r="M50" s="5">
        <f t="shared" ca="1" si="8"/>
        <v>419.60100020236081</v>
      </c>
      <c r="N50" s="25">
        <f t="shared" ca="1" si="9"/>
        <v>2.35554661495472E-3</v>
      </c>
      <c r="O50" s="26">
        <f t="shared" si="10"/>
        <v>1.1399999999999864</v>
      </c>
      <c r="P50" s="27">
        <f t="shared" ca="1" si="11"/>
        <v>419.60368552550187</v>
      </c>
      <c r="Q50" s="27">
        <f t="shared" ca="1" si="13"/>
        <v>419.61312280197296</v>
      </c>
      <c r="R50" s="5"/>
      <c r="S50" s="21"/>
      <c r="T50" s="21"/>
      <c r="U50" s="21"/>
      <c r="V50" s="21"/>
      <c r="W50" s="21"/>
      <c r="X50" s="21"/>
      <c r="Y50" s="21"/>
      <c r="Z50" s="21"/>
      <c r="AA50" s="21"/>
      <c r="AB50" s="21"/>
      <c r="AC50" s="21"/>
      <c r="AD50" s="21"/>
      <c r="AE50" s="21"/>
      <c r="AF50" s="30">
        <f ca="1">AF49</f>
        <v>419.6353573729848</v>
      </c>
      <c r="AG50" s="30">
        <f ca="1">Q50</f>
        <v>419.61312280197296</v>
      </c>
      <c r="AH50" s="21"/>
      <c r="AI50" s="21"/>
      <c r="AJ50" s="21"/>
      <c r="AK50" s="21"/>
      <c r="AL50" s="21"/>
      <c r="AM50" s="21"/>
      <c r="AN50" s="21"/>
      <c r="AO50" s="21"/>
      <c r="AP50" s="21"/>
      <c r="AQ50" s="21">
        <f t="shared" si="14"/>
        <v>419.488</v>
      </c>
      <c r="AR50" s="21">
        <f t="shared" si="14"/>
        <v>419.81199999999995</v>
      </c>
    </row>
    <row r="51" spans="1:44">
      <c r="A51" s="1"/>
      <c r="D51" s="1"/>
      <c r="J51" s="5">
        <v>10</v>
      </c>
      <c r="K51" s="23">
        <f t="shared" si="12"/>
        <v>218.64</v>
      </c>
      <c r="L51" s="24">
        <f t="shared" si="7"/>
        <v>10</v>
      </c>
      <c r="M51" s="5">
        <f t="shared" ca="1" si="8"/>
        <v>419.60100020236081</v>
      </c>
      <c r="N51" s="25">
        <f t="shared" ca="1" si="9"/>
        <v>2.35554661495472E-3</v>
      </c>
      <c r="O51" s="26">
        <f t="shared" si="10"/>
        <v>16.139999999999986</v>
      </c>
      <c r="P51" s="27">
        <f t="shared" ca="1" si="11"/>
        <v>419.63901872472616</v>
      </c>
      <c r="Q51" s="27">
        <f t="shared" ca="1" si="13"/>
        <v>419.62135212511402</v>
      </c>
      <c r="R51" s="5"/>
      <c r="S51" s="21"/>
      <c r="T51" s="21"/>
      <c r="U51" s="21"/>
      <c r="V51" s="21"/>
      <c r="W51" s="21"/>
      <c r="X51" s="21"/>
      <c r="Y51" s="21"/>
      <c r="Z51" s="21"/>
      <c r="AA51" s="21"/>
      <c r="AB51" s="21"/>
      <c r="AC51" s="21"/>
      <c r="AD51" s="21"/>
      <c r="AE51" s="21"/>
      <c r="AF51" s="21"/>
      <c r="AG51" s="30">
        <f ca="1">AG50</f>
        <v>419.61312280197296</v>
      </c>
      <c r="AH51" s="30">
        <f ca="1">Q51</f>
        <v>419.62135212511402</v>
      </c>
      <c r="AI51" s="21"/>
      <c r="AJ51" s="21"/>
      <c r="AK51" s="21"/>
      <c r="AL51" s="21"/>
      <c r="AM51" s="21"/>
      <c r="AN51" s="21"/>
      <c r="AO51" s="21"/>
      <c r="AP51" s="21"/>
      <c r="AQ51" s="21">
        <f t="shared" si="14"/>
        <v>419.488</v>
      </c>
      <c r="AR51" s="21">
        <f t="shared" si="14"/>
        <v>419.81199999999995</v>
      </c>
    </row>
    <row r="52" spans="1:44">
      <c r="A52" s="1"/>
      <c r="D52" s="1"/>
      <c r="J52" s="5">
        <v>9</v>
      </c>
      <c r="K52" s="23">
        <f t="shared" si="12"/>
        <v>233.64</v>
      </c>
      <c r="L52" s="24">
        <f t="shared" si="7"/>
        <v>11</v>
      </c>
      <c r="M52" s="5">
        <f t="shared" ca="1" si="8"/>
        <v>419.65400000119729</v>
      </c>
      <c r="N52" s="25">
        <f t="shared" ca="1" si="9"/>
        <v>3.733333492922005E-3</v>
      </c>
      <c r="O52" s="26">
        <f t="shared" si="10"/>
        <v>8.6399999999999864</v>
      </c>
      <c r="P52" s="27">
        <f t="shared" ca="1" si="11"/>
        <v>419.68625600257616</v>
      </c>
      <c r="Q52" s="27">
        <f t="shared" ca="1" si="13"/>
        <v>419.66263736365113</v>
      </c>
      <c r="R52" s="5"/>
      <c r="S52" s="21"/>
      <c r="T52" s="21"/>
      <c r="U52" s="21"/>
      <c r="V52" s="21"/>
      <c r="W52" s="21"/>
      <c r="X52" s="21"/>
      <c r="Y52" s="21"/>
      <c r="Z52" s="21"/>
      <c r="AA52" s="21"/>
      <c r="AB52" s="21"/>
      <c r="AC52" s="21"/>
      <c r="AD52" s="21"/>
      <c r="AE52" s="21"/>
      <c r="AF52" s="21"/>
      <c r="AG52" s="21"/>
      <c r="AH52" s="30">
        <f ca="1">AH51</f>
        <v>419.62135212511402</v>
      </c>
      <c r="AI52" s="30">
        <f ca="1">Q52</f>
        <v>419.66263736365113</v>
      </c>
      <c r="AJ52" s="21"/>
      <c r="AK52" s="21"/>
      <c r="AL52" s="21"/>
      <c r="AM52" s="21"/>
      <c r="AN52" s="21"/>
      <c r="AO52" s="21"/>
      <c r="AP52" s="21"/>
      <c r="AQ52" s="21">
        <f t="shared" si="14"/>
        <v>419.488</v>
      </c>
      <c r="AR52" s="21">
        <f t="shared" si="14"/>
        <v>419.81199999999995</v>
      </c>
    </row>
    <row r="53" spans="1:44">
      <c r="A53" s="1"/>
      <c r="D53" s="1"/>
      <c r="J53" s="5">
        <v>8</v>
      </c>
      <c r="K53" s="23">
        <f t="shared" si="12"/>
        <v>248.64</v>
      </c>
      <c r="L53" s="24">
        <f t="shared" si="7"/>
        <v>12</v>
      </c>
      <c r="M53" s="5">
        <f t="shared" ca="1" si="8"/>
        <v>419.73800000478803</v>
      </c>
      <c r="N53" s="25">
        <f t="shared" ca="1" si="9"/>
        <v>8.8888729285625033E-5</v>
      </c>
      <c r="O53" s="26">
        <f t="shared" si="10"/>
        <v>1.1399999999999864</v>
      </c>
      <c r="P53" s="27">
        <f t="shared" ca="1" si="11"/>
        <v>419.73810133793944</v>
      </c>
      <c r="Q53" s="27">
        <f t="shared" ca="1" si="13"/>
        <v>419.7121786702578</v>
      </c>
      <c r="R53" s="5"/>
      <c r="S53" s="21"/>
      <c r="T53" s="21"/>
      <c r="U53" s="21"/>
      <c r="V53" s="21"/>
      <c r="W53" s="21"/>
      <c r="X53" s="21"/>
      <c r="Y53" s="21"/>
      <c r="Z53" s="21"/>
      <c r="AA53" s="21"/>
      <c r="AB53" s="21"/>
      <c r="AC53" s="21"/>
      <c r="AD53" s="21"/>
      <c r="AE53" s="21"/>
      <c r="AF53" s="21"/>
      <c r="AG53" s="21"/>
      <c r="AH53" s="30"/>
      <c r="AI53" s="30">
        <f ca="1">AI52</f>
        <v>419.66263736365113</v>
      </c>
      <c r="AJ53" s="30">
        <f ca="1">Q53</f>
        <v>419.7121786702578</v>
      </c>
      <c r="AK53" s="21"/>
      <c r="AL53" s="21"/>
      <c r="AM53" s="21"/>
      <c r="AN53" s="21"/>
      <c r="AO53" s="21"/>
      <c r="AP53" s="21"/>
      <c r="AQ53" s="21">
        <f t="shared" si="14"/>
        <v>419.488</v>
      </c>
      <c r="AR53" s="21">
        <f t="shared" si="14"/>
        <v>419.81199999999995</v>
      </c>
    </row>
    <row r="54" spans="1:44">
      <c r="A54" s="1"/>
      <c r="D54" s="1"/>
      <c r="J54" s="5">
        <v>7</v>
      </c>
      <c r="K54" s="23">
        <f t="shared" si="12"/>
        <v>263.64</v>
      </c>
      <c r="L54" s="24">
        <f t="shared" si="7"/>
        <v>12</v>
      </c>
      <c r="M54" s="5">
        <f t="shared" ca="1" si="8"/>
        <v>419.73800000478803</v>
      </c>
      <c r="N54" s="25">
        <f t="shared" ca="1" si="9"/>
        <v>8.8888729285625033E-5</v>
      </c>
      <c r="O54" s="26">
        <f t="shared" si="10"/>
        <v>16.139999999999986</v>
      </c>
      <c r="P54" s="27">
        <f t="shared" ca="1" si="11"/>
        <v>419.73943466887869</v>
      </c>
      <c r="Q54" s="27">
        <f t="shared" ca="1" si="13"/>
        <v>419.73876800340906</v>
      </c>
      <c r="R54" s="5"/>
      <c r="S54" s="21"/>
      <c r="T54" s="21"/>
      <c r="U54" s="21"/>
      <c r="V54" s="21"/>
      <c r="W54" s="21"/>
      <c r="X54" s="21"/>
      <c r="Y54" s="21"/>
      <c r="Z54" s="21"/>
      <c r="AA54" s="21"/>
      <c r="AB54" s="21"/>
      <c r="AC54" s="21"/>
      <c r="AD54" s="21"/>
      <c r="AE54" s="21"/>
      <c r="AF54" s="21"/>
      <c r="AG54" s="21"/>
      <c r="AH54" s="30"/>
      <c r="AI54" s="30"/>
      <c r="AJ54" s="30">
        <f ca="1">AJ53</f>
        <v>419.7121786702578</v>
      </c>
      <c r="AK54" s="30">
        <f ca="1">Q54</f>
        <v>419.73876800340906</v>
      </c>
      <c r="AL54" s="21"/>
      <c r="AM54" s="21"/>
      <c r="AN54" s="21"/>
      <c r="AO54" s="21"/>
      <c r="AP54" s="21"/>
      <c r="AQ54" s="21">
        <f t="shared" ref="AQ54:AR59" si="15">AQ53</f>
        <v>419.488</v>
      </c>
      <c r="AR54" s="21">
        <f t="shared" si="15"/>
        <v>419.81199999999995</v>
      </c>
    </row>
    <row r="55" spans="1:44">
      <c r="A55" s="1"/>
      <c r="D55" s="1"/>
      <c r="J55" s="5">
        <v>6</v>
      </c>
      <c r="K55" s="23">
        <f t="shared" si="12"/>
        <v>278.64</v>
      </c>
      <c r="L55" s="24">
        <f t="shared" si="7"/>
        <v>13</v>
      </c>
      <c r="M55" s="5">
        <f t="shared" ca="1" si="8"/>
        <v>419.74000000119696</v>
      </c>
      <c r="N55" s="25">
        <f t="shared" ca="1" si="9"/>
        <v>-2.4888889420885286E-3</v>
      </c>
      <c r="O55" s="26">
        <f t="shared" si="10"/>
        <v>8.6399999999999864</v>
      </c>
      <c r="P55" s="27">
        <f t="shared" ca="1" si="11"/>
        <v>419.71849600073733</v>
      </c>
      <c r="Q55" s="27">
        <f t="shared" ca="1" si="13"/>
        <v>419.72896533480798</v>
      </c>
      <c r="R55" s="5"/>
      <c r="S55" s="21"/>
      <c r="T55" s="21"/>
      <c r="U55" s="21"/>
      <c r="V55" s="21"/>
      <c r="W55" s="21"/>
      <c r="X55" s="21"/>
      <c r="Y55" s="21"/>
      <c r="Z55" s="21"/>
      <c r="AA55" s="21"/>
      <c r="AB55" s="21"/>
      <c r="AC55" s="21"/>
      <c r="AD55" s="21"/>
      <c r="AE55" s="21"/>
      <c r="AF55" s="21"/>
      <c r="AG55" s="21"/>
      <c r="AH55" s="30"/>
      <c r="AI55" s="30"/>
      <c r="AJ55" s="21"/>
      <c r="AK55" s="30">
        <f ca="1">AK54</f>
        <v>419.73876800340906</v>
      </c>
      <c r="AL55" s="30">
        <f ca="1">Q55</f>
        <v>419.72896533480798</v>
      </c>
      <c r="AM55" s="21"/>
      <c r="AN55" s="21"/>
      <c r="AO55" s="21"/>
      <c r="AP55" s="21"/>
      <c r="AQ55" s="21">
        <f t="shared" si="15"/>
        <v>419.488</v>
      </c>
      <c r="AR55" s="21">
        <f t="shared" si="15"/>
        <v>419.81199999999995</v>
      </c>
    </row>
    <row r="56" spans="1:44">
      <c r="A56" s="1"/>
      <c r="D56" s="1"/>
      <c r="J56" s="5">
        <v>5</v>
      </c>
      <c r="K56" s="23">
        <f t="shared" si="12"/>
        <v>293.64</v>
      </c>
      <c r="L56" s="24">
        <f t="shared" si="7"/>
        <v>14</v>
      </c>
      <c r="M56" s="5">
        <f t="shared" ca="1" si="8"/>
        <v>419.68399999999997</v>
      </c>
      <c r="N56" s="25">
        <f t="shared" ca="1" si="9"/>
        <v>-4.1777777245569168E-3</v>
      </c>
      <c r="O56" s="26">
        <f t="shared" si="10"/>
        <v>1.1399999999999864</v>
      </c>
      <c r="P56" s="27">
        <f t="shared" ca="1" si="11"/>
        <v>419.67923733339398</v>
      </c>
      <c r="Q56" s="27">
        <f t="shared" ca="1" si="13"/>
        <v>419.69886666706566</v>
      </c>
      <c r="R56" s="5"/>
      <c r="S56" s="21"/>
      <c r="T56" s="21"/>
      <c r="U56" s="21"/>
      <c r="V56" s="21"/>
      <c r="W56" s="21"/>
      <c r="X56" s="21"/>
      <c r="Y56" s="21"/>
      <c r="Z56" s="21"/>
      <c r="AA56" s="21"/>
      <c r="AB56" s="21"/>
      <c r="AC56" s="21"/>
      <c r="AD56" s="21"/>
      <c r="AE56" s="21"/>
      <c r="AF56" s="21"/>
      <c r="AG56" s="21"/>
      <c r="AH56" s="30"/>
      <c r="AI56" s="30"/>
      <c r="AJ56" s="21"/>
      <c r="AK56" s="21"/>
      <c r="AL56" s="30">
        <f ca="1">AL55</f>
        <v>419.72896533480798</v>
      </c>
      <c r="AM56" s="30">
        <f ca="1">Q56</f>
        <v>419.69886666706566</v>
      </c>
      <c r="AN56" s="21"/>
      <c r="AO56" s="21"/>
      <c r="AP56" s="21"/>
      <c r="AQ56" s="21">
        <f t="shared" si="15"/>
        <v>419.488</v>
      </c>
      <c r="AR56" s="21">
        <f t="shared" si="15"/>
        <v>419.81199999999995</v>
      </c>
    </row>
    <row r="57" spans="1:44">
      <c r="A57" s="1"/>
      <c r="D57" s="1"/>
      <c r="J57" s="5">
        <v>4</v>
      </c>
      <c r="K57" s="23">
        <f t="shared" si="12"/>
        <v>308.64</v>
      </c>
      <c r="L57" s="24">
        <f t="shared" si="7"/>
        <v>14</v>
      </c>
      <c r="M57" s="5">
        <f t="shared" ca="1" si="8"/>
        <v>419.68399999999997</v>
      </c>
      <c r="N57" s="25">
        <f t="shared" ca="1" si="9"/>
        <v>-4.1777777245569168E-3</v>
      </c>
      <c r="O57" s="26">
        <f t="shared" si="10"/>
        <v>16.139999999999986</v>
      </c>
      <c r="P57" s="27">
        <f t="shared" ca="1" si="11"/>
        <v>419.61657066752559</v>
      </c>
      <c r="Q57" s="27">
        <f t="shared" ca="1" si="13"/>
        <v>419.64790400045979</v>
      </c>
      <c r="R57" s="5"/>
      <c r="S57" s="21"/>
      <c r="T57" s="21"/>
      <c r="U57" s="21"/>
      <c r="V57" s="21"/>
      <c r="W57" s="21"/>
      <c r="X57" s="21"/>
      <c r="Y57" s="21"/>
      <c r="Z57" s="21"/>
      <c r="AA57" s="21"/>
      <c r="AB57" s="21"/>
      <c r="AC57" s="21"/>
      <c r="AD57" s="21"/>
      <c r="AE57" s="21"/>
      <c r="AF57" s="21"/>
      <c r="AG57" s="21"/>
      <c r="AH57" s="30"/>
      <c r="AI57" s="30"/>
      <c r="AJ57" s="21"/>
      <c r="AK57" s="21"/>
      <c r="AL57" s="21"/>
      <c r="AM57" s="30">
        <f ca="1">AM56</f>
        <v>419.69886666706566</v>
      </c>
      <c r="AN57" s="30">
        <f ca="1">Q57</f>
        <v>419.64790400045979</v>
      </c>
      <c r="AO57" s="30"/>
      <c r="AP57" s="21"/>
      <c r="AQ57" s="21">
        <f t="shared" si="15"/>
        <v>419.488</v>
      </c>
      <c r="AR57" s="21">
        <f t="shared" si="15"/>
        <v>419.81199999999995</v>
      </c>
    </row>
    <row r="58" spans="1:44">
      <c r="A58" s="1"/>
      <c r="D58" s="1"/>
      <c r="J58" s="5">
        <v>3</v>
      </c>
      <c r="K58" s="23">
        <f t="shared" si="12"/>
        <v>323.64</v>
      </c>
      <c r="L58" s="24">
        <f t="shared" si="7"/>
        <v>15</v>
      </c>
      <c r="M58" s="5">
        <f t="shared" ca="1" si="8"/>
        <v>419.59000000119744</v>
      </c>
      <c r="N58" s="25">
        <f t="shared" ca="1" si="9"/>
        <v>4.2575215451910887E-10</v>
      </c>
      <c r="O58" s="26">
        <f t="shared" si="10"/>
        <v>8.6399999999999864</v>
      </c>
      <c r="P58" s="27">
        <f t="shared" ca="1" si="11"/>
        <v>419.59000000487595</v>
      </c>
      <c r="Q58" s="27">
        <f t="shared" ca="1" si="13"/>
        <v>419.60328533620077</v>
      </c>
      <c r="R58" s="5"/>
      <c r="S58" s="21"/>
      <c r="T58" s="21"/>
      <c r="U58" s="21"/>
      <c r="V58" s="21"/>
      <c r="W58" s="21"/>
      <c r="X58" s="21"/>
      <c r="Y58" s="21"/>
      <c r="Z58" s="21"/>
      <c r="AA58" s="21"/>
      <c r="AB58" s="21"/>
      <c r="AC58" s="21"/>
      <c r="AD58" s="21"/>
      <c r="AE58" s="21"/>
      <c r="AF58" s="21"/>
      <c r="AG58" s="21"/>
      <c r="AH58" s="30"/>
      <c r="AI58" s="30"/>
      <c r="AJ58" s="21"/>
      <c r="AK58" s="21"/>
      <c r="AL58" s="21"/>
      <c r="AM58" s="30"/>
      <c r="AN58" s="30">
        <f ca="1">AN57</f>
        <v>419.64790400045979</v>
      </c>
      <c r="AO58" s="30">
        <f ca="1">Q58</f>
        <v>419.60328533620077</v>
      </c>
      <c r="AP58" s="21"/>
      <c r="AQ58" s="21">
        <f t="shared" si="15"/>
        <v>419.488</v>
      </c>
      <c r="AR58" s="21">
        <f t="shared" si="15"/>
        <v>419.81199999999995</v>
      </c>
    </row>
    <row r="59" spans="1:44">
      <c r="A59" s="1"/>
      <c r="D59" s="1"/>
      <c r="J59" s="5">
        <v>2</v>
      </c>
      <c r="K59" s="23">
        <f t="shared" si="12"/>
        <v>338.64</v>
      </c>
      <c r="L59" s="24">
        <f t="shared" si="7"/>
        <v>16</v>
      </c>
      <c r="M59" s="5">
        <f ca="1">VLOOKUP(L59, $H$11:$K$27, 4, FALSE)</f>
        <v>419.59000001077686</v>
      </c>
      <c r="N59" s="25">
        <f t="shared" ca="1" si="9"/>
        <v>2.8444440186856609E-3</v>
      </c>
      <c r="O59" s="26">
        <f t="shared" si="10"/>
        <v>1.1399999999999864</v>
      </c>
      <c r="P59" s="27">
        <f t="shared" ca="1" si="11"/>
        <v>419.59324267695814</v>
      </c>
      <c r="Q59" s="27">
        <f ca="1">(P57+P59)/2</f>
        <v>419.6049066722419</v>
      </c>
      <c r="R59" s="5"/>
      <c r="S59" s="31"/>
      <c r="T59" s="31"/>
      <c r="U59" s="31"/>
      <c r="V59" s="31"/>
      <c r="W59" s="31"/>
      <c r="X59" s="31"/>
      <c r="Y59" s="31"/>
      <c r="Z59" s="31"/>
      <c r="AA59" s="31"/>
      <c r="AB59" s="31"/>
      <c r="AC59" s="31"/>
      <c r="AD59" s="31"/>
      <c r="AE59" s="31"/>
      <c r="AF59" s="31"/>
      <c r="AG59" s="31"/>
      <c r="AH59" s="31"/>
      <c r="AI59" s="32"/>
      <c r="AJ59" s="32"/>
      <c r="AK59" s="32"/>
      <c r="AL59" s="32"/>
      <c r="AM59" s="32"/>
      <c r="AN59" s="32"/>
      <c r="AO59" s="32">
        <f ca="1">AO58</f>
        <v>419.60328533620077</v>
      </c>
      <c r="AP59" s="32">
        <f ca="1">Q59</f>
        <v>419.6049066722419</v>
      </c>
      <c r="AQ59" s="31">
        <f t="shared" si="15"/>
        <v>419.488</v>
      </c>
      <c r="AR59" s="31">
        <f t="shared" si="15"/>
        <v>419.81199999999995</v>
      </c>
    </row>
    <row r="60" spans="1:44">
      <c r="A60" s="1"/>
      <c r="D60" s="1"/>
    </row>
    <row r="61" spans="1:44">
      <c r="A61" s="1"/>
      <c r="D61" s="1"/>
    </row>
    <row r="62" spans="1:44">
      <c r="D62" s="1"/>
      <c r="J62" s="33"/>
      <c r="K62" s="33"/>
      <c r="L62" s="33"/>
      <c r="M62" s="33"/>
      <c r="N62" s="33"/>
      <c r="O62" s="33"/>
      <c r="P62" s="33"/>
      <c r="Q62" s="33"/>
      <c r="R62" s="33"/>
      <c r="S62" s="5"/>
      <c r="T62" s="33"/>
      <c r="U62" s="33"/>
      <c r="V62" s="33"/>
      <c r="W62" s="33"/>
      <c r="X62" s="33"/>
      <c r="Y62" s="33"/>
      <c r="Z62" s="33"/>
      <c r="AA62" s="33"/>
      <c r="AB62" s="33"/>
      <c r="AC62" s="33"/>
    </row>
    <row r="63" spans="1:44">
      <c r="A63" s="1"/>
      <c r="D63" s="1"/>
      <c r="J63" s="33"/>
      <c r="K63" s="33"/>
      <c r="L63" s="33"/>
      <c r="M63" s="33"/>
      <c r="N63" s="33"/>
      <c r="O63" s="33"/>
      <c r="P63" s="33"/>
      <c r="Q63" s="33"/>
      <c r="R63" s="33"/>
      <c r="S63" s="5"/>
      <c r="T63" s="33"/>
      <c r="U63" s="33"/>
      <c r="V63" s="33"/>
      <c r="W63" s="33"/>
      <c r="X63" s="33"/>
      <c r="Y63" s="33"/>
      <c r="Z63" s="33"/>
      <c r="AA63" s="33"/>
      <c r="AB63" s="33"/>
      <c r="AC63" s="33"/>
    </row>
    <row r="64" spans="1:44">
      <c r="A64" s="1"/>
      <c r="D64" s="1"/>
      <c r="J64" s="33"/>
      <c r="K64" s="33"/>
      <c r="L64" s="33"/>
      <c r="M64" s="33"/>
      <c r="N64" s="33"/>
      <c r="O64" s="33"/>
      <c r="P64" s="33"/>
      <c r="Q64" s="33"/>
      <c r="R64" s="33"/>
      <c r="S64" s="5"/>
      <c r="T64" s="33"/>
      <c r="U64" s="33"/>
      <c r="V64" s="33"/>
      <c r="W64" s="33"/>
      <c r="X64" s="33"/>
      <c r="Y64" s="33"/>
      <c r="Z64" s="33"/>
      <c r="AA64" s="33"/>
      <c r="AB64" s="33"/>
      <c r="AC64" s="33"/>
    </row>
    <row r="65" spans="1:29">
      <c r="A65" s="1"/>
      <c r="J65" s="33"/>
      <c r="K65" s="33"/>
      <c r="L65" s="33"/>
      <c r="M65" s="33"/>
      <c r="N65" s="33"/>
      <c r="O65" s="33"/>
      <c r="P65" s="33"/>
      <c r="Q65" s="33"/>
      <c r="R65" s="33"/>
      <c r="S65" s="5"/>
      <c r="T65" s="33"/>
      <c r="U65" s="33"/>
      <c r="V65" s="33"/>
      <c r="W65" s="33"/>
      <c r="X65" s="33"/>
      <c r="Y65" s="33"/>
      <c r="Z65" s="33"/>
      <c r="AA65" s="33"/>
      <c r="AB65" s="33"/>
      <c r="AC65" s="33"/>
    </row>
    <row r="66" spans="1:29">
      <c r="A66" s="1"/>
      <c r="J66" s="33"/>
      <c r="K66" s="33"/>
      <c r="L66" s="33"/>
      <c r="M66" s="33"/>
      <c r="N66" s="33"/>
      <c r="O66" s="33"/>
      <c r="P66" s="33"/>
      <c r="Q66" s="33"/>
      <c r="R66" s="33"/>
      <c r="S66" s="5"/>
      <c r="T66" s="33"/>
      <c r="U66" s="33"/>
      <c r="V66" s="33"/>
      <c r="W66" s="33"/>
      <c r="X66" s="33"/>
      <c r="Y66" s="33"/>
      <c r="Z66" s="33"/>
      <c r="AA66" s="33"/>
      <c r="AB66" s="33"/>
      <c r="AC66" s="33"/>
    </row>
    <row r="67" spans="1:29">
      <c r="A67" s="1"/>
      <c r="J67" s="33"/>
      <c r="K67" s="33"/>
      <c r="L67" s="33"/>
      <c r="M67" s="33"/>
      <c r="N67" s="33"/>
      <c r="O67" s="33"/>
      <c r="P67" s="33"/>
      <c r="Q67" s="33"/>
      <c r="R67" s="33"/>
      <c r="S67" s="5"/>
      <c r="T67" s="33"/>
      <c r="U67" s="33"/>
      <c r="V67" s="33"/>
      <c r="W67" s="33"/>
      <c r="X67" s="33"/>
      <c r="Y67" s="33"/>
      <c r="Z67" s="33"/>
      <c r="AA67" s="33"/>
      <c r="AB67" s="33"/>
      <c r="AC67" s="33"/>
    </row>
    <row r="68" spans="1:29">
      <c r="A68" s="1"/>
      <c r="J68" s="33"/>
      <c r="K68" s="33"/>
      <c r="L68" s="33"/>
      <c r="M68" s="33"/>
      <c r="N68" s="33"/>
      <c r="O68" s="33"/>
      <c r="P68" s="33"/>
      <c r="Q68" s="33"/>
      <c r="R68" s="33"/>
      <c r="S68" s="5"/>
      <c r="T68" s="33"/>
      <c r="U68" s="33"/>
      <c r="V68" s="33"/>
      <c r="W68" s="33"/>
      <c r="X68" s="33"/>
      <c r="Y68" s="33"/>
      <c r="Z68" s="33"/>
      <c r="AA68" s="33"/>
      <c r="AB68" s="33"/>
      <c r="AC68" s="33"/>
    </row>
    <row r="69" spans="1:29">
      <c r="A69" s="1"/>
      <c r="J69" s="33"/>
      <c r="K69" s="33"/>
      <c r="L69" s="33"/>
      <c r="M69" s="33"/>
      <c r="N69" s="33"/>
      <c r="O69" s="33"/>
      <c r="P69" s="33"/>
      <c r="Q69" s="33"/>
      <c r="R69" s="33"/>
      <c r="S69" s="5"/>
      <c r="T69" s="33"/>
      <c r="U69" s="33"/>
      <c r="V69" s="33"/>
      <c r="W69" s="33"/>
      <c r="X69" s="33"/>
      <c r="Y69" s="33"/>
      <c r="Z69" s="33"/>
      <c r="AA69" s="33"/>
      <c r="AB69" s="33"/>
      <c r="AC69" s="33"/>
    </row>
    <row r="70" spans="1:29">
      <c r="A70" s="1"/>
      <c r="J70" s="33"/>
      <c r="K70" s="33"/>
      <c r="L70" s="33"/>
      <c r="M70" s="33"/>
      <c r="N70" s="33"/>
      <c r="O70" s="33"/>
      <c r="P70" s="33"/>
      <c r="Q70" s="33"/>
      <c r="R70" s="33"/>
      <c r="S70" s="5"/>
      <c r="T70" s="33"/>
      <c r="U70" s="33"/>
      <c r="V70" s="33"/>
      <c r="W70" s="33"/>
      <c r="X70" s="33"/>
      <c r="Y70" s="33"/>
      <c r="Z70" s="33"/>
      <c r="AA70" s="33"/>
      <c r="AB70" s="33"/>
      <c r="AC70" s="33"/>
    </row>
    <row r="71" spans="1:29">
      <c r="A71" s="1"/>
      <c r="J71" s="33"/>
      <c r="K71" s="33"/>
      <c r="L71" s="33"/>
      <c r="M71" s="33"/>
      <c r="N71" s="33"/>
      <c r="O71" s="33"/>
      <c r="P71" s="33"/>
      <c r="Q71" s="33"/>
      <c r="R71" s="33"/>
      <c r="S71" s="5"/>
      <c r="T71" s="33"/>
      <c r="U71" s="33"/>
      <c r="V71" s="33"/>
      <c r="W71" s="33"/>
      <c r="X71" s="33"/>
      <c r="Y71" s="33"/>
      <c r="Z71" s="33"/>
      <c r="AA71" s="33"/>
      <c r="AB71" s="33"/>
      <c r="AC71" s="33"/>
    </row>
    <row r="72" spans="1:29">
      <c r="A72" s="1"/>
      <c r="J72" s="33"/>
      <c r="K72" s="33"/>
      <c r="L72" s="33"/>
      <c r="M72" s="33"/>
      <c r="N72" s="33"/>
      <c r="O72" s="33"/>
      <c r="P72" s="33"/>
      <c r="Q72" s="33"/>
      <c r="R72" s="33"/>
      <c r="S72" s="5"/>
      <c r="T72" s="33"/>
      <c r="U72" s="33"/>
      <c r="V72" s="33"/>
      <c r="W72" s="33"/>
      <c r="X72" s="33"/>
      <c r="Y72" s="33"/>
      <c r="Z72" s="33"/>
      <c r="AA72" s="33"/>
      <c r="AB72" s="33"/>
      <c r="AC72" s="33"/>
    </row>
    <row r="73" spans="1:29">
      <c r="A73" s="1"/>
      <c r="J73" s="33"/>
      <c r="K73" s="33"/>
      <c r="L73" s="33"/>
      <c r="M73" s="33"/>
      <c r="N73" s="33"/>
      <c r="O73" s="33"/>
      <c r="P73" s="33"/>
      <c r="Q73" s="33"/>
      <c r="R73" s="33"/>
      <c r="S73" s="5"/>
      <c r="T73" s="33"/>
      <c r="U73" s="33"/>
      <c r="V73" s="33"/>
      <c r="W73" s="33"/>
      <c r="X73" s="33"/>
      <c r="Y73" s="33"/>
      <c r="Z73" s="33"/>
      <c r="AA73" s="33"/>
      <c r="AB73" s="33"/>
      <c r="AC73" s="33"/>
    </row>
    <row r="74" spans="1:29">
      <c r="A74" s="1"/>
      <c r="J74" s="33"/>
      <c r="K74" s="33"/>
      <c r="L74" s="33"/>
      <c r="M74" s="33"/>
      <c r="N74" s="33"/>
      <c r="O74" s="33"/>
      <c r="P74" s="33"/>
      <c r="Q74" s="33"/>
      <c r="R74" s="33"/>
      <c r="S74" s="5"/>
      <c r="T74" s="33"/>
      <c r="U74" s="33"/>
      <c r="V74" s="33"/>
      <c r="W74" s="33"/>
      <c r="X74" s="33"/>
      <c r="Y74" s="33"/>
      <c r="Z74" s="33"/>
      <c r="AA74" s="33"/>
      <c r="AB74" s="33"/>
      <c r="AC74" s="33"/>
    </row>
    <row r="75" spans="1:29">
      <c r="A75" s="1"/>
      <c r="J75" s="33"/>
      <c r="K75" s="33"/>
      <c r="L75" s="33"/>
      <c r="M75" s="33"/>
      <c r="N75" s="33"/>
      <c r="O75" s="33"/>
      <c r="P75" s="33"/>
      <c r="Q75" s="33"/>
      <c r="R75" s="33"/>
      <c r="S75" s="5"/>
      <c r="T75" s="33"/>
      <c r="U75" s="33"/>
      <c r="V75" s="33"/>
      <c r="W75" s="33"/>
      <c r="X75" s="33"/>
      <c r="Y75" s="33"/>
      <c r="Z75" s="33"/>
      <c r="AA75" s="33"/>
      <c r="AB75" s="33"/>
      <c r="AC75" s="33"/>
    </row>
    <row r="76" spans="1:29">
      <c r="A76" s="1"/>
      <c r="J76" s="33"/>
      <c r="K76" s="33"/>
      <c r="L76" s="33"/>
      <c r="M76" s="33"/>
      <c r="N76" s="33"/>
      <c r="O76" s="33"/>
      <c r="P76" s="33"/>
      <c r="Q76" s="33"/>
      <c r="R76" s="33"/>
      <c r="S76" s="5"/>
      <c r="T76" s="33"/>
      <c r="U76" s="33"/>
      <c r="V76" s="33"/>
      <c r="W76" s="33"/>
      <c r="X76" s="33"/>
      <c r="Y76" s="33"/>
      <c r="Z76" s="33"/>
      <c r="AA76" s="33"/>
      <c r="AB76" s="33"/>
      <c r="AC76" s="33"/>
    </row>
    <row r="77" spans="1:29">
      <c r="A77" s="1"/>
      <c r="J77" s="33"/>
      <c r="K77" s="33"/>
      <c r="L77" s="33"/>
      <c r="M77" s="33"/>
      <c r="N77" s="33"/>
      <c r="O77" s="33"/>
      <c r="P77" s="33"/>
      <c r="Q77" s="33"/>
      <c r="R77" s="33"/>
      <c r="S77" s="5"/>
      <c r="T77" s="33"/>
      <c r="U77" s="33"/>
      <c r="V77" s="33"/>
      <c r="W77" s="33"/>
      <c r="X77" s="33"/>
      <c r="Y77" s="33"/>
      <c r="Z77" s="33"/>
      <c r="AA77" s="33"/>
      <c r="AB77" s="33"/>
      <c r="AC77" s="33"/>
    </row>
    <row r="78" spans="1:29">
      <c r="A78" s="1"/>
      <c r="J78" s="33"/>
      <c r="K78" s="33"/>
      <c r="L78" s="33"/>
      <c r="M78" s="33"/>
      <c r="N78" s="33"/>
      <c r="O78" s="33"/>
      <c r="P78" s="33"/>
      <c r="Q78" s="33"/>
      <c r="R78" s="33"/>
      <c r="S78" s="5"/>
      <c r="T78" s="33"/>
      <c r="U78" s="33"/>
      <c r="V78" s="33"/>
      <c r="W78" s="33"/>
      <c r="X78" s="33"/>
      <c r="Y78" s="33"/>
      <c r="Z78" s="33"/>
      <c r="AA78" s="33"/>
      <c r="AB78" s="33"/>
      <c r="AC78" s="33"/>
    </row>
    <row r="79" spans="1:29">
      <c r="A79" s="1"/>
      <c r="J79" s="33"/>
      <c r="K79" s="33"/>
      <c r="L79" s="33"/>
      <c r="M79" s="33"/>
      <c r="N79" s="33"/>
      <c r="O79" s="33"/>
      <c r="P79" s="33"/>
      <c r="Q79" s="33"/>
      <c r="R79" s="33"/>
      <c r="S79" s="5"/>
      <c r="T79" s="33"/>
      <c r="U79" s="33"/>
      <c r="V79" s="33"/>
      <c r="W79" s="33"/>
      <c r="X79" s="33"/>
      <c r="Y79" s="33"/>
      <c r="Z79" s="33"/>
      <c r="AA79" s="33"/>
      <c r="AB79" s="33"/>
      <c r="AC79" s="33"/>
    </row>
    <row r="80" spans="1:29">
      <c r="A80" s="1"/>
      <c r="J80" s="33"/>
      <c r="K80" s="33"/>
      <c r="L80" s="33"/>
      <c r="M80" s="33"/>
      <c r="N80" s="33"/>
      <c r="O80" s="33"/>
      <c r="P80" s="33"/>
      <c r="Q80" s="33"/>
      <c r="R80" s="33"/>
      <c r="S80" s="5"/>
      <c r="T80" s="33"/>
      <c r="U80" s="33"/>
      <c r="V80" s="33"/>
      <c r="W80" s="33"/>
      <c r="X80" s="33"/>
      <c r="Y80" s="33"/>
      <c r="Z80" s="33"/>
      <c r="AA80" s="33"/>
      <c r="AB80" s="33"/>
      <c r="AC80" s="33"/>
    </row>
    <row r="81" spans="1:29">
      <c r="A81" s="1"/>
      <c r="J81" s="33"/>
      <c r="K81" s="33"/>
      <c r="L81" s="33"/>
      <c r="M81" s="33"/>
      <c r="N81" s="33"/>
      <c r="O81" s="33"/>
      <c r="P81" s="33"/>
      <c r="Q81" s="33"/>
      <c r="R81" s="33"/>
      <c r="S81" s="5"/>
      <c r="T81" s="33"/>
      <c r="U81" s="33"/>
      <c r="V81" s="33"/>
      <c r="W81" s="33"/>
      <c r="X81" s="33"/>
      <c r="Y81" s="33"/>
      <c r="Z81" s="33"/>
      <c r="AA81" s="33"/>
      <c r="AB81" s="33"/>
      <c r="AC81" s="33"/>
    </row>
    <row r="82" spans="1:29">
      <c r="A82" s="1"/>
      <c r="J82" s="33"/>
      <c r="K82" s="33"/>
      <c r="L82" s="33"/>
      <c r="M82" s="33"/>
      <c r="N82" s="33"/>
      <c r="O82" s="33"/>
      <c r="P82" s="33"/>
      <c r="Q82" s="33"/>
      <c r="R82" s="33"/>
      <c r="S82" s="5"/>
      <c r="T82" s="33"/>
      <c r="U82" s="33"/>
      <c r="V82" s="33"/>
      <c r="W82" s="33"/>
      <c r="X82" s="33"/>
      <c r="Y82" s="33"/>
      <c r="Z82" s="33"/>
      <c r="AA82" s="33"/>
      <c r="AB82" s="33"/>
      <c r="AC82" s="33"/>
    </row>
    <row r="83" spans="1:29">
      <c r="A83" s="1"/>
      <c r="J83" s="33"/>
      <c r="K83" s="33"/>
      <c r="L83" s="33"/>
      <c r="M83" s="33"/>
      <c r="N83" s="33"/>
      <c r="O83" s="33"/>
      <c r="P83" s="33"/>
      <c r="Q83" s="33"/>
      <c r="R83" s="33"/>
      <c r="S83" s="5"/>
      <c r="T83" s="33"/>
      <c r="U83" s="33"/>
      <c r="V83" s="33"/>
      <c r="W83" s="33"/>
      <c r="X83" s="33"/>
      <c r="Y83" s="33"/>
      <c r="Z83" s="33"/>
      <c r="AA83" s="33"/>
      <c r="AB83" s="33"/>
      <c r="AC83" s="33"/>
    </row>
    <row r="84" spans="1:29">
      <c r="A84" s="1"/>
      <c r="J84" s="33"/>
      <c r="K84" s="33"/>
      <c r="L84" s="33"/>
      <c r="M84" s="33"/>
      <c r="N84" s="33"/>
      <c r="O84" s="33"/>
      <c r="P84" s="33"/>
      <c r="Q84" s="33"/>
      <c r="R84" s="33"/>
      <c r="S84" s="5"/>
      <c r="T84" s="33"/>
      <c r="U84" s="33"/>
      <c r="V84" s="33"/>
      <c r="W84" s="33"/>
      <c r="X84" s="33"/>
      <c r="Y84" s="33"/>
      <c r="Z84" s="33"/>
      <c r="AA84" s="33"/>
      <c r="AB84" s="33"/>
      <c r="AC84" s="33"/>
    </row>
    <row r="85" spans="1:29">
      <c r="A85" s="1"/>
      <c r="J85" s="33"/>
      <c r="K85" s="33"/>
      <c r="L85" s="33"/>
      <c r="M85" s="33"/>
      <c r="N85" s="33"/>
      <c r="O85" s="33"/>
      <c r="P85" s="33"/>
      <c r="Q85" s="33"/>
      <c r="R85" s="33"/>
      <c r="S85" s="5"/>
      <c r="T85" s="33"/>
      <c r="U85" s="33"/>
      <c r="V85" s="33"/>
      <c r="W85" s="33"/>
      <c r="X85" s="33"/>
      <c r="Y85" s="33"/>
      <c r="Z85" s="33"/>
      <c r="AA85" s="33"/>
      <c r="AB85" s="33"/>
      <c r="AC85" s="33"/>
    </row>
    <row r="86" spans="1:29">
      <c r="A86" s="1"/>
      <c r="J86" s="33"/>
      <c r="K86" s="33"/>
      <c r="L86" s="33"/>
      <c r="M86" s="33"/>
      <c r="N86" s="33"/>
      <c r="O86" s="33"/>
      <c r="P86" s="33"/>
      <c r="Q86" s="33"/>
      <c r="R86" s="33"/>
      <c r="S86" s="5"/>
      <c r="T86" s="33"/>
      <c r="U86" s="33"/>
      <c r="V86" s="33"/>
      <c r="W86" s="33"/>
      <c r="X86" s="33"/>
      <c r="Y86" s="33"/>
      <c r="Z86" s="33"/>
      <c r="AA86" s="33"/>
      <c r="AB86" s="33"/>
      <c r="AC86" s="33"/>
    </row>
    <row r="87" spans="1:29">
      <c r="A87" s="1"/>
      <c r="J87" s="33"/>
      <c r="K87" s="33"/>
      <c r="L87" s="33"/>
      <c r="M87" s="33"/>
      <c r="N87" s="33"/>
      <c r="O87" s="33"/>
      <c r="P87" s="33"/>
      <c r="Q87" s="33"/>
      <c r="R87" s="33"/>
      <c r="S87" s="5"/>
      <c r="T87" s="33"/>
      <c r="U87" s="33"/>
      <c r="V87" s="33"/>
      <c r="W87" s="33"/>
      <c r="X87" s="33"/>
      <c r="Y87" s="33"/>
      <c r="Z87" s="33"/>
      <c r="AA87" s="33"/>
      <c r="AB87" s="33"/>
      <c r="AC87" s="33"/>
    </row>
    <row r="88" spans="1:29">
      <c r="A88" s="1"/>
      <c r="J88" s="33"/>
      <c r="K88" s="33"/>
      <c r="L88" s="33"/>
      <c r="M88" s="33"/>
      <c r="N88" s="33"/>
      <c r="O88" s="33"/>
      <c r="P88" s="33"/>
      <c r="Q88" s="33"/>
      <c r="R88" s="33"/>
      <c r="S88" s="5"/>
      <c r="T88" s="33"/>
      <c r="U88" s="33"/>
      <c r="V88" s="33"/>
      <c r="W88" s="33"/>
      <c r="X88" s="33"/>
      <c r="Y88" s="33"/>
      <c r="Z88" s="33"/>
      <c r="AA88" s="33"/>
      <c r="AB88" s="33"/>
      <c r="AC88" s="33"/>
    </row>
    <row r="89" spans="1:29">
      <c r="A89" s="1"/>
      <c r="J89" s="33"/>
      <c r="K89" s="33"/>
      <c r="L89" s="33"/>
      <c r="M89" s="33"/>
      <c r="N89" s="33"/>
      <c r="O89" s="33"/>
      <c r="P89" s="33"/>
      <c r="Q89" s="33"/>
      <c r="R89" s="33"/>
      <c r="S89" s="5"/>
      <c r="T89" s="33"/>
      <c r="U89" s="33"/>
      <c r="V89" s="33"/>
      <c r="W89" s="33"/>
      <c r="X89" s="33"/>
      <c r="Y89" s="33"/>
      <c r="Z89" s="33"/>
      <c r="AA89" s="33"/>
      <c r="AB89" s="33"/>
      <c r="AC89" s="33"/>
    </row>
    <row r="90" spans="1:29">
      <c r="A90" s="1"/>
      <c r="J90" s="33"/>
      <c r="K90" s="33"/>
      <c r="L90" s="33"/>
      <c r="M90" s="33"/>
      <c r="N90" s="33"/>
      <c r="O90" s="33"/>
      <c r="P90" s="33"/>
      <c r="Q90" s="33"/>
      <c r="R90" s="33"/>
      <c r="S90" s="5"/>
      <c r="T90" s="33"/>
      <c r="U90" s="33"/>
      <c r="V90" s="33"/>
      <c r="W90" s="33"/>
      <c r="X90" s="33"/>
      <c r="Y90" s="33"/>
      <c r="Z90" s="33"/>
      <c r="AA90" s="33"/>
      <c r="AB90" s="33"/>
      <c r="AC90" s="33"/>
    </row>
    <row r="91" spans="1:29">
      <c r="A91" s="1"/>
    </row>
    <row r="92" spans="1:29">
      <c r="A92" s="1"/>
    </row>
    <row r="93" spans="1:29">
      <c r="A93" s="1"/>
    </row>
    <row r="94" spans="1:29">
      <c r="A94" s="1"/>
    </row>
    <row r="95" spans="1:29">
      <c r="A95" s="1"/>
    </row>
    <row r="96" spans="1:29">
      <c r="A96" s="1"/>
    </row>
    <row r="97" spans="1:1">
      <c r="A97" s="1"/>
    </row>
    <row r="98" spans="1:1">
      <c r="A98" s="1"/>
    </row>
    <row r="99" spans="1:1">
      <c r="A99" s="1"/>
    </row>
    <row r="100" spans="1:1">
      <c r="A100" s="1"/>
    </row>
    <row r="101" spans="1:1">
      <c r="A101" s="1"/>
    </row>
    <row r="102" spans="1:1">
      <c r="A102" s="1"/>
    </row>
    <row r="103" spans="1:1">
      <c r="A103" s="1"/>
    </row>
    <row r="104" spans="1:1">
      <c r="A104" s="1"/>
    </row>
    <row r="105" spans="1:1">
      <c r="A105" s="1"/>
    </row>
    <row r="106" spans="1:1">
      <c r="A106" s="1"/>
    </row>
    <row r="107" spans="1:1">
      <c r="A107" s="1"/>
    </row>
    <row r="108" spans="1:1">
      <c r="A108" s="1"/>
    </row>
    <row r="109" spans="1:1">
      <c r="A109" s="1"/>
    </row>
    <row r="110" spans="1:1">
      <c r="A110" s="1"/>
    </row>
    <row r="111" spans="1:1">
      <c r="A111" s="1"/>
    </row>
    <row r="112" spans="1:1">
      <c r="A112" s="1"/>
    </row>
    <row r="113" spans="1:1">
      <c r="A113" s="1"/>
    </row>
    <row r="114" spans="1:1">
      <c r="A114" s="1"/>
    </row>
    <row r="115" spans="1:1">
      <c r="A115" s="1"/>
    </row>
    <row r="116" spans="1:1">
      <c r="A116" s="1"/>
    </row>
    <row r="117" spans="1:1">
      <c r="A117" s="1"/>
    </row>
    <row r="118" spans="1:1">
      <c r="A118" s="1"/>
    </row>
  </sheetData>
  <mergeCells count="2">
    <mergeCell ref="J9:J10"/>
    <mergeCell ref="U9:U10"/>
  </mergeCells>
  <phoneticPr fontId="2"/>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FFC000"/>
  </sheetPr>
  <dimension ref="H1:AX122"/>
  <sheetViews>
    <sheetView topLeftCell="S61" zoomScale="70" zoomScaleNormal="70" workbookViewId="0">
      <selection activeCell="M30" sqref="M30"/>
    </sheetView>
  </sheetViews>
  <sheetFormatPr defaultRowHeight="15"/>
  <cols>
    <col min="1" max="1" width="24.42578125" customWidth="1"/>
    <col min="10" max="14" width="8.5703125" style="5"/>
  </cols>
  <sheetData>
    <row r="1" spans="8:27">
      <c r="Y1" s="2"/>
      <c r="Z1" s="2"/>
      <c r="AA1" s="2"/>
    </row>
    <row r="2" spans="8:27">
      <c r="Y2" s="2"/>
      <c r="Z2" s="2"/>
      <c r="AA2" s="2"/>
    </row>
    <row r="3" spans="8:27">
      <c r="Y3" s="2"/>
      <c r="Z3" s="2"/>
      <c r="AA3" s="2"/>
    </row>
    <row r="4" spans="8:27">
      <c r="J4" s="5" t="s">
        <v>342</v>
      </c>
      <c r="Y4" s="2"/>
      <c r="Z4" s="2"/>
      <c r="AA4" s="2"/>
    </row>
    <row r="5" spans="8:27">
      <c r="L5" s="13" t="s">
        <v>1</v>
      </c>
      <c r="M5" s="5">
        <f>AVERAGE(L11:M11)*2</f>
        <v>841.93600000000004</v>
      </c>
      <c r="Y5" s="2"/>
      <c r="Z5" s="2"/>
      <c r="AA5" s="2"/>
    </row>
    <row r="6" spans="8:27">
      <c r="L6" s="13" t="s">
        <v>2</v>
      </c>
      <c r="M6" s="13">
        <f>M11*2</f>
        <v>842.08699999999999</v>
      </c>
      <c r="Y6" s="2"/>
      <c r="Z6" s="2"/>
      <c r="AA6" s="2"/>
    </row>
    <row r="7" spans="8:27">
      <c r="L7" s="13" t="s">
        <v>3</v>
      </c>
      <c r="M7" s="13">
        <f>L11*2</f>
        <v>841.78500000000008</v>
      </c>
      <c r="Y7" s="2"/>
      <c r="Z7" s="2"/>
      <c r="AA7" s="2"/>
    </row>
    <row r="8" spans="8:27">
      <c r="U8" s="5">
        <v>248</v>
      </c>
      <c r="V8" s="5">
        <v>246</v>
      </c>
      <c r="Y8" s="2"/>
      <c r="Z8" s="2"/>
      <c r="AA8" s="2"/>
    </row>
    <row r="9" spans="8:27">
      <c r="H9" s="5"/>
      <c r="I9" s="134" t="s">
        <v>316</v>
      </c>
      <c r="J9" s="144" t="s">
        <v>381</v>
      </c>
      <c r="K9" s="133" t="s">
        <v>6</v>
      </c>
      <c r="L9" s="133" t="s">
        <v>7</v>
      </c>
      <c r="M9" s="133" t="s">
        <v>8</v>
      </c>
      <c r="P9" s="11" t="s">
        <v>317</v>
      </c>
      <c r="Q9" s="2"/>
      <c r="S9" s="5"/>
      <c r="T9" s="134" t="str">
        <f t="shared" ref="T9:U26" si="0">I9</f>
        <v>Angle</v>
      </c>
      <c r="U9" s="144" t="str">
        <f t="shared" si="0"/>
        <v>248
Position</v>
      </c>
      <c r="V9" s="80" t="s">
        <v>306</v>
      </c>
      <c r="W9" s="80" t="s">
        <v>311</v>
      </c>
      <c r="Y9" s="13"/>
      <c r="Z9" s="13" t="s">
        <v>343</v>
      </c>
      <c r="AA9" s="13" t="s">
        <v>344</v>
      </c>
    </row>
    <row r="10" spans="8:27">
      <c r="H10" s="134" t="s">
        <v>318</v>
      </c>
      <c r="I10" s="134" t="s">
        <v>319</v>
      </c>
      <c r="J10" s="145"/>
      <c r="K10" s="133" t="s">
        <v>12</v>
      </c>
      <c r="L10" s="133" t="s">
        <v>12</v>
      </c>
      <c r="M10" s="133" t="s">
        <v>12</v>
      </c>
      <c r="P10" s="11" t="s">
        <v>320</v>
      </c>
      <c r="Q10" s="2"/>
      <c r="S10" s="134" t="str">
        <f t="shared" ref="S10:S26" si="1">H10</f>
        <v>Area#</v>
      </c>
      <c r="T10" s="134" t="str">
        <f t="shared" si="0"/>
        <v>[deg]</v>
      </c>
      <c r="U10" s="145"/>
      <c r="V10" s="133" t="s">
        <v>12</v>
      </c>
      <c r="W10" s="133" t="s">
        <v>12</v>
      </c>
      <c r="Y10" s="13" t="s">
        <v>345</v>
      </c>
      <c r="Z10" s="13">
        <f t="shared" ref="Z10:AA11" ca="1" si="2">AW95</f>
        <v>23</v>
      </c>
      <c r="AA10" s="13">
        <f t="shared" ca="1" si="2"/>
        <v>3</v>
      </c>
    </row>
    <row r="11" spans="8:27">
      <c r="H11" s="13">
        <v>1</v>
      </c>
      <c r="I11" s="13">
        <v>0</v>
      </c>
      <c r="J11" s="133">
        <v>1</v>
      </c>
      <c r="K11" s="111">
        <f>'201'!K11-(1.5+0.03)</f>
        <v>420.99100000000004</v>
      </c>
      <c r="L11" s="15">
        <v>420.89250000000004</v>
      </c>
      <c r="M11" s="15">
        <v>421.04349999999999</v>
      </c>
      <c r="P11" s="13">
        <f>K11+K19</f>
        <v>841.89800000000014</v>
      </c>
      <c r="Q11" s="2"/>
      <c r="S11" s="13">
        <f t="shared" si="1"/>
        <v>1</v>
      </c>
      <c r="T11" s="13">
        <f t="shared" si="0"/>
        <v>0</v>
      </c>
      <c r="U11" s="133">
        <f t="shared" si="0"/>
        <v>1</v>
      </c>
      <c r="V11" s="14">
        <f ca="1">K11-'246+avg2.03'!V11</f>
        <v>1.336999998802753</v>
      </c>
      <c r="W11" s="14">
        <f>K11-'246+avg2.03'!W11</f>
        <v>1.336999998802753</v>
      </c>
      <c r="Y11" s="13" t="s">
        <v>346</v>
      </c>
      <c r="Z11" s="13">
        <f t="shared" ca="1" si="2"/>
        <v>19</v>
      </c>
      <c r="AA11" s="13">
        <f t="shared" ca="1" si="2"/>
        <v>7</v>
      </c>
    </row>
    <row r="12" spans="8:27">
      <c r="H12" s="13">
        <v>2</v>
      </c>
      <c r="I12" s="13">
        <f>I11+360/16</f>
        <v>22.5</v>
      </c>
      <c r="J12" s="133">
        <v>16</v>
      </c>
      <c r="K12" s="111">
        <f>'201'!K12-(1.5+0.03)</f>
        <v>421.0600000011832</v>
      </c>
      <c r="L12" s="15">
        <v>420.89250000000004</v>
      </c>
      <c r="M12" s="15">
        <v>421.04349999999999</v>
      </c>
      <c r="P12" s="13">
        <f t="shared" ref="P12:P18" si="3">K12+K20</f>
        <v>841.92200002012305</v>
      </c>
      <c r="Q12" s="2"/>
      <c r="S12" s="13">
        <f t="shared" si="1"/>
        <v>2</v>
      </c>
      <c r="T12" s="13">
        <f t="shared" si="0"/>
        <v>22.5</v>
      </c>
      <c r="U12" s="133">
        <f t="shared" si="0"/>
        <v>16</v>
      </c>
      <c r="V12" s="14">
        <f ca="1">K12-'246+avg2.03'!V12</f>
        <v>1.3679999999861252</v>
      </c>
      <c r="W12" s="14">
        <f>K12-'246+avg2.03'!W12</f>
        <v>1.3679999999861252</v>
      </c>
    </row>
    <row r="13" spans="8:27">
      <c r="H13" s="13">
        <v>3</v>
      </c>
      <c r="I13" s="13">
        <f t="shared" ref="I13:I26" si="4">I12+360/16</f>
        <v>45</v>
      </c>
      <c r="J13" s="133">
        <v>15</v>
      </c>
      <c r="K13" s="111">
        <f>'201'!K13-(1.5+0.03)</f>
        <v>421.00200000473336</v>
      </c>
      <c r="L13" s="15">
        <v>420.89250000000004</v>
      </c>
      <c r="M13" s="15">
        <v>421.04349999999999</v>
      </c>
      <c r="P13" s="13">
        <f t="shared" si="3"/>
        <v>841.95300000591692</v>
      </c>
      <c r="Q13" s="2"/>
      <c r="S13" s="13">
        <f t="shared" si="1"/>
        <v>3</v>
      </c>
      <c r="T13" s="13">
        <f t="shared" si="0"/>
        <v>45</v>
      </c>
      <c r="U13" s="133">
        <f t="shared" si="0"/>
        <v>15</v>
      </c>
      <c r="V13" s="14">
        <f ca="1">K13-'246+avg2.03'!V13</f>
        <v>1.308999999944831</v>
      </c>
      <c r="W13" s="14">
        <f>K13-'246+avg2.03'!W13</f>
        <v>1.308999999944831</v>
      </c>
    </row>
    <row r="14" spans="8:27">
      <c r="H14" s="13">
        <v>4</v>
      </c>
      <c r="I14" s="13">
        <f t="shared" si="4"/>
        <v>67.5</v>
      </c>
      <c r="J14" s="133">
        <v>14</v>
      </c>
      <c r="K14" s="111">
        <f>'201'!K14-(1.5+0.03)</f>
        <v>420.88900000000001</v>
      </c>
      <c r="L14" s="15">
        <v>420.89250000000004</v>
      </c>
      <c r="M14" s="15">
        <v>421.04349999999999</v>
      </c>
      <c r="P14" s="13">
        <f t="shared" si="3"/>
        <v>841.92800000118336</v>
      </c>
      <c r="Q14" s="2"/>
      <c r="S14" s="13">
        <f t="shared" si="1"/>
        <v>4</v>
      </c>
      <c r="T14" s="13">
        <f t="shared" si="0"/>
        <v>67.5</v>
      </c>
      <c r="U14" s="133">
        <f t="shared" si="0"/>
        <v>14</v>
      </c>
      <c r="V14" s="14">
        <f ca="1">K14-'246+avg2.03'!V14</f>
        <v>1.2229999808445768</v>
      </c>
      <c r="W14" s="14">
        <f>K14-'246+avg2.03'!W14</f>
        <v>1.2229999808445768</v>
      </c>
    </row>
    <row r="15" spans="8:27">
      <c r="H15" s="13">
        <v>5</v>
      </c>
      <c r="I15" s="13">
        <f t="shared" si="4"/>
        <v>90</v>
      </c>
      <c r="J15" s="133">
        <v>13</v>
      </c>
      <c r="K15" s="111">
        <f>'201'!K15-(1.5+0.03)</f>
        <v>420.89200000000005</v>
      </c>
      <c r="L15" s="15">
        <v>420.89250000000004</v>
      </c>
      <c r="M15" s="15">
        <v>421.04349999999999</v>
      </c>
      <c r="P15" s="13">
        <f t="shared" si="3"/>
        <v>841.92200000118328</v>
      </c>
      <c r="Q15" s="2"/>
      <c r="S15" s="13">
        <f t="shared" si="1"/>
        <v>5</v>
      </c>
      <c r="T15" s="13">
        <f t="shared" si="0"/>
        <v>90</v>
      </c>
      <c r="U15" s="133">
        <f t="shared" si="0"/>
        <v>13</v>
      </c>
      <c r="V15" s="14">
        <f ca="1">K15-'246+avg2.03'!V15</f>
        <v>1.2249999988028435</v>
      </c>
      <c r="W15" s="14">
        <f>K15-'246+avg2.03'!W15</f>
        <v>1.2249999988028435</v>
      </c>
    </row>
    <row r="16" spans="8:27">
      <c r="H16" s="13">
        <v>6</v>
      </c>
      <c r="I16" s="13">
        <f t="shared" si="4"/>
        <v>112.5</v>
      </c>
      <c r="J16" s="133">
        <v>12</v>
      </c>
      <c r="K16" s="111">
        <f>'201'!K16-(1.5+0.03)</f>
        <v>420.94600000000003</v>
      </c>
      <c r="L16" s="15">
        <v>420.89250000000004</v>
      </c>
      <c r="M16" s="15">
        <v>421.04349999999999</v>
      </c>
      <c r="P16" s="13">
        <f t="shared" si="3"/>
        <v>841.86100001065233</v>
      </c>
      <c r="Q16" s="2"/>
      <c r="S16" s="13">
        <f t="shared" si="1"/>
        <v>6</v>
      </c>
      <c r="T16" s="13">
        <f t="shared" si="0"/>
        <v>112.5</v>
      </c>
      <c r="U16" s="133">
        <f t="shared" si="0"/>
        <v>12</v>
      </c>
      <c r="V16" s="14">
        <f ca="1">K16-'246+avg2.03'!V16</f>
        <v>1.2579999988029158</v>
      </c>
      <c r="W16" s="14">
        <f>K16-'246+avg2.03'!W16</f>
        <v>1.2579999988029158</v>
      </c>
    </row>
    <row r="17" spans="8:23">
      <c r="H17" s="13">
        <v>7</v>
      </c>
      <c r="I17" s="13">
        <f t="shared" si="4"/>
        <v>135</v>
      </c>
      <c r="J17" s="133">
        <v>11</v>
      </c>
      <c r="K17" s="111">
        <f>'201'!K17-(1.5+0.03)</f>
        <v>420.97500000000002</v>
      </c>
      <c r="L17" s="15">
        <v>420.89250000000004</v>
      </c>
      <c r="M17" s="15">
        <v>421.04349999999999</v>
      </c>
      <c r="P17" s="13">
        <f t="shared" si="3"/>
        <v>841.8030000047354</v>
      </c>
      <c r="Q17" s="2"/>
      <c r="S17" s="13">
        <f t="shared" si="1"/>
        <v>7</v>
      </c>
      <c r="T17" s="13">
        <f t="shared" si="0"/>
        <v>135</v>
      </c>
      <c r="U17" s="133">
        <f t="shared" si="0"/>
        <v>11</v>
      </c>
      <c r="V17" s="14">
        <f ca="1">K17-'246+avg2.03'!V17</f>
        <v>1.3029999988028749</v>
      </c>
      <c r="W17" s="14">
        <f>K17-'246+avg2.03'!W17</f>
        <v>1.3029999988028749</v>
      </c>
    </row>
    <row r="18" spans="8:23">
      <c r="H18" s="13">
        <v>8</v>
      </c>
      <c r="I18" s="13">
        <f t="shared" si="4"/>
        <v>157.5</v>
      </c>
      <c r="J18" s="133">
        <v>10</v>
      </c>
      <c r="K18" s="111">
        <f>'201'!K18-(1.5+0.03)</f>
        <v>420.98300001065058</v>
      </c>
      <c r="L18" s="15">
        <v>420.89250000000004</v>
      </c>
      <c r="M18" s="15">
        <v>421.04349999999999</v>
      </c>
      <c r="P18" s="13">
        <f t="shared" si="3"/>
        <v>841.86100001065063</v>
      </c>
      <c r="Q18" s="2"/>
      <c r="S18" s="13">
        <f t="shared" si="1"/>
        <v>8</v>
      </c>
      <c r="T18" s="13">
        <f t="shared" si="0"/>
        <v>157.5</v>
      </c>
      <c r="U18" s="133">
        <f t="shared" si="0"/>
        <v>10</v>
      </c>
      <c r="V18" s="14">
        <f ca="1">K18-'246+avg2.03'!V18</f>
        <v>1.3040000106506113</v>
      </c>
      <c r="W18" s="14">
        <f>K18-'246+avg2.03'!W18</f>
        <v>1.3040000106506113</v>
      </c>
    </row>
    <row r="19" spans="8:23">
      <c r="H19" s="13">
        <v>9</v>
      </c>
      <c r="I19" s="13">
        <f t="shared" si="4"/>
        <v>180</v>
      </c>
      <c r="J19" s="133">
        <v>9</v>
      </c>
      <c r="K19" s="111">
        <f>'201'!K19-(1.5+0.03)</f>
        <v>420.90700000000004</v>
      </c>
      <c r="L19" s="15">
        <v>420.89250000000004</v>
      </c>
      <c r="M19" s="15">
        <v>421.04349999999999</v>
      </c>
      <c r="P19" s="13"/>
      <c r="Q19" s="2"/>
      <c r="S19" s="13">
        <f t="shared" si="1"/>
        <v>9</v>
      </c>
      <c r="T19" s="13">
        <f t="shared" si="0"/>
        <v>180</v>
      </c>
      <c r="U19" s="133">
        <f t="shared" si="0"/>
        <v>9</v>
      </c>
      <c r="V19" s="14">
        <f ca="1">K19-'246+avg2.03'!V19</f>
        <v>1.2709999988027789</v>
      </c>
      <c r="W19" s="14">
        <f>K19-'246+avg2.03'!W19</f>
        <v>1.2709999988027789</v>
      </c>
    </row>
    <row r="20" spans="8:23">
      <c r="H20" s="13">
        <v>10</v>
      </c>
      <c r="I20" s="13">
        <f t="shared" si="4"/>
        <v>202.5</v>
      </c>
      <c r="J20" s="133">
        <v>8</v>
      </c>
      <c r="K20" s="111">
        <f>'201'!K20-(1.5+0.03)</f>
        <v>420.8620000189398</v>
      </c>
      <c r="L20" s="15">
        <v>420.89250000000004</v>
      </c>
      <c r="M20" s="15">
        <v>421.04349999999999</v>
      </c>
      <c r="P20" s="13">
        <f>MAX(P11:P18)</f>
        <v>841.95300000591692</v>
      </c>
      <c r="Q20" s="13" t="str">
        <f>IF(P20&gt;M6, CONCATENATE("O/Max ", TEXT(P20-M6, "0.000")), "-")</f>
        <v>-</v>
      </c>
      <c r="S20" s="13">
        <f t="shared" si="1"/>
        <v>10</v>
      </c>
      <c r="T20" s="13">
        <f t="shared" si="0"/>
        <v>202.5</v>
      </c>
      <c r="U20" s="133">
        <f t="shared" si="0"/>
        <v>8</v>
      </c>
      <c r="V20" s="14">
        <f ca="1">K20-'246+avg2.03'!V20</f>
        <v>1.2609998165789875</v>
      </c>
      <c r="W20" s="14">
        <f>K20-'246+avg2.03'!W20</f>
        <v>1.2609998165789875</v>
      </c>
    </row>
    <row r="21" spans="8:23">
      <c r="H21" s="13">
        <v>11</v>
      </c>
      <c r="I21" s="13">
        <f t="shared" si="4"/>
        <v>225</v>
      </c>
      <c r="J21" s="133">
        <v>7</v>
      </c>
      <c r="K21" s="111">
        <f>'201'!K21-(1.5+0.03)</f>
        <v>420.9510000011835</v>
      </c>
      <c r="L21" s="15">
        <v>420.89250000000004</v>
      </c>
      <c r="M21" s="15">
        <v>421.04349999999999</v>
      </c>
      <c r="P21" s="13">
        <f>MIN(P11:P18)</f>
        <v>841.8030000047354</v>
      </c>
      <c r="Q21" s="13" t="str">
        <f>IF(P21&lt;M7, CONCATENATE("U/Min ", TEXT(M7-P21, "0.000")), "-")</f>
        <v>-</v>
      </c>
      <c r="S21" s="13">
        <f t="shared" si="1"/>
        <v>11</v>
      </c>
      <c r="T21" s="13">
        <f t="shared" si="0"/>
        <v>225</v>
      </c>
      <c r="U21" s="133">
        <f t="shared" si="0"/>
        <v>7</v>
      </c>
      <c r="V21" s="14">
        <f ca="1">K21-'246+avg2.03'!V21</f>
        <v>1.2969999999862125</v>
      </c>
      <c r="W21" s="14">
        <f>K21-'246+avg2.03'!W21</f>
        <v>1.2969999999862125</v>
      </c>
    </row>
    <row r="22" spans="8:23">
      <c r="H22" s="13">
        <v>12</v>
      </c>
      <c r="I22" s="13">
        <f t="shared" si="4"/>
        <v>247.5</v>
      </c>
      <c r="J22" s="133">
        <v>6</v>
      </c>
      <c r="K22" s="111">
        <f>'201'!K22-(1.5+0.03)</f>
        <v>421.0390000011833</v>
      </c>
      <c r="L22" s="15">
        <v>420.89250000000004</v>
      </c>
      <c r="M22" s="15">
        <v>421.04349999999999</v>
      </c>
      <c r="S22" s="13">
        <f t="shared" si="1"/>
        <v>12</v>
      </c>
      <c r="T22" s="13">
        <f t="shared" si="0"/>
        <v>247.5</v>
      </c>
      <c r="U22" s="133">
        <f t="shared" si="0"/>
        <v>6</v>
      </c>
      <c r="V22" s="14">
        <f ca="1">K22-'246+avg2.03'!V22</f>
        <v>1.3009999963952623</v>
      </c>
      <c r="W22" s="14">
        <f>K22-'246+avg2.03'!W22</f>
        <v>1.3009999963952623</v>
      </c>
    </row>
    <row r="23" spans="8:23">
      <c r="H23" s="13">
        <v>13</v>
      </c>
      <c r="I23" s="13">
        <f t="shared" si="4"/>
        <v>270</v>
      </c>
      <c r="J23" s="133">
        <v>5</v>
      </c>
      <c r="K23" s="111">
        <f>'201'!K23-(1.5+0.03)</f>
        <v>421.03000000118328</v>
      </c>
      <c r="L23" s="15">
        <v>420.89250000000004</v>
      </c>
      <c r="M23" s="15">
        <v>421.04349999999999</v>
      </c>
      <c r="S23" s="13">
        <f t="shared" si="1"/>
        <v>13</v>
      </c>
      <c r="T23" s="13">
        <f t="shared" si="0"/>
        <v>270</v>
      </c>
      <c r="U23" s="133">
        <f t="shared" si="0"/>
        <v>5</v>
      </c>
      <c r="V23" s="14">
        <f ca="1">K23-'246+avg2.03'!V23</f>
        <v>1.2899999999863212</v>
      </c>
      <c r="W23" s="14">
        <f>K23-'246+avg2.03'!W23</f>
        <v>1.2899999999863212</v>
      </c>
    </row>
    <row r="24" spans="8:23">
      <c r="H24" s="13">
        <v>14</v>
      </c>
      <c r="I24" s="13">
        <f t="shared" si="4"/>
        <v>292.5</v>
      </c>
      <c r="J24" s="133">
        <v>4</v>
      </c>
      <c r="K24" s="111">
        <f>'201'!K24-(1.5+0.03)</f>
        <v>420.91500001065231</v>
      </c>
      <c r="L24" s="15">
        <v>420.89250000000004</v>
      </c>
      <c r="M24" s="15">
        <v>421.04349999999999</v>
      </c>
      <c r="S24" s="13">
        <f t="shared" si="1"/>
        <v>14</v>
      </c>
      <c r="T24" s="13">
        <f t="shared" si="0"/>
        <v>292.5</v>
      </c>
      <c r="U24" s="133">
        <f t="shared" si="0"/>
        <v>4</v>
      </c>
      <c r="V24" s="14">
        <f ca="1">K24-'246+avg2.03'!V24</f>
        <v>1.2310000106523376</v>
      </c>
      <c r="W24" s="14">
        <f>K24-'246+avg2.03'!W24</f>
        <v>1.2310000106523376</v>
      </c>
    </row>
    <row r="25" spans="8:23">
      <c r="H25" s="13">
        <v>15</v>
      </c>
      <c r="I25" s="13">
        <f t="shared" si="4"/>
        <v>315</v>
      </c>
      <c r="J25" s="133">
        <v>3</v>
      </c>
      <c r="K25" s="111">
        <f>'201'!K25-(1.5+0.03)</f>
        <v>420.82800000473532</v>
      </c>
      <c r="L25" s="15">
        <v>420.89250000000004</v>
      </c>
      <c r="M25" s="15">
        <v>421.04349999999999</v>
      </c>
      <c r="S25" s="13">
        <f t="shared" si="1"/>
        <v>15</v>
      </c>
      <c r="T25" s="13">
        <f t="shared" si="0"/>
        <v>315</v>
      </c>
      <c r="U25" s="133">
        <f t="shared" si="0"/>
        <v>3</v>
      </c>
      <c r="V25" s="14">
        <f ca="1">K25-'246+avg2.03'!V25</f>
        <v>1.2380000035378771</v>
      </c>
      <c r="W25" s="14">
        <f>K25-'246+avg2.03'!W25</f>
        <v>1.2380000035378771</v>
      </c>
    </row>
    <row r="26" spans="8:23">
      <c r="H26" s="13">
        <v>16</v>
      </c>
      <c r="I26" s="13">
        <f t="shared" si="4"/>
        <v>337.5</v>
      </c>
      <c r="J26" s="133">
        <v>2</v>
      </c>
      <c r="K26" s="111">
        <f>'201'!K26-(1.5+0.03)</f>
        <v>420.87800000000004</v>
      </c>
      <c r="L26" s="15">
        <v>420.89250000000004</v>
      </c>
      <c r="M26" s="15">
        <v>421.04349999999999</v>
      </c>
      <c r="S26" s="13">
        <f t="shared" si="1"/>
        <v>16</v>
      </c>
      <c r="T26" s="13">
        <f t="shared" si="0"/>
        <v>337.5</v>
      </c>
      <c r="U26" s="133">
        <f t="shared" si="0"/>
        <v>2</v>
      </c>
      <c r="V26" s="14">
        <f ca="1">K26-'246+avg2.03'!V26</f>
        <v>1.2879999892231808</v>
      </c>
      <c r="W26" s="14">
        <f>K26-'246+avg2.03'!W26</f>
        <v>1.2879999892231808</v>
      </c>
    </row>
    <row r="27" spans="8:23">
      <c r="H27" s="13">
        <v>17</v>
      </c>
      <c r="I27" s="13">
        <v>360</v>
      </c>
      <c r="J27" s="133">
        <v>1</v>
      </c>
      <c r="K27" s="15">
        <f>K11</f>
        <v>420.99100000000004</v>
      </c>
      <c r="S27" s="13"/>
      <c r="T27" s="13"/>
      <c r="U27" s="133"/>
    </row>
    <row r="28" spans="8:23">
      <c r="J28" s="133" t="s">
        <v>321</v>
      </c>
      <c r="K28" s="5">
        <f>MAX(K11:K26)</f>
        <v>421.0600000011832</v>
      </c>
      <c r="L28" s="15" t="s">
        <v>322</v>
      </c>
      <c r="M28" s="15">
        <f>IF(K28&gt;M26, K28-M26, "-")</f>
        <v>1.6500001183203494E-2</v>
      </c>
    </row>
    <row r="29" spans="8:23">
      <c r="J29" s="133" t="s">
        <v>323</v>
      </c>
      <c r="K29" s="15">
        <f>MIN(K11:K26)</f>
        <v>420.82800000473532</v>
      </c>
      <c r="L29" s="15" t="s">
        <v>324</v>
      </c>
      <c r="M29" s="15">
        <f>IF(K29&lt;L26, K29-L26, "-")</f>
        <v>-6.4499995264725385E-2</v>
      </c>
    </row>
    <row r="30" spans="8:23">
      <c r="J30" s="17" t="s">
        <v>325</v>
      </c>
      <c r="K30" s="16">
        <f>AVERAGE(K11:K26)*2</f>
        <v>841.89350000680543</v>
      </c>
      <c r="L30" s="15"/>
      <c r="M30" s="15" t="str">
        <f>IF(K30&gt;M6, "O/Max "&amp;TEXT(K30-M6, "0.000"), IF(K30&lt;M7, "U/Min "&amp;TEXT(M7-K30, "0.000"), "-"))</f>
        <v>-</v>
      </c>
    </row>
    <row r="31" spans="8:23">
      <c r="J31" s="133" t="s">
        <v>326</v>
      </c>
      <c r="K31" s="18">
        <f>K28-K29</f>
        <v>0.23199999644788249</v>
      </c>
      <c r="L31" s="15"/>
      <c r="M31" s="15"/>
      <c r="N31" s="5" t="s">
        <v>327</v>
      </c>
    </row>
    <row r="32" spans="8:23">
      <c r="S32" s="19" t="s">
        <v>347</v>
      </c>
    </row>
    <row r="33" spans="10:44">
      <c r="J33" s="5" t="s">
        <v>348</v>
      </c>
      <c r="M33" s="5" t="s">
        <v>328</v>
      </c>
      <c r="N33" s="5">
        <f>360/24</f>
        <v>15</v>
      </c>
      <c r="O33" s="134" t="s">
        <v>329</v>
      </c>
      <c r="P33" s="5" t="s">
        <v>330</v>
      </c>
      <c r="Q33" s="5">
        <f>'246+avg2.03'!$Q$33</f>
        <v>-6.36</v>
      </c>
      <c r="R33" s="134" t="s">
        <v>329</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v>24</v>
      </c>
      <c r="AQ33" s="5"/>
      <c r="AR33" s="5"/>
    </row>
    <row r="34" spans="10:44">
      <c r="K34" s="134" t="s">
        <v>331</v>
      </c>
      <c r="M34" s="134" t="s">
        <v>332</v>
      </c>
      <c r="N34" s="134" t="s">
        <v>333</v>
      </c>
      <c r="O34" s="134" t="s">
        <v>334</v>
      </c>
      <c r="P34" s="134" t="s">
        <v>335</v>
      </c>
      <c r="Q34" s="134" t="s">
        <v>336</v>
      </c>
      <c r="R34" s="5"/>
      <c r="S34" s="20" t="str">
        <f ca="1">CONCATENATE($S$32, "#", OFFSET($J$35, S33, 0))</f>
        <v>Stg.4 Shroud Aft#1</v>
      </c>
      <c r="T34" s="20" t="str">
        <f t="shared" ref="T34:AP34" ca="1" si="5">CONCATENATE($S$32, "#", OFFSET($J$35, T33, 0))</f>
        <v>Stg.4 Shroud Aft#24</v>
      </c>
      <c r="U34" s="20" t="str">
        <f t="shared" ca="1" si="5"/>
        <v>Stg.4 Shroud Aft#23</v>
      </c>
      <c r="V34" s="20" t="str">
        <f t="shared" ca="1" si="5"/>
        <v>Stg.4 Shroud Aft#22</v>
      </c>
      <c r="W34" s="20" t="str">
        <f t="shared" ca="1" si="5"/>
        <v>Stg.4 Shroud Aft#21</v>
      </c>
      <c r="X34" s="20" t="str">
        <f t="shared" ca="1" si="5"/>
        <v>Stg.4 Shroud Aft#20</v>
      </c>
      <c r="Y34" s="20" t="str">
        <f t="shared" ca="1" si="5"/>
        <v>Stg.4 Shroud Aft#19</v>
      </c>
      <c r="Z34" s="20" t="str">
        <f t="shared" ca="1" si="5"/>
        <v>Stg.4 Shroud Aft#18</v>
      </c>
      <c r="AA34" s="20" t="str">
        <f t="shared" ca="1" si="5"/>
        <v>Stg.4 Shroud Aft#17</v>
      </c>
      <c r="AB34" s="20" t="str">
        <f t="shared" ca="1" si="5"/>
        <v>Stg.4 Shroud Aft#16</v>
      </c>
      <c r="AC34" s="20" t="str">
        <f t="shared" ca="1" si="5"/>
        <v>Stg.4 Shroud Aft#15</v>
      </c>
      <c r="AD34" s="20" t="str">
        <f t="shared" ca="1" si="5"/>
        <v>Stg.4 Shroud Aft#14</v>
      </c>
      <c r="AE34" s="20" t="str">
        <f t="shared" ca="1" si="5"/>
        <v>Stg.4 Shroud Aft#13</v>
      </c>
      <c r="AF34" s="20" t="str">
        <f t="shared" ca="1" si="5"/>
        <v>Stg.4 Shroud Aft#12</v>
      </c>
      <c r="AG34" s="20" t="str">
        <f t="shared" ca="1" si="5"/>
        <v>Stg.4 Shroud Aft#11</v>
      </c>
      <c r="AH34" s="20" t="str">
        <f t="shared" ca="1" si="5"/>
        <v>Stg.4 Shroud Aft#10</v>
      </c>
      <c r="AI34" s="20" t="str">
        <f t="shared" ca="1" si="5"/>
        <v>Stg.4 Shroud Aft#9</v>
      </c>
      <c r="AJ34" s="20" t="str">
        <f t="shared" ca="1" si="5"/>
        <v>Stg.4 Shroud Aft#8</v>
      </c>
      <c r="AK34" s="20" t="str">
        <f t="shared" ca="1" si="5"/>
        <v>Stg.4 Shroud Aft#7</v>
      </c>
      <c r="AL34" s="20" t="str">
        <f t="shared" ca="1" si="5"/>
        <v>Stg.4 Shroud Aft#6</v>
      </c>
      <c r="AM34" s="20" t="str">
        <f t="shared" ca="1" si="5"/>
        <v>Stg.4 Shroud Aft#5</v>
      </c>
      <c r="AN34" s="20" t="str">
        <f t="shared" ca="1" si="5"/>
        <v>Stg.4 Shroud Aft#4</v>
      </c>
      <c r="AO34" s="20" t="str">
        <f t="shared" ca="1" si="5"/>
        <v>Stg.4 Shroud Aft#3</v>
      </c>
      <c r="AP34" s="20" t="str">
        <f t="shared" ca="1" si="5"/>
        <v>Stg.4 Shroud Aft#2</v>
      </c>
      <c r="AQ34" s="20" t="s">
        <v>337</v>
      </c>
      <c r="AR34" s="20" t="s">
        <v>338</v>
      </c>
    </row>
    <row r="35" spans="10:44">
      <c r="J35" s="134" t="s">
        <v>339</v>
      </c>
      <c r="K35" s="134" t="s">
        <v>319</v>
      </c>
      <c r="L35" s="134" t="s">
        <v>340</v>
      </c>
      <c r="M35" s="134" t="s">
        <v>320</v>
      </c>
      <c r="N35" s="134" t="s">
        <v>341</v>
      </c>
      <c r="O35" s="134" t="s">
        <v>319</v>
      </c>
      <c r="P35" s="134" t="s">
        <v>320</v>
      </c>
      <c r="Q35" s="134" t="s">
        <v>320</v>
      </c>
      <c r="R35" s="5"/>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2" t="s">
        <v>320</v>
      </c>
      <c r="AR35" s="22" t="s">
        <v>320</v>
      </c>
    </row>
    <row r="36" spans="10:44">
      <c r="J36" s="5">
        <v>1</v>
      </c>
      <c r="K36" s="23">
        <f>IF(Q33&lt;0, 360+$Q$33, $Q$33)</f>
        <v>353.64</v>
      </c>
      <c r="L36" s="24">
        <f>MATCH($K36, $I$11:$I$27, 1)</f>
        <v>16</v>
      </c>
      <c r="M36" s="5">
        <f>VLOOKUP(L36, $H$11:$K$27, 4, FALSE)</f>
        <v>420.87800000000004</v>
      </c>
      <c r="N36" s="25">
        <f>(VLOOKUP(L36+1, $H$11:$K$27, 4, FALSE) - VLOOKUP(L36, $H$11:$K$27, 4, FALSE))/(VLOOKUP(L36+1, $H$11:$K$27, 2, FALSE) - VLOOKUP(L36, $H$11:$K$27, 2, FALSE))</f>
        <v>5.0222222222222022E-3</v>
      </c>
      <c r="O36" s="26">
        <f>K36-VLOOKUP(L36, $H$11:$I$27, 2, FALSE)</f>
        <v>16.139999999999986</v>
      </c>
      <c r="P36" s="27">
        <f>M36+N36*O36</f>
        <v>420.95905866666669</v>
      </c>
      <c r="Q36" s="27">
        <f>(P36+P59)/2</f>
        <v>420.92139200000003</v>
      </c>
      <c r="R36" s="5"/>
      <c r="S36" s="28">
        <f>Q36</f>
        <v>420.92139200000003</v>
      </c>
      <c r="T36" s="29"/>
      <c r="U36" s="29"/>
      <c r="V36" s="29"/>
      <c r="W36" s="29"/>
      <c r="X36" s="29"/>
      <c r="Y36" s="29"/>
      <c r="Z36" s="29"/>
      <c r="AA36" s="29"/>
      <c r="AB36" s="29"/>
      <c r="AC36" s="29"/>
      <c r="AD36" s="29"/>
      <c r="AE36" s="29"/>
      <c r="AF36" s="29"/>
      <c r="AG36" s="29"/>
      <c r="AH36" s="29"/>
      <c r="AI36" s="29"/>
      <c r="AJ36" s="28"/>
      <c r="AK36" s="28"/>
      <c r="AL36" s="28"/>
      <c r="AM36" s="28"/>
      <c r="AN36" s="28"/>
      <c r="AO36" s="28"/>
      <c r="AP36" s="28">
        <f>AP59</f>
        <v>420.86815866987058</v>
      </c>
      <c r="AQ36" s="29">
        <f>L11</f>
        <v>420.89250000000004</v>
      </c>
      <c r="AR36" s="29">
        <f>M11</f>
        <v>421.04349999999999</v>
      </c>
    </row>
    <row r="37" spans="10:44">
      <c r="J37" s="5">
        <v>24</v>
      </c>
      <c r="K37" s="23">
        <f>IF(K36+$N$33&gt;360, K36+$N$33-360, K36+$N$33)</f>
        <v>8.6399999999999864</v>
      </c>
      <c r="L37" s="24">
        <f t="shared" ref="L37:L59" si="6">MATCH($K37, $I$11:$I$27, 1)</f>
        <v>1</v>
      </c>
      <c r="M37" s="5">
        <f t="shared" ref="M37:M58" si="7">VLOOKUP(L37, $H$11:$K$27, 4, FALSE)</f>
        <v>420.99100000000004</v>
      </c>
      <c r="N37" s="25">
        <f t="shared" ref="N37:N59" si="8">(VLOOKUP(L37+1, $H$11:$K$27, 4, FALSE) - VLOOKUP(L37, $H$11:$K$27, 4, FALSE))/(VLOOKUP(L37+1, $H$11:$K$27, 2, FALSE) - VLOOKUP(L37, $H$11:$K$27, 2, FALSE))</f>
        <v>3.0666667192513664E-3</v>
      </c>
      <c r="O37" s="26">
        <f t="shared" ref="O37:O59" si="9">K37-VLOOKUP(L37, $H$11:$I$27, 2, FALSE)</f>
        <v>8.6399999999999864</v>
      </c>
      <c r="P37" s="27">
        <f t="shared" ref="P37:P59" si="10">M37+N37*O37</f>
        <v>421.0174960004544</v>
      </c>
      <c r="Q37" s="27">
        <f>(P36+P37)/2</f>
        <v>420.98827733356052</v>
      </c>
      <c r="R37" s="5"/>
      <c r="S37" s="30">
        <f>S36</f>
        <v>420.92139200000003</v>
      </c>
      <c r="T37" s="30">
        <f>Q37</f>
        <v>420.98827733356052</v>
      </c>
      <c r="U37" s="21"/>
      <c r="V37" s="21"/>
      <c r="W37" s="21"/>
      <c r="X37" s="21"/>
      <c r="Y37" s="21"/>
      <c r="Z37" s="21"/>
      <c r="AA37" s="21"/>
      <c r="AB37" s="21"/>
      <c r="AC37" s="21"/>
      <c r="AD37" s="21"/>
      <c r="AE37" s="21"/>
      <c r="AF37" s="21"/>
      <c r="AG37" s="21"/>
      <c r="AH37" s="21"/>
      <c r="AI37" s="21"/>
      <c r="AJ37" s="21"/>
      <c r="AK37" s="21"/>
      <c r="AL37" s="21"/>
      <c r="AM37" s="21"/>
      <c r="AN37" s="21"/>
      <c r="AO37" s="21"/>
      <c r="AP37" s="21"/>
      <c r="AQ37" s="21">
        <f>AQ36</f>
        <v>420.89250000000004</v>
      </c>
      <c r="AR37" s="21">
        <f>AR36</f>
        <v>421.04349999999999</v>
      </c>
    </row>
    <row r="38" spans="10:44">
      <c r="J38" s="5">
        <v>23</v>
      </c>
      <c r="K38" s="23">
        <f t="shared" ref="K38:K59" si="11">IF(K37+$N$33&gt;360, K37+$N$33-360, K37+$N$33)</f>
        <v>23.639999999999986</v>
      </c>
      <c r="L38" s="24">
        <f t="shared" si="6"/>
        <v>2</v>
      </c>
      <c r="M38" s="5">
        <f t="shared" si="7"/>
        <v>421.0600000011832</v>
      </c>
      <c r="N38" s="25">
        <f t="shared" si="8"/>
        <v>-2.5777776199927553E-3</v>
      </c>
      <c r="O38" s="26">
        <f t="shared" si="9"/>
        <v>1.1399999999999864</v>
      </c>
      <c r="P38" s="27">
        <f t="shared" si="10"/>
        <v>421.05706133469641</v>
      </c>
      <c r="Q38" s="27">
        <f t="shared" ref="Q38:Q58" si="12">(P37+P38)/2</f>
        <v>421.03727866757538</v>
      </c>
      <c r="R38" s="5"/>
      <c r="S38" s="21"/>
      <c r="T38" s="30">
        <f>T37</f>
        <v>420.98827733356052</v>
      </c>
      <c r="U38" s="30">
        <f>Q38</f>
        <v>421.03727866757538</v>
      </c>
      <c r="V38" s="21"/>
      <c r="W38" s="21"/>
      <c r="X38" s="21"/>
      <c r="Y38" s="21"/>
      <c r="Z38" s="21"/>
      <c r="AA38" s="21"/>
      <c r="AB38" s="21"/>
      <c r="AC38" s="21"/>
      <c r="AD38" s="21"/>
      <c r="AE38" s="21"/>
      <c r="AF38" s="21"/>
      <c r="AG38" s="21"/>
      <c r="AH38" s="21"/>
      <c r="AI38" s="21"/>
      <c r="AJ38" s="21"/>
      <c r="AK38" s="21"/>
      <c r="AL38" s="21"/>
      <c r="AM38" s="21"/>
      <c r="AN38" s="21"/>
      <c r="AO38" s="21"/>
      <c r="AP38" s="21"/>
      <c r="AQ38" s="21">
        <f t="shared" ref="AQ38:AR53" si="13">AQ37</f>
        <v>420.89250000000004</v>
      </c>
      <c r="AR38" s="21">
        <f t="shared" si="13"/>
        <v>421.04349999999999</v>
      </c>
    </row>
    <row r="39" spans="10:44">
      <c r="J39" s="5">
        <v>22</v>
      </c>
      <c r="K39" s="23">
        <f t="shared" si="11"/>
        <v>38.639999999999986</v>
      </c>
      <c r="L39" s="24">
        <f t="shared" si="6"/>
        <v>2</v>
      </c>
      <c r="M39" s="5">
        <f t="shared" si="7"/>
        <v>421.0600000011832</v>
      </c>
      <c r="N39" s="25">
        <f t="shared" si="8"/>
        <v>-2.5777776199927553E-3</v>
      </c>
      <c r="O39" s="26">
        <f t="shared" si="9"/>
        <v>16.139999999999986</v>
      </c>
      <c r="P39" s="27">
        <f t="shared" si="10"/>
        <v>421.0183946703965</v>
      </c>
      <c r="Q39" s="27">
        <f t="shared" si="12"/>
        <v>421.03772800254649</v>
      </c>
      <c r="R39" s="5"/>
      <c r="S39" s="21"/>
      <c r="T39" s="21"/>
      <c r="U39" s="30">
        <f>U38</f>
        <v>421.03727866757538</v>
      </c>
      <c r="V39" s="30">
        <f>Q39</f>
        <v>421.03772800254649</v>
      </c>
      <c r="W39" s="21"/>
      <c r="X39" s="21"/>
      <c r="Y39" s="21"/>
      <c r="Z39" s="21"/>
      <c r="AA39" s="21"/>
      <c r="AB39" s="21"/>
      <c r="AC39" s="21"/>
      <c r="AD39" s="21"/>
      <c r="AE39" s="21"/>
      <c r="AF39" s="21"/>
      <c r="AG39" s="21"/>
      <c r="AH39" s="21"/>
      <c r="AI39" s="21"/>
      <c r="AJ39" s="21"/>
      <c r="AK39" s="21"/>
      <c r="AL39" s="21"/>
      <c r="AM39" s="21"/>
      <c r="AN39" s="21"/>
      <c r="AO39" s="21"/>
      <c r="AP39" s="21"/>
      <c r="AQ39" s="21">
        <f t="shared" si="13"/>
        <v>420.89250000000004</v>
      </c>
      <c r="AR39" s="21">
        <f t="shared" si="13"/>
        <v>421.04349999999999</v>
      </c>
    </row>
    <row r="40" spans="10:44">
      <c r="J40" s="5">
        <v>21</v>
      </c>
      <c r="K40" s="23">
        <f t="shared" si="11"/>
        <v>53.639999999999986</v>
      </c>
      <c r="L40" s="24">
        <f t="shared" si="6"/>
        <v>3</v>
      </c>
      <c r="M40" s="5">
        <f t="shared" si="7"/>
        <v>421.00200000473336</v>
      </c>
      <c r="N40" s="25">
        <f t="shared" si="8"/>
        <v>-5.0222224325933793E-3</v>
      </c>
      <c r="O40" s="26">
        <f t="shared" si="9"/>
        <v>8.6399999999999864</v>
      </c>
      <c r="P40" s="27">
        <f t="shared" si="10"/>
        <v>420.95860800291575</v>
      </c>
      <c r="Q40" s="27">
        <f t="shared" si="12"/>
        <v>420.9885013366561</v>
      </c>
      <c r="R40" s="5"/>
      <c r="S40" s="21"/>
      <c r="T40" s="21"/>
      <c r="U40" s="21"/>
      <c r="V40" s="30">
        <f>V39</f>
        <v>421.03772800254649</v>
      </c>
      <c r="W40" s="30">
        <f>Q40</f>
        <v>420.9885013366561</v>
      </c>
      <c r="X40" s="21"/>
      <c r="Y40" s="21"/>
      <c r="Z40" s="21"/>
      <c r="AA40" s="21"/>
      <c r="AB40" s="21"/>
      <c r="AC40" s="21"/>
      <c r="AD40" s="21"/>
      <c r="AE40" s="21"/>
      <c r="AF40" s="21"/>
      <c r="AG40" s="21"/>
      <c r="AH40" s="21"/>
      <c r="AI40" s="21"/>
      <c r="AJ40" s="21"/>
      <c r="AK40" s="21"/>
      <c r="AL40" s="21"/>
      <c r="AM40" s="21"/>
      <c r="AN40" s="21"/>
      <c r="AO40" s="21"/>
      <c r="AP40" s="21"/>
      <c r="AQ40" s="21">
        <f t="shared" si="13"/>
        <v>420.89250000000004</v>
      </c>
      <c r="AR40" s="21">
        <f t="shared" si="13"/>
        <v>421.04349999999999</v>
      </c>
    </row>
    <row r="41" spans="10:44">
      <c r="J41" s="5">
        <v>20</v>
      </c>
      <c r="K41" s="23">
        <f t="shared" si="11"/>
        <v>68.639999999999986</v>
      </c>
      <c r="L41" s="24">
        <f t="shared" si="6"/>
        <v>4</v>
      </c>
      <c r="M41" s="5">
        <f t="shared" si="7"/>
        <v>420.88900000000001</v>
      </c>
      <c r="N41" s="25">
        <f t="shared" si="8"/>
        <v>1.3333333333523316E-4</v>
      </c>
      <c r="O41" s="26">
        <f t="shared" si="9"/>
        <v>1.1399999999999864</v>
      </c>
      <c r="P41" s="27">
        <f t="shared" si="10"/>
        <v>420.88915200000002</v>
      </c>
      <c r="Q41" s="27">
        <f t="shared" si="12"/>
        <v>420.92388000145786</v>
      </c>
      <c r="R41" s="5"/>
      <c r="S41" s="21"/>
      <c r="T41" s="21"/>
      <c r="U41" s="21"/>
      <c r="V41" s="21"/>
      <c r="W41" s="30">
        <f>W40</f>
        <v>420.9885013366561</v>
      </c>
      <c r="X41" s="30">
        <f>Q41</f>
        <v>420.92388000145786</v>
      </c>
      <c r="Y41" s="21"/>
      <c r="Z41" s="21"/>
      <c r="AA41" s="21"/>
      <c r="AB41" s="21"/>
      <c r="AC41" s="21"/>
      <c r="AD41" s="21"/>
      <c r="AE41" s="21"/>
      <c r="AF41" s="21"/>
      <c r="AG41" s="21"/>
      <c r="AH41" s="21"/>
      <c r="AI41" s="21"/>
      <c r="AJ41" s="21"/>
      <c r="AK41" s="21"/>
      <c r="AL41" s="21"/>
      <c r="AM41" s="21"/>
      <c r="AN41" s="21"/>
      <c r="AO41" s="21"/>
      <c r="AP41" s="21"/>
      <c r="AQ41" s="21">
        <f t="shared" si="13"/>
        <v>420.89250000000004</v>
      </c>
      <c r="AR41" s="21">
        <f t="shared" si="13"/>
        <v>421.04349999999999</v>
      </c>
    </row>
    <row r="42" spans="10:44">
      <c r="J42" s="5">
        <v>19</v>
      </c>
      <c r="K42" s="23">
        <f t="shared" si="11"/>
        <v>83.639999999999986</v>
      </c>
      <c r="L42" s="24">
        <f t="shared" si="6"/>
        <v>4</v>
      </c>
      <c r="M42" s="5">
        <f t="shared" si="7"/>
        <v>420.88900000000001</v>
      </c>
      <c r="N42" s="25">
        <f t="shared" si="8"/>
        <v>1.3333333333523316E-4</v>
      </c>
      <c r="O42" s="26">
        <f t="shared" si="9"/>
        <v>16.139999999999986</v>
      </c>
      <c r="P42" s="27">
        <f t="shared" si="10"/>
        <v>420.89115200000003</v>
      </c>
      <c r="Q42" s="27">
        <f t="shared" si="12"/>
        <v>420.89015200000006</v>
      </c>
      <c r="R42" s="5"/>
      <c r="S42" s="21"/>
      <c r="T42" s="21"/>
      <c r="U42" s="21"/>
      <c r="V42" s="21"/>
      <c r="W42" s="21"/>
      <c r="X42" s="30">
        <f>X41</f>
        <v>420.92388000145786</v>
      </c>
      <c r="Y42" s="30">
        <f>Q42</f>
        <v>420.89015200000006</v>
      </c>
      <c r="Z42" s="21"/>
      <c r="AA42" s="21"/>
      <c r="AB42" s="21"/>
      <c r="AC42" s="21"/>
      <c r="AD42" s="21"/>
      <c r="AE42" s="21"/>
      <c r="AF42" s="21"/>
      <c r="AG42" s="21"/>
      <c r="AH42" s="21"/>
      <c r="AI42" s="21"/>
      <c r="AJ42" s="21"/>
      <c r="AK42" s="21"/>
      <c r="AL42" s="21"/>
      <c r="AM42" s="21"/>
      <c r="AN42" s="21"/>
      <c r="AO42" s="21"/>
      <c r="AP42" s="21"/>
      <c r="AQ42" s="21">
        <f t="shared" si="13"/>
        <v>420.89250000000004</v>
      </c>
      <c r="AR42" s="21">
        <f t="shared" si="13"/>
        <v>421.04349999999999</v>
      </c>
    </row>
    <row r="43" spans="10:44">
      <c r="J43" s="5">
        <v>18</v>
      </c>
      <c r="K43" s="23">
        <f t="shared" si="11"/>
        <v>98.639999999999986</v>
      </c>
      <c r="L43" s="24">
        <f t="shared" si="6"/>
        <v>5</v>
      </c>
      <c r="M43" s="5">
        <f t="shared" si="7"/>
        <v>420.89200000000005</v>
      </c>
      <c r="N43" s="25">
        <f t="shared" si="8"/>
        <v>2.3999999999988276E-3</v>
      </c>
      <c r="O43" s="26">
        <f t="shared" si="9"/>
        <v>8.6399999999999864</v>
      </c>
      <c r="P43" s="27">
        <f t="shared" si="10"/>
        <v>420.91273600000005</v>
      </c>
      <c r="Q43" s="27">
        <f t="shared" si="12"/>
        <v>420.90194400000007</v>
      </c>
      <c r="R43" s="5"/>
      <c r="S43" s="21"/>
      <c r="T43" s="21"/>
      <c r="U43" s="21"/>
      <c r="V43" s="21"/>
      <c r="W43" s="21"/>
      <c r="X43" s="21"/>
      <c r="Y43" s="30">
        <f>Y42</f>
        <v>420.89015200000006</v>
      </c>
      <c r="Z43" s="30">
        <f>Q43</f>
        <v>420.90194400000007</v>
      </c>
      <c r="AA43" s="21"/>
      <c r="AB43" s="21"/>
      <c r="AC43" s="21"/>
      <c r="AD43" s="21"/>
      <c r="AE43" s="21"/>
      <c r="AF43" s="21"/>
      <c r="AG43" s="21"/>
      <c r="AH43" s="21"/>
      <c r="AI43" s="21"/>
      <c r="AJ43" s="21"/>
      <c r="AK43" s="21"/>
      <c r="AL43" s="21"/>
      <c r="AM43" s="21"/>
      <c r="AN43" s="21"/>
      <c r="AO43" s="21"/>
      <c r="AP43" s="21"/>
      <c r="AQ43" s="21">
        <f t="shared" si="13"/>
        <v>420.89250000000004</v>
      </c>
      <c r="AR43" s="21">
        <f t="shared" si="13"/>
        <v>421.04349999999999</v>
      </c>
    </row>
    <row r="44" spans="10:44">
      <c r="J44" s="5">
        <v>17</v>
      </c>
      <c r="K44" s="23">
        <f t="shared" si="11"/>
        <v>113.63999999999999</v>
      </c>
      <c r="L44" s="24">
        <f t="shared" si="6"/>
        <v>6</v>
      </c>
      <c r="M44" s="5">
        <f t="shared" si="7"/>
        <v>420.94600000000003</v>
      </c>
      <c r="N44" s="25">
        <f t="shared" si="8"/>
        <v>1.2888888888887271E-3</v>
      </c>
      <c r="O44" s="26">
        <f t="shared" si="9"/>
        <v>1.1399999999999864</v>
      </c>
      <c r="P44" s="27">
        <f t="shared" si="10"/>
        <v>420.94746933333334</v>
      </c>
      <c r="Q44" s="27">
        <f t="shared" si="12"/>
        <v>420.9301026666667</v>
      </c>
      <c r="R44" s="5"/>
      <c r="S44" s="21"/>
      <c r="T44" s="21"/>
      <c r="U44" s="21"/>
      <c r="V44" s="21"/>
      <c r="W44" s="21"/>
      <c r="X44" s="21"/>
      <c r="Y44" s="21"/>
      <c r="Z44" s="30">
        <f>Z43</f>
        <v>420.90194400000007</v>
      </c>
      <c r="AA44" s="30">
        <f>Q44</f>
        <v>420.9301026666667</v>
      </c>
      <c r="AB44" s="21"/>
      <c r="AC44" s="21"/>
      <c r="AD44" s="21"/>
      <c r="AE44" s="21"/>
      <c r="AF44" s="21"/>
      <c r="AG44" s="21"/>
      <c r="AH44" s="21"/>
      <c r="AI44" s="21"/>
      <c r="AJ44" s="21"/>
      <c r="AK44" s="21"/>
      <c r="AL44" s="21"/>
      <c r="AM44" s="21"/>
      <c r="AN44" s="21"/>
      <c r="AO44" s="21"/>
      <c r="AP44" s="21"/>
      <c r="AQ44" s="21">
        <f t="shared" si="13"/>
        <v>420.89250000000004</v>
      </c>
      <c r="AR44" s="21">
        <f t="shared" si="13"/>
        <v>421.04349999999999</v>
      </c>
    </row>
    <row r="45" spans="10:44">
      <c r="J45" s="5">
        <v>16</v>
      </c>
      <c r="K45" s="23">
        <f t="shared" si="11"/>
        <v>128.63999999999999</v>
      </c>
      <c r="L45" s="24">
        <f t="shared" si="6"/>
        <v>6</v>
      </c>
      <c r="M45" s="5">
        <f t="shared" si="7"/>
        <v>420.94600000000003</v>
      </c>
      <c r="N45" s="25">
        <f t="shared" si="8"/>
        <v>1.2888888888887271E-3</v>
      </c>
      <c r="O45" s="26">
        <f t="shared" si="9"/>
        <v>16.139999999999986</v>
      </c>
      <c r="P45" s="27">
        <f t="shared" si="10"/>
        <v>420.96680266666669</v>
      </c>
      <c r="Q45" s="27">
        <f t="shared" si="12"/>
        <v>420.95713599999999</v>
      </c>
      <c r="R45" s="5"/>
      <c r="S45" s="21"/>
      <c r="T45" s="21"/>
      <c r="U45" s="21"/>
      <c r="V45" s="21"/>
      <c r="W45" s="21"/>
      <c r="X45" s="21"/>
      <c r="Y45" s="21"/>
      <c r="Z45" s="21"/>
      <c r="AA45" s="30">
        <f>AA44</f>
        <v>420.9301026666667</v>
      </c>
      <c r="AB45" s="30">
        <f>Q45</f>
        <v>420.95713599999999</v>
      </c>
      <c r="AC45" s="21"/>
      <c r="AD45" s="21"/>
      <c r="AE45" s="21"/>
      <c r="AF45" s="21"/>
      <c r="AG45" s="21"/>
      <c r="AH45" s="21"/>
      <c r="AI45" s="21"/>
      <c r="AJ45" s="21"/>
      <c r="AK45" s="21"/>
      <c r="AL45" s="21"/>
      <c r="AM45" s="21"/>
      <c r="AN45" s="21"/>
      <c r="AO45" s="21"/>
      <c r="AP45" s="21"/>
      <c r="AQ45" s="21">
        <f t="shared" si="13"/>
        <v>420.89250000000004</v>
      </c>
      <c r="AR45" s="21">
        <f t="shared" si="13"/>
        <v>421.04349999999999</v>
      </c>
    </row>
    <row r="46" spans="10:44">
      <c r="J46" s="5">
        <v>15</v>
      </c>
      <c r="K46" s="23">
        <f t="shared" si="11"/>
        <v>143.63999999999999</v>
      </c>
      <c r="L46" s="24">
        <f t="shared" si="6"/>
        <v>7</v>
      </c>
      <c r="M46" s="5">
        <f t="shared" si="7"/>
        <v>420.97500000000002</v>
      </c>
      <c r="N46" s="25">
        <f t="shared" si="8"/>
        <v>3.5555602891387632E-4</v>
      </c>
      <c r="O46" s="26">
        <f t="shared" si="9"/>
        <v>8.6399999999999864</v>
      </c>
      <c r="P46" s="27">
        <f t="shared" si="10"/>
        <v>420.97807200408982</v>
      </c>
      <c r="Q46" s="27">
        <f t="shared" si="12"/>
        <v>420.97243733537823</v>
      </c>
      <c r="R46" s="5"/>
      <c r="S46" s="21"/>
      <c r="T46" s="21"/>
      <c r="U46" s="21"/>
      <c r="V46" s="21"/>
      <c r="W46" s="21"/>
      <c r="X46" s="21"/>
      <c r="Y46" s="21"/>
      <c r="Z46" s="21"/>
      <c r="AA46" s="21"/>
      <c r="AB46" s="30">
        <f>AB45</f>
        <v>420.95713599999999</v>
      </c>
      <c r="AC46" s="30">
        <f>Q46</f>
        <v>420.97243733537823</v>
      </c>
      <c r="AD46" s="21"/>
      <c r="AE46" s="21"/>
      <c r="AF46" s="21"/>
      <c r="AG46" s="21"/>
      <c r="AH46" s="21"/>
      <c r="AI46" s="21"/>
      <c r="AJ46" s="21"/>
      <c r="AK46" s="21"/>
      <c r="AL46" s="21"/>
      <c r="AM46" s="21"/>
      <c r="AN46" s="21"/>
      <c r="AO46" s="21"/>
      <c r="AP46" s="21"/>
      <c r="AQ46" s="21">
        <f t="shared" si="13"/>
        <v>420.89250000000004</v>
      </c>
      <c r="AR46" s="21">
        <f t="shared" si="13"/>
        <v>421.04349999999999</v>
      </c>
    </row>
    <row r="47" spans="10:44">
      <c r="J47" s="5">
        <v>14</v>
      </c>
      <c r="K47" s="23">
        <f t="shared" si="11"/>
        <v>158.63999999999999</v>
      </c>
      <c r="L47" s="24">
        <f t="shared" si="6"/>
        <v>8</v>
      </c>
      <c r="M47" s="5">
        <f t="shared" si="7"/>
        <v>420.98300001065058</v>
      </c>
      <c r="N47" s="25">
        <f t="shared" si="8"/>
        <v>-3.3777782511353709E-3</v>
      </c>
      <c r="O47" s="26">
        <f t="shared" si="9"/>
        <v>1.1399999999999864</v>
      </c>
      <c r="P47" s="27">
        <f t="shared" si="10"/>
        <v>420.97914934344431</v>
      </c>
      <c r="Q47" s="27">
        <f t="shared" si="12"/>
        <v>420.97861067376709</v>
      </c>
      <c r="R47" s="5"/>
      <c r="S47" s="21"/>
      <c r="T47" s="21"/>
      <c r="U47" s="21"/>
      <c r="V47" s="21"/>
      <c r="W47" s="21"/>
      <c r="X47" s="21"/>
      <c r="Y47" s="21"/>
      <c r="Z47" s="21"/>
      <c r="AA47" s="21"/>
      <c r="AB47" s="21"/>
      <c r="AC47" s="30">
        <f>AC46</f>
        <v>420.97243733537823</v>
      </c>
      <c r="AD47" s="30">
        <f>Q47</f>
        <v>420.97861067376709</v>
      </c>
      <c r="AE47" s="21"/>
      <c r="AF47" s="21"/>
      <c r="AG47" s="21"/>
      <c r="AH47" s="21"/>
      <c r="AI47" s="21"/>
      <c r="AJ47" s="21"/>
      <c r="AK47" s="21"/>
      <c r="AL47" s="21"/>
      <c r="AM47" s="21"/>
      <c r="AN47" s="21"/>
      <c r="AO47" s="21"/>
      <c r="AP47" s="21"/>
      <c r="AQ47" s="21">
        <f t="shared" si="13"/>
        <v>420.89250000000004</v>
      </c>
      <c r="AR47" s="21">
        <f t="shared" si="13"/>
        <v>421.04349999999999</v>
      </c>
    </row>
    <row r="48" spans="10:44">
      <c r="J48" s="5">
        <v>13</v>
      </c>
      <c r="K48" s="23">
        <f t="shared" si="11"/>
        <v>173.64</v>
      </c>
      <c r="L48" s="24">
        <f t="shared" si="6"/>
        <v>8</v>
      </c>
      <c r="M48" s="5">
        <f t="shared" si="7"/>
        <v>420.98300001065058</v>
      </c>
      <c r="N48" s="25">
        <f t="shared" si="8"/>
        <v>-3.3777782511353709E-3</v>
      </c>
      <c r="O48" s="26">
        <f t="shared" si="9"/>
        <v>16.139999999999986</v>
      </c>
      <c r="P48" s="27">
        <f t="shared" si="10"/>
        <v>420.92848266967724</v>
      </c>
      <c r="Q48" s="27">
        <f t="shared" si="12"/>
        <v>420.95381600656077</v>
      </c>
      <c r="R48" s="5"/>
      <c r="S48" s="21"/>
      <c r="T48" s="21"/>
      <c r="U48" s="21"/>
      <c r="V48" s="21"/>
      <c r="W48" s="21"/>
      <c r="X48" s="21"/>
      <c r="Y48" s="21"/>
      <c r="Z48" s="21"/>
      <c r="AA48" s="21"/>
      <c r="AB48" s="21"/>
      <c r="AC48" s="21"/>
      <c r="AD48" s="30">
        <f>AD47</f>
        <v>420.97861067376709</v>
      </c>
      <c r="AE48" s="30">
        <f>Q48</f>
        <v>420.95381600656077</v>
      </c>
      <c r="AF48" s="21"/>
      <c r="AG48" s="21"/>
      <c r="AH48" s="21"/>
      <c r="AI48" s="21"/>
      <c r="AJ48" s="21"/>
      <c r="AK48" s="21"/>
      <c r="AL48" s="21"/>
      <c r="AM48" s="21"/>
      <c r="AN48" s="21"/>
      <c r="AO48" s="21"/>
      <c r="AP48" s="21"/>
      <c r="AQ48" s="21">
        <f t="shared" si="13"/>
        <v>420.89250000000004</v>
      </c>
      <c r="AR48" s="21">
        <f t="shared" si="13"/>
        <v>421.04349999999999</v>
      </c>
    </row>
    <row r="49" spans="10:44">
      <c r="J49" s="5">
        <v>12</v>
      </c>
      <c r="K49" s="23">
        <f t="shared" si="11"/>
        <v>188.64</v>
      </c>
      <c r="L49" s="24">
        <f t="shared" si="6"/>
        <v>9</v>
      </c>
      <c r="M49" s="5">
        <f t="shared" si="7"/>
        <v>420.90700000000004</v>
      </c>
      <c r="N49" s="25">
        <f t="shared" si="8"/>
        <v>-1.9999991582330444E-3</v>
      </c>
      <c r="O49" s="26">
        <f t="shared" si="9"/>
        <v>8.6399999999999864</v>
      </c>
      <c r="P49" s="27">
        <f t="shared" si="10"/>
        <v>420.8897200072729</v>
      </c>
      <c r="Q49" s="27">
        <f t="shared" si="12"/>
        <v>420.90910133847507</v>
      </c>
      <c r="R49" s="5"/>
      <c r="S49" s="21"/>
      <c r="T49" s="21"/>
      <c r="U49" s="21"/>
      <c r="V49" s="21"/>
      <c r="W49" s="21"/>
      <c r="X49" s="21"/>
      <c r="Y49" s="21"/>
      <c r="Z49" s="21"/>
      <c r="AA49" s="21"/>
      <c r="AB49" s="21"/>
      <c r="AC49" s="21"/>
      <c r="AD49" s="21"/>
      <c r="AE49" s="30">
        <f>AE48</f>
        <v>420.95381600656077</v>
      </c>
      <c r="AF49" s="30">
        <f>Q49</f>
        <v>420.90910133847507</v>
      </c>
      <c r="AG49" s="21"/>
      <c r="AH49" s="21"/>
      <c r="AI49" s="21"/>
      <c r="AJ49" s="21"/>
      <c r="AK49" s="21"/>
      <c r="AL49" s="21"/>
      <c r="AM49" s="21"/>
      <c r="AN49" s="21"/>
      <c r="AO49" s="21"/>
      <c r="AP49" s="21"/>
      <c r="AQ49" s="21">
        <f t="shared" si="13"/>
        <v>420.89250000000004</v>
      </c>
      <c r="AR49" s="21">
        <f t="shared" si="13"/>
        <v>421.04349999999999</v>
      </c>
    </row>
    <row r="50" spans="10:44">
      <c r="J50" s="5">
        <v>11</v>
      </c>
      <c r="K50" s="23">
        <f t="shared" si="11"/>
        <v>203.64</v>
      </c>
      <c r="L50" s="24">
        <f t="shared" si="6"/>
        <v>10</v>
      </c>
      <c r="M50" s="5">
        <f t="shared" si="7"/>
        <v>420.8620000189398</v>
      </c>
      <c r="N50" s="25">
        <f t="shared" si="8"/>
        <v>3.9555547663869418E-3</v>
      </c>
      <c r="O50" s="26">
        <f t="shared" si="9"/>
        <v>1.1399999999999864</v>
      </c>
      <c r="P50" s="27">
        <f t="shared" si="10"/>
        <v>420.86650935137345</v>
      </c>
      <c r="Q50" s="27">
        <f t="shared" si="12"/>
        <v>420.87811467932318</v>
      </c>
      <c r="R50" s="5"/>
      <c r="S50" s="21"/>
      <c r="T50" s="21"/>
      <c r="U50" s="21"/>
      <c r="V50" s="21"/>
      <c r="W50" s="21"/>
      <c r="X50" s="21"/>
      <c r="Y50" s="21"/>
      <c r="Z50" s="21"/>
      <c r="AA50" s="21"/>
      <c r="AB50" s="21"/>
      <c r="AC50" s="21"/>
      <c r="AD50" s="21"/>
      <c r="AE50" s="21"/>
      <c r="AF50" s="30">
        <f>AF49</f>
        <v>420.90910133847507</v>
      </c>
      <c r="AG50" s="30">
        <f>Q50</f>
        <v>420.87811467932318</v>
      </c>
      <c r="AH50" s="21"/>
      <c r="AI50" s="21"/>
      <c r="AJ50" s="21"/>
      <c r="AK50" s="21"/>
      <c r="AL50" s="21"/>
      <c r="AM50" s="21"/>
      <c r="AN50" s="21"/>
      <c r="AO50" s="21"/>
      <c r="AP50" s="21"/>
      <c r="AQ50" s="21">
        <f t="shared" si="13"/>
        <v>420.89250000000004</v>
      </c>
      <c r="AR50" s="21">
        <f t="shared" si="13"/>
        <v>421.04349999999999</v>
      </c>
    </row>
    <row r="51" spans="10:44">
      <c r="J51" s="5">
        <v>10</v>
      </c>
      <c r="K51" s="23">
        <f t="shared" si="11"/>
        <v>218.64</v>
      </c>
      <c r="L51" s="24">
        <f t="shared" si="6"/>
        <v>10</v>
      </c>
      <c r="M51" s="5">
        <f t="shared" si="7"/>
        <v>420.8620000189398</v>
      </c>
      <c r="N51" s="25">
        <f t="shared" si="8"/>
        <v>3.9555547663869418E-3</v>
      </c>
      <c r="O51" s="26">
        <f t="shared" si="9"/>
        <v>16.139999999999986</v>
      </c>
      <c r="P51" s="27">
        <f t="shared" si="10"/>
        <v>420.92584267286929</v>
      </c>
      <c r="Q51" s="27">
        <f t="shared" si="12"/>
        <v>420.89617601212137</v>
      </c>
      <c r="R51" s="5"/>
      <c r="S51" s="21"/>
      <c r="T51" s="21"/>
      <c r="U51" s="21"/>
      <c r="V51" s="21"/>
      <c r="W51" s="21"/>
      <c r="X51" s="21"/>
      <c r="Y51" s="21"/>
      <c r="Z51" s="21"/>
      <c r="AA51" s="21"/>
      <c r="AB51" s="21"/>
      <c r="AC51" s="21"/>
      <c r="AD51" s="21"/>
      <c r="AE51" s="21"/>
      <c r="AF51" s="21"/>
      <c r="AG51" s="30">
        <f>AG50</f>
        <v>420.87811467932318</v>
      </c>
      <c r="AH51" s="30">
        <f>Q51</f>
        <v>420.89617601212137</v>
      </c>
      <c r="AI51" s="21"/>
      <c r="AJ51" s="21"/>
      <c r="AK51" s="21"/>
      <c r="AL51" s="21"/>
      <c r="AM51" s="21"/>
      <c r="AN51" s="21"/>
      <c r="AO51" s="21"/>
      <c r="AP51" s="21"/>
      <c r="AQ51" s="21">
        <f t="shared" si="13"/>
        <v>420.89250000000004</v>
      </c>
      <c r="AR51" s="21">
        <f t="shared" si="13"/>
        <v>421.04349999999999</v>
      </c>
    </row>
    <row r="52" spans="10:44">
      <c r="J52" s="5">
        <v>9</v>
      </c>
      <c r="K52" s="23">
        <f t="shared" si="11"/>
        <v>233.64</v>
      </c>
      <c r="L52" s="24">
        <f t="shared" si="6"/>
        <v>11</v>
      </c>
      <c r="M52" s="5">
        <f t="shared" si="7"/>
        <v>420.9510000011835</v>
      </c>
      <c r="N52" s="25">
        <f t="shared" si="8"/>
        <v>3.9111111111019958E-3</v>
      </c>
      <c r="O52" s="26">
        <f t="shared" si="9"/>
        <v>8.6399999999999864</v>
      </c>
      <c r="P52" s="27">
        <f t="shared" si="10"/>
        <v>420.98479200118345</v>
      </c>
      <c r="Q52" s="27">
        <f t="shared" si="12"/>
        <v>420.95531733702637</v>
      </c>
      <c r="R52" s="5"/>
      <c r="S52" s="21"/>
      <c r="T52" s="21"/>
      <c r="U52" s="21"/>
      <c r="V52" s="21"/>
      <c r="W52" s="21"/>
      <c r="X52" s="21"/>
      <c r="Y52" s="21"/>
      <c r="Z52" s="21"/>
      <c r="AA52" s="21"/>
      <c r="AB52" s="21"/>
      <c r="AC52" s="21"/>
      <c r="AD52" s="21"/>
      <c r="AE52" s="21"/>
      <c r="AF52" s="21"/>
      <c r="AG52" s="21"/>
      <c r="AH52" s="30">
        <f>AH51</f>
        <v>420.89617601212137</v>
      </c>
      <c r="AI52" s="30">
        <f>Q52</f>
        <v>420.95531733702637</v>
      </c>
      <c r="AJ52" s="21"/>
      <c r="AK52" s="21"/>
      <c r="AL52" s="21"/>
      <c r="AM52" s="21"/>
      <c r="AN52" s="21"/>
      <c r="AO52" s="21"/>
      <c r="AP52" s="21"/>
      <c r="AQ52" s="21">
        <f t="shared" si="13"/>
        <v>420.89250000000004</v>
      </c>
      <c r="AR52" s="21">
        <f t="shared" si="13"/>
        <v>421.04349999999999</v>
      </c>
    </row>
    <row r="53" spans="10:44">
      <c r="J53" s="5">
        <v>8</v>
      </c>
      <c r="K53" s="23">
        <f t="shared" si="11"/>
        <v>248.64</v>
      </c>
      <c r="L53" s="24">
        <f t="shared" si="6"/>
        <v>12</v>
      </c>
      <c r="M53" s="5">
        <f t="shared" si="7"/>
        <v>421.0390000011833</v>
      </c>
      <c r="N53" s="25">
        <f t="shared" si="8"/>
        <v>-4.0000000000064675E-4</v>
      </c>
      <c r="O53" s="26">
        <f t="shared" si="9"/>
        <v>1.1399999999999864</v>
      </c>
      <c r="P53" s="27">
        <f t="shared" si="10"/>
        <v>421.03854400118331</v>
      </c>
      <c r="Q53" s="27">
        <f t="shared" si="12"/>
        <v>421.01166800118335</v>
      </c>
      <c r="R53" s="5"/>
      <c r="S53" s="21"/>
      <c r="T53" s="21"/>
      <c r="U53" s="21"/>
      <c r="V53" s="21"/>
      <c r="W53" s="21"/>
      <c r="X53" s="21"/>
      <c r="Y53" s="21"/>
      <c r="Z53" s="21"/>
      <c r="AA53" s="21"/>
      <c r="AB53" s="21"/>
      <c r="AC53" s="21"/>
      <c r="AD53" s="21"/>
      <c r="AE53" s="21"/>
      <c r="AF53" s="21"/>
      <c r="AG53" s="21"/>
      <c r="AH53" s="30"/>
      <c r="AI53" s="30">
        <f>AI52</f>
        <v>420.95531733702637</v>
      </c>
      <c r="AJ53" s="30">
        <f>Q53</f>
        <v>421.01166800118335</v>
      </c>
      <c r="AK53" s="21"/>
      <c r="AL53" s="21"/>
      <c r="AM53" s="21"/>
      <c r="AN53" s="21"/>
      <c r="AO53" s="21"/>
      <c r="AP53" s="21"/>
      <c r="AQ53" s="21">
        <f t="shared" si="13"/>
        <v>420.89250000000004</v>
      </c>
      <c r="AR53" s="21">
        <f t="shared" si="13"/>
        <v>421.04349999999999</v>
      </c>
    </row>
    <row r="54" spans="10:44">
      <c r="J54" s="5">
        <v>7</v>
      </c>
      <c r="K54" s="23">
        <f t="shared" si="11"/>
        <v>263.64</v>
      </c>
      <c r="L54" s="24">
        <f t="shared" si="6"/>
        <v>12</v>
      </c>
      <c r="M54" s="5">
        <f t="shared" si="7"/>
        <v>421.0390000011833</v>
      </c>
      <c r="N54" s="25">
        <f t="shared" si="8"/>
        <v>-4.0000000000064675E-4</v>
      </c>
      <c r="O54" s="26">
        <f t="shared" si="9"/>
        <v>16.139999999999986</v>
      </c>
      <c r="P54" s="27">
        <f t="shared" si="10"/>
        <v>421.03254400118328</v>
      </c>
      <c r="Q54" s="27">
        <f t="shared" si="12"/>
        <v>421.03554400118333</v>
      </c>
      <c r="R54" s="5"/>
      <c r="S54" s="21"/>
      <c r="T54" s="21"/>
      <c r="U54" s="21"/>
      <c r="V54" s="21"/>
      <c r="W54" s="21"/>
      <c r="X54" s="21"/>
      <c r="Y54" s="21"/>
      <c r="Z54" s="21"/>
      <c r="AA54" s="21"/>
      <c r="AB54" s="21"/>
      <c r="AC54" s="21"/>
      <c r="AD54" s="21"/>
      <c r="AE54" s="21"/>
      <c r="AF54" s="21"/>
      <c r="AG54" s="21"/>
      <c r="AH54" s="30"/>
      <c r="AI54" s="30"/>
      <c r="AJ54" s="30">
        <f>AJ53</f>
        <v>421.01166800118335</v>
      </c>
      <c r="AK54" s="30">
        <f>Q54</f>
        <v>421.03554400118333</v>
      </c>
      <c r="AL54" s="21"/>
      <c r="AM54" s="21"/>
      <c r="AN54" s="21"/>
      <c r="AO54" s="21"/>
      <c r="AP54" s="21"/>
      <c r="AQ54" s="21">
        <f t="shared" ref="AQ54:AR59" si="14">AQ53</f>
        <v>420.89250000000004</v>
      </c>
      <c r="AR54" s="21">
        <f t="shared" si="14"/>
        <v>421.04349999999999</v>
      </c>
    </row>
    <row r="55" spans="10:44">
      <c r="J55" s="5">
        <v>6</v>
      </c>
      <c r="K55" s="23">
        <f t="shared" si="11"/>
        <v>278.64</v>
      </c>
      <c r="L55" s="24">
        <f t="shared" si="6"/>
        <v>13</v>
      </c>
      <c r="M55" s="5">
        <f t="shared" si="7"/>
        <v>421.03000000118328</v>
      </c>
      <c r="N55" s="25">
        <f t="shared" si="8"/>
        <v>-5.1111106902655794E-3</v>
      </c>
      <c r="O55" s="26">
        <f t="shared" si="9"/>
        <v>8.6399999999999864</v>
      </c>
      <c r="P55" s="27">
        <f t="shared" si="10"/>
        <v>420.98584000481941</v>
      </c>
      <c r="Q55" s="27">
        <f t="shared" si="12"/>
        <v>421.00919200300132</v>
      </c>
      <c r="R55" s="5"/>
      <c r="S55" s="21"/>
      <c r="T55" s="21"/>
      <c r="U55" s="21"/>
      <c r="V55" s="21"/>
      <c r="W55" s="21"/>
      <c r="X55" s="21"/>
      <c r="Y55" s="21"/>
      <c r="Z55" s="21"/>
      <c r="AA55" s="21"/>
      <c r="AB55" s="21"/>
      <c r="AC55" s="21"/>
      <c r="AD55" s="21"/>
      <c r="AE55" s="21"/>
      <c r="AF55" s="21"/>
      <c r="AG55" s="21"/>
      <c r="AH55" s="30"/>
      <c r="AI55" s="30"/>
      <c r="AJ55" s="21"/>
      <c r="AK55" s="30">
        <f>AK54</f>
        <v>421.03554400118333</v>
      </c>
      <c r="AL55" s="30">
        <f>Q55</f>
        <v>421.00919200300132</v>
      </c>
      <c r="AM55" s="21"/>
      <c r="AN55" s="21"/>
      <c r="AO55" s="21"/>
      <c r="AP55" s="21"/>
      <c r="AQ55" s="21">
        <f t="shared" si="14"/>
        <v>420.89250000000004</v>
      </c>
      <c r="AR55" s="21">
        <f t="shared" si="14"/>
        <v>421.04349999999999</v>
      </c>
    </row>
    <row r="56" spans="10:44">
      <c r="J56" s="5">
        <v>5</v>
      </c>
      <c r="K56" s="23">
        <f t="shared" si="11"/>
        <v>293.64</v>
      </c>
      <c r="L56" s="24">
        <f t="shared" si="6"/>
        <v>14</v>
      </c>
      <c r="M56" s="5">
        <f t="shared" si="7"/>
        <v>420.91500001065231</v>
      </c>
      <c r="N56" s="25">
        <f t="shared" si="8"/>
        <v>-3.8666669296440483E-3</v>
      </c>
      <c r="O56" s="26">
        <f t="shared" si="9"/>
        <v>1.1399999999999864</v>
      </c>
      <c r="P56" s="27">
        <f t="shared" si="10"/>
        <v>420.9105920103525</v>
      </c>
      <c r="Q56" s="27">
        <f t="shared" si="12"/>
        <v>420.94821600758598</v>
      </c>
      <c r="R56" s="5"/>
      <c r="S56" s="21"/>
      <c r="T56" s="21"/>
      <c r="U56" s="21"/>
      <c r="V56" s="21"/>
      <c r="W56" s="21"/>
      <c r="X56" s="21"/>
      <c r="Y56" s="21"/>
      <c r="Z56" s="21"/>
      <c r="AA56" s="21"/>
      <c r="AB56" s="21"/>
      <c r="AC56" s="21"/>
      <c r="AD56" s="21"/>
      <c r="AE56" s="21"/>
      <c r="AF56" s="21"/>
      <c r="AG56" s="21"/>
      <c r="AH56" s="30"/>
      <c r="AI56" s="30"/>
      <c r="AJ56" s="21"/>
      <c r="AK56" s="21"/>
      <c r="AL56" s="30">
        <f>AL55</f>
        <v>421.00919200300132</v>
      </c>
      <c r="AM56" s="30">
        <f>Q56</f>
        <v>420.94821600758598</v>
      </c>
      <c r="AN56" s="21"/>
      <c r="AO56" s="21"/>
      <c r="AP56" s="21"/>
      <c r="AQ56" s="21">
        <f t="shared" si="14"/>
        <v>420.89250000000004</v>
      </c>
      <c r="AR56" s="21">
        <f t="shared" si="14"/>
        <v>421.04349999999999</v>
      </c>
    </row>
    <row r="57" spans="10:44">
      <c r="J57" s="5">
        <v>4</v>
      </c>
      <c r="K57" s="23">
        <f t="shared" si="11"/>
        <v>308.64</v>
      </c>
      <c r="L57" s="24">
        <f t="shared" si="6"/>
        <v>14</v>
      </c>
      <c r="M57" s="5">
        <f t="shared" si="7"/>
        <v>420.91500001065231</v>
      </c>
      <c r="N57" s="25">
        <f t="shared" si="8"/>
        <v>-3.8666669296440483E-3</v>
      </c>
      <c r="O57" s="26">
        <f t="shared" si="9"/>
        <v>16.139999999999986</v>
      </c>
      <c r="P57" s="27">
        <f t="shared" si="10"/>
        <v>420.85259200640786</v>
      </c>
      <c r="Q57" s="27">
        <f t="shared" si="12"/>
        <v>420.88159200838015</v>
      </c>
      <c r="R57" s="5"/>
      <c r="S57" s="21"/>
      <c r="T57" s="21"/>
      <c r="U57" s="21"/>
      <c r="V57" s="21"/>
      <c r="W57" s="21"/>
      <c r="X57" s="21"/>
      <c r="Y57" s="21"/>
      <c r="Z57" s="21"/>
      <c r="AA57" s="21"/>
      <c r="AB57" s="21"/>
      <c r="AC57" s="21"/>
      <c r="AD57" s="21"/>
      <c r="AE57" s="21"/>
      <c r="AF57" s="21"/>
      <c r="AG57" s="21"/>
      <c r="AH57" s="30"/>
      <c r="AI57" s="30"/>
      <c r="AJ57" s="21"/>
      <c r="AK57" s="21"/>
      <c r="AL57" s="21"/>
      <c r="AM57" s="30">
        <f>AM56</f>
        <v>420.94821600758598</v>
      </c>
      <c r="AN57" s="30">
        <f>Q57</f>
        <v>420.88159200838015</v>
      </c>
      <c r="AO57" s="30"/>
      <c r="AP57" s="21"/>
      <c r="AQ57" s="21">
        <f t="shared" si="14"/>
        <v>420.89250000000004</v>
      </c>
      <c r="AR57" s="21">
        <f t="shared" si="14"/>
        <v>421.04349999999999</v>
      </c>
    </row>
    <row r="58" spans="10:44">
      <c r="J58" s="5">
        <v>3</v>
      </c>
      <c r="K58" s="23">
        <f t="shared" si="11"/>
        <v>323.64</v>
      </c>
      <c r="L58" s="24">
        <f t="shared" si="6"/>
        <v>15</v>
      </c>
      <c r="M58" s="5">
        <f t="shared" si="7"/>
        <v>420.82800000473532</v>
      </c>
      <c r="N58" s="25">
        <f t="shared" si="8"/>
        <v>2.2222220117656534E-3</v>
      </c>
      <c r="O58" s="26">
        <f t="shared" si="9"/>
        <v>8.6399999999999864</v>
      </c>
      <c r="P58" s="27">
        <f t="shared" si="10"/>
        <v>420.84720000291696</v>
      </c>
      <c r="Q58" s="27">
        <f t="shared" si="12"/>
        <v>420.84989600466241</v>
      </c>
      <c r="R58" s="5"/>
      <c r="S58" s="21"/>
      <c r="T58" s="21"/>
      <c r="U58" s="21"/>
      <c r="V58" s="21"/>
      <c r="W58" s="21"/>
      <c r="X58" s="21"/>
      <c r="Y58" s="21"/>
      <c r="Z58" s="21"/>
      <c r="AA58" s="21"/>
      <c r="AB58" s="21"/>
      <c r="AC58" s="21"/>
      <c r="AD58" s="21"/>
      <c r="AE58" s="21"/>
      <c r="AF58" s="21"/>
      <c r="AG58" s="21"/>
      <c r="AH58" s="30"/>
      <c r="AI58" s="30"/>
      <c r="AJ58" s="21"/>
      <c r="AK58" s="21"/>
      <c r="AL58" s="21"/>
      <c r="AM58" s="30"/>
      <c r="AN58" s="30">
        <f>AN57</f>
        <v>420.88159200838015</v>
      </c>
      <c r="AO58" s="30">
        <f>Q58</f>
        <v>420.84989600466241</v>
      </c>
      <c r="AP58" s="21"/>
      <c r="AQ58" s="21">
        <f t="shared" si="14"/>
        <v>420.89250000000004</v>
      </c>
      <c r="AR58" s="21">
        <f t="shared" si="14"/>
        <v>421.04349999999999</v>
      </c>
    </row>
    <row r="59" spans="10:44">
      <c r="J59" s="5">
        <v>2</v>
      </c>
      <c r="K59" s="23">
        <f t="shared" si="11"/>
        <v>338.64</v>
      </c>
      <c r="L59" s="24">
        <f t="shared" si="6"/>
        <v>16</v>
      </c>
      <c r="M59" s="5">
        <f>VLOOKUP(L59, $H$11:$K$27, 4, FALSE)</f>
        <v>420.87800000000004</v>
      </c>
      <c r="N59" s="25">
        <f t="shared" si="8"/>
        <v>5.0222222222222022E-3</v>
      </c>
      <c r="O59" s="26">
        <f t="shared" si="9"/>
        <v>1.1399999999999864</v>
      </c>
      <c r="P59" s="27">
        <f t="shared" si="10"/>
        <v>420.88372533333336</v>
      </c>
      <c r="Q59" s="27">
        <f>(P57+P59)/2</f>
        <v>420.86815866987058</v>
      </c>
      <c r="R59" s="5"/>
      <c r="S59" s="31"/>
      <c r="T59" s="31"/>
      <c r="U59" s="31"/>
      <c r="V59" s="31"/>
      <c r="W59" s="31"/>
      <c r="X59" s="31"/>
      <c r="Y59" s="31"/>
      <c r="Z59" s="31"/>
      <c r="AA59" s="31"/>
      <c r="AB59" s="31"/>
      <c r="AC59" s="31"/>
      <c r="AD59" s="31"/>
      <c r="AE59" s="31"/>
      <c r="AF59" s="31"/>
      <c r="AG59" s="31"/>
      <c r="AH59" s="31"/>
      <c r="AI59" s="32"/>
      <c r="AJ59" s="32"/>
      <c r="AK59" s="32"/>
      <c r="AL59" s="32"/>
      <c r="AM59" s="32"/>
      <c r="AN59" s="32"/>
      <c r="AO59" s="32">
        <f>AO58</f>
        <v>420.84989600466241</v>
      </c>
      <c r="AP59" s="32">
        <f>Q59</f>
        <v>420.86815866987058</v>
      </c>
      <c r="AQ59" s="31">
        <f t="shared" si="14"/>
        <v>420.89250000000004</v>
      </c>
      <c r="AR59" s="31">
        <f t="shared" si="14"/>
        <v>421.04349999999999</v>
      </c>
    </row>
    <row r="61" spans="10:44">
      <c r="S61" s="5"/>
    </row>
    <row r="62" spans="10:44">
      <c r="J62" s="33"/>
      <c r="K62" s="33"/>
      <c r="L62" s="33"/>
      <c r="M62" s="33"/>
      <c r="N62" s="33"/>
      <c r="O62" s="33"/>
      <c r="P62" s="33"/>
      <c r="Q62" s="33"/>
      <c r="R62" s="33"/>
      <c r="S62" s="5"/>
      <c r="T62" s="33"/>
      <c r="U62" s="33"/>
      <c r="V62" s="33"/>
      <c r="W62" s="33"/>
      <c r="X62" s="33"/>
      <c r="Y62" s="33"/>
      <c r="Z62" s="33"/>
      <c r="AA62" s="33"/>
      <c r="AB62" s="33"/>
      <c r="AC62" s="33"/>
    </row>
    <row r="63" spans="10:44">
      <c r="J63" s="33"/>
      <c r="K63" s="33"/>
      <c r="L63" s="33"/>
      <c r="M63" s="33"/>
      <c r="N63" s="33"/>
      <c r="O63" s="33"/>
      <c r="P63" s="33"/>
      <c r="Q63" s="33"/>
      <c r="R63" s="33"/>
      <c r="S63" s="5"/>
      <c r="T63" s="33"/>
      <c r="U63" s="33"/>
      <c r="V63" s="33"/>
      <c r="W63" s="33"/>
      <c r="X63" s="33"/>
      <c r="Y63" s="33"/>
      <c r="Z63" s="33"/>
      <c r="AA63" s="33"/>
      <c r="AB63" s="33"/>
      <c r="AC63" s="33"/>
    </row>
    <row r="64" spans="10:44">
      <c r="J64" s="33"/>
      <c r="K64" s="33"/>
      <c r="L64" s="33"/>
      <c r="M64" s="33"/>
      <c r="N64" s="33"/>
      <c r="O64" s="33"/>
      <c r="P64" s="33"/>
      <c r="Q64" s="33"/>
      <c r="R64" s="33"/>
      <c r="S64" s="5"/>
      <c r="T64" s="33"/>
      <c r="U64" s="33"/>
      <c r="V64" s="33"/>
      <c r="W64" s="33"/>
      <c r="X64" s="33"/>
      <c r="Y64" s="33"/>
      <c r="Z64" s="33"/>
      <c r="AA64" s="33"/>
      <c r="AB64" s="33"/>
      <c r="AC64" s="33"/>
    </row>
    <row r="65" spans="10:29">
      <c r="J65" s="33"/>
      <c r="K65" s="33"/>
      <c r="L65" s="33"/>
      <c r="M65" s="33"/>
      <c r="N65" s="33"/>
      <c r="O65" s="33"/>
      <c r="P65" s="33"/>
      <c r="Q65" s="33"/>
      <c r="R65" s="33"/>
      <c r="S65" s="5"/>
      <c r="T65" s="33"/>
      <c r="U65" s="33"/>
      <c r="V65" s="33"/>
      <c r="W65" s="33"/>
      <c r="X65" s="33"/>
      <c r="Y65" s="33"/>
      <c r="Z65" s="33"/>
      <c r="AA65" s="33"/>
      <c r="AB65" s="33"/>
      <c r="AC65" s="33"/>
    </row>
    <row r="66" spans="10:29">
      <c r="J66" s="33"/>
      <c r="K66" s="33"/>
      <c r="L66" s="33"/>
      <c r="M66" s="33"/>
      <c r="N66" s="33"/>
      <c r="O66" s="33"/>
      <c r="P66" s="33"/>
      <c r="Q66" s="33"/>
      <c r="R66" s="33"/>
      <c r="S66" s="5"/>
      <c r="T66" s="33"/>
      <c r="U66" s="33"/>
      <c r="V66" s="33"/>
      <c r="W66" s="33"/>
      <c r="X66" s="33"/>
      <c r="Y66" s="33"/>
      <c r="Z66" s="33"/>
      <c r="AA66" s="33"/>
      <c r="AB66" s="33"/>
      <c r="AC66" s="33"/>
    </row>
    <row r="67" spans="10:29">
      <c r="J67" s="33"/>
      <c r="K67" s="33"/>
      <c r="L67" s="33"/>
      <c r="M67" s="33"/>
      <c r="N67" s="33"/>
      <c r="O67" s="33"/>
      <c r="P67" s="33"/>
      <c r="Q67" s="33"/>
      <c r="R67" s="33"/>
      <c r="S67" s="5"/>
      <c r="T67" s="33"/>
      <c r="U67" s="33"/>
      <c r="V67" s="33"/>
      <c r="W67" s="33"/>
      <c r="X67" s="33"/>
      <c r="Y67" s="33"/>
      <c r="Z67" s="33"/>
      <c r="AA67" s="33"/>
      <c r="AB67" s="33"/>
      <c r="AC67" s="33"/>
    </row>
    <row r="68" spans="10:29">
      <c r="J68" s="33"/>
      <c r="K68" s="33"/>
      <c r="L68" s="33"/>
      <c r="M68" s="33"/>
      <c r="N68" s="33"/>
      <c r="O68" s="33"/>
      <c r="P68" s="33"/>
      <c r="Q68" s="33"/>
      <c r="R68" s="33"/>
      <c r="S68" s="5"/>
      <c r="T68" s="33"/>
      <c r="U68" s="33"/>
      <c r="V68" s="33"/>
      <c r="W68" s="33"/>
      <c r="X68" s="33"/>
      <c r="Y68" s="33"/>
      <c r="Z68" s="33"/>
      <c r="AA68" s="33"/>
      <c r="AB68" s="33"/>
      <c r="AC68" s="33"/>
    </row>
    <row r="69" spans="10:29">
      <c r="J69" s="33"/>
      <c r="K69" s="33"/>
      <c r="L69" s="33"/>
      <c r="M69" s="33"/>
      <c r="N69" s="33"/>
      <c r="O69" s="33"/>
      <c r="P69" s="33"/>
      <c r="Q69" s="33"/>
      <c r="R69" s="33"/>
      <c r="S69" s="5"/>
      <c r="T69" s="33"/>
      <c r="U69" s="33"/>
      <c r="V69" s="33"/>
      <c r="W69" s="33"/>
      <c r="X69" s="33"/>
      <c r="Y69" s="33"/>
      <c r="Z69" s="33"/>
      <c r="AA69" s="33"/>
      <c r="AB69" s="33"/>
      <c r="AC69" s="33"/>
    </row>
    <row r="70" spans="10:29">
      <c r="J70" s="33"/>
      <c r="K70" s="33"/>
      <c r="L70" s="33"/>
      <c r="M70" s="33"/>
      <c r="N70" s="33"/>
      <c r="O70" s="33"/>
      <c r="P70" s="33"/>
      <c r="Q70" s="33"/>
      <c r="R70" s="33"/>
      <c r="S70" s="5"/>
      <c r="T70" s="33"/>
      <c r="U70" s="33"/>
      <c r="V70" s="33"/>
      <c r="W70" s="33"/>
      <c r="X70" s="33"/>
      <c r="Y70" s="33"/>
      <c r="Z70" s="33"/>
      <c r="AA70" s="33"/>
      <c r="AB70" s="33"/>
      <c r="AC70" s="33"/>
    </row>
    <row r="71" spans="10:29">
      <c r="J71" s="33"/>
      <c r="K71" s="33"/>
      <c r="L71" s="33"/>
      <c r="M71" s="33"/>
      <c r="N71" s="33"/>
      <c r="O71" s="33"/>
      <c r="P71" s="33"/>
      <c r="Q71" s="33"/>
      <c r="R71" s="33"/>
      <c r="S71" s="5"/>
      <c r="T71" s="33"/>
      <c r="U71" s="33"/>
      <c r="V71" s="33"/>
      <c r="W71" s="33"/>
      <c r="X71" s="33"/>
      <c r="Y71" s="33"/>
      <c r="Z71" s="33"/>
      <c r="AA71" s="33"/>
      <c r="AB71" s="33"/>
      <c r="AC71" s="33"/>
    </row>
    <row r="72" spans="10:29">
      <c r="J72" s="33"/>
      <c r="K72" s="33"/>
      <c r="L72" s="33"/>
      <c r="M72" s="33"/>
      <c r="N72" s="33"/>
      <c r="O72" s="33"/>
      <c r="P72" s="33"/>
      <c r="Q72" s="33"/>
      <c r="R72" s="33"/>
      <c r="S72" s="5"/>
      <c r="T72" s="33"/>
      <c r="U72" s="33"/>
      <c r="V72" s="33"/>
      <c r="W72" s="33"/>
      <c r="X72" s="33"/>
      <c r="Y72" s="33"/>
      <c r="Z72" s="33"/>
      <c r="AA72" s="33"/>
      <c r="AB72" s="33"/>
      <c r="AC72" s="33"/>
    </row>
    <row r="73" spans="10:29">
      <c r="J73" s="33"/>
      <c r="K73" s="33"/>
      <c r="L73" s="33"/>
      <c r="M73" s="33"/>
      <c r="N73" s="33"/>
      <c r="O73" s="33"/>
      <c r="P73" s="33"/>
      <c r="Q73" s="33"/>
      <c r="R73" s="33"/>
      <c r="S73" s="5"/>
      <c r="T73" s="33"/>
      <c r="U73" s="33"/>
      <c r="V73" s="33"/>
      <c r="W73" s="33"/>
      <c r="X73" s="33"/>
      <c r="Y73" s="33"/>
      <c r="Z73" s="33"/>
      <c r="AA73" s="33"/>
      <c r="AB73" s="33"/>
      <c r="AC73" s="33"/>
    </row>
    <row r="74" spans="10:29">
      <c r="J74" s="33"/>
      <c r="K74" s="33"/>
      <c r="L74" s="33"/>
      <c r="M74" s="33"/>
      <c r="N74" s="33"/>
      <c r="O74" s="33"/>
      <c r="P74" s="33"/>
      <c r="Q74" s="33"/>
      <c r="R74" s="33"/>
      <c r="S74" s="5"/>
      <c r="T74" s="33"/>
      <c r="U74" s="33"/>
      <c r="V74" s="33"/>
      <c r="W74" s="33"/>
      <c r="X74" s="33"/>
      <c r="Y74" s="33"/>
      <c r="Z74" s="33"/>
      <c r="AA74" s="33"/>
      <c r="AB74" s="33"/>
      <c r="AC74" s="33"/>
    </row>
    <row r="75" spans="10:29">
      <c r="J75" s="33"/>
      <c r="K75" s="33"/>
      <c r="L75" s="33"/>
      <c r="M75" s="33"/>
      <c r="N75" s="33"/>
      <c r="O75" s="33"/>
      <c r="P75" s="33"/>
      <c r="Q75" s="33"/>
      <c r="R75" s="33"/>
      <c r="S75" s="5"/>
      <c r="T75" s="33"/>
      <c r="U75" s="33"/>
      <c r="V75" s="33"/>
      <c r="W75" s="33"/>
      <c r="X75" s="33"/>
      <c r="Y75" s="33"/>
      <c r="Z75" s="33"/>
      <c r="AA75" s="33"/>
      <c r="AB75" s="33"/>
      <c r="AC75" s="33"/>
    </row>
    <row r="76" spans="10:29">
      <c r="J76" s="33"/>
      <c r="K76" s="33"/>
      <c r="L76" s="33"/>
      <c r="M76" s="33"/>
      <c r="N76" s="33"/>
      <c r="O76" s="33"/>
      <c r="P76" s="33"/>
      <c r="Q76" s="33"/>
      <c r="R76" s="33"/>
      <c r="S76" s="5"/>
      <c r="T76" s="33"/>
      <c r="U76" s="33"/>
      <c r="V76" s="33"/>
      <c r="W76" s="33"/>
      <c r="X76" s="33"/>
      <c r="Y76" s="33"/>
      <c r="Z76" s="33"/>
      <c r="AA76" s="33"/>
      <c r="AB76" s="33"/>
      <c r="AC76" s="33"/>
    </row>
    <row r="77" spans="10:29">
      <c r="J77" s="33"/>
      <c r="K77" s="33"/>
      <c r="L77" s="33"/>
      <c r="M77" s="33"/>
      <c r="N77" s="33"/>
      <c r="O77" s="33"/>
      <c r="P77" s="33"/>
      <c r="Q77" s="33"/>
      <c r="R77" s="33"/>
      <c r="S77" s="5"/>
      <c r="T77" s="33"/>
      <c r="U77" s="33"/>
      <c r="V77" s="33"/>
      <c r="W77" s="33"/>
      <c r="X77" s="33"/>
      <c r="Y77" s="33"/>
      <c r="Z77" s="33"/>
      <c r="AA77" s="33"/>
      <c r="AB77" s="33"/>
      <c r="AC77" s="33"/>
    </row>
    <row r="78" spans="10:29">
      <c r="J78" s="33"/>
      <c r="K78" s="33"/>
      <c r="L78" s="33"/>
      <c r="M78" s="33"/>
      <c r="N78" s="33"/>
      <c r="O78" s="33"/>
      <c r="P78" s="33"/>
      <c r="Q78" s="33"/>
      <c r="R78" s="33"/>
      <c r="S78" s="5"/>
      <c r="T78" s="33"/>
      <c r="U78" s="33"/>
      <c r="V78" s="33"/>
      <c r="W78" s="33"/>
      <c r="X78" s="33"/>
      <c r="Y78" s="33"/>
      <c r="Z78" s="33"/>
      <c r="AA78" s="33"/>
      <c r="AB78" s="33"/>
      <c r="AC78" s="33"/>
    </row>
    <row r="79" spans="10:29">
      <c r="J79" s="33"/>
      <c r="K79" s="33"/>
      <c r="L79" s="33"/>
      <c r="M79" s="33"/>
      <c r="N79" s="33"/>
      <c r="O79" s="33"/>
      <c r="P79" s="33"/>
      <c r="Q79" s="33"/>
      <c r="R79" s="33"/>
      <c r="S79" s="5"/>
      <c r="T79" s="33"/>
      <c r="U79" s="33"/>
      <c r="V79" s="33"/>
      <c r="W79" s="33"/>
      <c r="X79" s="33"/>
      <c r="Y79" s="33"/>
      <c r="Z79" s="33"/>
      <c r="AA79" s="33"/>
      <c r="AB79" s="33"/>
      <c r="AC79" s="33"/>
    </row>
    <row r="80" spans="10:29">
      <c r="J80" s="33"/>
      <c r="K80" s="33"/>
      <c r="L80" s="33"/>
      <c r="M80" s="33"/>
      <c r="N80" s="33"/>
      <c r="O80" s="33"/>
      <c r="P80" s="33"/>
      <c r="Q80" s="33"/>
      <c r="R80" s="33"/>
      <c r="S80" s="5"/>
      <c r="T80" s="33"/>
      <c r="U80" s="33"/>
      <c r="V80" s="33"/>
      <c r="W80" s="33"/>
      <c r="X80" s="33"/>
      <c r="Y80" s="33"/>
      <c r="Z80" s="33"/>
      <c r="AA80" s="33"/>
      <c r="AB80" s="33"/>
      <c r="AC80" s="33"/>
    </row>
    <row r="81" spans="10:50">
      <c r="J81" s="33"/>
      <c r="K81" s="33"/>
      <c r="L81" s="33"/>
      <c r="M81" s="33"/>
      <c r="N81" s="33"/>
      <c r="O81" s="33"/>
      <c r="P81" s="33"/>
      <c r="Q81" s="33"/>
      <c r="R81" s="33"/>
      <c r="S81" s="5"/>
      <c r="T81" s="33"/>
      <c r="U81" s="33"/>
      <c r="V81" s="33"/>
      <c r="W81" s="33"/>
      <c r="X81" s="33"/>
      <c r="Y81" s="33"/>
      <c r="Z81" s="33"/>
      <c r="AA81" s="33"/>
      <c r="AB81" s="33"/>
      <c r="AC81" s="33"/>
    </row>
    <row r="82" spans="10:50">
      <c r="J82" s="33"/>
      <c r="K82" s="33"/>
      <c r="L82" s="33"/>
      <c r="M82" s="33"/>
      <c r="N82" s="33"/>
      <c r="O82" s="33"/>
      <c r="P82" s="33"/>
      <c r="Q82" s="33"/>
      <c r="R82" s="33"/>
      <c r="S82" s="5"/>
      <c r="T82" s="33"/>
      <c r="U82" s="33"/>
      <c r="V82" s="33"/>
      <c r="W82" s="33"/>
      <c r="X82" s="33"/>
      <c r="Y82" s="33"/>
      <c r="Z82" s="33"/>
      <c r="AA82" s="33"/>
      <c r="AB82" s="33"/>
      <c r="AC82" s="33"/>
    </row>
    <row r="83" spans="10:50">
      <c r="J83" s="33"/>
      <c r="K83" s="33"/>
      <c r="L83" s="33"/>
      <c r="M83" s="33"/>
      <c r="N83" s="33"/>
      <c r="O83" s="33"/>
      <c r="P83" s="33"/>
      <c r="Q83" s="33"/>
      <c r="R83" s="33"/>
      <c r="S83" s="5"/>
      <c r="T83" s="33"/>
      <c r="U83" s="33"/>
      <c r="V83" s="33"/>
      <c r="W83" s="33"/>
      <c r="X83" s="33"/>
      <c r="Y83" s="33"/>
      <c r="Z83" s="33"/>
      <c r="AA83" s="33"/>
      <c r="AB83" s="33"/>
      <c r="AC83" s="33"/>
    </row>
    <row r="84" spans="10:50">
      <c r="J84" s="33"/>
      <c r="K84" s="33"/>
      <c r="L84" s="33"/>
      <c r="M84" s="33"/>
      <c r="N84" s="33"/>
      <c r="O84" s="33"/>
      <c r="P84" s="33"/>
      <c r="Q84" s="33"/>
      <c r="R84" s="33"/>
      <c r="S84" s="5"/>
      <c r="T84" s="33"/>
      <c r="U84" s="33"/>
      <c r="V84" s="33"/>
      <c r="W84" s="33"/>
      <c r="X84" s="33"/>
      <c r="Y84" s="33"/>
      <c r="Z84" s="33"/>
      <c r="AA84" s="33"/>
      <c r="AB84" s="33"/>
      <c r="AC84" s="33"/>
    </row>
    <row r="85" spans="10:50">
      <c r="J85" s="33"/>
      <c r="K85" s="33"/>
      <c r="L85" s="33"/>
      <c r="M85" s="33"/>
      <c r="N85" s="33"/>
      <c r="O85" s="33"/>
      <c r="P85" s="33"/>
      <c r="Q85" s="33"/>
      <c r="R85" s="33"/>
      <c r="S85" s="5"/>
      <c r="T85" s="33"/>
      <c r="U85" s="33"/>
      <c r="V85" s="33"/>
      <c r="W85" s="33"/>
      <c r="X85" s="33"/>
      <c r="Y85" s="33"/>
      <c r="Z85" s="33"/>
      <c r="AA85" s="33"/>
      <c r="AB85" s="33"/>
      <c r="AC85" s="33"/>
    </row>
    <row r="86" spans="10:50">
      <c r="J86" s="33"/>
      <c r="K86" s="33"/>
      <c r="L86" s="33"/>
      <c r="M86" s="33"/>
      <c r="N86" s="33"/>
      <c r="O86" s="33"/>
      <c r="P86" s="33"/>
      <c r="Q86" s="33"/>
      <c r="R86" s="33"/>
      <c r="S86" s="5"/>
      <c r="T86" s="33"/>
      <c r="U86" s="33"/>
      <c r="V86" s="33"/>
      <c r="W86" s="33"/>
      <c r="X86" s="33"/>
      <c r="Y86" s="33"/>
      <c r="Z86" s="33"/>
      <c r="AA86" s="33"/>
      <c r="AB86" s="33"/>
      <c r="AC86" s="33"/>
    </row>
    <row r="87" spans="10:50">
      <c r="J87" s="33"/>
      <c r="K87" s="33"/>
      <c r="L87" s="33"/>
      <c r="M87" s="33"/>
      <c r="N87" s="33"/>
      <c r="O87" s="33"/>
      <c r="P87" s="33"/>
      <c r="Q87" s="33"/>
      <c r="R87" s="33"/>
      <c r="S87" s="5"/>
      <c r="T87" s="33"/>
      <c r="U87" s="33"/>
      <c r="V87" s="33"/>
      <c r="W87" s="33"/>
      <c r="X87" s="33"/>
      <c r="Y87" s="33"/>
      <c r="Z87" s="33"/>
      <c r="AA87" s="33"/>
      <c r="AB87" s="33"/>
      <c r="AC87" s="33"/>
    </row>
    <row r="88" spans="10:50">
      <c r="J88" s="33"/>
      <c r="K88" s="33"/>
      <c r="L88" s="33"/>
      <c r="M88" s="33"/>
      <c r="N88" s="33"/>
      <c r="O88" s="33"/>
      <c r="P88" s="33"/>
      <c r="Q88" s="33"/>
      <c r="R88" s="33"/>
      <c r="S88" s="5"/>
      <c r="T88" s="33"/>
      <c r="U88" s="33"/>
      <c r="V88" s="33"/>
      <c r="W88" s="33"/>
      <c r="X88" s="33"/>
      <c r="Y88" s="33"/>
      <c r="Z88" s="33"/>
      <c r="AA88" s="33"/>
      <c r="AB88" s="33"/>
      <c r="AC88" s="33"/>
    </row>
    <row r="89" spans="10:50">
      <c r="J89" s="33"/>
      <c r="K89" s="33"/>
      <c r="L89" s="33"/>
      <c r="M89" s="33"/>
      <c r="N89" s="33"/>
      <c r="O89" s="33"/>
      <c r="P89" s="33"/>
      <c r="Q89" s="33"/>
      <c r="R89" s="33"/>
      <c r="S89" s="5"/>
      <c r="T89" s="33"/>
      <c r="U89" s="33"/>
      <c r="V89" s="33"/>
      <c r="W89" s="33"/>
      <c r="X89" s="33"/>
      <c r="Y89" s="33"/>
      <c r="Z89" s="33"/>
      <c r="AA89" s="33"/>
      <c r="AB89" s="33"/>
      <c r="AC89" s="33"/>
    </row>
    <row r="90" spans="10:50">
      <c r="J90" s="33"/>
      <c r="K90" s="33"/>
      <c r="L90" s="33"/>
      <c r="M90" s="33"/>
      <c r="N90" s="33"/>
      <c r="O90" s="33"/>
      <c r="P90" s="33"/>
      <c r="Q90" s="33"/>
      <c r="R90" s="33"/>
      <c r="S90" s="5"/>
      <c r="T90" s="33"/>
      <c r="U90" s="33"/>
      <c r="V90" s="33"/>
      <c r="W90" s="33"/>
      <c r="X90" s="33"/>
      <c r="Y90" s="33"/>
      <c r="Z90" s="33"/>
      <c r="AA90" s="33"/>
      <c r="AB90" s="33"/>
      <c r="AC90" s="33"/>
    </row>
    <row r="93" spans="10:50">
      <c r="S93" s="20" t="str">
        <f ca="1">CONCATENATE(LEFT($S$32, LEN($S$32)-4), " Step#", OFFSET($J$35, S33, 0))</f>
        <v>Stg.4 Shroud Step#1</v>
      </c>
      <c r="T93" s="20" t="str">
        <f t="shared" ref="T93:AP93" ca="1" si="15">CONCATENATE(LEFT($S$32, LEN($S$32)-4), " Step#", OFFSET($J$35, T33, 0))</f>
        <v>Stg.4 Shroud Step#24</v>
      </c>
      <c r="U93" s="20" t="str">
        <f t="shared" ca="1" si="15"/>
        <v>Stg.4 Shroud Step#23</v>
      </c>
      <c r="V93" s="20" t="str">
        <f t="shared" ca="1" si="15"/>
        <v>Stg.4 Shroud Step#22</v>
      </c>
      <c r="W93" s="20" t="str">
        <f t="shared" ca="1" si="15"/>
        <v>Stg.4 Shroud Step#21</v>
      </c>
      <c r="X93" s="20" t="str">
        <f t="shared" ca="1" si="15"/>
        <v>Stg.4 Shroud Step#20</v>
      </c>
      <c r="Y93" s="20" t="str">
        <f t="shared" ca="1" si="15"/>
        <v>Stg.4 Shroud Step#19</v>
      </c>
      <c r="Z93" s="20" t="str">
        <f t="shared" ca="1" si="15"/>
        <v>Stg.4 Shroud Step#18</v>
      </c>
      <c r="AA93" s="20" t="str">
        <f t="shared" ca="1" si="15"/>
        <v>Stg.4 Shroud Step#17</v>
      </c>
      <c r="AB93" s="20" t="str">
        <f t="shared" ca="1" si="15"/>
        <v>Stg.4 Shroud Step#16</v>
      </c>
      <c r="AC93" s="20" t="str">
        <f t="shared" ca="1" si="15"/>
        <v>Stg.4 Shroud Step#15</v>
      </c>
      <c r="AD93" s="20" t="str">
        <f t="shared" ca="1" si="15"/>
        <v>Stg.4 Shroud Step#14</v>
      </c>
      <c r="AE93" s="20" t="str">
        <f t="shared" ca="1" si="15"/>
        <v>Stg.4 Shroud Step#13</v>
      </c>
      <c r="AF93" s="20" t="str">
        <f t="shared" ca="1" si="15"/>
        <v>Stg.4 Shroud Step#12</v>
      </c>
      <c r="AG93" s="20" t="str">
        <f t="shared" ca="1" si="15"/>
        <v>Stg.4 Shroud Step#11</v>
      </c>
      <c r="AH93" s="20" t="str">
        <f t="shared" ca="1" si="15"/>
        <v>Stg.4 Shroud Step#10</v>
      </c>
      <c r="AI93" s="20" t="str">
        <f t="shared" ca="1" si="15"/>
        <v>Stg.4 Shroud Step#9</v>
      </c>
      <c r="AJ93" s="20" t="str">
        <f t="shared" ca="1" si="15"/>
        <v>Stg.4 Shroud Step#8</v>
      </c>
      <c r="AK93" s="20" t="str">
        <f t="shared" ca="1" si="15"/>
        <v>Stg.4 Shroud Step#7</v>
      </c>
      <c r="AL93" s="20" t="str">
        <f t="shared" ca="1" si="15"/>
        <v>Stg.4 Shroud Step#6</v>
      </c>
      <c r="AM93" s="20" t="str">
        <f t="shared" ca="1" si="15"/>
        <v>Stg.4 Shroud Step#5</v>
      </c>
      <c r="AN93" s="20" t="str">
        <f t="shared" ca="1" si="15"/>
        <v>Stg.4 Shroud Step#4</v>
      </c>
      <c r="AO93" s="20" t="str">
        <f t="shared" ca="1" si="15"/>
        <v>Stg.4 Shroud Step#3</v>
      </c>
      <c r="AP93" s="20" t="str">
        <f t="shared" ca="1" si="15"/>
        <v>Stg.4 Shroud Step#2</v>
      </c>
      <c r="AQ93" s="20" t="s">
        <v>349</v>
      </c>
      <c r="AR93" s="20" t="s">
        <v>350</v>
      </c>
    </row>
    <row r="94" spans="10:50">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7" t="s">
        <v>320</v>
      </c>
      <c r="AR94" s="17" t="s">
        <v>320</v>
      </c>
    </row>
    <row r="95" spans="10:50">
      <c r="S95" s="35">
        <f ca="1">IF(S36&lt;&gt;"", S36-'246+avg2.03'!S36-$AQ$122, "")</f>
        <v>-1.1184007098336224E-2</v>
      </c>
      <c r="T95" s="35"/>
      <c r="U95" s="35"/>
      <c r="V95" s="35"/>
      <c r="W95" s="35"/>
      <c r="X95" s="35"/>
      <c r="Y95" s="35"/>
      <c r="Z95" s="35"/>
      <c r="AA95" s="35"/>
      <c r="AB95" s="35"/>
      <c r="AC95" s="35"/>
      <c r="AD95" s="35"/>
      <c r="AE95" s="35"/>
      <c r="AF95" s="35"/>
      <c r="AG95" s="35"/>
      <c r="AH95" s="35"/>
      <c r="AI95" s="35"/>
      <c r="AJ95" s="35"/>
      <c r="AK95" s="35"/>
      <c r="AL95" s="35"/>
      <c r="AM95" s="35"/>
      <c r="AN95" s="35"/>
      <c r="AO95" s="35"/>
      <c r="AP95" s="35">
        <f ca="1">IF(AP36&lt;&gt;"", AP36-'246+avg2.03'!AP36-$AQ$122, "")</f>
        <v>-5.4748002371354687E-2</v>
      </c>
      <c r="AQ95" s="21">
        <f>AQ36-'246+avg2.03'!AR36-$AQ$122</f>
        <v>-0.23749999999995453</v>
      </c>
      <c r="AR95" s="21">
        <f>AR36-'246+avg2.03'!AQ36-$AQ$122</f>
        <v>0.23749999999995453</v>
      </c>
      <c r="AS95" s="13" t="s">
        <v>351</v>
      </c>
      <c r="AT95" s="36">
        <f ca="1">MAX(S95:AP118)</f>
        <v>3.8957332953884816E-2</v>
      </c>
      <c r="AU95" s="13" t="str">
        <f ca="1">IF(AT95&gt;AR95, CONCATENATE("O/Max ", TEXT(AT95-AR95,"0.000")), "-")</f>
        <v>-</v>
      </c>
      <c r="AV95" s="36">
        <f ca="1">$Q36-'246+avg2.03'!$Q36-$AQ$122</f>
        <v>-1.1184007098336224E-2</v>
      </c>
      <c r="AW95" s="13">
        <f ca="1">INDEX($J36:$J59,MATCH(AT95,AV95:AV118,0))</f>
        <v>23</v>
      </c>
      <c r="AX95" s="5">
        <f ca="1">MATCH(AT95,AV95:AV118,0)</f>
        <v>3</v>
      </c>
    </row>
    <row r="96" spans="10:50">
      <c r="S96" s="35">
        <f ca="1">IF(S37&lt;&gt;"", S37-'246+avg2.03'!S37-$AQ$122, "")</f>
        <v>-1.1184007098336224E-2</v>
      </c>
      <c r="T96" s="35">
        <f ca="1">IF(T37&lt;&gt;"", T37-'246+avg2.03'!T37-$AQ$122, "")</f>
        <v>1.8026664342642107E-2</v>
      </c>
      <c r="U96" s="35"/>
      <c r="V96" s="35"/>
      <c r="W96" s="35"/>
      <c r="X96" s="35"/>
      <c r="Y96" s="35"/>
      <c r="Z96" s="35"/>
      <c r="AA96" s="35"/>
      <c r="AB96" s="35"/>
      <c r="AC96" s="35"/>
      <c r="AD96" s="35"/>
      <c r="AE96" s="35"/>
      <c r="AF96" s="35"/>
      <c r="AG96" s="35"/>
      <c r="AH96" s="35"/>
      <c r="AI96" s="35"/>
      <c r="AJ96" s="35"/>
      <c r="AK96" s="35"/>
      <c r="AL96" s="35"/>
      <c r="AM96" s="35"/>
      <c r="AN96" s="35"/>
      <c r="AO96" s="35"/>
      <c r="AP96" s="35"/>
      <c r="AQ96" s="21">
        <f>AQ95</f>
        <v>-0.23749999999995453</v>
      </c>
      <c r="AR96" s="21">
        <f>AR95</f>
        <v>0.23749999999995453</v>
      </c>
      <c r="AS96" s="13" t="s">
        <v>352</v>
      </c>
      <c r="AT96" s="36">
        <f ca="1">MIN(S95:AP118)</f>
        <v>-9.4232012259453768E-2</v>
      </c>
      <c r="AU96" s="13" t="str">
        <f ca="1">IF(AT96&lt;AQ95, CONCATENATE("U/Min ", TEXT(AQ95-AT96,"0.000")), "-")</f>
        <v>-</v>
      </c>
      <c r="AV96" s="36">
        <f ca="1">$Q37-'246+avg2.03'!$Q37-$AQ$122</f>
        <v>1.8026664342642107E-2</v>
      </c>
      <c r="AW96" s="13">
        <f ca="1">INDEX($J36:$J59,MATCH(AT96,AV95:AV118,0))</f>
        <v>19</v>
      </c>
      <c r="AX96" s="5">
        <f ca="1">MATCH(AT96,AV95:AV118,0)</f>
        <v>7</v>
      </c>
    </row>
    <row r="97" spans="19:49">
      <c r="S97" s="35"/>
      <c r="T97" s="35">
        <f ca="1">IF(T38&lt;&gt;"", T38-'246+avg2.03'!T38-$AQ$122, "")</f>
        <v>1.8026664342642107E-2</v>
      </c>
      <c r="U97" s="35">
        <f ca="1">IF(U38&lt;&gt;"", U38-'246+avg2.03'!U38-$AQ$122, "")</f>
        <v>3.8957332953884816E-2</v>
      </c>
      <c r="V97" s="35"/>
      <c r="W97" s="35"/>
      <c r="X97" s="35"/>
      <c r="Y97" s="35"/>
      <c r="Z97" s="35"/>
      <c r="AA97" s="35"/>
      <c r="AB97" s="35"/>
      <c r="AC97" s="35"/>
      <c r="AD97" s="35"/>
      <c r="AE97" s="35"/>
      <c r="AF97" s="35"/>
      <c r="AG97" s="35"/>
      <c r="AH97" s="35"/>
      <c r="AI97" s="35"/>
      <c r="AJ97" s="35"/>
      <c r="AK97" s="35"/>
      <c r="AL97" s="35"/>
      <c r="AM97" s="35"/>
      <c r="AN97" s="35"/>
      <c r="AO97" s="35"/>
      <c r="AP97" s="35"/>
      <c r="AQ97" s="21">
        <f t="shared" ref="AQ97:AQ118" si="16">AQ96</f>
        <v>-0.23749999999995453</v>
      </c>
      <c r="AR97" s="21">
        <f t="shared" ref="AR97:AR118" si="17">AR96</f>
        <v>0.23749999999995453</v>
      </c>
      <c r="AV97" s="36">
        <f ca="1">$Q38-'246+avg2.03'!$Q38-$AQ$122</f>
        <v>3.8957332953884816E-2</v>
      </c>
      <c r="AW97" s="2"/>
    </row>
    <row r="98" spans="19:49">
      <c r="S98" s="35"/>
      <c r="T98" s="35"/>
      <c r="U98" s="35">
        <f ca="1">IF(U39&lt;&gt;"", U39-'246+avg2.03'!U39-$AQ$122, "")</f>
        <v>3.8957332953884816E-2</v>
      </c>
      <c r="V98" s="35">
        <f ca="1">IF(V39&lt;&gt;"", V39-'246+avg2.03'!V39-$AQ$122, "")</f>
        <v>2.7343999970241839E-2</v>
      </c>
      <c r="W98" s="35"/>
      <c r="X98" s="35"/>
      <c r="Y98" s="35"/>
      <c r="Z98" s="35"/>
      <c r="AA98" s="35"/>
      <c r="AB98" s="35"/>
      <c r="AC98" s="35"/>
      <c r="AD98" s="35"/>
      <c r="AE98" s="35"/>
      <c r="AF98" s="35"/>
      <c r="AG98" s="35"/>
      <c r="AH98" s="35"/>
      <c r="AI98" s="35"/>
      <c r="AJ98" s="35"/>
      <c r="AK98" s="35"/>
      <c r="AL98" s="35"/>
      <c r="AM98" s="35"/>
      <c r="AN98" s="35"/>
      <c r="AO98" s="35"/>
      <c r="AP98" s="35"/>
      <c r="AQ98" s="21">
        <f t="shared" si="16"/>
        <v>-0.23749999999995453</v>
      </c>
      <c r="AR98" s="21">
        <f t="shared" si="17"/>
        <v>0.23749999999995453</v>
      </c>
      <c r="AV98" s="36">
        <f ca="1">$Q39-'246+avg2.03'!$Q39-$AQ$122</f>
        <v>2.7343999970241839E-2</v>
      </c>
      <c r="AW98" s="2"/>
    </row>
    <row r="99" spans="19:49">
      <c r="S99" s="35"/>
      <c r="T99" s="35"/>
      <c r="U99" s="35"/>
      <c r="V99" s="35">
        <f ca="1">IF(V40&lt;&gt;"", V40-'246+avg2.03'!V40-$AQ$122, "")</f>
        <v>2.7343999970241839E-2</v>
      </c>
      <c r="W99" s="35">
        <f ca="1">IF(W40&lt;&gt;"", W40-'246+avg2.03'!W40-$AQ$122, "")</f>
        <v>-1.7173337049996462E-2</v>
      </c>
      <c r="X99" s="35"/>
      <c r="Y99" s="35"/>
      <c r="Z99" s="35"/>
      <c r="AA99" s="35"/>
      <c r="AB99" s="35"/>
      <c r="AC99" s="35"/>
      <c r="AD99" s="35"/>
      <c r="AE99" s="35"/>
      <c r="AF99" s="35"/>
      <c r="AG99" s="35"/>
      <c r="AH99" s="35"/>
      <c r="AI99" s="35"/>
      <c r="AJ99" s="35"/>
      <c r="AK99" s="35"/>
      <c r="AL99" s="35"/>
      <c r="AM99" s="35"/>
      <c r="AN99" s="35"/>
      <c r="AO99" s="35"/>
      <c r="AP99" s="35"/>
      <c r="AQ99" s="21">
        <f t="shared" si="16"/>
        <v>-0.23749999999995453</v>
      </c>
      <c r="AR99" s="21">
        <f t="shared" si="17"/>
        <v>0.23749999999995453</v>
      </c>
      <c r="AV99" s="36">
        <f ca="1">$Q40-'246+avg2.03'!$Q40-$AQ$122</f>
        <v>-1.7173337049996462E-2</v>
      </c>
      <c r="AW99" s="2"/>
    </row>
    <row r="100" spans="19:49">
      <c r="S100" s="35"/>
      <c r="T100" s="35"/>
      <c r="U100" s="35"/>
      <c r="V100" s="35"/>
      <c r="W100" s="35">
        <f ca="1">IF(W41&lt;&gt;"", W41-'246+avg2.03'!W41-$AQ$122, "")</f>
        <v>-1.7173337049996462E-2</v>
      </c>
      <c r="X100" s="35">
        <f ca="1">IF(X41&lt;&gt;"", X41-'246+avg2.03'!X41-$AQ$122, "")</f>
        <v>-6.8461346150968438E-2</v>
      </c>
      <c r="Y100" s="35"/>
      <c r="Z100" s="35"/>
      <c r="AA100" s="35"/>
      <c r="AB100" s="35"/>
      <c r="AC100" s="35"/>
      <c r="AD100" s="35"/>
      <c r="AE100" s="35"/>
      <c r="AF100" s="35"/>
      <c r="AG100" s="35"/>
      <c r="AH100" s="35"/>
      <c r="AI100" s="35"/>
      <c r="AJ100" s="35"/>
      <c r="AK100" s="35"/>
      <c r="AL100" s="35"/>
      <c r="AM100" s="35"/>
      <c r="AN100" s="35"/>
      <c r="AO100" s="35"/>
      <c r="AP100" s="35"/>
      <c r="AQ100" s="21">
        <f t="shared" si="16"/>
        <v>-0.23749999999995453</v>
      </c>
      <c r="AR100" s="21">
        <f t="shared" si="17"/>
        <v>0.23749999999995453</v>
      </c>
      <c r="AV100" s="36">
        <f ca="1">$Q41-'246+avg2.03'!$Q41-$AQ$122</f>
        <v>-6.8461346150968438E-2</v>
      </c>
      <c r="AW100" s="2"/>
    </row>
    <row r="101" spans="19:49">
      <c r="S101" s="35"/>
      <c r="T101" s="35"/>
      <c r="U101" s="35"/>
      <c r="V101" s="35"/>
      <c r="W101" s="35"/>
      <c r="X101" s="35">
        <f ca="1">IF(X42&lt;&gt;"", X42-'246+avg2.03'!X42-$AQ$122, "")</f>
        <v>-6.8461346150968438E-2</v>
      </c>
      <c r="Y101" s="35">
        <f ca="1">IF(Y42&lt;&gt;"", Y42-'246+avg2.03'!Y42-$AQ$122, "")</f>
        <v>-9.4232012259453768E-2</v>
      </c>
      <c r="Z101" s="35"/>
      <c r="AA101" s="35"/>
      <c r="AB101" s="35"/>
      <c r="AC101" s="35"/>
      <c r="AD101" s="35"/>
      <c r="AE101" s="35"/>
      <c r="AF101" s="35"/>
      <c r="AG101" s="35"/>
      <c r="AH101" s="35"/>
      <c r="AI101" s="35"/>
      <c r="AJ101" s="35"/>
      <c r="AK101" s="35"/>
      <c r="AL101" s="35"/>
      <c r="AM101" s="35"/>
      <c r="AN101" s="35"/>
      <c r="AO101" s="35"/>
      <c r="AP101" s="35"/>
      <c r="AQ101" s="21">
        <f t="shared" si="16"/>
        <v>-0.23749999999995453</v>
      </c>
      <c r="AR101" s="21">
        <f t="shared" si="17"/>
        <v>0.23749999999995453</v>
      </c>
      <c r="AV101" s="36">
        <f ca="1">$Q42-'246+avg2.03'!$Q42-$AQ$122</f>
        <v>-9.4232012259453768E-2</v>
      </c>
      <c r="AW101" s="2"/>
    </row>
    <row r="102" spans="19:49">
      <c r="S102" s="35"/>
      <c r="T102" s="35"/>
      <c r="U102" s="35"/>
      <c r="V102" s="35"/>
      <c r="W102" s="35"/>
      <c r="X102" s="35"/>
      <c r="Y102" s="35">
        <f ca="1">IF(Y43&lt;&gt;"", Y43-'246+avg2.03'!Y43-$AQ$122, "")</f>
        <v>-9.4232012259453768E-2</v>
      </c>
      <c r="Z102" s="35">
        <f ca="1">IF(Z43&lt;&gt;"", Z43-'246+avg2.03'!Z43-$AQ$122, "")</f>
        <v>-8.6946670401914616E-2</v>
      </c>
      <c r="AA102" s="35"/>
      <c r="AB102" s="35"/>
      <c r="AC102" s="35"/>
      <c r="AD102" s="35"/>
      <c r="AE102" s="35"/>
      <c r="AF102" s="35"/>
      <c r="AG102" s="35"/>
      <c r="AH102" s="35"/>
      <c r="AI102" s="35"/>
      <c r="AJ102" s="35"/>
      <c r="AK102" s="35"/>
      <c r="AL102" s="35"/>
      <c r="AM102" s="35"/>
      <c r="AN102" s="35"/>
      <c r="AO102" s="35"/>
      <c r="AP102" s="35"/>
      <c r="AQ102" s="21">
        <f t="shared" si="16"/>
        <v>-0.23749999999995453</v>
      </c>
      <c r="AR102" s="21">
        <f t="shared" si="17"/>
        <v>0.23749999999995453</v>
      </c>
      <c r="AV102" s="36">
        <f ca="1">$Q43-'246+avg2.03'!$Q43-$AQ$122</f>
        <v>-8.6946670401914616E-2</v>
      </c>
      <c r="AW102" s="2"/>
    </row>
    <row r="103" spans="19:49">
      <c r="S103" s="35"/>
      <c r="T103" s="35"/>
      <c r="U103" s="35"/>
      <c r="V103" s="35"/>
      <c r="W103" s="35"/>
      <c r="X103" s="35"/>
      <c r="Y103" s="35"/>
      <c r="Z103" s="35">
        <f ca="1">IF(Z44&lt;&gt;"", Z44-'246+avg2.03'!Z44-$AQ$122, "")</f>
        <v>-8.6946670401914616E-2</v>
      </c>
      <c r="AA103" s="35">
        <f ca="1">IF(AA44&lt;&gt;"", AA44-'246+avg2.03'!AA44-$AQ$122, "")</f>
        <v>-6.902400119719232E-2</v>
      </c>
      <c r="AB103" s="35"/>
      <c r="AC103" s="35"/>
      <c r="AD103" s="35"/>
      <c r="AE103" s="35"/>
      <c r="AF103" s="35"/>
      <c r="AG103" s="35"/>
      <c r="AH103" s="35"/>
      <c r="AI103" s="35"/>
      <c r="AJ103" s="35"/>
      <c r="AK103" s="35"/>
      <c r="AL103" s="35"/>
      <c r="AM103" s="35"/>
      <c r="AN103" s="35"/>
      <c r="AO103" s="35"/>
      <c r="AP103" s="35"/>
      <c r="AQ103" s="21">
        <f t="shared" si="16"/>
        <v>-0.23749999999995453</v>
      </c>
      <c r="AR103" s="21">
        <f t="shared" si="17"/>
        <v>0.23749999999995453</v>
      </c>
      <c r="AV103" s="36">
        <f ca="1">$Q44-'246+avg2.03'!$Q44-$AQ$122</f>
        <v>-6.902400119719232E-2</v>
      </c>
      <c r="AW103" s="2"/>
    </row>
    <row r="104" spans="19:49">
      <c r="S104" s="35"/>
      <c r="T104" s="35"/>
      <c r="U104" s="35"/>
      <c r="V104" s="35"/>
      <c r="W104" s="35"/>
      <c r="X104" s="35"/>
      <c r="Y104" s="35"/>
      <c r="Z104" s="35"/>
      <c r="AA104" s="35">
        <f ca="1">IF(AA45&lt;&gt;"", AA45-'246+avg2.03'!AA45-$AQ$122, "")</f>
        <v>-6.902400119719232E-2</v>
      </c>
      <c r="AB104" s="35">
        <f ca="1">IF(AB45&lt;&gt;"", AB45-'246+avg2.03'!AB45-$AQ$122, "")</f>
        <v>-4.2720001197210422E-2</v>
      </c>
      <c r="AC104" s="35"/>
      <c r="AD104" s="35"/>
      <c r="AE104" s="35"/>
      <c r="AF104" s="35"/>
      <c r="AG104" s="35"/>
      <c r="AH104" s="35"/>
      <c r="AI104" s="35"/>
      <c r="AJ104" s="35"/>
      <c r="AK104" s="35"/>
      <c r="AL104" s="35"/>
      <c r="AM104" s="35"/>
      <c r="AN104" s="35"/>
      <c r="AO104" s="35"/>
      <c r="AP104" s="35"/>
      <c r="AQ104" s="21">
        <f t="shared" si="16"/>
        <v>-0.23749999999995453</v>
      </c>
      <c r="AR104" s="21">
        <f t="shared" si="17"/>
        <v>0.23749999999995453</v>
      </c>
      <c r="AV104" s="36">
        <f ca="1">$Q45-'246+avg2.03'!$Q45-$AQ$122</f>
        <v>-4.2720001197210422E-2</v>
      </c>
      <c r="AW104" s="2"/>
    </row>
    <row r="105" spans="19:49">
      <c r="S105" s="35"/>
      <c r="T105" s="35"/>
      <c r="U105" s="35"/>
      <c r="V105" s="35"/>
      <c r="W105" s="35"/>
      <c r="X105" s="35"/>
      <c r="Y105" s="35"/>
      <c r="Z105" s="35"/>
      <c r="AA105" s="35"/>
      <c r="AB105" s="35">
        <f ca="1">IF(AB46&lt;&gt;"", AB46-'246+avg2.03'!AB46-$AQ$122, "")</f>
        <v>-4.2720001197210422E-2</v>
      </c>
      <c r="AC105" s="35">
        <f ca="1">IF(AC46&lt;&gt;"", AC46-'246+avg2.03'!AC46-$AQ$122, "")</f>
        <v>-2.116799892240806E-2</v>
      </c>
      <c r="AD105" s="35"/>
      <c r="AE105" s="35"/>
      <c r="AF105" s="35"/>
      <c r="AG105" s="35"/>
      <c r="AH105" s="35"/>
      <c r="AI105" s="35"/>
      <c r="AJ105" s="35"/>
      <c r="AK105" s="35"/>
      <c r="AL105" s="35"/>
      <c r="AM105" s="35"/>
      <c r="AN105" s="35"/>
      <c r="AO105" s="35"/>
      <c r="AP105" s="35"/>
      <c r="AQ105" s="21">
        <f t="shared" si="16"/>
        <v>-0.23749999999995453</v>
      </c>
      <c r="AR105" s="21">
        <f t="shared" si="17"/>
        <v>0.23749999999995453</v>
      </c>
      <c r="AV105" s="36">
        <f ca="1">$Q46-'246+avg2.03'!$Q46-$AQ$122</f>
        <v>-2.116799892240806E-2</v>
      </c>
      <c r="AW105" s="2"/>
    </row>
    <row r="106" spans="19:49">
      <c r="S106" s="35"/>
      <c r="T106" s="35"/>
      <c r="U106" s="35"/>
      <c r="V106" s="35"/>
      <c r="W106" s="35"/>
      <c r="X106" s="35"/>
      <c r="Y106" s="35"/>
      <c r="Z106" s="35"/>
      <c r="AA106" s="35"/>
      <c r="AB106" s="35"/>
      <c r="AC106" s="35">
        <f ca="1">IF(AC47&lt;&gt;"", AC47-'246+avg2.03'!AC47-$AQ$122, "")</f>
        <v>-2.116799892240806E-2</v>
      </c>
      <c r="AD106" s="35">
        <f ca="1">IF(AD47&lt;&gt;"", AD47-'246+avg2.03'!AD47-$AQ$122, "")</f>
        <v>-1.514399329863636E-2</v>
      </c>
      <c r="AE106" s="35"/>
      <c r="AF106" s="35"/>
      <c r="AG106" s="35"/>
      <c r="AH106" s="35"/>
      <c r="AI106" s="35"/>
      <c r="AJ106" s="35"/>
      <c r="AK106" s="35"/>
      <c r="AL106" s="35"/>
      <c r="AM106" s="35"/>
      <c r="AN106" s="35"/>
      <c r="AO106" s="35"/>
      <c r="AP106" s="35"/>
      <c r="AQ106" s="21">
        <f t="shared" si="16"/>
        <v>-0.23749999999995453</v>
      </c>
      <c r="AR106" s="21">
        <f t="shared" si="17"/>
        <v>0.23749999999995453</v>
      </c>
      <c r="AV106" s="36">
        <f ca="1">$Q47-'246+avg2.03'!$Q47-$AQ$122</f>
        <v>-1.514399329863636E-2</v>
      </c>
      <c r="AW106" s="2"/>
    </row>
    <row r="107" spans="19:49">
      <c r="S107" s="35"/>
      <c r="T107" s="35"/>
      <c r="U107" s="35"/>
      <c r="V107" s="35"/>
      <c r="W107" s="35"/>
      <c r="X107" s="35"/>
      <c r="Y107" s="35"/>
      <c r="Z107" s="35"/>
      <c r="AA107" s="35"/>
      <c r="AB107" s="35"/>
      <c r="AC107" s="35"/>
      <c r="AD107" s="35">
        <f ca="1">IF(AD48&lt;&gt;"", AD48-'246+avg2.03'!AD48-$AQ$122, "")</f>
        <v>-1.514399329863636E-2</v>
      </c>
      <c r="AE107" s="35">
        <f ca="1">IF(AE48&lt;&gt;"", AE48-'246+avg2.03'!AE48-$AQ$122, "")</f>
        <v>-2.6671993898958135E-2</v>
      </c>
      <c r="AF107" s="35"/>
      <c r="AG107" s="35"/>
      <c r="AH107" s="35"/>
      <c r="AI107" s="35"/>
      <c r="AJ107" s="35"/>
      <c r="AK107" s="35"/>
      <c r="AL107" s="35"/>
      <c r="AM107" s="35"/>
      <c r="AN107" s="35"/>
      <c r="AO107" s="35"/>
      <c r="AP107" s="35"/>
      <c r="AQ107" s="21">
        <f t="shared" si="16"/>
        <v>-0.23749999999995453</v>
      </c>
      <c r="AR107" s="21">
        <f t="shared" si="17"/>
        <v>0.23749999999995453</v>
      </c>
      <c r="AV107" s="36">
        <f ca="1">$Q48-'246+avg2.03'!$Q48-$AQ$122</f>
        <v>-2.6671993898958135E-2</v>
      </c>
      <c r="AW107" s="2"/>
    </row>
    <row r="108" spans="19:49">
      <c r="S108" s="35"/>
      <c r="T108" s="35"/>
      <c r="U108" s="35"/>
      <c r="V108" s="35"/>
      <c r="W108" s="35"/>
      <c r="X108" s="35"/>
      <c r="Y108" s="35"/>
      <c r="Z108" s="35"/>
      <c r="AA108" s="35"/>
      <c r="AB108" s="35"/>
      <c r="AC108" s="35"/>
      <c r="AD108" s="35"/>
      <c r="AE108" s="35">
        <f ca="1">IF(AE49&lt;&gt;"", AE49-'246+avg2.03'!AE49-$AQ$122, "")</f>
        <v>-2.6671993898958135E-2</v>
      </c>
      <c r="AF108" s="35">
        <f ca="1">IF(AF49&lt;&gt;"", AF49-'246+avg2.03'!AF49-$AQ$122, "")</f>
        <v>-4.425603450977178E-2</v>
      </c>
      <c r="AG108" s="35"/>
      <c r="AH108" s="35"/>
      <c r="AI108" s="35"/>
      <c r="AJ108" s="35"/>
      <c r="AK108" s="35"/>
      <c r="AL108" s="35"/>
      <c r="AM108" s="35"/>
      <c r="AN108" s="35"/>
      <c r="AO108" s="35"/>
      <c r="AP108" s="35"/>
      <c r="AQ108" s="21">
        <f t="shared" si="16"/>
        <v>-0.23749999999995453</v>
      </c>
      <c r="AR108" s="21">
        <f t="shared" si="17"/>
        <v>0.23749999999995453</v>
      </c>
      <c r="AV108" s="36">
        <f ca="1">$Q49-'246+avg2.03'!$Q49-$AQ$122</f>
        <v>-4.425603450977178E-2</v>
      </c>
      <c r="AW108" s="2"/>
    </row>
    <row r="109" spans="19:49">
      <c r="S109" s="35"/>
      <c r="T109" s="35"/>
      <c r="U109" s="35"/>
      <c r="V109" s="35"/>
      <c r="W109" s="35"/>
      <c r="X109" s="35"/>
      <c r="Y109" s="35"/>
      <c r="Z109" s="35"/>
      <c r="AA109" s="35"/>
      <c r="AB109" s="35"/>
      <c r="AC109" s="35"/>
      <c r="AD109" s="35"/>
      <c r="AE109" s="35"/>
      <c r="AF109" s="35">
        <f ca="1">IF(AF50&lt;&gt;"", AF50-'246+avg2.03'!AF50-$AQ$122, "")</f>
        <v>-4.425603450977178E-2</v>
      </c>
      <c r="AG109" s="35">
        <f ca="1">IF(AG50&lt;&gt;"", AG50-'246+avg2.03'!AG50-$AQ$122, "")</f>
        <v>-5.3008122649828238E-2</v>
      </c>
      <c r="AH109" s="35"/>
      <c r="AI109" s="35"/>
      <c r="AJ109" s="35"/>
      <c r="AK109" s="35"/>
      <c r="AL109" s="35"/>
      <c r="AM109" s="35"/>
      <c r="AN109" s="35"/>
      <c r="AO109" s="35"/>
      <c r="AP109" s="35"/>
      <c r="AQ109" s="21">
        <f t="shared" si="16"/>
        <v>-0.23749999999995453</v>
      </c>
      <c r="AR109" s="21">
        <f t="shared" si="17"/>
        <v>0.23749999999995453</v>
      </c>
      <c r="AV109" s="36">
        <f ca="1">$Q50-'246+avg2.03'!$Q50-$AQ$122</f>
        <v>-5.3008122649828238E-2</v>
      </c>
      <c r="AW109" s="2"/>
    </row>
    <row r="110" spans="19:49">
      <c r="S110" s="35"/>
      <c r="T110" s="35"/>
      <c r="U110" s="35"/>
      <c r="V110" s="35"/>
      <c r="W110" s="35"/>
      <c r="X110" s="35"/>
      <c r="Y110" s="35"/>
      <c r="Z110" s="35"/>
      <c r="AA110" s="35"/>
      <c r="AB110" s="35"/>
      <c r="AC110" s="35"/>
      <c r="AD110" s="35"/>
      <c r="AE110" s="35"/>
      <c r="AF110" s="35"/>
      <c r="AG110" s="35">
        <f ca="1">IF(AG51&lt;&gt;"", AG51-'246+avg2.03'!AG51-$AQ$122, "")</f>
        <v>-5.3008122649828238E-2</v>
      </c>
      <c r="AH110" s="35">
        <f ca="1">IF(AH51&lt;&gt;"", AH51-'246+avg2.03'!AH51-$AQ$122, "")</f>
        <v>-4.3176112992682647E-2</v>
      </c>
      <c r="AI110" s="35"/>
      <c r="AJ110" s="35"/>
      <c r="AK110" s="35"/>
      <c r="AL110" s="35"/>
      <c r="AM110" s="35"/>
      <c r="AN110" s="35"/>
      <c r="AO110" s="35"/>
      <c r="AP110" s="35"/>
      <c r="AQ110" s="21">
        <f t="shared" si="16"/>
        <v>-0.23749999999995453</v>
      </c>
      <c r="AR110" s="21">
        <f t="shared" si="17"/>
        <v>0.23749999999995453</v>
      </c>
      <c r="AV110" s="36">
        <f ca="1">$Q51-'246+avg2.03'!$Q51-$AQ$122</f>
        <v>-4.3176112992682647E-2</v>
      </c>
      <c r="AW110" s="2"/>
    </row>
    <row r="111" spans="19:49">
      <c r="S111" s="35"/>
      <c r="T111" s="35"/>
      <c r="U111" s="35"/>
      <c r="V111" s="35"/>
      <c r="W111" s="35"/>
      <c r="X111" s="35"/>
      <c r="Y111" s="35"/>
      <c r="Z111" s="35"/>
      <c r="AA111" s="35"/>
      <c r="AB111" s="35"/>
      <c r="AC111" s="35"/>
      <c r="AD111" s="35"/>
      <c r="AE111" s="35"/>
      <c r="AF111" s="35"/>
      <c r="AG111" s="35"/>
      <c r="AH111" s="35">
        <f ca="1">IF(AH52&lt;&gt;"", AH52-'246+avg2.03'!AH52-$AQ$122, "")</f>
        <v>-4.3176112992682647E-2</v>
      </c>
      <c r="AI111" s="35">
        <f ca="1">IF(AI52&lt;&gt;"", AI52-'246+avg2.03'!AI52-$AQ$122, "")</f>
        <v>-2.5320026624797265E-2</v>
      </c>
      <c r="AJ111" s="35"/>
      <c r="AK111" s="35"/>
      <c r="AL111" s="35"/>
      <c r="AM111" s="35"/>
      <c r="AN111" s="35"/>
      <c r="AO111" s="35"/>
      <c r="AP111" s="35"/>
      <c r="AQ111" s="21">
        <f t="shared" si="16"/>
        <v>-0.23749999999995453</v>
      </c>
      <c r="AR111" s="21">
        <f t="shared" si="17"/>
        <v>0.23749999999995453</v>
      </c>
      <c r="AV111" s="36">
        <f ca="1">$Q52-'246+avg2.03'!$Q52-$AQ$122</f>
        <v>-2.5320026624797265E-2</v>
      </c>
      <c r="AW111" s="2"/>
    </row>
    <row r="112" spans="19:49">
      <c r="S112" s="35"/>
      <c r="T112" s="35"/>
      <c r="U112" s="35"/>
      <c r="V112" s="35"/>
      <c r="W112" s="35"/>
      <c r="X112" s="35"/>
      <c r="Y112" s="35"/>
      <c r="Z112" s="35"/>
      <c r="AA112" s="35"/>
      <c r="AB112" s="35"/>
      <c r="AC112" s="35"/>
      <c r="AD112" s="35"/>
      <c r="AE112" s="35"/>
      <c r="AF112" s="35"/>
      <c r="AG112" s="35"/>
      <c r="AH112" s="35"/>
      <c r="AI112" s="35">
        <f ca="1">IF(AI53&lt;&gt;"", AI53-'246+avg2.03'!AI53-$AQ$122, "")</f>
        <v>-2.5320026624797265E-2</v>
      </c>
      <c r="AJ112" s="35">
        <f ca="1">IF(AJ53&lt;&gt;"", AJ53-'246+avg2.03'!AJ53-$AQ$122, "")</f>
        <v>-1.8510669074487396E-2</v>
      </c>
      <c r="AK112" s="35"/>
      <c r="AL112" s="35"/>
      <c r="AM112" s="35"/>
      <c r="AN112" s="35"/>
      <c r="AO112" s="35"/>
      <c r="AP112" s="35"/>
      <c r="AQ112" s="21">
        <f t="shared" si="16"/>
        <v>-0.23749999999995453</v>
      </c>
      <c r="AR112" s="21">
        <f t="shared" si="17"/>
        <v>0.23749999999995453</v>
      </c>
      <c r="AV112" s="36">
        <f ca="1">$Q53-'246+avg2.03'!$Q53-$AQ$122</f>
        <v>-1.8510669074487396E-2</v>
      </c>
      <c r="AW112" s="2"/>
    </row>
    <row r="113" spans="19:49">
      <c r="S113" s="35"/>
      <c r="T113" s="35"/>
      <c r="U113" s="35"/>
      <c r="V113" s="35"/>
      <c r="W113" s="35"/>
      <c r="X113" s="35"/>
      <c r="Y113" s="35"/>
      <c r="Z113" s="35"/>
      <c r="AA113" s="35"/>
      <c r="AB113" s="35"/>
      <c r="AC113" s="35"/>
      <c r="AD113" s="35"/>
      <c r="AE113" s="35"/>
      <c r="AF113" s="35"/>
      <c r="AG113" s="35"/>
      <c r="AH113" s="35"/>
      <c r="AI113" s="35"/>
      <c r="AJ113" s="35">
        <f ca="1">IF(AJ54&lt;&gt;"", AJ54-'246+avg2.03'!AJ54-$AQ$122, "")</f>
        <v>-1.8510669074487396E-2</v>
      </c>
      <c r="AK113" s="35">
        <f ca="1">IF(AK54&lt;&gt;"", AK54-'246+avg2.03'!AK54-$AQ$122, "")</f>
        <v>-2.1224002225778804E-2</v>
      </c>
      <c r="AL113" s="35"/>
      <c r="AM113" s="35"/>
      <c r="AN113" s="35"/>
      <c r="AO113" s="35"/>
      <c r="AP113" s="35"/>
      <c r="AQ113" s="21">
        <f t="shared" si="16"/>
        <v>-0.23749999999995453</v>
      </c>
      <c r="AR113" s="21">
        <f t="shared" si="17"/>
        <v>0.23749999999995453</v>
      </c>
      <c r="AV113" s="36">
        <f ca="1">$Q54-'246+avg2.03'!$Q54-$AQ$122</f>
        <v>-2.1224002225778804E-2</v>
      </c>
      <c r="AW113" s="2"/>
    </row>
    <row r="114" spans="19:49">
      <c r="S114" s="35"/>
      <c r="T114" s="35"/>
      <c r="U114" s="35"/>
      <c r="V114" s="35"/>
      <c r="W114" s="35"/>
      <c r="X114" s="35"/>
      <c r="Y114" s="35"/>
      <c r="Z114" s="35"/>
      <c r="AA114" s="35"/>
      <c r="AB114" s="35"/>
      <c r="AC114" s="35"/>
      <c r="AD114" s="35"/>
      <c r="AE114" s="35"/>
      <c r="AF114" s="35"/>
      <c r="AG114" s="35"/>
      <c r="AH114" s="35"/>
      <c r="AI114" s="35"/>
      <c r="AJ114" s="35"/>
      <c r="AK114" s="35">
        <f ca="1">IF(AK55&lt;&gt;"", AK55-'246+avg2.03'!AK55-$AQ$122, "")</f>
        <v>-2.1224002225778804E-2</v>
      </c>
      <c r="AL114" s="35">
        <f ca="1">IF(AL55&lt;&gt;"", AL55-'246+avg2.03'!AL55-$AQ$122, "")</f>
        <v>-3.7773331806704391E-2</v>
      </c>
      <c r="AM114" s="35"/>
      <c r="AN114" s="35"/>
      <c r="AO114" s="35"/>
      <c r="AP114" s="35"/>
      <c r="AQ114" s="21">
        <f t="shared" si="16"/>
        <v>-0.23749999999995453</v>
      </c>
      <c r="AR114" s="21">
        <f t="shared" si="17"/>
        <v>0.23749999999995453</v>
      </c>
      <c r="AV114" s="36">
        <f ca="1">$Q55-'246+avg2.03'!$Q55-$AQ$122</f>
        <v>-3.7773331806704391E-2</v>
      </c>
      <c r="AW114" s="2"/>
    </row>
    <row r="115" spans="19:49">
      <c r="S115" s="35"/>
      <c r="T115" s="35"/>
      <c r="U115" s="35"/>
      <c r="V115" s="35"/>
      <c r="W115" s="35"/>
      <c r="X115" s="35"/>
      <c r="Y115" s="35"/>
      <c r="Z115" s="35"/>
      <c r="AA115" s="35"/>
      <c r="AB115" s="35"/>
      <c r="AC115" s="35"/>
      <c r="AD115" s="35"/>
      <c r="AE115" s="35"/>
      <c r="AF115" s="35"/>
      <c r="AG115" s="35"/>
      <c r="AH115" s="35"/>
      <c r="AI115" s="35"/>
      <c r="AJ115" s="35"/>
      <c r="AK115" s="35"/>
      <c r="AL115" s="35">
        <f ca="1">IF(AL56&lt;&gt;"", AL56-'246+avg2.03'!AL56-$AQ$122, "")</f>
        <v>-3.7773331806704391E-2</v>
      </c>
      <c r="AM115" s="35">
        <f ca="1">IF(AM56&lt;&gt;"", AM56-'246+avg2.03'!AM56-$AQ$122, "")</f>
        <v>-6.8650659479715159E-2</v>
      </c>
      <c r="AN115" s="35"/>
      <c r="AO115" s="35"/>
      <c r="AP115" s="35"/>
      <c r="AQ115" s="21">
        <f t="shared" si="16"/>
        <v>-0.23749999999995453</v>
      </c>
      <c r="AR115" s="21">
        <f t="shared" si="17"/>
        <v>0.23749999999995453</v>
      </c>
      <c r="AV115" s="36">
        <f ca="1">$Q56-'246+avg2.03'!$Q56-$AQ$122</f>
        <v>-6.8650659479715159E-2</v>
      </c>
      <c r="AW115" s="2"/>
    </row>
    <row r="116" spans="19:49">
      <c r="S116" s="35"/>
      <c r="T116" s="35"/>
      <c r="U116" s="35"/>
      <c r="V116" s="35"/>
      <c r="W116" s="35"/>
      <c r="X116" s="35"/>
      <c r="Y116" s="35"/>
      <c r="Z116" s="35"/>
      <c r="AA116" s="35"/>
      <c r="AB116" s="35"/>
      <c r="AC116" s="35"/>
      <c r="AD116" s="35"/>
      <c r="AE116" s="35"/>
      <c r="AF116" s="35"/>
      <c r="AG116" s="35"/>
      <c r="AH116" s="35"/>
      <c r="AI116" s="35"/>
      <c r="AJ116" s="35"/>
      <c r="AK116" s="35"/>
      <c r="AL116" s="35"/>
      <c r="AM116" s="35">
        <f ca="1">IF(AM57&lt;&gt;"", AM57-'246+avg2.03'!AM57-$AQ$122, "")</f>
        <v>-6.8650659479715159E-2</v>
      </c>
      <c r="AN116" s="35">
        <f ca="1">IF(AN57&lt;&gt;"", AN57-'246+avg2.03'!AN57-$AQ$122, "")</f>
        <v>-8.4311992079676656E-2</v>
      </c>
      <c r="AO116" s="35"/>
      <c r="AP116" s="35"/>
      <c r="AQ116" s="21">
        <f t="shared" si="16"/>
        <v>-0.23749999999995453</v>
      </c>
      <c r="AR116" s="21">
        <f t="shared" si="17"/>
        <v>0.23749999999995453</v>
      </c>
      <c r="AV116" s="36">
        <f ca="1">$Q57-'246+avg2.03'!$Q57-$AQ$122</f>
        <v>-8.4311992079676656E-2</v>
      </c>
      <c r="AW116" s="2"/>
    </row>
    <row r="117" spans="19:49">
      <c r="S117" s="35"/>
      <c r="T117" s="35"/>
      <c r="U117" s="35"/>
      <c r="V117" s="35"/>
      <c r="W117" s="35"/>
      <c r="X117" s="35"/>
      <c r="Y117" s="35"/>
      <c r="Z117" s="35"/>
      <c r="AA117" s="35"/>
      <c r="AB117" s="35"/>
      <c r="AC117" s="35"/>
      <c r="AD117" s="35"/>
      <c r="AE117" s="35"/>
      <c r="AF117" s="35"/>
      <c r="AG117" s="35"/>
      <c r="AH117" s="35"/>
      <c r="AI117" s="35"/>
      <c r="AJ117" s="35"/>
      <c r="AK117" s="35"/>
      <c r="AL117" s="35"/>
      <c r="AM117" s="35"/>
      <c r="AN117" s="35">
        <f ca="1">IF(AN58&lt;&gt;"", AN58-'246+avg2.03'!AN58-$AQ$122, "")</f>
        <v>-8.4311992079676656E-2</v>
      </c>
      <c r="AO117" s="35">
        <f ca="1">IF(AO58&lt;&gt;"", AO58-'246+avg2.03'!AO58-$AQ$122, "")</f>
        <v>-7.1389331538398437E-2</v>
      </c>
      <c r="AP117" s="35"/>
      <c r="AQ117" s="21">
        <f t="shared" si="16"/>
        <v>-0.23749999999995453</v>
      </c>
      <c r="AR117" s="21">
        <f t="shared" si="17"/>
        <v>0.23749999999995453</v>
      </c>
      <c r="AV117" s="36">
        <f ca="1">$Q58-'246+avg2.03'!$Q58-$AQ$122</f>
        <v>-7.1389331538398437E-2</v>
      </c>
      <c r="AW117" s="2"/>
    </row>
    <row r="118" spans="19:49">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f ca="1">IF(AO59&lt;&gt;"", AO59-'246+avg2.03'!AO59-$AQ$122, "")</f>
        <v>-7.1389331538398437E-2</v>
      </c>
      <c r="AP118" s="39">
        <f ca="1">IF(AP59&lt;&gt;"", AP59-'246+avg2.03'!AP59-$AQ$122, "")</f>
        <v>-5.4748002371354687E-2</v>
      </c>
      <c r="AQ118" s="21">
        <f t="shared" si="16"/>
        <v>-0.23749999999995453</v>
      </c>
      <c r="AR118" s="21">
        <f t="shared" si="17"/>
        <v>0.23749999999995453</v>
      </c>
      <c r="AV118" s="36">
        <f ca="1">$Q59-'246+avg2.03'!$Q59-$AQ$122</f>
        <v>-5.4748002371354687E-2</v>
      </c>
    </row>
    <row r="120" spans="19:49">
      <c r="AQ120">
        <f>AQ36-'246+avg2.03'!AR36</f>
        <v>1.0805000000000859</v>
      </c>
      <c r="AR120">
        <f>AR36-'246+avg2.03'!AQ36</f>
        <v>1.555499999999995</v>
      </c>
    </row>
    <row r="122" spans="19:49">
      <c r="AQ122">
        <f>AVERAGE(AQ120:AR120)</f>
        <v>1.3180000000000405</v>
      </c>
    </row>
  </sheetData>
  <mergeCells count="2">
    <mergeCell ref="J9:J10"/>
    <mergeCell ref="U9:U10"/>
  </mergeCells>
  <phoneticPr fontId="2"/>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rgb="FFFFC000"/>
  </sheetPr>
  <dimension ref="H1:AX122"/>
  <sheetViews>
    <sheetView topLeftCell="R61" zoomScale="70" zoomScaleNormal="70" workbookViewId="0">
      <selection activeCell="AQ95" sqref="AQ95"/>
    </sheetView>
  </sheetViews>
  <sheetFormatPr defaultRowHeight="15"/>
  <cols>
    <col min="1" max="1" width="24.42578125" customWidth="1"/>
    <col min="10" max="14" width="8.5703125" style="5"/>
  </cols>
  <sheetData>
    <row r="1" spans="8:27">
      <c r="Y1" s="2"/>
      <c r="Z1" s="2"/>
      <c r="AA1" s="2"/>
    </row>
    <row r="2" spans="8:27">
      <c r="Y2" s="2"/>
      <c r="Z2" s="2"/>
      <c r="AA2" s="2"/>
    </row>
    <row r="3" spans="8:27">
      <c r="Y3" s="2"/>
      <c r="Z3" s="2"/>
      <c r="AA3" s="2"/>
    </row>
    <row r="4" spans="8:27">
      <c r="J4" s="5" t="s">
        <v>342</v>
      </c>
      <c r="Y4" s="2"/>
      <c r="Z4" s="2"/>
      <c r="AA4" s="2"/>
    </row>
    <row r="5" spans="8:27">
      <c r="L5" s="13" t="s">
        <v>1</v>
      </c>
      <c r="M5" s="5">
        <f>AVERAGE(L11:M11)*2</f>
        <v>841.93600000000004</v>
      </c>
      <c r="Y5" s="2"/>
      <c r="Z5" s="2"/>
      <c r="AA5" s="2"/>
    </row>
    <row r="6" spans="8:27">
      <c r="L6" s="13" t="s">
        <v>2</v>
      </c>
      <c r="M6" s="13">
        <f>M11*2</f>
        <v>842.08699999999999</v>
      </c>
      <c r="Y6" s="2"/>
      <c r="Z6" s="2"/>
      <c r="AA6" s="2"/>
    </row>
    <row r="7" spans="8:27">
      <c r="L7" s="13" t="s">
        <v>3</v>
      </c>
      <c r="M7" s="13">
        <f>L11*2</f>
        <v>841.78500000000008</v>
      </c>
      <c r="Y7" s="2"/>
      <c r="Z7" s="2"/>
      <c r="AA7" s="2"/>
    </row>
    <row r="8" spans="8:27">
      <c r="U8" s="5">
        <v>248</v>
      </c>
      <c r="V8" s="5">
        <v>246</v>
      </c>
      <c r="Y8" s="2"/>
      <c r="Z8" s="2"/>
      <c r="AA8" s="2"/>
    </row>
    <row r="9" spans="8:27">
      <c r="H9" s="5"/>
      <c r="I9" s="134" t="s">
        <v>316</v>
      </c>
      <c r="J9" s="144" t="s">
        <v>381</v>
      </c>
      <c r="K9" s="133" t="s">
        <v>6</v>
      </c>
      <c r="L9" s="133" t="s">
        <v>7</v>
      </c>
      <c r="M9" s="133" t="s">
        <v>8</v>
      </c>
      <c r="P9" s="11" t="s">
        <v>317</v>
      </c>
      <c r="Q9" s="2"/>
      <c r="S9" s="5"/>
      <c r="T9" s="134" t="str">
        <f t="shared" ref="T9:U26" si="0">I9</f>
        <v>Angle</v>
      </c>
      <c r="U9" s="144" t="str">
        <f t="shared" si="0"/>
        <v>248
Position</v>
      </c>
      <c r="V9" s="80" t="s">
        <v>306</v>
      </c>
      <c r="W9" s="80" t="s">
        <v>311</v>
      </c>
      <c r="Y9" s="13"/>
      <c r="Z9" s="13" t="s">
        <v>343</v>
      </c>
      <c r="AA9" s="13" t="s">
        <v>344</v>
      </c>
    </row>
    <row r="10" spans="8:27">
      <c r="H10" s="134" t="s">
        <v>318</v>
      </c>
      <c r="I10" s="134" t="s">
        <v>319</v>
      </c>
      <c r="J10" s="145"/>
      <c r="K10" s="133" t="s">
        <v>12</v>
      </c>
      <c r="L10" s="133" t="s">
        <v>12</v>
      </c>
      <c r="M10" s="133" t="s">
        <v>12</v>
      </c>
      <c r="P10" s="11" t="s">
        <v>320</v>
      </c>
      <c r="Q10" s="2"/>
      <c r="S10" s="134" t="str">
        <f t="shared" ref="S10:S26" si="1">H10</f>
        <v>Area#</v>
      </c>
      <c r="T10" s="134" t="str">
        <f t="shared" si="0"/>
        <v>[deg]</v>
      </c>
      <c r="U10" s="145"/>
      <c r="V10" s="133" t="s">
        <v>12</v>
      </c>
      <c r="W10" s="133" t="s">
        <v>12</v>
      </c>
      <c r="Y10" s="13" t="s">
        <v>345</v>
      </c>
      <c r="Z10" s="13">
        <f t="shared" ref="Z10:AA11" ca="1" si="2">AW95</f>
        <v>23</v>
      </c>
      <c r="AA10" s="13">
        <f t="shared" ca="1" si="2"/>
        <v>3</v>
      </c>
    </row>
    <row r="11" spans="8:27">
      <c r="H11" s="13">
        <v>1</v>
      </c>
      <c r="I11" s="13">
        <v>0</v>
      </c>
      <c r="J11" s="133">
        <v>1</v>
      </c>
      <c r="K11" s="111">
        <f>'201'!K11-(1.5-0.03)</f>
        <v>421.05099999999999</v>
      </c>
      <c r="L11" s="15">
        <v>420.89250000000004</v>
      </c>
      <c r="M11" s="15">
        <v>421.04349999999999</v>
      </c>
      <c r="P11" s="13">
        <f>K11+K19</f>
        <v>842.01800000000003</v>
      </c>
      <c r="Q11" s="2"/>
      <c r="S11" s="13">
        <f t="shared" si="1"/>
        <v>1</v>
      </c>
      <c r="T11" s="13">
        <f t="shared" si="0"/>
        <v>0</v>
      </c>
      <c r="U11" s="133">
        <f t="shared" si="0"/>
        <v>1</v>
      </c>
      <c r="V11" s="14">
        <f ca="1">K11-'246+avg2.03'!V11</f>
        <v>1.3969999988026984</v>
      </c>
      <c r="W11" s="14">
        <f>K11-'246+avg2.03'!W11</f>
        <v>1.3969999988026984</v>
      </c>
      <c r="Y11" s="13" t="s">
        <v>346</v>
      </c>
      <c r="Z11" s="13">
        <f t="shared" ca="1" si="2"/>
        <v>19</v>
      </c>
      <c r="AA11" s="13">
        <f t="shared" ca="1" si="2"/>
        <v>7</v>
      </c>
    </row>
    <row r="12" spans="8:27">
      <c r="H12" s="13">
        <v>2</v>
      </c>
      <c r="I12" s="13">
        <f>I11+360/16</f>
        <v>22.5</v>
      </c>
      <c r="J12" s="133">
        <v>16</v>
      </c>
      <c r="K12" s="111">
        <f>'201'!K12-(1.5-0.03)</f>
        <v>421.12000000118314</v>
      </c>
      <c r="L12" s="15">
        <v>420.89250000000004</v>
      </c>
      <c r="M12" s="15">
        <v>421.04349999999999</v>
      </c>
      <c r="P12" s="13">
        <f t="shared" ref="P12:P18" si="3">K12+K20</f>
        <v>842.04200002012294</v>
      </c>
      <c r="Q12" s="2"/>
      <c r="S12" s="13">
        <f t="shared" si="1"/>
        <v>2</v>
      </c>
      <c r="T12" s="13">
        <f t="shared" si="0"/>
        <v>22.5</v>
      </c>
      <c r="U12" s="133">
        <f t="shared" si="0"/>
        <v>16</v>
      </c>
      <c r="V12" s="14">
        <f ca="1">K12-'246+avg2.03'!V12</f>
        <v>1.4279999999860706</v>
      </c>
      <c r="W12" s="14">
        <f>K12-'246+avg2.03'!W12</f>
        <v>1.4279999999860706</v>
      </c>
    </row>
    <row r="13" spans="8:27">
      <c r="H13" s="13">
        <v>3</v>
      </c>
      <c r="I13" s="13">
        <f t="shared" ref="I13:I26" si="4">I12+360/16</f>
        <v>45</v>
      </c>
      <c r="J13" s="133">
        <v>15</v>
      </c>
      <c r="K13" s="111">
        <f>'201'!K13-(1.5-0.03)</f>
        <v>421.06200000473331</v>
      </c>
      <c r="L13" s="15">
        <v>420.89250000000004</v>
      </c>
      <c r="M13" s="15">
        <v>421.04349999999999</v>
      </c>
      <c r="P13" s="13">
        <f t="shared" si="3"/>
        <v>842.07300000591681</v>
      </c>
      <c r="Q13" s="2"/>
      <c r="S13" s="13">
        <f t="shared" si="1"/>
        <v>3</v>
      </c>
      <c r="T13" s="13">
        <f t="shared" si="0"/>
        <v>45</v>
      </c>
      <c r="U13" s="133">
        <f t="shared" si="0"/>
        <v>15</v>
      </c>
      <c r="V13" s="14">
        <f ca="1">K13-'246+avg2.03'!V13</f>
        <v>1.3689999999447764</v>
      </c>
      <c r="W13" s="14">
        <f>K13-'246+avg2.03'!W13</f>
        <v>1.3689999999447764</v>
      </c>
    </row>
    <row r="14" spans="8:27">
      <c r="H14" s="13">
        <v>4</v>
      </c>
      <c r="I14" s="13">
        <f t="shared" si="4"/>
        <v>67.5</v>
      </c>
      <c r="J14" s="133">
        <v>14</v>
      </c>
      <c r="K14" s="111">
        <f>'201'!K14-(1.5-0.03)</f>
        <v>420.94899999999996</v>
      </c>
      <c r="L14" s="15">
        <v>420.89250000000004</v>
      </c>
      <c r="M14" s="15">
        <v>421.04349999999999</v>
      </c>
      <c r="P14" s="13">
        <f t="shared" si="3"/>
        <v>842.04800000118325</v>
      </c>
      <c r="Q14" s="2"/>
      <c r="S14" s="13">
        <f t="shared" si="1"/>
        <v>4</v>
      </c>
      <c r="T14" s="13">
        <f t="shared" si="0"/>
        <v>67.5</v>
      </c>
      <c r="U14" s="133">
        <f t="shared" si="0"/>
        <v>14</v>
      </c>
      <c r="V14" s="14">
        <f ca="1">K14-'246+avg2.03'!V14</f>
        <v>1.2829999808445223</v>
      </c>
      <c r="W14" s="14">
        <f>K14-'246+avg2.03'!W14</f>
        <v>1.2829999808445223</v>
      </c>
    </row>
    <row r="15" spans="8:27">
      <c r="H15" s="13">
        <v>5</v>
      </c>
      <c r="I15" s="13">
        <f t="shared" si="4"/>
        <v>90</v>
      </c>
      <c r="J15" s="133">
        <v>13</v>
      </c>
      <c r="K15" s="111">
        <f>'201'!K15-(1.5-0.03)</f>
        <v>420.952</v>
      </c>
      <c r="L15" s="15">
        <v>420.89250000000004</v>
      </c>
      <c r="M15" s="15">
        <v>421.04349999999999</v>
      </c>
      <c r="P15" s="13">
        <f t="shared" si="3"/>
        <v>842.04200000118317</v>
      </c>
      <c r="Q15" s="2"/>
      <c r="S15" s="13">
        <f t="shared" si="1"/>
        <v>5</v>
      </c>
      <c r="T15" s="13">
        <f t="shared" si="0"/>
        <v>90</v>
      </c>
      <c r="U15" s="133">
        <f t="shared" si="0"/>
        <v>13</v>
      </c>
      <c r="V15" s="14">
        <f ca="1">K15-'246+avg2.03'!V15</f>
        <v>1.2849999988027889</v>
      </c>
      <c r="W15" s="14">
        <f>K15-'246+avg2.03'!W15</f>
        <v>1.2849999988027889</v>
      </c>
    </row>
    <row r="16" spans="8:27">
      <c r="H16" s="13">
        <v>6</v>
      </c>
      <c r="I16" s="13">
        <f t="shared" si="4"/>
        <v>112.5</v>
      </c>
      <c r="J16" s="133">
        <v>12</v>
      </c>
      <c r="K16" s="111">
        <f>'201'!K16-(1.5-0.03)</f>
        <v>421.00599999999997</v>
      </c>
      <c r="L16" s="15">
        <v>420.89250000000004</v>
      </c>
      <c r="M16" s="15">
        <v>421.04349999999999</v>
      </c>
      <c r="P16" s="13">
        <f t="shared" si="3"/>
        <v>841.98100001065222</v>
      </c>
      <c r="Q16" s="2"/>
      <c r="S16" s="13">
        <f t="shared" si="1"/>
        <v>6</v>
      </c>
      <c r="T16" s="13">
        <f t="shared" si="0"/>
        <v>112.5</v>
      </c>
      <c r="U16" s="133">
        <f t="shared" si="0"/>
        <v>12</v>
      </c>
      <c r="V16" s="14">
        <f ca="1">K16-'246+avg2.03'!V16</f>
        <v>1.3179999988028612</v>
      </c>
      <c r="W16" s="14">
        <f>K16-'246+avg2.03'!W16</f>
        <v>1.3179999988028612</v>
      </c>
    </row>
    <row r="17" spans="8:23">
      <c r="H17" s="13">
        <v>7</v>
      </c>
      <c r="I17" s="13">
        <f t="shared" si="4"/>
        <v>135</v>
      </c>
      <c r="J17" s="133">
        <v>11</v>
      </c>
      <c r="K17" s="111">
        <f>'201'!K17-(1.5-0.03)</f>
        <v>421.03499999999997</v>
      </c>
      <c r="L17" s="15">
        <v>420.89250000000004</v>
      </c>
      <c r="M17" s="15">
        <v>421.04349999999999</v>
      </c>
      <c r="P17" s="13">
        <f t="shared" si="3"/>
        <v>841.92300000473529</v>
      </c>
      <c r="Q17" s="2"/>
      <c r="S17" s="13">
        <f t="shared" si="1"/>
        <v>7</v>
      </c>
      <c r="T17" s="13">
        <f t="shared" si="0"/>
        <v>135</v>
      </c>
      <c r="U17" s="133">
        <f t="shared" si="0"/>
        <v>11</v>
      </c>
      <c r="V17" s="14">
        <f ca="1">K17-'246+avg2.03'!V17</f>
        <v>1.3629999988028203</v>
      </c>
      <c r="W17" s="14">
        <f>K17-'246+avg2.03'!W17</f>
        <v>1.3629999988028203</v>
      </c>
    </row>
    <row r="18" spans="8:23">
      <c r="H18" s="13">
        <v>8</v>
      </c>
      <c r="I18" s="13">
        <f t="shared" si="4"/>
        <v>157.5</v>
      </c>
      <c r="J18" s="133">
        <v>10</v>
      </c>
      <c r="K18" s="111">
        <f>'201'!K18-(1.5-0.03)</f>
        <v>421.04300001065053</v>
      </c>
      <c r="L18" s="15">
        <v>420.89250000000004</v>
      </c>
      <c r="M18" s="15">
        <v>421.04349999999999</v>
      </c>
      <c r="P18" s="13">
        <f t="shared" si="3"/>
        <v>841.98100001065052</v>
      </c>
      <c r="Q18" s="2"/>
      <c r="S18" s="13">
        <f t="shared" si="1"/>
        <v>8</v>
      </c>
      <c r="T18" s="13">
        <f t="shared" si="0"/>
        <v>157.5</v>
      </c>
      <c r="U18" s="133">
        <f t="shared" si="0"/>
        <v>10</v>
      </c>
      <c r="V18" s="14">
        <f ca="1">K18-'246+avg2.03'!V18</f>
        <v>1.3640000106505568</v>
      </c>
      <c r="W18" s="14">
        <f>K18-'246+avg2.03'!W18</f>
        <v>1.3640000106505568</v>
      </c>
    </row>
    <row r="19" spans="8:23">
      <c r="H19" s="13">
        <v>9</v>
      </c>
      <c r="I19" s="13">
        <f t="shared" si="4"/>
        <v>180</v>
      </c>
      <c r="J19" s="133">
        <v>9</v>
      </c>
      <c r="K19" s="111">
        <f>'201'!K19-(1.5-0.03)</f>
        <v>420.96699999999998</v>
      </c>
      <c r="L19" s="15">
        <v>420.89250000000004</v>
      </c>
      <c r="M19" s="15">
        <v>421.04349999999999</v>
      </c>
      <c r="P19" s="13"/>
      <c r="Q19" s="2"/>
      <c r="S19" s="13">
        <f t="shared" si="1"/>
        <v>9</v>
      </c>
      <c r="T19" s="13">
        <f t="shared" si="0"/>
        <v>180</v>
      </c>
      <c r="U19" s="133">
        <f t="shared" si="0"/>
        <v>9</v>
      </c>
      <c r="V19" s="14">
        <f ca="1">K19-'246+avg2.03'!V19</f>
        <v>1.3309999988027243</v>
      </c>
      <c r="W19" s="14">
        <f>K19-'246+avg2.03'!W19</f>
        <v>1.3309999988027243</v>
      </c>
    </row>
    <row r="20" spans="8:23">
      <c r="H20" s="13">
        <v>10</v>
      </c>
      <c r="I20" s="13">
        <f t="shared" si="4"/>
        <v>202.5</v>
      </c>
      <c r="J20" s="133">
        <v>8</v>
      </c>
      <c r="K20" s="111">
        <f>'201'!K20-(1.5-0.03)</f>
        <v>420.92200001893974</v>
      </c>
      <c r="L20" s="15">
        <v>420.89250000000004</v>
      </c>
      <c r="M20" s="15">
        <v>421.04349999999999</v>
      </c>
      <c r="P20" s="13">
        <f>MAX(P11:P18)</f>
        <v>842.07300000591681</v>
      </c>
      <c r="Q20" s="13" t="str">
        <f>IF(P20&gt;M6, CONCATENATE("O/Max ", TEXT(P20-M6, "0.000")), "-")</f>
        <v>-</v>
      </c>
      <c r="S20" s="13">
        <f t="shared" si="1"/>
        <v>10</v>
      </c>
      <c r="T20" s="13">
        <f t="shared" si="0"/>
        <v>202.5</v>
      </c>
      <c r="U20" s="133">
        <f t="shared" si="0"/>
        <v>8</v>
      </c>
      <c r="V20" s="14">
        <f ca="1">K20-'246+avg2.03'!V20</f>
        <v>1.320999816578933</v>
      </c>
      <c r="W20" s="14">
        <f>K20-'246+avg2.03'!W20</f>
        <v>1.320999816578933</v>
      </c>
    </row>
    <row r="21" spans="8:23">
      <c r="H21" s="13">
        <v>11</v>
      </c>
      <c r="I21" s="13">
        <f t="shared" si="4"/>
        <v>225</v>
      </c>
      <c r="J21" s="133">
        <v>7</v>
      </c>
      <c r="K21" s="111">
        <f>'201'!K21-(1.5-0.03)</f>
        <v>421.01100000118345</v>
      </c>
      <c r="L21" s="15">
        <v>420.89250000000004</v>
      </c>
      <c r="M21" s="15">
        <v>421.04349999999999</v>
      </c>
      <c r="P21" s="13">
        <f>MIN(P11:P18)</f>
        <v>841.92300000473529</v>
      </c>
      <c r="Q21" s="13" t="str">
        <f>IF(P21&lt;M7, CONCATENATE("U/Min ", TEXT(M7-P21, "0.000")), "-")</f>
        <v>-</v>
      </c>
      <c r="S21" s="13">
        <f t="shared" si="1"/>
        <v>11</v>
      </c>
      <c r="T21" s="13">
        <f t="shared" si="0"/>
        <v>225</v>
      </c>
      <c r="U21" s="133">
        <f t="shared" si="0"/>
        <v>7</v>
      </c>
      <c r="V21" s="14">
        <f ca="1">K21-'246+avg2.03'!V21</f>
        <v>1.3569999999861579</v>
      </c>
      <c r="W21" s="14">
        <f>K21-'246+avg2.03'!W21</f>
        <v>1.3569999999861579</v>
      </c>
    </row>
    <row r="22" spans="8:23">
      <c r="H22" s="13">
        <v>12</v>
      </c>
      <c r="I22" s="13">
        <f t="shared" si="4"/>
        <v>247.5</v>
      </c>
      <c r="J22" s="133">
        <v>6</v>
      </c>
      <c r="K22" s="111">
        <f>'201'!K22-(1.5-0.03)</f>
        <v>421.09900000118324</v>
      </c>
      <c r="L22" s="15">
        <v>420.89250000000004</v>
      </c>
      <c r="M22" s="15">
        <v>421.04349999999999</v>
      </c>
      <c r="S22" s="13">
        <f t="shared" si="1"/>
        <v>12</v>
      </c>
      <c r="T22" s="13">
        <f t="shared" si="0"/>
        <v>247.5</v>
      </c>
      <c r="U22" s="133">
        <f t="shared" si="0"/>
        <v>6</v>
      </c>
      <c r="V22" s="14">
        <f ca="1">K22-'246+avg2.03'!V22</f>
        <v>1.3609999963952077</v>
      </c>
      <c r="W22" s="14">
        <f>K22-'246+avg2.03'!W22</f>
        <v>1.3609999963952077</v>
      </c>
    </row>
    <row r="23" spans="8:23">
      <c r="H23" s="13">
        <v>13</v>
      </c>
      <c r="I23" s="13">
        <f t="shared" si="4"/>
        <v>270</v>
      </c>
      <c r="J23" s="133">
        <v>5</v>
      </c>
      <c r="K23" s="111">
        <f>'201'!K23-(1.5-0.03)</f>
        <v>421.09000000118323</v>
      </c>
      <c r="L23" s="15">
        <v>420.89250000000004</v>
      </c>
      <c r="M23" s="15">
        <v>421.04349999999999</v>
      </c>
      <c r="S23" s="13">
        <f t="shared" si="1"/>
        <v>13</v>
      </c>
      <c r="T23" s="13">
        <f t="shared" si="0"/>
        <v>270</v>
      </c>
      <c r="U23" s="133">
        <f t="shared" si="0"/>
        <v>5</v>
      </c>
      <c r="V23" s="14">
        <f ca="1">K23-'246+avg2.03'!V23</f>
        <v>1.3499999999862666</v>
      </c>
      <c r="W23" s="14">
        <f>K23-'246+avg2.03'!W23</f>
        <v>1.3499999999862666</v>
      </c>
    </row>
    <row r="24" spans="8:23">
      <c r="H24" s="13">
        <v>14</v>
      </c>
      <c r="I24" s="13">
        <f t="shared" si="4"/>
        <v>292.5</v>
      </c>
      <c r="J24" s="133">
        <v>4</v>
      </c>
      <c r="K24" s="111">
        <f>'201'!K24-(1.5-0.03)</f>
        <v>420.97500001065225</v>
      </c>
      <c r="L24" s="15">
        <v>420.89250000000004</v>
      </c>
      <c r="M24" s="15">
        <v>421.04349999999999</v>
      </c>
      <c r="S24" s="13">
        <f t="shared" si="1"/>
        <v>14</v>
      </c>
      <c r="T24" s="13">
        <f t="shared" si="0"/>
        <v>292.5</v>
      </c>
      <c r="U24" s="133">
        <f t="shared" si="0"/>
        <v>4</v>
      </c>
      <c r="V24" s="14">
        <f ca="1">K24-'246+avg2.03'!V24</f>
        <v>1.291000010652283</v>
      </c>
      <c r="W24" s="14">
        <f>K24-'246+avg2.03'!W24</f>
        <v>1.291000010652283</v>
      </c>
    </row>
    <row r="25" spans="8:23">
      <c r="H25" s="13">
        <v>15</v>
      </c>
      <c r="I25" s="13">
        <f t="shared" si="4"/>
        <v>315</v>
      </c>
      <c r="J25" s="133">
        <v>3</v>
      </c>
      <c r="K25" s="111">
        <f>'201'!K25-(1.5-0.03)</f>
        <v>420.88800000473526</v>
      </c>
      <c r="L25" s="15">
        <v>420.89250000000004</v>
      </c>
      <c r="M25" s="15">
        <v>421.04349999999999</v>
      </c>
      <c r="S25" s="13">
        <f t="shared" si="1"/>
        <v>15</v>
      </c>
      <c r="T25" s="13">
        <f t="shared" si="0"/>
        <v>315</v>
      </c>
      <c r="U25" s="133">
        <f t="shared" si="0"/>
        <v>3</v>
      </c>
      <c r="V25" s="14">
        <f ca="1">K25-'246+avg2.03'!V25</f>
        <v>1.2980000035378225</v>
      </c>
      <c r="W25" s="14">
        <f>K25-'246+avg2.03'!W25</f>
        <v>1.2980000035378225</v>
      </c>
    </row>
    <row r="26" spans="8:23">
      <c r="H26" s="13">
        <v>16</v>
      </c>
      <c r="I26" s="13">
        <f t="shared" si="4"/>
        <v>337.5</v>
      </c>
      <c r="J26" s="133">
        <v>2</v>
      </c>
      <c r="K26" s="111">
        <f>'201'!K26-(1.5-0.03)</f>
        <v>420.93799999999999</v>
      </c>
      <c r="L26" s="15">
        <v>420.89250000000004</v>
      </c>
      <c r="M26" s="15">
        <v>421.04349999999999</v>
      </c>
      <c r="S26" s="13">
        <f t="shared" si="1"/>
        <v>16</v>
      </c>
      <c r="T26" s="13">
        <f t="shared" si="0"/>
        <v>337.5</v>
      </c>
      <c r="U26" s="133">
        <f t="shared" si="0"/>
        <v>2</v>
      </c>
      <c r="V26" s="14">
        <f ca="1">K26-'246+avg2.03'!V26</f>
        <v>1.3479999892231262</v>
      </c>
      <c r="W26" s="14">
        <f>K26-'246+avg2.03'!W26</f>
        <v>1.3479999892231262</v>
      </c>
    </row>
    <row r="27" spans="8:23">
      <c r="H27" s="13">
        <v>17</v>
      </c>
      <c r="I27" s="13">
        <v>360</v>
      </c>
      <c r="J27" s="133">
        <v>1</v>
      </c>
      <c r="K27" s="15">
        <f>K11</f>
        <v>421.05099999999999</v>
      </c>
      <c r="S27" s="13"/>
      <c r="T27" s="13"/>
      <c r="U27" s="133"/>
    </row>
    <row r="28" spans="8:23">
      <c r="J28" s="133" t="s">
        <v>321</v>
      </c>
      <c r="K28" s="5">
        <f>MAX(K11:K26)</f>
        <v>421.12000000118314</v>
      </c>
      <c r="L28" s="15" t="s">
        <v>322</v>
      </c>
      <c r="M28" s="15">
        <f>IF(K28&gt;M26, K28-M26, "-")</f>
        <v>7.6500001183148925E-2</v>
      </c>
    </row>
    <row r="29" spans="8:23">
      <c r="J29" s="133" t="s">
        <v>323</v>
      </c>
      <c r="K29" s="15">
        <f>MIN(K11:K26)</f>
        <v>420.88800000473526</v>
      </c>
      <c r="L29" s="15" t="s">
        <v>324</v>
      </c>
      <c r="M29" s="15">
        <f>IF(K29&lt;L26, K29-L26, "-")</f>
        <v>-4.4999952647799546E-3</v>
      </c>
    </row>
    <row r="30" spans="8:23">
      <c r="J30" s="17" t="s">
        <v>325</v>
      </c>
      <c r="K30" s="16">
        <f>AVERAGE(K11:K26)*2</f>
        <v>842.01350000680554</v>
      </c>
      <c r="L30" s="15"/>
      <c r="M30" s="15" t="str">
        <f>IF(K30&gt;M6, "O/Max "&amp;TEXT(K30-M6, "0.000"), IF(K30&lt;M7, "U/Min "&amp;TEXT(M7-K30, "0.000"), "-"))</f>
        <v>-</v>
      </c>
    </row>
    <row r="31" spans="8:23">
      <c r="J31" s="133" t="s">
        <v>326</v>
      </c>
      <c r="K31" s="18">
        <f>K28-K29</f>
        <v>0.23199999644788249</v>
      </c>
      <c r="L31" s="15"/>
      <c r="M31" s="15"/>
      <c r="N31" s="5" t="s">
        <v>327</v>
      </c>
    </row>
    <row r="32" spans="8:23">
      <c r="S32" s="19" t="s">
        <v>347</v>
      </c>
    </row>
    <row r="33" spans="10:44">
      <c r="J33" s="5" t="s">
        <v>348</v>
      </c>
      <c r="M33" s="5" t="s">
        <v>328</v>
      </c>
      <c r="N33" s="5">
        <f>360/24</f>
        <v>15</v>
      </c>
      <c r="O33" s="134" t="s">
        <v>329</v>
      </c>
      <c r="P33" s="5" t="s">
        <v>330</v>
      </c>
      <c r="Q33" s="5">
        <f>'246+avg2.03'!$Q$33</f>
        <v>-6.36</v>
      </c>
      <c r="R33" s="134" t="s">
        <v>329</v>
      </c>
      <c r="S33" s="5">
        <v>1</v>
      </c>
      <c r="T33" s="5">
        <v>2</v>
      </c>
      <c r="U33" s="5">
        <v>3</v>
      </c>
      <c r="V33" s="5">
        <v>4</v>
      </c>
      <c r="W33" s="5">
        <v>5</v>
      </c>
      <c r="X33" s="5">
        <v>6</v>
      </c>
      <c r="Y33" s="5">
        <v>7</v>
      </c>
      <c r="Z33" s="5">
        <v>8</v>
      </c>
      <c r="AA33" s="5">
        <v>9</v>
      </c>
      <c r="AB33" s="5">
        <v>10</v>
      </c>
      <c r="AC33" s="5">
        <v>11</v>
      </c>
      <c r="AD33" s="5">
        <v>12</v>
      </c>
      <c r="AE33" s="5">
        <v>13</v>
      </c>
      <c r="AF33" s="5">
        <v>14</v>
      </c>
      <c r="AG33" s="5">
        <v>15</v>
      </c>
      <c r="AH33" s="5">
        <v>16</v>
      </c>
      <c r="AI33" s="5">
        <v>17</v>
      </c>
      <c r="AJ33" s="5">
        <v>18</v>
      </c>
      <c r="AK33" s="5">
        <v>19</v>
      </c>
      <c r="AL33" s="5">
        <v>20</v>
      </c>
      <c r="AM33" s="5">
        <v>21</v>
      </c>
      <c r="AN33" s="5">
        <v>22</v>
      </c>
      <c r="AO33" s="5">
        <v>23</v>
      </c>
      <c r="AP33" s="5">
        <v>24</v>
      </c>
      <c r="AQ33" s="5"/>
      <c r="AR33" s="5"/>
    </row>
    <row r="34" spans="10:44">
      <c r="K34" s="134" t="s">
        <v>331</v>
      </c>
      <c r="M34" s="134" t="s">
        <v>332</v>
      </c>
      <c r="N34" s="134" t="s">
        <v>333</v>
      </c>
      <c r="O34" s="134" t="s">
        <v>334</v>
      </c>
      <c r="P34" s="134" t="s">
        <v>335</v>
      </c>
      <c r="Q34" s="134" t="s">
        <v>336</v>
      </c>
      <c r="R34" s="5"/>
      <c r="S34" s="20" t="str">
        <f ca="1">CONCATENATE($S$32, "#", OFFSET($J$35, S33, 0))</f>
        <v>Stg.4 Shroud Aft#1</v>
      </c>
      <c r="T34" s="20" t="str">
        <f t="shared" ref="T34:AP34" ca="1" si="5">CONCATENATE($S$32, "#", OFFSET($J$35, T33, 0))</f>
        <v>Stg.4 Shroud Aft#24</v>
      </c>
      <c r="U34" s="20" t="str">
        <f t="shared" ca="1" si="5"/>
        <v>Stg.4 Shroud Aft#23</v>
      </c>
      <c r="V34" s="20" t="str">
        <f t="shared" ca="1" si="5"/>
        <v>Stg.4 Shroud Aft#22</v>
      </c>
      <c r="W34" s="20" t="str">
        <f t="shared" ca="1" si="5"/>
        <v>Stg.4 Shroud Aft#21</v>
      </c>
      <c r="X34" s="20" t="str">
        <f t="shared" ca="1" si="5"/>
        <v>Stg.4 Shroud Aft#20</v>
      </c>
      <c r="Y34" s="20" t="str">
        <f t="shared" ca="1" si="5"/>
        <v>Stg.4 Shroud Aft#19</v>
      </c>
      <c r="Z34" s="20" t="str">
        <f t="shared" ca="1" si="5"/>
        <v>Stg.4 Shroud Aft#18</v>
      </c>
      <c r="AA34" s="20" t="str">
        <f t="shared" ca="1" si="5"/>
        <v>Stg.4 Shroud Aft#17</v>
      </c>
      <c r="AB34" s="20" t="str">
        <f t="shared" ca="1" si="5"/>
        <v>Stg.4 Shroud Aft#16</v>
      </c>
      <c r="AC34" s="20" t="str">
        <f t="shared" ca="1" si="5"/>
        <v>Stg.4 Shroud Aft#15</v>
      </c>
      <c r="AD34" s="20" t="str">
        <f t="shared" ca="1" si="5"/>
        <v>Stg.4 Shroud Aft#14</v>
      </c>
      <c r="AE34" s="20" t="str">
        <f t="shared" ca="1" si="5"/>
        <v>Stg.4 Shroud Aft#13</v>
      </c>
      <c r="AF34" s="20" t="str">
        <f t="shared" ca="1" si="5"/>
        <v>Stg.4 Shroud Aft#12</v>
      </c>
      <c r="AG34" s="20" t="str">
        <f t="shared" ca="1" si="5"/>
        <v>Stg.4 Shroud Aft#11</v>
      </c>
      <c r="AH34" s="20" t="str">
        <f t="shared" ca="1" si="5"/>
        <v>Stg.4 Shroud Aft#10</v>
      </c>
      <c r="AI34" s="20" t="str">
        <f t="shared" ca="1" si="5"/>
        <v>Stg.4 Shroud Aft#9</v>
      </c>
      <c r="AJ34" s="20" t="str">
        <f t="shared" ca="1" si="5"/>
        <v>Stg.4 Shroud Aft#8</v>
      </c>
      <c r="AK34" s="20" t="str">
        <f t="shared" ca="1" si="5"/>
        <v>Stg.4 Shroud Aft#7</v>
      </c>
      <c r="AL34" s="20" t="str">
        <f t="shared" ca="1" si="5"/>
        <v>Stg.4 Shroud Aft#6</v>
      </c>
      <c r="AM34" s="20" t="str">
        <f t="shared" ca="1" si="5"/>
        <v>Stg.4 Shroud Aft#5</v>
      </c>
      <c r="AN34" s="20" t="str">
        <f t="shared" ca="1" si="5"/>
        <v>Stg.4 Shroud Aft#4</v>
      </c>
      <c r="AO34" s="20" t="str">
        <f t="shared" ca="1" si="5"/>
        <v>Stg.4 Shroud Aft#3</v>
      </c>
      <c r="AP34" s="20" t="str">
        <f t="shared" ca="1" si="5"/>
        <v>Stg.4 Shroud Aft#2</v>
      </c>
      <c r="AQ34" s="20" t="s">
        <v>337</v>
      </c>
      <c r="AR34" s="20" t="s">
        <v>338</v>
      </c>
    </row>
    <row r="35" spans="10:44">
      <c r="J35" s="134" t="s">
        <v>339</v>
      </c>
      <c r="K35" s="134" t="s">
        <v>319</v>
      </c>
      <c r="L35" s="134" t="s">
        <v>340</v>
      </c>
      <c r="M35" s="134" t="s">
        <v>320</v>
      </c>
      <c r="N35" s="134" t="s">
        <v>341</v>
      </c>
      <c r="O35" s="134" t="s">
        <v>319</v>
      </c>
      <c r="P35" s="134" t="s">
        <v>320</v>
      </c>
      <c r="Q35" s="134" t="s">
        <v>320</v>
      </c>
      <c r="R35" s="5"/>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2" t="s">
        <v>320</v>
      </c>
      <c r="AR35" s="22" t="s">
        <v>320</v>
      </c>
    </row>
    <row r="36" spans="10:44">
      <c r="J36" s="5">
        <v>1</v>
      </c>
      <c r="K36" s="23">
        <f>IF(Q33&lt;0, 360+$Q$33, $Q$33)</f>
        <v>353.64</v>
      </c>
      <c r="L36" s="24">
        <f>MATCH($K36, $I$11:$I$27, 1)</f>
        <v>16</v>
      </c>
      <c r="M36" s="5">
        <f>VLOOKUP(L36, $H$11:$K$27, 4, FALSE)</f>
        <v>420.93799999999999</v>
      </c>
      <c r="N36" s="25">
        <f>(VLOOKUP(L36+1, $H$11:$K$27, 4, FALSE) - VLOOKUP(L36, $H$11:$K$27, 4, FALSE))/(VLOOKUP(L36+1, $H$11:$K$27, 2, FALSE) - VLOOKUP(L36, $H$11:$K$27, 2, FALSE))</f>
        <v>5.0222222222222022E-3</v>
      </c>
      <c r="O36" s="26">
        <f>K36-VLOOKUP(L36, $H$11:$I$27, 2, FALSE)</f>
        <v>16.139999999999986</v>
      </c>
      <c r="P36" s="27">
        <f>M36+N36*O36</f>
        <v>421.01905866666664</v>
      </c>
      <c r="Q36" s="27">
        <f>(P36+P59)/2</f>
        <v>420.98139199999997</v>
      </c>
      <c r="R36" s="5"/>
      <c r="S36" s="28">
        <f>Q36</f>
        <v>420.98139199999997</v>
      </c>
      <c r="T36" s="29"/>
      <c r="U36" s="29"/>
      <c r="V36" s="29"/>
      <c r="W36" s="29"/>
      <c r="X36" s="29"/>
      <c r="Y36" s="29"/>
      <c r="Z36" s="29"/>
      <c r="AA36" s="29"/>
      <c r="AB36" s="29"/>
      <c r="AC36" s="29"/>
      <c r="AD36" s="29"/>
      <c r="AE36" s="29"/>
      <c r="AF36" s="29"/>
      <c r="AG36" s="29"/>
      <c r="AH36" s="29"/>
      <c r="AI36" s="29"/>
      <c r="AJ36" s="28"/>
      <c r="AK36" s="28"/>
      <c r="AL36" s="28"/>
      <c r="AM36" s="28"/>
      <c r="AN36" s="28"/>
      <c r="AO36" s="28"/>
      <c r="AP36" s="28">
        <f>AP59</f>
        <v>420.92815866987053</v>
      </c>
      <c r="AQ36" s="29">
        <f>L11</f>
        <v>420.89250000000004</v>
      </c>
      <c r="AR36" s="29">
        <f>M11</f>
        <v>421.04349999999999</v>
      </c>
    </row>
    <row r="37" spans="10:44">
      <c r="J37" s="5">
        <v>24</v>
      </c>
      <c r="K37" s="23">
        <f>IF(K36+$N$33&gt;360, K36+$N$33-360, K36+$N$33)</f>
        <v>8.6399999999999864</v>
      </c>
      <c r="L37" s="24">
        <f t="shared" ref="L37:L59" si="6">MATCH($K37, $I$11:$I$27, 1)</f>
        <v>1</v>
      </c>
      <c r="M37" s="5">
        <f t="shared" ref="M37:M58" si="7">VLOOKUP(L37, $H$11:$K$27, 4, FALSE)</f>
        <v>421.05099999999999</v>
      </c>
      <c r="N37" s="25">
        <f t="shared" ref="N37:N59" si="8">(VLOOKUP(L37+1, $H$11:$K$27, 4, FALSE) - VLOOKUP(L37, $H$11:$K$27, 4, FALSE))/(VLOOKUP(L37+1, $H$11:$K$27, 2, FALSE) - VLOOKUP(L37, $H$11:$K$27, 2, FALSE))</f>
        <v>3.0666667192513664E-3</v>
      </c>
      <c r="O37" s="26">
        <f t="shared" ref="O37:O59" si="9">K37-VLOOKUP(L37, $H$11:$I$27, 2, FALSE)</f>
        <v>8.6399999999999864</v>
      </c>
      <c r="P37" s="27">
        <f t="shared" ref="P37:P59" si="10">M37+N37*O37</f>
        <v>421.07749600045435</v>
      </c>
      <c r="Q37" s="27">
        <f>(P36+P37)/2</f>
        <v>421.04827733356046</v>
      </c>
      <c r="R37" s="5"/>
      <c r="S37" s="30">
        <f>S36</f>
        <v>420.98139199999997</v>
      </c>
      <c r="T37" s="30">
        <f>Q37</f>
        <v>421.04827733356046</v>
      </c>
      <c r="U37" s="21"/>
      <c r="V37" s="21"/>
      <c r="W37" s="21"/>
      <c r="X37" s="21"/>
      <c r="Y37" s="21"/>
      <c r="Z37" s="21"/>
      <c r="AA37" s="21"/>
      <c r="AB37" s="21"/>
      <c r="AC37" s="21"/>
      <c r="AD37" s="21"/>
      <c r="AE37" s="21"/>
      <c r="AF37" s="21"/>
      <c r="AG37" s="21"/>
      <c r="AH37" s="21"/>
      <c r="AI37" s="21"/>
      <c r="AJ37" s="21"/>
      <c r="AK37" s="21"/>
      <c r="AL37" s="21"/>
      <c r="AM37" s="21"/>
      <c r="AN37" s="21"/>
      <c r="AO37" s="21"/>
      <c r="AP37" s="21"/>
      <c r="AQ37" s="21">
        <f>AQ36</f>
        <v>420.89250000000004</v>
      </c>
      <c r="AR37" s="21">
        <f>AR36</f>
        <v>421.04349999999999</v>
      </c>
    </row>
    <row r="38" spans="10:44">
      <c r="J38" s="5">
        <v>23</v>
      </c>
      <c r="K38" s="23">
        <f t="shared" ref="K38:K59" si="11">IF(K37+$N$33&gt;360, K37+$N$33-360, K37+$N$33)</f>
        <v>23.639999999999986</v>
      </c>
      <c r="L38" s="24">
        <f t="shared" si="6"/>
        <v>2</v>
      </c>
      <c r="M38" s="5">
        <f t="shared" si="7"/>
        <v>421.12000000118314</v>
      </c>
      <c r="N38" s="25">
        <f t="shared" si="8"/>
        <v>-2.5777776199927553E-3</v>
      </c>
      <c r="O38" s="26">
        <f t="shared" si="9"/>
        <v>1.1399999999999864</v>
      </c>
      <c r="P38" s="27">
        <f t="shared" si="10"/>
        <v>421.11706133469636</v>
      </c>
      <c r="Q38" s="27">
        <f t="shared" ref="Q38:Q58" si="12">(P37+P38)/2</f>
        <v>421.09727866757532</v>
      </c>
      <c r="R38" s="5"/>
      <c r="S38" s="21"/>
      <c r="T38" s="30">
        <f>T37</f>
        <v>421.04827733356046</v>
      </c>
      <c r="U38" s="30">
        <f>Q38</f>
        <v>421.09727866757532</v>
      </c>
      <c r="V38" s="21"/>
      <c r="W38" s="21"/>
      <c r="X38" s="21"/>
      <c r="Y38" s="21"/>
      <c r="Z38" s="21"/>
      <c r="AA38" s="21"/>
      <c r="AB38" s="21"/>
      <c r="AC38" s="21"/>
      <c r="AD38" s="21"/>
      <c r="AE38" s="21"/>
      <c r="AF38" s="21"/>
      <c r="AG38" s="21"/>
      <c r="AH38" s="21"/>
      <c r="AI38" s="21"/>
      <c r="AJ38" s="21"/>
      <c r="AK38" s="21"/>
      <c r="AL38" s="21"/>
      <c r="AM38" s="21"/>
      <c r="AN38" s="21"/>
      <c r="AO38" s="21"/>
      <c r="AP38" s="21"/>
      <c r="AQ38" s="21">
        <f t="shared" ref="AQ38:AR53" si="13">AQ37</f>
        <v>420.89250000000004</v>
      </c>
      <c r="AR38" s="21">
        <f t="shared" si="13"/>
        <v>421.04349999999999</v>
      </c>
    </row>
    <row r="39" spans="10:44">
      <c r="J39" s="5">
        <v>22</v>
      </c>
      <c r="K39" s="23">
        <f t="shared" si="11"/>
        <v>38.639999999999986</v>
      </c>
      <c r="L39" s="24">
        <f t="shared" si="6"/>
        <v>2</v>
      </c>
      <c r="M39" s="5">
        <f t="shared" si="7"/>
        <v>421.12000000118314</v>
      </c>
      <c r="N39" s="25">
        <f t="shared" si="8"/>
        <v>-2.5777776199927553E-3</v>
      </c>
      <c r="O39" s="26">
        <f t="shared" si="9"/>
        <v>16.139999999999986</v>
      </c>
      <c r="P39" s="27">
        <f t="shared" si="10"/>
        <v>421.07839467039645</v>
      </c>
      <c r="Q39" s="27">
        <f t="shared" si="12"/>
        <v>421.09772800254643</v>
      </c>
      <c r="R39" s="5"/>
      <c r="S39" s="21"/>
      <c r="T39" s="21"/>
      <c r="U39" s="30">
        <f>U38</f>
        <v>421.09727866757532</v>
      </c>
      <c r="V39" s="30">
        <f>Q39</f>
        <v>421.09772800254643</v>
      </c>
      <c r="W39" s="21"/>
      <c r="X39" s="21"/>
      <c r="Y39" s="21"/>
      <c r="Z39" s="21"/>
      <c r="AA39" s="21"/>
      <c r="AB39" s="21"/>
      <c r="AC39" s="21"/>
      <c r="AD39" s="21"/>
      <c r="AE39" s="21"/>
      <c r="AF39" s="21"/>
      <c r="AG39" s="21"/>
      <c r="AH39" s="21"/>
      <c r="AI39" s="21"/>
      <c r="AJ39" s="21"/>
      <c r="AK39" s="21"/>
      <c r="AL39" s="21"/>
      <c r="AM39" s="21"/>
      <c r="AN39" s="21"/>
      <c r="AO39" s="21"/>
      <c r="AP39" s="21"/>
      <c r="AQ39" s="21">
        <f t="shared" si="13"/>
        <v>420.89250000000004</v>
      </c>
      <c r="AR39" s="21">
        <f t="shared" si="13"/>
        <v>421.04349999999999</v>
      </c>
    </row>
    <row r="40" spans="10:44">
      <c r="J40" s="5">
        <v>21</v>
      </c>
      <c r="K40" s="23">
        <f t="shared" si="11"/>
        <v>53.639999999999986</v>
      </c>
      <c r="L40" s="24">
        <f t="shared" si="6"/>
        <v>3</v>
      </c>
      <c r="M40" s="5">
        <f t="shared" si="7"/>
        <v>421.06200000473331</v>
      </c>
      <c r="N40" s="25">
        <f t="shared" si="8"/>
        <v>-5.0222224325933793E-3</v>
      </c>
      <c r="O40" s="26">
        <f t="shared" si="9"/>
        <v>8.6399999999999864</v>
      </c>
      <c r="P40" s="27">
        <f t="shared" si="10"/>
        <v>421.0186080029157</v>
      </c>
      <c r="Q40" s="27">
        <f t="shared" si="12"/>
        <v>421.04850133665605</v>
      </c>
      <c r="R40" s="5"/>
      <c r="S40" s="21"/>
      <c r="T40" s="21"/>
      <c r="U40" s="21"/>
      <c r="V40" s="30">
        <f>V39</f>
        <v>421.09772800254643</v>
      </c>
      <c r="W40" s="30">
        <f>Q40</f>
        <v>421.04850133665605</v>
      </c>
      <c r="X40" s="21"/>
      <c r="Y40" s="21"/>
      <c r="Z40" s="21"/>
      <c r="AA40" s="21"/>
      <c r="AB40" s="21"/>
      <c r="AC40" s="21"/>
      <c r="AD40" s="21"/>
      <c r="AE40" s="21"/>
      <c r="AF40" s="21"/>
      <c r="AG40" s="21"/>
      <c r="AH40" s="21"/>
      <c r="AI40" s="21"/>
      <c r="AJ40" s="21"/>
      <c r="AK40" s="21"/>
      <c r="AL40" s="21"/>
      <c r="AM40" s="21"/>
      <c r="AN40" s="21"/>
      <c r="AO40" s="21"/>
      <c r="AP40" s="21"/>
      <c r="AQ40" s="21">
        <f t="shared" si="13"/>
        <v>420.89250000000004</v>
      </c>
      <c r="AR40" s="21">
        <f t="shared" si="13"/>
        <v>421.04349999999999</v>
      </c>
    </row>
    <row r="41" spans="10:44">
      <c r="J41" s="5">
        <v>20</v>
      </c>
      <c r="K41" s="23">
        <f t="shared" si="11"/>
        <v>68.639999999999986</v>
      </c>
      <c r="L41" s="24">
        <f t="shared" si="6"/>
        <v>4</v>
      </c>
      <c r="M41" s="5">
        <f t="shared" si="7"/>
        <v>420.94899999999996</v>
      </c>
      <c r="N41" s="25">
        <f t="shared" si="8"/>
        <v>1.3333333333523316E-4</v>
      </c>
      <c r="O41" s="26">
        <f t="shared" si="9"/>
        <v>1.1399999999999864</v>
      </c>
      <c r="P41" s="27">
        <f t="shared" si="10"/>
        <v>420.94915199999997</v>
      </c>
      <c r="Q41" s="27">
        <f t="shared" si="12"/>
        <v>420.98388000145781</v>
      </c>
      <c r="R41" s="5"/>
      <c r="S41" s="21"/>
      <c r="T41" s="21"/>
      <c r="U41" s="21"/>
      <c r="V41" s="21"/>
      <c r="W41" s="30">
        <f>W40</f>
        <v>421.04850133665605</v>
      </c>
      <c r="X41" s="30">
        <f>Q41</f>
        <v>420.98388000145781</v>
      </c>
      <c r="Y41" s="21"/>
      <c r="Z41" s="21"/>
      <c r="AA41" s="21"/>
      <c r="AB41" s="21"/>
      <c r="AC41" s="21"/>
      <c r="AD41" s="21"/>
      <c r="AE41" s="21"/>
      <c r="AF41" s="21"/>
      <c r="AG41" s="21"/>
      <c r="AH41" s="21"/>
      <c r="AI41" s="21"/>
      <c r="AJ41" s="21"/>
      <c r="AK41" s="21"/>
      <c r="AL41" s="21"/>
      <c r="AM41" s="21"/>
      <c r="AN41" s="21"/>
      <c r="AO41" s="21"/>
      <c r="AP41" s="21"/>
      <c r="AQ41" s="21">
        <f t="shared" si="13"/>
        <v>420.89250000000004</v>
      </c>
      <c r="AR41" s="21">
        <f t="shared" si="13"/>
        <v>421.04349999999999</v>
      </c>
    </row>
    <row r="42" spans="10:44">
      <c r="J42" s="5">
        <v>19</v>
      </c>
      <c r="K42" s="23">
        <f t="shared" si="11"/>
        <v>83.639999999999986</v>
      </c>
      <c r="L42" s="24">
        <f t="shared" si="6"/>
        <v>4</v>
      </c>
      <c r="M42" s="5">
        <f t="shared" si="7"/>
        <v>420.94899999999996</v>
      </c>
      <c r="N42" s="25">
        <f t="shared" si="8"/>
        <v>1.3333333333523316E-4</v>
      </c>
      <c r="O42" s="26">
        <f t="shared" si="9"/>
        <v>16.139999999999986</v>
      </c>
      <c r="P42" s="27">
        <f t="shared" si="10"/>
        <v>420.95115199999998</v>
      </c>
      <c r="Q42" s="27">
        <f t="shared" si="12"/>
        <v>420.950152</v>
      </c>
      <c r="R42" s="5"/>
      <c r="S42" s="21"/>
      <c r="T42" s="21"/>
      <c r="U42" s="21"/>
      <c r="V42" s="21"/>
      <c r="W42" s="21"/>
      <c r="X42" s="30">
        <f>X41</f>
        <v>420.98388000145781</v>
      </c>
      <c r="Y42" s="30">
        <f>Q42</f>
        <v>420.950152</v>
      </c>
      <c r="Z42" s="21"/>
      <c r="AA42" s="21"/>
      <c r="AB42" s="21"/>
      <c r="AC42" s="21"/>
      <c r="AD42" s="21"/>
      <c r="AE42" s="21"/>
      <c r="AF42" s="21"/>
      <c r="AG42" s="21"/>
      <c r="AH42" s="21"/>
      <c r="AI42" s="21"/>
      <c r="AJ42" s="21"/>
      <c r="AK42" s="21"/>
      <c r="AL42" s="21"/>
      <c r="AM42" s="21"/>
      <c r="AN42" s="21"/>
      <c r="AO42" s="21"/>
      <c r="AP42" s="21"/>
      <c r="AQ42" s="21">
        <f t="shared" si="13"/>
        <v>420.89250000000004</v>
      </c>
      <c r="AR42" s="21">
        <f t="shared" si="13"/>
        <v>421.04349999999999</v>
      </c>
    </row>
    <row r="43" spans="10:44">
      <c r="J43" s="5">
        <v>18</v>
      </c>
      <c r="K43" s="23">
        <f t="shared" si="11"/>
        <v>98.639999999999986</v>
      </c>
      <c r="L43" s="24">
        <f t="shared" si="6"/>
        <v>5</v>
      </c>
      <c r="M43" s="5">
        <f t="shared" si="7"/>
        <v>420.952</v>
      </c>
      <c r="N43" s="25">
        <f t="shared" si="8"/>
        <v>2.3999999999988276E-3</v>
      </c>
      <c r="O43" s="26">
        <f t="shared" si="9"/>
        <v>8.6399999999999864</v>
      </c>
      <c r="P43" s="27">
        <f t="shared" si="10"/>
        <v>420.972736</v>
      </c>
      <c r="Q43" s="27">
        <f t="shared" si="12"/>
        <v>420.96194400000002</v>
      </c>
      <c r="R43" s="5"/>
      <c r="S43" s="21"/>
      <c r="T43" s="21"/>
      <c r="U43" s="21"/>
      <c r="V43" s="21"/>
      <c r="W43" s="21"/>
      <c r="X43" s="21"/>
      <c r="Y43" s="30">
        <f>Y42</f>
        <v>420.950152</v>
      </c>
      <c r="Z43" s="30">
        <f>Q43</f>
        <v>420.96194400000002</v>
      </c>
      <c r="AA43" s="21"/>
      <c r="AB43" s="21"/>
      <c r="AC43" s="21"/>
      <c r="AD43" s="21"/>
      <c r="AE43" s="21"/>
      <c r="AF43" s="21"/>
      <c r="AG43" s="21"/>
      <c r="AH43" s="21"/>
      <c r="AI43" s="21"/>
      <c r="AJ43" s="21"/>
      <c r="AK43" s="21"/>
      <c r="AL43" s="21"/>
      <c r="AM43" s="21"/>
      <c r="AN43" s="21"/>
      <c r="AO43" s="21"/>
      <c r="AP43" s="21"/>
      <c r="AQ43" s="21">
        <f t="shared" si="13"/>
        <v>420.89250000000004</v>
      </c>
      <c r="AR43" s="21">
        <f t="shared" si="13"/>
        <v>421.04349999999999</v>
      </c>
    </row>
    <row r="44" spans="10:44">
      <c r="J44" s="5">
        <v>17</v>
      </c>
      <c r="K44" s="23">
        <f t="shared" si="11"/>
        <v>113.63999999999999</v>
      </c>
      <c r="L44" s="24">
        <f t="shared" si="6"/>
        <v>6</v>
      </c>
      <c r="M44" s="5">
        <f t="shared" si="7"/>
        <v>421.00599999999997</v>
      </c>
      <c r="N44" s="25">
        <f t="shared" si="8"/>
        <v>1.2888888888887271E-3</v>
      </c>
      <c r="O44" s="26">
        <f t="shared" si="9"/>
        <v>1.1399999999999864</v>
      </c>
      <c r="P44" s="27">
        <f t="shared" si="10"/>
        <v>421.00746933333329</v>
      </c>
      <c r="Q44" s="27">
        <f t="shared" si="12"/>
        <v>420.99010266666664</v>
      </c>
      <c r="R44" s="5"/>
      <c r="S44" s="21"/>
      <c r="T44" s="21"/>
      <c r="U44" s="21"/>
      <c r="V44" s="21"/>
      <c r="W44" s="21"/>
      <c r="X44" s="21"/>
      <c r="Y44" s="21"/>
      <c r="Z44" s="30">
        <f>Z43</f>
        <v>420.96194400000002</v>
      </c>
      <c r="AA44" s="30">
        <f>Q44</f>
        <v>420.99010266666664</v>
      </c>
      <c r="AB44" s="21"/>
      <c r="AC44" s="21"/>
      <c r="AD44" s="21"/>
      <c r="AE44" s="21"/>
      <c r="AF44" s="21"/>
      <c r="AG44" s="21"/>
      <c r="AH44" s="21"/>
      <c r="AI44" s="21"/>
      <c r="AJ44" s="21"/>
      <c r="AK44" s="21"/>
      <c r="AL44" s="21"/>
      <c r="AM44" s="21"/>
      <c r="AN44" s="21"/>
      <c r="AO44" s="21"/>
      <c r="AP44" s="21"/>
      <c r="AQ44" s="21">
        <f t="shared" si="13"/>
        <v>420.89250000000004</v>
      </c>
      <c r="AR44" s="21">
        <f t="shared" si="13"/>
        <v>421.04349999999999</v>
      </c>
    </row>
    <row r="45" spans="10:44">
      <c r="J45" s="5">
        <v>16</v>
      </c>
      <c r="K45" s="23">
        <f t="shared" si="11"/>
        <v>128.63999999999999</v>
      </c>
      <c r="L45" s="24">
        <f t="shared" si="6"/>
        <v>6</v>
      </c>
      <c r="M45" s="5">
        <f t="shared" si="7"/>
        <v>421.00599999999997</v>
      </c>
      <c r="N45" s="25">
        <f t="shared" si="8"/>
        <v>1.2888888888887271E-3</v>
      </c>
      <c r="O45" s="26">
        <f t="shared" si="9"/>
        <v>16.139999999999986</v>
      </c>
      <c r="P45" s="27">
        <f t="shared" si="10"/>
        <v>421.02680266666664</v>
      </c>
      <c r="Q45" s="27">
        <f t="shared" si="12"/>
        <v>421.01713599999994</v>
      </c>
      <c r="R45" s="5"/>
      <c r="S45" s="21"/>
      <c r="T45" s="21"/>
      <c r="U45" s="21"/>
      <c r="V45" s="21"/>
      <c r="W45" s="21"/>
      <c r="X45" s="21"/>
      <c r="Y45" s="21"/>
      <c r="Z45" s="21"/>
      <c r="AA45" s="30">
        <f>AA44</f>
        <v>420.99010266666664</v>
      </c>
      <c r="AB45" s="30">
        <f>Q45</f>
        <v>421.01713599999994</v>
      </c>
      <c r="AC45" s="21"/>
      <c r="AD45" s="21"/>
      <c r="AE45" s="21"/>
      <c r="AF45" s="21"/>
      <c r="AG45" s="21"/>
      <c r="AH45" s="21"/>
      <c r="AI45" s="21"/>
      <c r="AJ45" s="21"/>
      <c r="AK45" s="21"/>
      <c r="AL45" s="21"/>
      <c r="AM45" s="21"/>
      <c r="AN45" s="21"/>
      <c r="AO45" s="21"/>
      <c r="AP45" s="21"/>
      <c r="AQ45" s="21">
        <f t="shared" si="13"/>
        <v>420.89250000000004</v>
      </c>
      <c r="AR45" s="21">
        <f t="shared" si="13"/>
        <v>421.04349999999999</v>
      </c>
    </row>
    <row r="46" spans="10:44">
      <c r="J46" s="5">
        <v>15</v>
      </c>
      <c r="K46" s="23">
        <f t="shared" si="11"/>
        <v>143.63999999999999</v>
      </c>
      <c r="L46" s="24">
        <f t="shared" si="6"/>
        <v>7</v>
      </c>
      <c r="M46" s="5">
        <f t="shared" si="7"/>
        <v>421.03499999999997</v>
      </c>
      <c r="N46" s="25">
        <f t="shared" si="8"/>
        <v>3.5555602891387632E-4</v>
      </c>
      <c r="O46" s="26">
        <f t="shared" si="9"/>
        <v>8.6399999999999864</v>
      </c>
      <c r="P46" s="27">
        <f t="shared" si="10"/>
        <v>421.03807200408977</v>
      </c>
      <c r="Q46" s="27">
        <f t="shared" si="12"/>
        <v>421.03243733537818</v>
      </c>
      <c r="R46" s="5"/>
      <c r="S46" s="21"/>
      <c r="T46" s="21"/>
      <c r="U46" s="21"/>
      <c r="V46" s="21"/>
      <c r="W46" s="21"/>
      <c r="X46" s="21"/>
      <c r="Y46" s="21"/>
      <c r="Z46" s="21"/>
      <c r="AA46" s="21"/>
      <c r="AB46" s="30">
        <f>AB45</f>
        <v>421.01713599999994</v>
      </c>
      <c r="AC46" s="30">
        <f>Q46</f>
        <v>421.03243733537818</v>
      </c>
      <c r="AD46" s="21"/>
      <c r="AE46" s="21"/>
      <c r="AF46" s="21"/>
      <c r="AG46" s="21"/>
      <c r="AH46" s="21"/>
      <c r="AI46" s="21"/>
      <c r="AJ46" s="21"/>
      <c r="AK46" s="21"/>
      <c r="AL46" s="21"/>
      <c r="AM46" s="21"/>
      <c r="AN46" s="21"/>
      <c r="AO46" s="21"/>
      <c r="AP46" s="21"/>
      <c r="AQ46" s="21">
        <f t="shared" si="13"/>
        <v>420.89250000000004</v>
      </c>
      <c r="AR46" s="21">
        <f t="shared" si="13"/>
        <v>421.04349999999999</v>
      </c>
    </row>
    <row r="47" spans="10:44">
      <c r="J47" s="5">
        <v>14</v>
      </c>
      <c r="K47" s="23">
        <f t="shared" si="11"/>
        <v>158.63999999999999</v>
      </c>
      <c r="L47" s="24">
        <f t="shared" si="6"/>
        <v>8</v>
      </c>
      <c r="M47" s="5">
        <f t="shared" si="7"/>
        <v>421.04300001065053</v>
      </c>
      <c r="N47" s="25">
        <f t="shared" si="8"/>
        <v>-3.3777782511353709E-3</v>
      </c>
      <c r="O47" s="26">
        <f t="shared" si="9"/>
        <v>1.1399999999999864</v>
      </c>
      <c r="P47" s="27">
        <f t="shared" si="10"/>
        <v>421.03914934344425</v>
      </c>
      <c r="Q47" s="27">
        <f t="shared" si="12"/>
        <v>421.03861067376704</v>
      </c>
      <c r="R47" s="5"/>
      <c r="S47" s="21"/>
      <c r="T47" s="21"/>
      <c r="U47" s="21"/>
      <c r="V47" s="21"/>
      <c r="W47" s="21"/>
      <c r="X47" s="21"/>
      <c r="Y47" s="21"/>
      <c r="Z47" s="21"/>
      <c r="AA47" s="21"/>
      <c r="AB47" s="21"/>
      <c r="AC47" s="30">
        <f>AC46</f>
        <v>421.03243733537818</v>
      </c>
      <c r="AD47" s="30">
        <f>Q47</f>
        <v>421.03861067376704</v>
      </c>
      <c r="AE47" s="21"/>
      <c r="AF47" s="21"/>
      <c r="AG47" s="21"/>
      <c r="AH47" s="21"/>
      <c r="AI47" s="21"/>
      <c r="AJ47" s="21"/>
      <c r="AK47" s="21"/>
      <c r="AL47" s="21"/>
      <c r="AM47" s="21"/>
      <c r="AN47" s="21"/>
      <c r="AO47" s="21"/>
      <c r="AP47" s="21"/>
      <c r="AQ47" s="21">
        <f t="shared" si="13"/>
        <v>420.89250000000004</v>
      </c>
      <c r="AR47" s="21">
        <f t="shared" si="13"/>
        <v>421.04349999999999</v>
      </c>
    </row>
    <row r="48" spans="10:44">
      <c r="J48" s="5">
        <v>13</v>
      </c>
      <c r="K48" s="23">
        <f t="shared" si="11"/>
        <v>173.64</v>
      </c>
      <c r="L48" s="24">
        <f t="shared" si="6"/>
        <v>8</v>
      </c>
      <c r="M48" s="5">
        <f t="shared" si="7"/>
        <v>421.04300001065053</v>
      </c>
      <c r="N48" s="25">
        <f t="shared" si="8"/>
        <v>-3.3777782511353709E-3</v>
      </c>
      <c r="O48" s="26">
        <f t="shared" si="9"/>
        <v>16.139999999999986</v>
      </c>
      <c r="P48" s="27">
        <f t="shared" si="10"/>
        <v>420.98848266967718</v>
      </c>
      <c r="Q48" s="27">
        <f t="shared" si="12"/>
        <v>421.01381600656072</v>
      </c>
      <c r="R48" s="5"/>
      <c r="S48" s="21"/>
      <c r="T48" s="21"/>
      <c r="U48" s="21"/>
      <c r="V48" s="21"/>
      <c r="W48" s="21"/>
      <c r="X48" s="21"/>
      <c r="Y48" s="21"/>
      <c r="Z48" s="21"/>
      <c r="AA48" s="21"/>
      <c r="AB48" s="21"/>
      <c r="AC48" s="21"/>
      <c r="AD48" s="30">
        <f>AD47</f>
        <v>421.03861067376704</v>
      </c>
      <c r="AE48" s="30">
        <f>Q48</f>
        <v>421.01381600656072</v>
      </c>
      <c r="AF48" s="21"/>
      <c r="AG48" s="21"/>
      <c r="AH48" s="21"/>
      <c r="AI48" s="21"/>
      <c r="AJ48" s="21"/>
      <c r="AK48" s="21"/>
      <c r="AL48" s="21"/>
      <c r="AM48" s="21"/>
      <c r="AN48" s="21"/>
      <c r="AO48" s="21"/>
      <c r="AP48" s="21"/>
      <c r="AQ48" s="21">
        <f t="shared" si="13"/>
        <v>420.89250000000004</v>
      </c>
      <c r="AR48" s="21">
        <f t="shared" si="13"/>
        <v>421.04349999999999</v>
      </c>
    </row>
    <row r="49" spans="10:44">
      <c r="J49" s="5">
        <v>12</v>
      </c>
      <c r="K49" s="23">
        <f t="shared" si="11"/>
        <v>188.64</v>
      </c>
      <c r="L49" s="24">
        <f t="shared" si="6"/>
        <v>9</v>
      </c>
      <c r="M49" s="5">
        <f t="shared" si="7"/>
        <v>420.96699999999998</v>
      </c>
      <c r="N49" s="25">
        <f t="shared" si="8"/>
        <v>-1.9999991582330444E-3</v>
      </c>
      <c r="O49" s="26">
        <f t="shared" si="9"/>
        <v>8.6399999999999864</v>
      </c>
      <c r="P49" s="27">
        <f t="shared" si="10"/>
        <v>420.94972000727284</v>
      </c>
      <c r="Q49" s="27">
        <f t="shared" si="12"/>
        <v>420.96910133847501</v>
      </c>
      <c r="R49" s="5"/>
      <c r="S49" s="21"/>
      <c r="T49" s="21"/>
      <c r="U49" s="21"/>
      <c r="V49" s="21"/>
      <c r="W49" s="21"/>
      <c r="X49" s="21"/>
      <c r="Y49" s="21"/>
      <c r="Z49" s="21"/>
      <c r="AA49" s="21"/>
      <c r="AB49" s="21"/>
      <c r="AC49" s="21"/>
      <c r="AD49" s="21"/>
      <c r="AE49" s="30">
        <f>AE48</f>
        <v>421.01381600656072</v>
      </c>
      <c r="AF49" s="30">
        <f>Q49</f>
        <v>420.96910133847501</v>
      </c>
      <c r="AG49" s="21"/>
      <c r="AH49" s="21"/>
      <c r="AI49" s="21"/>
      <c r="AJ49" s="21"/>
      <c r="AK49" s="21"/>
      <c r="AL49" s="21"/>
      <c r="AM49" s="21"/>
      <c r="AN49" s="21"/>
      <c r="AO49" s="21"/>
      <c r="AP49" s="21"/>
      <c r="AQ49" s="21">
        <f t="shared" si="13"/>
        <v>420.89250000000004</v>
      </c>
      <c r="AR49" s="21">
        <f t="shared" si="13"/>
        <v>421.04349999999999</v>
      </c>
    </row>
    <row r="50" spans="10:44">
      <c r="J50" s="5">
        <v>11</v>
      </c>
      <c r="K50" s="23">
        <f t="shared" si="11"/>
        <v>203.64</v>
      </c>
      <c r="L50" s="24">
        <f t="shared" si="6"/>
        <v>10</v>
      </c>
      <c r="M50" s="5">
        <f t="shared" si="7"/>
        <v>420.92200001893974</v>
      </c>
      <c r="N50" s="25">
        <f t="shared" si="8"/>
        <v>3.9555547663869418E-3</v>
      </c>
      <c r="O50" s="26">
        <f t="shared" si="9"/>
        <v>1.1399999999999864</v>
      </c>
      <c r="P50" s="27">
        <f t="shared" si="10"/>
        <v>420.9265093513734</v>
      </c>
      <c r="Q50" s="27">
        <f t="shared" si="12"/>
        <v>420.93811467932312</v>
      </c>
      <c r="R50" s="5"/>
      <c r="S50" s="21"/>
      <c r="T50" s="21"/>
      <c r="U50" s="21"/>
      <c r="V50" s="21"/>
      <c r="W50" s="21"/>
      <c r="X50" s="21"/>
      <c r="Y50" s="21"/>
      <c r="Z50" s="21"/>
      <c r="AA50" s="21"/>
      <c r="AB50" s="21"/>
      <c r="AC50" s="21"/>
      <c r="AD50" s="21"/>
      <c r="AE50" s="21"/>
      <c r="AF50" s="30">
        <f>AF49</f>
        <v>420.96910133847501</v>
      </c>
      <c r="AG50" s="30">
        <f>Q50</f>
        <v>420.93811467932312</v>
      </c>
      <c r="AH50" s="21"/>
      <c r="AI50" s="21"/>
      <c r="AJ50" s="21"/>
      <c r="AK50" s="21"/>
      <c r="AL50" s="21"/>
      <c r="AM50" s="21"/>
      <c r="AN50" s="21"/>
      <c r="AO50" s="21"/>
      <c r="AP50" s="21"/>
      <c r="AQ50" s="21">
        <f t="shared" si="13"/>
        <v>420.89250000000004</v>
      </c>
      <c r="AR50" s="21">
        <f t="shared" si="13"/>
        <v>421.04349999999999</v>
      </c>
    </row>
    <row r="51" spans="10:44">
      <c r="J51" s="5">
        <v>10</v>
      </c>
      <c r="K51" s="23">
        <f t="shared" si="11"/>
        <v>218.64</v>
      </c>
      <c r="L51" s="24">
        <f t="shared" si="6"/>
        <v>10</v>
      </c>
      <c r="M51" s="5">
        <f t="shared" si="7"/>
        <v>420.92200001893974</v>
      </c>
      <c r="N51" s="25">
        <f t="shared" si="8"/>
        <v>3.9555547663869418E-3</v>
      </c>
      <c r="O51" s="26">
        <f t="shared" si="9"/>
        <v>16.139999999999986</v>
      </c>
      <c r="P51" s="27">
        <f t="shared" si="10"/>
        <v>420.98584267286924</v>
      </c>
      <c r="Q51" s="27">
        <f t="shared" si="12"/>
        <v>420.95617601212132</v>
      </c>
      <c r="R51" s="5"/>
      <c r="S51" s="21"/>
      <c r="T51" s="21"/>
      <c r="U51" s="21"/>
      <c r="V51" s="21"/>
      <c r="W51" s="21"/>
      <c r="X51" s="21"/>
      <c r="Y51" s="21"/>
      <c r="Z51" s="21"/>
      <c r="AA51" s="21"/>
      <c r="AB51" s="21"/>
      <c r="AC51" s="21"/>
      <c r="AD51" s="21"/>
      <c r="AE51" s="21"/>
      <c r="AF51" s="21"/>
      <c r="AG51" s="30">
        <f>AG50</f>
        <v>420.93811467932312</v>
      </c>
      <c r="AH51" s="30">
        <f>Q51</f>
        <v>420.95617601212132</v>
      </c>
      <c r="AI51" s="21"/>
      <c r="AJ51" s="21"/>
      <c r="AK51" s="21"/>
      <c r="AL51" s="21"/>
      <c r="AM51" s="21"/>
      <c r="AN51" s="21"/>
      <c r="AO51" s="21"/>
      <c r="AP51" s="21"/>
      <c r="AQ51" s="21">
        <f t="shared" si="13"/>
        <v>420.89250000000004</v>
      </c>
      <c r="AR51" s="21">
        <f t="shared" si="13"/>
        <v>421.04349999999999</v>
      </c>
    </row>
    <row r="52" spans="10:44">
      <c r="J52" s="5">
        <v>9</v>
      </c>
      <c r="K52" s="23">
        <f t="shared" si="11"/>
        <v>233.64</v>
      </c>
      <c r="L52" s="24">
        <f t="shared" si="6"/>
        <v>11</v>
      </c>
      <c r="M52" s="5">
        <f t="shared" si="7"/>
        <v>421.01100000118345</v>
      </c>
      <c r="N52" s="25">
        <f t="shared" si="8"/>
        <v>3.9111111111019958E-3</v>
      </c>
      <c r="O52" s="26">
        <f t="shared" si="9"/>
        <v>8.6399999999999864</v>
      </c>
      <c r="P52" s="27">
        <f t="shared" si="10"/>
        <v>421.0447920011834</v>
      </c>
      <c r="Q52" s="27">
        <f t="shared" si="12"/>
        <v>421.01531733702632</v>
      </c>
      <c r="R52" s="5"/>
      <c r="S52" s="21"/>
      <c r="T52" s="21"/>
      <c r="U52" s="21"/>
      <c r="V52" s="21"/>
      <c r="W52" s="21"/>
      <c r="X52" s="21"/>
      <c r="Y52" s="21"/>
      <c r="Z52" s="21"/>
      <c r="AA52" s="21"/>
      <c r="AB52" s="21"/>
      <c r="AC52" s="21"/>
      <c r="AD52" s="21"/>
      <c r="AE52" s="21"/>
      <c r="AF52" s="21"/>
      <c r="AG52" s="21"/>
      <c r="AH52" s="30">
        <f>AH51</f>
        <v>420.95617601212132</v>
      </c>
      <c r="AI52" s="30">
        <f>Q52</f>
        <v>421.01531733702632</v>
      </c>
      <c r="AJ52" s="21"/>
      <c r="AK52" s="21"/>
      <c r="AL52" s="21"/>
      <c r="AM52" s="21"/>
      <c r="AN52" s="21"/>
      <c r="AO52" s="21"/>
      <c r="AP52" s="21"/>
      <c r="AQ52" s="21">
        <f t="shared" si="13"/>
        <v>420.89250000000004</v>
      </c>
      <c r="AR52" s="21">
        <f t="shared" si="13"/>
        <v>421.04349999999999</v>
      </c>
    </row>
    <row r="53" spans="10:44">
      <c r="J53" s="5">
        <v>8</v>
      </c>
      <c r="K53" s="23">
        <f t="shared" si="11"/>
        <v>248.64</v>
      </c>
      <c r="L53" s="24">
        <f t="shared" si="6"/>
        <v>12</v>
      </c>
      <c r="M53" s="5">
        <f t="shared" si="7"/>
        <v>421.09900000118324</v>
      </c>
      <c r="N53" s="25">
        <f t="shared" si="8"/>
        <v>-4.0000000000064675E-4</v>
      </c>
      <c r="O53" s="26">
        <f t="shared" si="9"/>
        <v>1.1399999999999864</v>
      </c>
      <c r="P53" s="27">
        <f t="shared" si="10"/>
        <v>421.09854400118326</v>
      </c>
      <c r="Q53" s="27">
        <f t="shared" si="12"/>
        <v>421.0716680011833</v>
      </c>
      <c r="R53" s="5"/>
      <c r="S53" s="21"/>
      <c r="T53" s="21"/>
      <c r="U53" s="21"/>
      <c r="V53" s="21"/>
      <c r="W53" s="21"/>
      <c r="X53" s="21"/>
      <c r="Y53" s="21"/>
      <c r="Z53" s="21"/>
      <c r="AA53" s="21"/>
      <c r="AB53" s="21"/>
      <c r="AC53" s="21"/>
      <c r="AD53" s="21"/>
      <c r="AE53" s="21"/>
      <c r="AF53" s="21"/>
      <c r="AG53" s="21"/>
      <c r="AH53" s="30"/>
      <c r="AI53" s="30">
        <f>AI52</f>
        <v>421.01531733702632</v>
      </c>
      <c r="AJ53" s="30">
        <f>Q53</f>
        <v>421.0716680011833</v>
      </c>
      <c r="AK53" s="21"/>
      <c r="AL53" s="21"/>
      <c r="AM53" s="21"/>
      <c r="AN53" s="21"/>
      <c r="AO53" s="21"/>
      <c r="AP53" s="21"/>
      <c r="AQ53" s="21">
        <f t="shared" si="13"/>
        <v>420.89250000000004</v>
      </c>
      <c r="AR53" s="21">
        <f t="shared" si="13"/>
        <v>421.04349999999999</v>
      </c>
    </row>
    <row r="54" spans="10:44">
      <c r="J54" s="5">
        <v>7</v>
      </c>
      <c r="K54" s="23">
        <f t="shared" si="11"/>
        <v>263.64</v>
      </c>
      <c r="L54" s="24">
        <f t="shared" si="6"/>
        <v>12</v>
      </c>
      <c r="M54" s="5">
        <f t="shared" si="7"/>
        <v>421.09900000118324</v>
      </c>
      <c r="N54" s="25">
        <f t="shared" si="8"/>
        <v>-4.0000000000064675E-4</v>
      </c>
      <c r="O54" s="26">
        <f t="shared" si="9"/>
        <v>16.139999999999986</v>
      </c>
      <c r="P54" s="27">
        <f t="shared" si="10"/>
        <v>421.09254400118323</v>
      </c>
      <c r="Q54" s="27">
        <f t="shared" si="12"/>
        <v>421.09554400118327</v>
      </c>
      <c r="R54" s="5"/>
      <c r="S54" s="21"/>
      <c r="T54" s="21"/>
      <c r="U54" s="21"/>
      <c r="V54" s="21"/>
      <c r="W54" s="21"/>
      <c r="X54" s="21"/>
      <c r="Y54" s="21"/>
      <c r="Z54" s="21"/>
      <c r="AA54" s="21"/>
      <c r="AB54" s="21"/>
      <c r="AC54" s="21"/>
      <c r="AD54" s="21"/>
      <c r="AE54" s="21"/>
      <c r="AF54" s="21"/>
      <c r="AG54" s="21"/>
      <c r="AH54" s="30"/>
      <c r="AI54" s="30"/>
      <c r="AJ54" s="30">
        <f>AJ53</f>
        <v>421.0716680011833</v>
      </c>
      <c r="AK54" s="30">
        <f>Q54</f>
        <v>421.09554400118327</v>
      </c>
      <c r="AL54" s="21"/>
      <c r="AM54" s="21"/>
      <c r="AN54" s="21"/>
      <c r="AO54" s="21"/>
      <c r="AP54" s="21"/>
      <c r="AQ54" s="21">
        <f t="shared" ref="AQ54:AR59" si="14">AQ53</f>
        <v>420.89250000000004</v>
      </c>
      <c r="AR54" s="21">
        <f t="shared" si="14"/>
        <v>421.04349999999999</v>
      </c>
    </row>
    <row r="55" spans="10:44">
      <c r="J55" s="5">
        <v>6</v>
      </c>
      <c r="K55" s="23">
        <f t="shared" si="11"/>
        <v>278.64</v>
      </c>
      <c r="L55" s="24">
        <f t="shared" si="6"/>
        <v>13</v>
      </c>
      <c r="M55" s="5">
        <f t="shared" si="7"/>
        <v>421.09000000118323</v>
      </c>
      <c r="N55" s="25">
        <f t="shared" si="8"/>
        <v>-5.1111106902655794E-3</v>
      </c>
      <c r="O55" s="26">
        <f t="shared" si="9"/>
        <v>8.6399999999999864</v>
      </c>
      <c r="P55" s="27">
        <f t="shared" si="10"/>
        <v>421.04584000481935</v>
      </c>
      <c r="Q55" s="27">
        <f t="shared" si="12"/>
        <v>421.06919200300126</v>
      </c>
      <c r="R55" s="5"/>
      <c r="S55" s="21"/>
      <c r="T55" s="21"/>
      <c r="U55" s="21"/>
      <c r="V55" s="21"/>
      <c r="W55" s="21"/>
      <c r="X55" s="21"/>
      <c r="Y55" s="21"/>
      <c r="Z55" s="21"/>
      <c r="AA55" s="21"/>
      <c r="AB55" s="21"/>
      <c r="AC55" s="21"/>
      <c r="AD55" s="21"/>
      <c r="AE55" s="21"/>
      <c r="AF55" s="21"/>
      <c r="AG55" s="21"/>
      <c r="AH55" s="30"/>
      <c r="AI55" s="30"/>
      <c r="AJ55" s="21"/>
      <c r="AK55" s="30">
        <f>AK54</f>
        <v>421.09554400118327</v>
      </c>
      <c r="AL55" s="30">
        <f>Q55</f>
        <v>421.06919200300126</v>
      </c>
      <c r="AM55" s="21"/>
      <c r="AN55" s="21"/>
      <c r="AO55" s="21"/>
      <c r="AP55" s="21"/>
      <c r="AQ55" s="21">
        <f t="shared" si="14"/>
        <v>420.89250000000004</v>
      </c>
      <c r="AR55" s="21">
        <f t="shared" si="14"/>
        <v>421.04349999999999</v>
      </c>
    </row>
    <row r="56" spans="10:44">
      <c r="J56" s="5">
        <v>5</v>
      </c>
      <c r="K56" s="23">
        <f t="shared" si="11"/>
        <v>293.64</v>
      </c>
      <c r="L56" s="24">
        <f t="shared" si="6"/>
        <v>14</v>
      </c>
      <c r="M56" s="5">
        <f t="shared" si="7"/>
        <v>420.97500001065225</v>
      </c>
      <c r="N56" s="25">
        <f t="shared" si="8"/>
        <v>-3.8666669296440483E-3</v>
      </c>
      <c r="O56" s="26">
        <f t="shared" si="9"/>
        <v>1.1399999999999864</v>
      </c>
      <c r="P56" s="27">
        <f t="shared" si="10"/>
        <v>420.97059201035245</v>
      </c>
      <c r="Q56" s="27">
        <f t="shared" si="12"/>
        <v>421.00821600758593</v>
      </c>
      <c r="R56" s="5"/>
      <c r="S56" s="21"/>
      <c r="T56" s="21"/>
      <c r="U56" s="21"/>
      <c r="V56" s="21"/>
      <c r="W56" s="21"/>
      <c r="X56" s="21"/>
      <c r="Y56" s="21"/>
      <c r="Z56" s="21"/>
      <c r="AA56" s="21"/>
      <c r="AB56" s="21"/>
      <c r="AC56" s="21"/>
      <c r="AD56" s="21"/>
      <c r="AE56" s="21"/>
      <c r="AF56" s="21"/>
      <c r="AG56" s="21"/>
      <c r="AH56" s="30"/>
      <c r="AI56" s="30"/>
      <c r="AJ56" s="21"/>
      <c r="AK56" s="21"/>
      <c r="AL56" s="30">
        <f>AL55</f>
        <v>421.06919200300126</v>
      </c>
      <c r="AM56" s="30">
        <f>Q56</f>
        <v>421.00821600758593</v>
      </c>
      <c r="AN56" s="21"/>
      <c r="AO56" s="21"/>
      <c r="AP56" s="21"/>
      <c r="AQ56" s="21">
        <f t="shared" si="14"/>
        <v>420.89250000000004</v>
      </c>
      <c r="AR56" s="21">
        <f t="shared" si="14"/>
        <v>421.04349999999999</v>
      </c>
    </row>
    <row r="57" spans="10:44">
      <c r="J57" s="5">
        <v>4</v>
      </c>
      <c r="K57" s="23">
        <f t="shared" si="11"/>
        <v>308.64</v>
      </c>
      <c r="L57" s="24">
        <f t="shared" si="6"/>
        <v>14</v>
      </c>
      <c r="M57" s="5">
        <f t="shared" si="7"/>
        <v>420.97500001065225</v>
      </c>
      <c r="N57" s="25">
        <f t="shared" si="8"/>
        <v>-3.8666669296440483E-3</v>
      </c>
      <c r="O57" s="26">
        <f t="shared" si="9"/>
        <v>16.139999999999986</v>
      </c>
      <c r="P57" s="27">
        <f t="shared" si="10"/>
        <v>420.91259200640781</v>
      </c>
      <c r="Q57" s="27">
        <f t="shared" si="12"/>
        <v>420.9415920083801</v>
      </c>
      <c r="R57" s="5"/>
      <c r="S57" s="21"/>
      <c r="T57" s="21"/>
      <c r="U57" s="21"/>
      <c r="V57" s="21"/>
      <c r="W57" s="21"/>
      <c r="X57" s="21"/>
      <c r="Y57" s="21"/>
      <c r="Z57" s="21"/>
      <c r="AA57" s="21"/>
      <c r="AB57" s="21"/>
      <c r="AC57" s="21"/>
      <c r="AD57" s="21"/>
      <c r="AE57" s="21"/>
      <c r="AF57" s="21"/>
      <c r="AG57" s="21"/>
      <c r="AH57" s="30"/>
      <c r="AI57" s="30"/>
      <c r="AJ57" s="21"/>
      <c r="AK57" s="21"/>
      <c r="AL57" s="21"/>
      <c r="AM57" s="30">
        <f>AM56</f>
        <v>421.00821600758593</v>
      </c>
      <c r="AN57" s="30">
        <f>Q57</f>
        <v>420.9415920083801</v>
      </c>
      <c r="AO57" s="30"/>
      <c r="AP57" s="21"/>
      <c r="AQ57" s="21">
        <f t="shared" si="14"/>
        <v>420.89250000000004</v>
      </c>
      <c r="AR57" s="21">
        <f t="shared" si="14"/>
        <v>421.04349999999999</v>
      </c>
    </row>
    <row r="58" spans="10:44">
      <c r="J58" s="5">
        <v>3</v>
      </c>
      <c r="K58" s="23">
        <f t="shared" si="11"/>
        <v>323.64</v>
      </c>
      <c r="L58" s="24">
        <f t="shared" si="6"/>
        <v>15</v>
      </c>
      <c r="M58" s="5">
        <f t="shared" si="7"/>
        <v>420.88800000473526</v>
      </c>
      <c r="N58" s="25">
        <f t="shared" si="8"/>
        <v>2.2222220117656534E-3</v>
      </c>
      <c r="O58" s="26">
        <f t="shared" si="9"/>
        <v>8.6399999999999864</v>
      </c>
      <c r="P58" s="27">
        <f t="shared" si="10"/>
        <v>420.90720000291691</v>
      </c>
      <c r="Q58" s="27">
        <f t="shared" si="12"/>
        <v>420.90989600466236</v>
      </c>
      <c r="R58" s="5"/>
      <c r="S58" s="21"/>
      <c r="T58" s="21"/>
      <c r="U58" s="21"/>
      <c r="V58" s="21"/>
      <c r="W58" s="21"/>
      <c r="X58" s="21"/>
      <c r="Y58" s="21"/>
      <c r="Z58" s="21"/>
      <c r="AA58" s="21"/>
      <c r="AB58" s="21"/>
      <c r="AC58" s="21"/>
      <c r="AD58" s="21"/>
      <c r="AE58" s="21"/>
      <c r="AF58" s="21"/>
      <c r="AG58" s="21"/>
      <c r="AH58" s="30"/>
      <c r="AI58" s="30"/>
      <c r="AJ58" s="21"/>
      <c r="AK58" s="21"/>
      <c r="AL58" s="21"/>
      <c r="AM58" s="30"/>
      <c r="AN58" s="30">
        <f>AN57</f>
        <v>420.9415920083801</v>
      </c>
      <c r="AO58" s="30">
        <f>Q58</f>
        <v>420.90989600466236</v>
      </c>
      <c r="AP58" s="21"/>
      <c r="AQ58" s="21">
        <f t="shared" si="14"/>
        <v>420.89250000000004</v>
      </c>
      <c r="AR58" s="21">
        <f t="shared" si="14"/>
        <v>421.04349999999999</v>
      </c>
    </row>
    <row r="59" spans="10:44">
      <c r="J59" s="5">
        <v>2</v>
      </c>
      <c r="K59" s="23">
        <f t="shared" si="11"/>
        <v>338.64</v>
      </c>
      <c r="L59" s="24">
        <f t="shared" si="6"/>
        <v>16</v>
      </c>
      <c r="M59" s="5">
        <f>VLOOKUP(L59, $H$11:$K$27, 4, FALSE)</f>
        <v>420.93799999999999</v>
      </c>
      <c r="N59" s="25">
        <f t="shared" si="8"/>
        <v>5.0222222222222022E-3</v>
      </c>
      <c r="O59" s="26">
        <f t="shared" si="9"/>
        <v>1.1399999999999864</v>
      </c>
      <c r="P59" s="27">
        <f t="shared" si="10"/>
        <v>420.9437253333333</v>
      </c>
      <c r="Q59" s="27">
        <f>(P57+P59)/2</f>
        <v>420.92815866987053</v>
      </c>
      <c r="R59" s="5"/>
      <c r="S59" s="31"/>
      <c r="T59" s="31"/>
      <c r="U59" s="31"/>
      <c r="V59" s="31"/>
      <c r="W59" s="31"/>
      <c r="X59" s="31"/>
      <c r="Y59" s="31"/>
      <c r="Z59" s="31"/>
      <c r="AA59" s="31"/>
      <c r="AB59" s="31"/>
      <c r="AC59" s="31"/>
      <c r="AD59" s="31"/>
      <c r="AE59" s="31"/>
      <c r="AF59" s="31"/>
      <c r="AG59" s="31"/>
      <c r="AH59" s="31"/>
      <c r="AI59" s="32"/>
      <c r="AJ59" s="32"/>
      <c r="AK59" s="32"/>
      <c r="AL59" s="32"/>
      <c r="AM59" s="32"/>
      <c r="AN59" s="32"/>
      <c r="AO59" s="32">
        <f>AO58</f>
        <v>420.90989600466236</v>
      </c>
      <c r="AP59" s="32">
        <f>Q59</f>
        <v>420.92815866987053</v>
      </c>
      <c r="AQ59" s="31">
        <f t="shared" si="14"/>
        <v>420.89250000000004</v>
      </c>
      <c r="AR59" s="31">
        <f t="shared" si="14"/>
        <v>421.04349999999999</v>
      </c>
    </row>
    <row r="61" spans="10:44">
      <c r="S61" s="5"/>
    </row>
    <row r="62" spans="10:44">
      <c r="J62" s="33"/>
      <c r="K62" s="33"/>
      <c r="L62" s="33"/>
      <c r="M62" s="33"/>
      <c r="N62" s="33"/>
      <c r="O62" s="33"/>
      <c r="P62" s="33"/>
      <c r="Q62" s="33"/>
      <c r="R62" s="33"/>
      <c r="S62" s="5"/>
      <c r="T62" s="33"/>
      <c r="U62" s="33"/>
      <c r="V62" s="33"/>
      <c r="W62" s="33"/>
      <c r="X62" s="33"/>
      <c r="Y62" s="33"/>
      <c r="Z62" s="33"/>
      <c r="AA62" s="33"/>
      <c r="AB62" s="33"/>
      <c r="AC62" s="33"/>
    </row>
    <row r="63" spans="10:44">
      <c r="J63" s="33"/>
      <c r="K63" s="33"/>
      <c r="L63" s="33"/>
      <c r="M63" s="33"/>
      <c r="N63" s="33"/>
      <c r="O63" s="33"/>
      <c r="P63" s="33"/>
      <c r="Q63" s="33"/>
      <c r="R63" s="33"/>
      <c r="S63" s="5"/>
      <c r="T63" s="33"/>
      <c r="U63" s="33"/>
      <c r="V63" s="33"/>
      <c r="W63" s="33"/>
      <c r="X63" s="33"/>
      <c r="Y63" s="33"/>
      <c r="Z63" s="33"/>
      <c r="AA63" s="33"/>
      <c r="AB63" s="33"/>
      <c r="AC63" s="33"/>
    </row>
    <row r="64" spans="10:44">
      <c r="J64" s="33"/>
      <c r="K64" s="33"/>
      <c r="L64" s="33"/>
      <c r="M64" s="33"/>
      <c r="N64" s="33"/>
      <c r="O64" s="33"/>
      <c r="P64" s="33"/>
      <c r="Q64" s="33"/>
      <c r="R64" s="33"/>
      <c r="S64" s="5"/>
      <c r="T64" s="33"/>
      <c r="U64" s="33"/>
      <c r="V64" s="33"/>
      <c r="W64" s="33"/>
      <c r="X64" s="33"/>
      <c r="Y64" s="33"/>
      <c r="Z64" s="33"/>
      <c r="AA64" s="33"/>
      <c r="AB64" s="33"/>
      <c r="AC64" s="33"/>
    </row>
    <row r="65" spans="10:29">
      <c r="J65" s="33"/>
      <c r="K65" s="33"/>
      <c r="L65" s="33"/>
      <c r="M65" s="33"/>
      <c r="N65" s="33"/>
      <c r="O65" s="33"/>
      <c r="P65" s="33"/>
      <c r="Q65" s="33"/>
      <c r="R65" s="33"/>
      <c r="S65" s="5"/>
      <c r="T65" s="33"/>
      <c r="U65" s="33"/>
      <c r="V65" s="33"/>
      <c r="W65" s="33"/>
      <c r="X65" s="33"/>
      <c r="Y65" s="33"/>
      <c r="Z65" s="33"/>
      <c r="AA65" s="33"/>
      <c r="AB65" s="33"/>
      <c r="AC65" s="33"/>
    </row>
    <row r="66" spans="10:29">
      <c r="J66" s="33"/>
      <c r="K66" s="33"/>
      <c r="L66" s="33"/>
      <c r="M66" s="33"/>
      <c r="N66" s="33"/>
      <c r="O66" s="33"/>
      <c r="P66" s="33"/>
      <c r="Q66" s="33"/>
      <c r="R66" s="33"/>
      <c r="S66" s="5"/>
      <c r="T66" s="33"/>
      <c r="U66" s="33"/>
      <c r="V66" s="33"/>
      <c r="W66" s="33"/>
      <c r="X66" s="33"/>
      <c r="Y66" s="33"/>
      <c r="Z66" s="33"/>
      <c r="AA66" s="33"/>
      <c r="AB66" s="33"/>
      <c r="AC66" s="33"/>
    </row>
    <row r="67" spans="10:29">
      <c r="J67" s="33"/>
      <c r="K67" s="33"/>
      <c r="L67" s="33"/>
      <c r="M67" s="33"/>
      <c r="N67" s="33"/>
      <c r="O67" s="33"/>
      <c r="P67" s="33"/>
      <c r="Q67" s="33"/>
      <c r="R67" s="33"/>
      <c r="S67" s="5"/>
      <c r="T67" s="33"/>
      <c r="U67" s="33"/>
      <c r="V67" s="33"/>
      <c r="W67" s="33"/>
      <c r="X67" s="33"/>
      <c r="Y67" s="33"/>
      <c r="Z67" s="33"/>
      <c r="AA67" s="33"/>
      <c r="AB67" s="33"/>
      <c r="AC67" s="33"/>
    </row>
    <row r="68" spans="10:29">
      <c r="J68" s="33"/>
      <c r="K68" s="33"/>
      <c r="L68" s="33"/>
      <c r="M68" s="33"/>
      <c r="N68" s="33"/>
      <c r="O68" s="33"/>
      <c r="P68" s="33"/>
      <c r="Q68" s="33"/>
      <c r="R68" s="33"/>
      <c r="S68" s="5"/>
      <c r="T68" s="33"/>
      <c r="U68" s="33"/>
      <c r="V68" s="33"/>
      <c r="W68" s="33"/>
      <c r="X68" s="33"/>
      <c r="Y68" s="33"/>
      <c r="Z68" s="33"/>
      <c r="AA68" s="33"/>
      <c r="AB68" s="33"/>
      <c r="AC68" s="33"/>
    </row>
    <row r="69" spans="10:29">
      <c r="J69" s="33"/>
      <c r="K69" s="33"/>
      <c r="L69" s="33"/>
      <c r="M69" s="33"/>
      <c r="N69" s="33"/>
      <c r="O69" s="33"/>
      <c r="P69" s="33"/>
      <c r="Q69" s="33"/>
      <c r="R69" s="33"/>
      <c r="S69" s="5"/>
      <c r="T69" s="33"/>
      <c r="U69" s="33"/>
      <c r="V69" s="33"/>
      <c r="W69" s="33"/>
      <c r="X69" s="33"/>
      <c r="Y69" s="33"/>
      <c r="Z69" s="33"/>
      <c r="AA69" s="33"/>
      <c r="AB69" s="33"/>
      <c r="AC69" s="33"/>
    </row>
    <row r="70" spans="10:29">
      <c r="J70" s="33"/>
      <c r="K70" s="33"/>
      <c r="L70" s="33"/>
      <c r="M70" s="33"/>
      <c r="N70" s="33"/>
      <c r="O70" s="33"/>
      <c r="P70" s="33"/>
      <c r="Q70" s="33"/>
      <c r="R70" s="33"/>
      <c r="S70" s="5"/>
      <c r="T70" s="33"/>
      <c r="U70" s="33"/>
      <c r="V70" s="33"/>
      <c r="W70" s="33"/>
      <c r="X70" s="33"/>
      <c r="Y70" s="33"/>
      <c r="Z70" s="33"/>
      <c r="AA70" s="33"/>
      <c r="AB70" s="33"/>
      <c r="AC70" s="33"/>
    </row>
    <row r="71" spans="10:29">
      <c r="J71" s="33"/>
      <c r="K71" s="33"/>
      <c r="L71" s="33"/>
      <c r="M71" s="33"/>
      <c r="N71" s="33"/>
      <c r="O71" s="33"/>
      <c r="P71" s="33"/>
      <c r="Q71" s="33"/>
      <c r="R71" s="33"/>
      <c r="S71" s="5"/>
      <c r="T71" s="33"/>
      <c r="U71" s="33"/>
      <c r="V71" s="33"/>
      <c r="W71" s="33"/>
      <c r="X71" s="33"/>
      <c r="Y71" s="33"/>
      <c r="Z71" s="33"/>
      <c r="AA71" s="33"/>
      <c r="AB71" s="33"/>
      <c r="AC71" s="33"/>
    </row>
    <row r="72" spans="10:29">
      <c r="J72" s="33"/>
      <c r="K72" s="33"/>
      <c r="L72" s="33"/>
      <c r="M72" s="33"/>
      <c r="N72" s="33"/>
      <c r="O72" s="33"/>
      <c r="P72" s="33"/>
      <c r="Q72" s="33"/>
      <c r="R72" s="33"/>
      <c r="S72" s="5"/>
      <c r="T72" s="33"/>
      <c r="U72" s="33"/>
      <c r="V72" s="33"/>
      <c r="W72" s="33"/>
      <c r="X72" s="33"/>
      <c r="Y72" s="33"/>
      <c r="Z72" s="33"/>
      <c r="AA72" s="33"/>
      <c r="AB72" s="33"/>
      <c r="AC72" s="33"/>
    </row>
    <row r="73" spans="10:29">
      <c r="J73" s="33"/>
      <c r="K73" s="33"/>
      <c r="L73" s="33"/>
      <c r="M73" s="33"/>
      <c r="N73" s="33"/>
      <c r="O73" s="33"/>
      <c r="P73" s="33"/>
      <c r="Q73" s="33"/>
      <c r="R73" s="33"/>
      <c r="S73" s="5"/>
      <c r="T73" s="33"/>
      <c r="U73" s="33"/>
      <c r="V73" s="33"/>
      <c r="W73" s="33"/>
      <c r="X73" s="33"/>
      <c r="Y73" s="33"/>
      <c r="Z73" s="33"/>
      <c r="AA73" s="33"/>
      <c r="AB73" s="33"/>
      <c r="AC73" s="33"/>
    </row>
    <row r="74" spans="10:29">
      <c r="J74" s="33"/>
      <c r="K74" s="33"/>
      <c r="L74" s="33"/>
      <c r="M74" s="33"/>
      <c r="N74" s="33"/>
      <c r="O74" s="33"/>
      <c r="P74" s="33"/>
      <c r="Q74" s="33"/>
      <c r="R74" s="33"/>
      <c r="S74" s="5"/>
      <c r="T74" s="33"/>
      <c r="U74" s="33"/>
      <c r="V74" s="33"/>
      <c r="W74" s="33"/>
      <c r="X74" s="33"/>
      <c r="Y74" s="33"/>
      <c r="Z74" s="33"/>
      <c r="AA74" s="33"/>
      <c r="AB74" s="33"/>
      <c r="AC74" s="33"/>
    </row>
    <row r="75" spans="10:29">
      <c r="J75" s="33"/>
      <c r="K75" s="33"/>
      <c r="L75" s="33"/>
      <c r="M75" s="33"/>
      <c r="N75" s="33"/>
      <c r="O75" s="33"/>
      <c r="P75" s="33"/>
      <c r="Q75" s="33"/>
      <c r="R75" s="33"/>
      <c r="S75" s="5"/>
      <c r="T75" s="33"/>
      <c r="U75" s="33"/>
      <c r="V75" s="33"/>
      <c r="W75" s="33"/>
      <c r="X75" s="33"/>
      <c r="Y75" s="33"/>
      <c r="Z75" s="33"/>
      <c r="AA75" s="33"/>
      <c r="AB75" s="33"/>
      <c r="AC75" s="33"/>
    </row>
    <row r="76" spans="10:29">
      <c r="J76" s="33"/>
      <c r="K76" s="33"/>
      <c r="L76" s="33"/>
      <c r="M76" s="33"/>
      <c r="N76" s="33"/>
      <c r="O76" s="33"/>
      <c r="P76" s="33"/>
      <c r="Q76" s="33"/>
      <c r="R76" s="33"/>
      <c r="S76" s="5"/>
      <c r="T76" s="33"/>
      <c r="U76" s="33"/>
      <c r="V76" s="33"/>
      <c r="W76" s="33"/>
      <c r="X76" s="33"/>
      <c r="Y76" s="33"/>
      <c r="Z76" s="33"/>
      <c r="AA76" s="33"/>
      <c r="AB76" s="33"/>
      <c r="AC76" s="33"/>
    </row>
    <row r="77" spans="10:29">
      <c r="J77" s="33"/>
      <c r="K77" s="33"/>
      <c r="L77" s="33"/>
      <c r="M77" s="33"/>
      <c r="N77" s="33"/>
      <c r="O77" s="33"/>
      <c r="P77" s="33"/>
      <c r="Q77" s="33"/>
      <c r="R77" s="33"/>
      <c r="S77" s="5"/>
      <c r="T77" s="33"/>
      <c r="U77" s="33"/>
      <c r="V77" s="33"/>
      <c r="W77" s="33"/>
      <c r="X77" s="33"/>
      <c r="Y77" s="33"/>
      <c r="Z77" s="33"/>
      <c r="AA77" s="33"/>
      <c r="AB77" s="33"/>
      <c r="AC77" s="33"/>
    </row>
    <row r="78" spans="10:29">
      <c r="J78" s="33"/>
      <c r="K78" s="33"/>
      <c r="L78" s="33"/>
      <c r="M78" s="33"/>
      <c r="N78" s="33"/>
      <c r="O78" s="33"/>
      <c r="P78" s="33"/>
      <c r="Q78" s="33"/>
      <c r="R78" s="33"/>
      <c r="S78" s="5"/>
      <c r="T78" s="33"/>
      <c r="U78" s="33"/>
      <c r="V78" s="33"/>
      <c r="W78" s="33"/>
      <c r="X78" s="33"/>
      <c r="Y78" s="33"/>
      <c r="Z78" s="33"/>
      <c r="AA78" s="33"/>
      <c r="AB78" s="33"/>
      <c r="AC78" s="33"/>
    </row>
    <row r="79" spans="10:29">
      <c r="J79" s="33"/>
      <c r="K79" s="33"/>
      <c r="L79" s="33"/>
      <c r="M79" s="33"/>
      <c r="N79" s="33"/>
      <c r="O79" s="33"/>
      <c r="P79" s="33"/>
      <c r="Q79" s="33"/>
      <c r="R79" s="33"/>
      <c r="S79" s="5"/>
      <c r="T79" s="33"/>
      <c r="U79" s="33"/>
      <c r="V79" s="33"/>
      <c r="W79" s="33"/>
      <c r="X79" s="33"/>
      <c r="Y79" s="33"/>
      <c r="Z79" s="33"/>
      <c r="AA79" s="33"/>
      <c r="AB79" s="33"/>
      <c r="AC79" s="33"/>
    </row>
    <row r="80" spans="10:29">
      <c r="J80" s="33"/>
      <c r="K80" s="33"/>
      <c r="L80" s="33"/>
      <c r="M80" s="33"/>
      <c r="N80" s="33"/>
      <c r="O80" s="33"/>
      <c r="P80" s="33"/>
      <c r="Q80" s="33"/>
      <c r="R80" s="33"/>
      <c r="S80" s="5"/>
      <c r="T80" s="33"/>
      <c r="U80" s="33"/>
      <c r="V80" s="33"/>
      <c r="W80" s="33"/>
      <c r="X80" s="33"/>
      <c r="Y80" s="33"/>
      <c r="Z80" s="33"/>
      <c r="AA80" s="33"/>
      <c r="AB80" s="33"/>
      <c r="AC80" s="33"/>
    </row>
    <row r="81" spans="10:50">
      <c r="J81" s="33"/>
      <c r="K81" s="33"/>
      <c r="L81" s="33"/>
      <c r="M81" s="33"/>
      <c r="N81" s="33"/>
      <c r="O81" s="33"/>
      <c r="P81" s="33"/>
      <c r="Q81" s="33"/>
      <c r="R81" s="33"/>
      <c r="S81" s="5"/>
      <c r="T81" s="33"/>
      <c r="U81" s="33"/>
      <c r="V81" s="33"/>
      <c r="W81" s="33"/>
      <c r="X81" s="33"/>
      <c r="Y81" s="33"/>
      <c r="Z81" s="33"/>
      <c r="AA81" s="33"/>
      <c r="AB81" s="33"/>
      <c r="AC81" s="33"/>
    </row>
    <row r="82" spans="10:50">
      <c r="J82" s="33"/>
      <c r="K82" s="33"/>
      <c r="L82" s="33"/>
      <c r="M82" s="33"/>
      <c r="N82" s="33"/>
      <c r="O82" s="33"/>
      <c r="P82" s="33"/>
      <c r="Q82" s="33"/>
      <c r="R82" s="33"/>
      <c r="S82" s="5"/>
      <c r="T82" s="33"/>
      <c r="U82" s="33"/>
      <c r="V82" s="33"/>
      <c r="W82" s="33"/>
      <c r="X82" s="33"/>
      <c r="Y82" s="33"/>
      <c r="Z82" s="33"/>
      <c r="AA82" s="33"/>
      <c r="AB82" s="33"/>
      <c r="AC82" s="33"/>
    </row>
    <row r="83" spans="10:50">
      <c r="J83" s="33"/>
      <c r="K83" s="33"/>
      <c r="L83" s="33"/>
      <c r="M83" s="33"/>
      <c r="N83" s="33"/>
      <c r="O83" s="33"/>
      <c r="P83" s="33"/>
      <c r="Q83" s="33"/>
      <c r="R83" s="33"/>
      <c r="S83" s="5"/>
      <c r="T83" s="33"/>
      <c r="U83" s="33"/>
      <c r="V83" s="33"/>
      <c r="W83" s="33"/>
      <c r="X83" s="33"/>
      <c r="Y83" s="33"/>
      <c r="Z83" s="33"/>
      <c r="AA83" s="33"/>
      <c r="AB83" s="33"/>
      <c r="AC83" s="33"/>
    </row>
    <row r="84" spans="10:50">
      <c r="J84" s="33"/>
      <c r="K84" s="33"/>
      <c r="L84" s="33"/>
      <c r="M84" s="33"/>
      <c r="N84" s="33"/>
      <c r="O84" s="33"/>
      <c r="P84" s="33"/>
      <c r="Q84" s="33"/>
      <c r="R84" s="33"/>
      <c r="S84" s="5"/>
      <c r="T84" s="33"/>
      <c r="U84" s="33"/>
      <c r="V84" s="33"/>
      <c r="W84" s="33"/>
      <c r="X84" s="33"/>
      <c r="Y84" s="33"/>
      <c r="Z84" s="33"/>
      <c r="AA84" s="33"/>
      <c r="AB84" s="33"/>
      <c r="AC84" s="33"/>
    </row>
    <row r="85" spans="10:50">
      <c r="J85" s="33"/>
      <c r="K85" s="33"/>
      <c r="L85" s="33"/>
      <c r="M85" s="33"/>
      <c r="N85" s="33"/>
      <c r="O85" s="33"/>
      <c r="P85" s="33"/>
      <c r="Q85" s="33"/>
      <c r="R85" s="33"/>
      <c r="S85" s="5"/>
      <c r="T85" s="33"/>
      <c r="U85" s="33"/>
      <c r="V85" s="33"/>
      <c r="W85" s="33"/>
      <c r="X85" s="33"/>
      <c r="Y85" s="33"/>
      <c r="Z85" s="33"/>
      <c r="AA85" s="33"/>
      <c r="AB85" s="33"/>
      <c r="AC85" s="33"/>
    </row>
    <row r="86" spans="10:50">
      <c r="J86" s="33"/>
      <c r="K86" s="33"/>
      <c r="L86" s="33"/>
      <c r="M86" s="33"/>
      <c r="N86" s="33"/>
      <c r="O86" s="33"/>
      <c r="P86" s="33"/>
      <c r="Q86" s="33"/>
      <c r="R86" s="33"/>
      <c r="S86" s="5"/>
      <c r="T86" s="33"/>
      <c r="U86" s="33"/>
      <c r="V86" s="33"/>
      <c r="W86" s="33"/>
      <c r="X86" s="33"/>
      <c r="Y86" s="33"/>
      <c r="Z86" s="33"/>
      <c r="AA86" s="33"/>
      <c r="AB86" s="33"/>
      <c r="AC86" s="33"/>
    </row>
    <row r="87" spans="10:50">
      <c r="J87" s="33"/>
      <c r="K87" s="33"/>
      <c r="L87" s="33"/>
      <c r="M87" s="33"/>
      <c r="N87" s="33"/>
      <c r="O87" s="33"/>
      <c r="P87" s="33"/>
      <c r="Q87" s="33"/>
      <c r="R87" s="33"/>
      <c r="S87" s="5"/>
      <c r="T87" s="33"/>
      <c r="U87" s="33"/>
      <c r="V87" s="33"/>
      <c r="W87" s="33"/>
      <c r="X87" s="33"/>
      <c r="Y87" s="33"/>
      <c r="Z87" s="33"/>
      <c r="AA87" s="33"/>
      <c r="AB87" s="33"/>
      <c r="AC87" s="33"/>
    </row>
    <row r="88" spans="10:50">
      <c r="J88" s="33"/>
      <c r="K88" s="33"/>
      <c r="L88" s="33"/>
      <c r="M88" s="33"/>
      <c r="N88" s="33"/>
      <c r="O88" s="33"/>
      <c r="P88" s="33"/>
      <c r="Q88" s="33"/>
      <c r="R88" s="33"/>
      <c r="S88" s="5"/>
      <c r="T88" s="33"/>
      <c r="U88" s="33"/>
      <c r="V88" s="33"/>
      <c r="W88" s="33"/>
      <c r="X88" s="33"/>
      <c r="Y88" s="33"/>
      <c r="Z88" s="33"/>
      <c r="AA88" s="33"/>
      <c r="AB88" s="33"/>
      <c r="AC88" s="33"/>
    </row>
    <row r="89" spans="10:50">
      <c r="J89" s="33"/>
      <c r="K89" s="33"/>
      <c r="L89" s="33"/>
      <c r="M89" s="33"/>
      <c r="N89" s="33"/>
      <c r="O89" s="33"/>
      <c r="P89" s="33"/>
      <c r="Q89" s="33"/>
      <c r="R89" s="33"/>
      <c r="S89" s="5"/>
      <c r="T89" s="33"/>
      <c r="U89" s="33"/>
      <c r="V89" s="33"/>
      <c r="W89" s="33"/>
      <c r="X89" s="33"/>
      <c r="Y89" s="33"/>
      <c r="Z89" s="33"/>
      <c r="AA89" s="33"/>
      <c r="AB89" s="33"/>
      <c r="AC89" s="33"/>
    </row>
    <row r="90" spans="10:50">
      <c r="J90" s="33"/>
      <c r="K90" s="33"/>
      <c r="L90" s="33"/>
      <c r="M90" s="33"/>
      <c r="N90" s="33"/>
      <c r="O90" s="33"/>
      <c r="P90" s="33"/>
      <c r="Q90" s="33"/>
      <c r="R90" s="33"/>
      <c r="S90" s="5"/>
      <c r="T90" s="33"/>
      <c r="U90" s="33"/>
      <c r="V90" s="33"/>
      <c r="W90" s="33"/>
      <c r="X90" s="33"/>
      <c r="Y90" s="33"/>
      <c r="Z90" s="33"/>
      <c r="AA90" s="33"/>
      <c r="AB90" s="33"/>
      <c r="AC90" s="33"/>
    </row>
    <row r="93" spans="10:50">
      <c r="S93" s="20" t="str">
        <f ca="1">CONCATENATE(LEFT($S$32, LEN($S$32)-4), " Step#", OFFSET($J$35, S33, 0))</f>
        <v>Stg.4 Shroud Step#1</v>
      </c>
      <c r="T93" s="20" t="str">
        <f t="shared" ref="T93:AP93" ca="1" si="15">CONCATENATE(LEFT($S$32, LEN($S$32)-4), " Step#", OFFSET($J$35, T33, 0))</f>
        <v>Stg.4 Shroud Step#24</v>
      </c>
      <c r="U93" s="20" t="str">
        <f t="shared" ca="1" si="15"/>
        <v>Stg.4 Shroud Step#23</v>
      </c>
      <c r="V93" s="20" t="str">
        <f t="shared" ca="1" si="15"/>
        <v>Stg.4 Shroud Step#22</v>
      </c>
      <c r="W93" s="20" t="str">
        <f t="shared" ca="1" si="15"/>
        <v>Stg.4 Shroud Step#21</v>
      </c>
      <c r="X93" s="20" t="str">
        <f t="shared" ca="1" si="15"/>
        <v>Stg.4 Shroud Step#20</v>
      </c>
      <c r="Y93" s="20" t="str">
        <f t="shared" ca="1" si="15"/>
        <v>Stg.4 Shroud Step#19</v>
      </c>
      <c r="Z93" s="20" t="str">
        <f t="shared" ca="1" si="15"/>
        <v>Stg.4 Shroud Step#18</v>
      </c>
      <c r="AA93" s="20" t="str">
        <f t="shared" ca="1" si="15"/>
        <v>Stg.4 Shroud Step#17</v>
      </c>
      <c r="AB93" s="20" t="str">
        <f t="shared" ca="1" si="15"/>
        <v>Stg.4 Shroud Step#16</v>
      </c>
      <c r="AC93" s="20" t="str">
        <f t="shared" ca="1" si="15"/>
        <v>Stg.4 Shroud Step#15</v>
      </c>
      <c r="AD93" s="20" t="str">
        <f t="shared" ca="1" si="15"/>
        <v>Stg.4 Shroud Step#14</v>
      </c>
      <c r="AE93" s="20" t="str">
        <f t="shared" ca="1" si="15"/>
        <v>Stg.4 Shroud Step#13</v>
      </c>
      <c r="AF93" s="20" t="str">
        <f t="shared" ca="1" si="15"/>
        <v>Stg.4 Shroud Step#12</v>
      </c>
      <c r="AG93" s="20" t="str">
        <f t="shared" ca="1" si="15"/>
        <v>Stg.4 Shroud Step#11</v>
      </c>
      <c r="AH93" s="20" t="str">
        <f t="shared" ca="1" si="15"/>
        <v>Stg.4 Shroud Step#10</v>
      </c>
      <c r="AI93" s="20" t="str">
        <f t="shared" ca="1" si="15"/>
        <v>Stg.4 Shroud Step#9</v>
      </c>
      <c r="AJ93" s="20" t="str">
        <f t="shared" ca="1" si="15"/>
        <v>Stg.4 Shroud Step#8</v>
      </c>
      <c r="AK93" s="20" t="str">
        <f t="shared" ca="1" si="15"/>
        <v>Stg.4 Shroud Step#7</v>
      </c>
      <c r="AL93" s="20" t="str">
        <f t="shared" ca="1" si="15"/>
        <v>Stg.4 Shroud Step#6</v>
      </c>
      <c r="AM93" s="20" t="str">
        <f t="shared" ca="1" si="15"/>
        <v>Stg.4 Shroud Step#5</v>
      </c>
      <c r="AN93" s="20" t="str">
        <f t="shared" ca="1" si="15"/>
        <v>Stg.4 Shroud Step#4</v>
      </c>
      <c r="AO93" s="20" t="str">
        <f t="shared" ca="1" si="15"/>
        <v>Stg.4 Shroud Step#3</v>
      </c>
      <c r="AP93" s="20" t="str">
        <f t="shared" ca="1" si="15"/>
        <v>Stg.4 Shroud Step#2</v>
      </c>
      <c r="AQ93" s="20" t="s">
        <v>349</v>
      </c>
      <c r="AR93" s="20" t="s">
        <v>350</v>
      </c>
    </row>
    <row r="94" spans="10:50">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7" t="s">
        <v>320</v>
      </c>
      <c r="AR94" s="17" t="s">
        <v>320</v>
      </c>
    </row>
    <row r="95" spans="10:50">
      <c r="S95" s="35">
        <f ca="1">IF(S36&lt;&gt;"", S36-'246+avg2.03'!S36-$AQ$122, "")</f>
        <v>4.8815992901609206E-2</v>
      </c>
      <c r="T95" s="35"/>
      <c r="U95" s="35"/>
      <c r="V95" s="35"/>
      <c r="W95" s="35"/>
      <c r="X95" s="35"/>
      <c r="Y95" s="35"/>
      <c r="Z95" s="35"/>
      <c r="AA95" s="35"/>
      <c r="AB95" s="35"/>
      <c r="AC95" s="35"/>
      <c r="AD95" s="35"/>
      <c r="AE95" s="35"/>
      <c r="AF95" s="35"/>
      <c r="AG95" s="35"/>
      <c r="AH95" s="35"/>
      <c r="AI95" s="35"/>
      <c r="AJ95" s="35"/>
      <c r="AK95" s="35"/>
      <c r="AL95" s="35"/>
      <c r="AM95" s="35"/>
      <c r="AN95" s="35"/>
      <c r="AO95" s="35"/>
      <c r="AP95" s="35">
        <f ca="1">IF(AP36&lt;&gt;"", AP36-'246+avg2.03'!AP36-$AQ$122, "")</f>
        <v>5.2519976285907433E-3</v>
      </c>
      <c r="AQ95" s="21">
        <f>AQ36-'246+avg2.03'!AR36-$AQ$122</f>
        <v>-0.23749999999995453</v>
      </c>
      <c r="AR95" s="21">
        <f>AR36-'246+avg2.03'!AQ36-$AQ$122</f>
        <v>0.23749999999995453</v>
      </c>
      <c r="AS95" s="13" t="s">
        <v>351</v>
      </c>
      <c r="AT95" s="36">
        <f ca="1">MAX(S95:AP118)</f>
        <v>9.8957332953830246E-2</v>
      </c>
      <c r="AU95" s="13" t="str">
        <f ca="1">IF(AT95&gt;AR95, CONCATENATE("O/Max ", TEXT(AT95-AR95,"0.000")), "-")</f>
        <v>-</v>
      </c>
      <c r="AV95" s="36">
        <f ca="1">$Q36-'246+avg2.03'!$Q36-$AQ$122</f>
        <v>4.8815992901609206E-2</v>
      </c>
      <c r="AW95" s="13">
        <f ca="1">INDEX($J36:$J59,MATCH(AT95,AV95:AV118,0))</f>
        <v>23</v>
      </c>
      <c r="AX95" s="5">
        <f ca="1">MATCH(AT95,AV95:AV118,0)</f>
        <v>3</v>
      </c>
    </row>
    <row r="96" spans="10:50">
      <c r="S96" s="35">
        <f ca="1">IF(S37&lt;&gt;"", S37-'246+avg2.03'!S37-$AQ$122, "")</f>
        <v>4.8815992901609206E-2</v>
      </c>
      <c r="T96" s="35">
        <f ca="1">IF(T37&lt;&gt;"", T37-'246+avg2.03'!T37-$AQ$122, "")</f>
        <v>7.8026664342587537E-2</v>
      </c>
      <c r="U96" s="35"/>
      <c r="V96" s="35"/>
      <c r="W96" s="35"/>
      <c r="X96" s="35"/>
      <c r="Y96" s="35"/>
      <c r="Z96" s="35"/>
      <c r="AA96" s="35"/>
      <c r="AB96" s="35"/>
      <c r="AC96" s="35"/>
      <c r="AD96" s="35"/>
      <c r="AE96" s="35"/>
      <c r="AF96" s="35"/>
      <c r="AG96" s="35"/>
      <c r="AH96" s="35"/>
      <c r="AI96" s="35"/>
      <c r="AJ96" s="35"/>
      <c r="AK96" s="35"/>
      <c r="AL96" s="35"/>
      <c r="AM96" s="35"/>
      <c r="AN96" s="35"/>
      <c r="AO96" s="35"/>
      <c r="AP96" s="35"/>
      <c r="AQ96" s="21">
        <f>AQ95</f>
        <v>-0.23749999999995453</v>
      </c>
      <c r="AR96" s="21">
        <f>AR95</f>
        <v>0.23749999999995453</v>
      </c>
      <c r="AS96" s="13" t="s">
        <v>352</v>
      </c>
      <c r="AT96" s="36">
        <f ca="1">MIN(S95:AP118)</f>
        <v>-3.4232012259508338E-2</v>
      </c>
      <c r="AU96" s="13" t="str">
        <f ca="1">IF(AT96&lt;AQ95, CONCATENATE("U/Min ", TEXT(AQ95-AT96,"0.000")), "-")</f>
        <v>-</v>
      </c>
      <c r="AV96" s="36">
        <f ca="1">$Q37-'246+avg2.03'!$Q37-$AQ$122</f>
        <v>7.8026664342587537E-2</v>
      </c>
      <c r="AW96" s="13">
        <f ca="1">INDEX($J36:$J59,MATCH(AT96,AV95:AV118,0))</f>
        <v>19</v>
      </c>
      <c r="AX96" s="5">
        <f ca="1">MATCH(AT96,AV95:AV118,0)</f>
        <v>7</v>
      </c>
    </row>
    <row r="97" spans="19:49">
      <c r="S97" s="35"/>
      <c r="T97" s="35">
        <f ca="1">IF(T38&lt;&gt;"", T38-'246+avg2.03'!T38-$AQ$122, "")</f>
        <v>7.8026664342587537E-2</v>
      </c>
      <c r="U97" s="35">
        <f ca="1">IF(U38&lt;&gt;"", U38-'246+avg2.03'!U38-$AQ$122, "")</f>
        <v>9.8957332953830246E-2</v>
      </c>
      <c r="V97" s="35"/>
      <c r="W97" s="35"/>
      <c r="X97" s="35"/>
      <c r="Y97" s="35"/>
      <c r="Z97" s="35"/>
      <c r="AA97" s="35"/>
      <c r="AB97" s="35"/>
      <c r="AC97" s="35"/>
      <c r="AD97" s="35"/>
      <c r="AE97" s="35"/>
      <c r="AF97" s="35"/>
      <c r="AG97" s="35"/>
      <c r="AH97" s="35"/>
      <c r="AI97" s="35"/>
      <c r="AJ97" s="35"/>
      <c r="AK97" s="35"/>
      <c r="AL97" s="35"/>
      <c r="AM97" s="35"/>
      <c r="AN97" s="35"/>
      <c r="AO97" s="35"/>
      <c r="AP97" s="35"/>
      <c r="AQ97" s="21">
        <f t="shared" ref="AQ97:AQ118" si="16">AQ96</f>
        <v>-0.23749999999995453</v>
      </c>
      <c r="AR97" s="21">
        <f t="shared" ref="AR97:AR118" si="17">AR96</f>
        <v>0.23749999999995453</v>
      </c>
      <c r="AV97" s="36">
        <f ca="1">$Q38-'246+avg2.03'!$Q38-$AQ$122</f>
        <v>9.8957332953830246E-2</v>
      </c>
      <c r="AW97" s="2"/>
    </row>
    <row r="98" spans="19:49">
      <c r="S98" s="35"/>
      <c r="T98" s="35"/>
      <c r="U98" s="35">
        <f ca="1">IF(U39&lt;&gt;"", U39-'246+avg2.03'!U39-$AQ$122, "")</f>
        <v>9.8957332953830246E-2</v>
      </c>
      <c r="V98" s="35">
        <f ca="1">IF(V39&lt;&gt;"", V39-'246+avg2.03'!V39-$AQ$122, "")</f>
        <v>8.7343999970187269E-2</v>
      </c>
      <c r="W98" s="35"/>
      <c r="X98" s="35"/>
      <c r="Y98" s="35"/>
      <c r="Z98" s="35"/>
      <c r="AA98" s="35"/>
      <c r="AB98" s="35"/>
      <c r="AC98" s="35"/>
      <c r="AD98" s="35"/>
      <c r="AE98" s="35"/>
      <c r="AF98" s="35"/>
      <c r="AG98" s="35"/>
      <c r="AH98" s="35"/>
      <c r="AI98" s="35"/>
      <c r="AJ98" s="35"/>
      <c r="AK98" s="35"/>
      <c r="AL98" s="35"/>
      <c r="AM98" s="35"/>
      <c r="AN98" s="35"/>
      <c r="AO98" s="35"/>
      <c r="AP98" s="35"/>
      <c r="AQ98" s="21">
        <f t="shared" si="16"/>
        <v>-0.23749999999995453</v>
      </c>
      <c r="AR98" s="21">
        <f t="shared" si="17"/>
        <v>0.23749999999995453</v>
      </c>
      <c r="AV98" s="36">
        <f ca="1">$Q39-'246+avg2.03'!$Q39-$AQ$122</f>
        <v>8.7343999970187269E-2</v>
      </c>
      <c r="AW98" s="2"/>
    </row>
    <row r="99" spans="19:49">
      <c r="S99" s="35"/>
      <c r="T99" s="35"/>
      <c r="U99" s="35"/>
      <c r="V99" s="35">
        <f ca="1">IF(V40&lt;&gt;"", V40-'246+avg2.03'!V40-$AQ$122, "")</f>
        <v>8.7343999970187269E-2</v>
      </c>
      <c r="W99" s="35">
        <f ca="1">IF(W40&lt;&gt;"", W40-'246+avg2.03'!W40-$AQ$122, "")</f>
        <v>4.2826662949948968E-2</v>
      </c>
      <c r="X99" s="35"/>
      <c r="Y99" s="35"/>
      <c r="Z99" s="35"/>
      <c r="AA99" s="35"/>
      <c r="AB99" s="35"/>
      <c r="AC99" s="35"/>
      <c r="AD99" s="35"/>
      <c r="AE99" s="35"/>
      <c r="AF99" s="35"/>
      <c r="AG99" s="35"/>
      <c r="AH99" s="35"/>
      <c r="AI99" s="35"/>
      <c r="AJ99" s="35"/>
      <c r="AK99" s="35"/>
      <c r="AL99" s="35"/>
      <c r="AM99" s="35"/>
      <c r="AN99" s="35"/>
      <c r="AO99" s="35"/>
      <c r="AP99" s="35"/>
      <c r="AQ99" s="21">
        <f t="shared" si="16"/>
        <v>-0.23749999999995453</v>
      </c>
      <c r="AR99" s="21">
        <f t="shared" si="17"/>
        <v>0.23749999999995453</v>
      </c>
      <c r="AV99" s="36">
        <f ca="1">$Q40-'246+avg2.03'!$Q40-$AQ$122</f>
        <v>4.2826662949948968E-2</v>
      </c>
      <c r="AW99" s="2"/>
    </row>
    <row r="100" spans="19:49">
      <c r="S100" s="35"/>
      <c r="T100" s="35"/>
      <c r="U100" s="35"/>
      <c r="V100" s="35"/>
      <c r="W100" s="35">
        <f ca="1">IF(W41&lt;&gt;"", W41-'246+avg2.03'!W41-$AQ$122, "")</f>
        <v>4.2826662949948968E-2</v>
      </c>
      <c r="X100" s="35">
        <f ca="1">IF(X41&lt;&gt;"", X41-'246+avg2.03'!X41-$AQ$122, "")</f>
        <v>-8.4613461510230081E-3</v>
      </c>
      <c r="Y100" s="35"/>
      <c r="Z100" s="35"/>
      <c r="AA100" s="35"/>
      <c r="AB100" s="35"/>
      <c r="AC100" s="35"/>
      <c r="AD100" s="35"/>
      <c r="AE100" s="35"/>
      <c r="AF100" s="35"/>
      <c r="AG100" s="35"/>
      <c r="AH100" s="35"/>
      <c r="AI100" s="35"/>
      <c r="AJ100" s="35"/>
      <c r="AK100" s="35"/>
      <c r="AL100" s="35"/>
      <c r="AM100" s="35"/>
      <c r="AN100" s="35"/>
      <c r="AO100" s="35"/>
      <c r="AP100" s="35"/>
      <c r="AQ100" s="21">
        <f t="shared" si="16"/>
        <v>-0.23749999999995453</v>
      </c>
      <c r="AR100" s="21">
        <f t="shared" si="17"/>
        <v>0.23749999999995453</v>
      </c>
      <c r="AV100" s="36">
        <f ca="1">$Q41-'246+avg2.03'!$Q41-$AQ$122</f>
        <v>-8.4613461510230081E-3</v>
      </c>
      <c r="AW100" s="2"/>
    </row>
    <row r="101" spans="19:49">
      <c r="S101" s="35"/>
      <c r="T101" s="35"/>
      <c r="U101" s="35"/>
      <c r="V101" s="35"/>
      <c r="W101" s="35"/>
      <c r="X101" s="35">
        <f ca="1">IF(X42&lt;&gt;"", X42-'246+avg2.03'!X42-$AQ$122, "")</f>
        <v>-8.4613461510230081E-3</v>
      </c>
      <c r="Y101" s="35">
        <f ca="1">IF(Y42&lt;&gt;"", Y42-'246+avg2.03'!Y42-$AQ$122, "")</f>
        <v>-3.4232012259508338E-2</v>
      </c>
      <c r="Z101" s="35"/>
      <c r="AA101" s="35"/>
      <c r="AB101" s="35"/>
      <c r="AC101" s="35"/>
      <c r="AD101" s="35"/>
      <c r="AE101" s="35"/>
      <c r="AF101" s="35"/>
      <c r="AG101" s="35"/>
      <c r="AH101" s="35"/>
      <c r="AI101" s="35"/>
      <c r="AJ101" s="35"/>
      <c r="AK101" s="35"/>
      <c r="AL101" s="35"/>
      <c r="AM101" s="35"/>
      <c r="AN101" s="35"/>
      <c r="AO101" s="35"/>
      <c r="AP101" s="35"/>
      <c r="AQ101" s="21">
        <f t="shared" si="16"/>
        <v>-0.23749999999995453</v>
      </c>
      <c r="AR101" s="21">
        <f t="shared" si="17"/>
        <v>0.23749999999995453</v>
      </c>
      <c r="AV101" s="36">
        <f ca="1">$Q42-'246+avg2.03'!$Q42-$AQ$122</f>
        <v>-3.4232012259508338E-2</v>
      </c>
      <c r="AW101" s="2"/>
    </row>
    <row r="102" spans="19:49">
      <c r="S102" s="35"/>
      <c r="T102" s="35"/>
      <c r="U102" s="35"/>
      <c r="V102" s="35"/>
      <c r="W102" s="35"/>
      <c r="X102" s="35"/>
      <c r="Y102" s="35">
        <f ca="1">IF(Y43&lt;&gt;"", Y43-'246+avg2.03'!Y43-$AQ$122, "")</f>
        <v>-3.4232012259508338E-2</v>
      </c>
      <c r="Z102" s="35">
        <f ca="1">IF(Z43&lt;&gt;"", Z43-'246+avg2.03'!Z43-$AQ$122, "")</f>
        <v>-2.6946670401969186E-2</v>
      </c>
      <c r="AA102" s="35"/>
      <c r="AB102" s="35"/>
      <c r="AC102" s="35"/>
      <c r="AD102" s="35"/>
      <c r="AE102" s="35"/>
      <c r="AF102" s="35"/>
      <c r="AG102" s="35"/>
      <c r="AH102" s="35"/>
      <c r="AI102" s="35"/>
      <c r="AJ102" s="35"/>
      <c r="AK102" s="35"/>
      <c r="AL102" s="35"/>
      <c r="AM102" s="35"/>
      <c r="AN102" s="35"/>
      <c r="AO102" s="35"/>
      <c r="AP102" s="35"/>
      <c r="AQ102" s="21">
        <f t="shared" si="16"/>
        <v>-0.23749999999995453</v>
      </c>
      <c r="AR102" s="21">
        <f t="shared" si="17"/>
        <v>0.23749999999995453</v>
      </c>
      <c r="AV102" s="36">
        <f ca="1">$Q43-'246+avg2.03'!$Q43-$AQ$122</f>
        <v>-2.6946670401969186E-2</v>
      </c>
      <c r="AW102" s="2"/>
    </row>
    <row r="103" spans="19:49">
      <c r="S103" s="35"/>
      <c r="T103" s="35"/>
      <c r="U103" s="35"/>
      <c r="V103" s="35"/>
      <c r="W103" s="35"/>
      <c r="X103" s="35"/>
      <c r="Y103" s="35"/>
      <c r="Z103" s="35">
        <f ca="1">IF(Z44&lt;&gt;"", Z44-'246+avg2.03'!Z44-$AQ$122, "")</f>
        <v>-2.6946670401969186E-2</v>
      </c>
      <c r="AA103" s="35">
        <f ca="1">IF(AA44&lt;&gt;"", AA44-'246+avg2.03'!AA44-$AQ$122, "")</f>
        <v>-9.0240011972468892E-3</v>
      </c>
      <c r="AB103" s="35"/>
      <c r="AC103" s="35"/>
      <c r="AD103" s="35"/>
      <c r="AE103" s="35"/>
      <c r="AF103" s="35"/>
      <c r="AG103" s="35"/>
      <c r="AH103" s="35"/>
      <c r="AI103" s="35"/>
      <c r="AJ103" s="35"/>
      <c r="AK103" s="35"/>
      <c r="AL103" s="35"/>
      <c r="AM103" s="35"/>
      <c r="AN103" s="35"/>
      <c r="AO103" s="35"/>
      <c r="AP103" s="35"/>
      <c r="AQ103" s="21">
        <f t="shared" si="16"/>
        <v>-0.23749999999995453</v>
      </c>
      <c r="AR103" s="21">
        <f t="shared" si="17"/>
        <v>0.23749999999995453</v>
      </c>
      <c r="AV103" s="36">
        <f ca="1">$Q44-'246+avg2.03'!$Q44-$AQ$122</f>
        <v>-9.0240011972468892E-3</v>
      </c>
      <c r="AW103" s="2"/>
    </row>
    <row r="104" spans="19:49">
      <c r="S104" s="35"/>
      <c r="T104" s="35"/>
      <c r="U104" s="35"/>
      <c r="V104" s="35"/>
      <c r="W104" s="35"/>
      <c r="X104" s="35"/>
      <c r="Y104" s="35"/>
      <c r="Z104" s="35"/>
      <c r="AA104" s="35">
        <f ca="1">IF(AA45&lt;&gt;"", AA45-'246+avg2.03'!AA45-$AQ$122, "")</f>
        <v>-9.0240011972468892E-3</v>
      </c>
      <c r="AB104" s="35">
        <f ca="1">IF(AB45&lt;&gt;"", AB45-'246+avg2.03'!AB45-$AQ$122, "")</f>
        <v>1.7279998802735008E-2</v>
      </c>
      <c r="AC104" s="35"/>
      <c r="AD104" s="35"/>
      <c r="AE104" s="35"/>
      <c r="AF104" s="35"/>
      <c r="AG104" s="35"/>
      <c r="AH104" s="35"/>
      <c r="AI104" s="35"/>
      <c r="AJ104" s="35"/>
      <c r="AK104" s="35"/>
      <c r="AL104" s="35"/>
      <c r="AM104" s="35"/>
      <c r="AN104" s="35"/>
      <c r="AO104" s="35"/>
      <c r="AP104" s="35"/>
      <c r="AQ104" s="21">
        <f t="shared" si="16"/>
        <v>-0.23749999999995453</v>
      </c>
      <c r="AR104" s="21">
        <f t="shared" si="17"/>
        <v>0.23749999999995453</v>
      </c>
      <c r="AV104" s="36">
        <f ca="1">$Q45-'246+avg2.03'!$Q45-$AQ$122</f>
        <v>1.7279998802735008E-2</v>
      </c>
      <c r="AW104" s="2"/>
    </row>
    <row r="105" spans="19:49">
      <c r="S105" s="35"/>
      <c r="T105" s="35"/>
      <c r="U105" s="35"/>
      <c r="V105" s="35"/>
      <c r="W105" s="35"/>
      <c r="X105" s="35"/>
      <c r="Y105" s="35"/>
      <c r="Z105" s="35"/>
      <c r="AA105" s="35"/>
      <c r="AB105" s="35">
        <f ca="1">IF(AB46&lt;&gt;"", AB46-'246+avg2.03'!AB46-$AQ$122, "")</f>
        <v>1.7279998802735008E-2</v>
      </c>
      <c r="AC105" s="35">
        <f ca="1">IF(AC46&lt;&gt;"", AC46-'246+avg2.03'!AC46-$AQ$122, "")</f>
        <v>3.883200107753737E-2</v>
      </c>
      <c r="AD105" s="35"/>
      <c r="AE105" s="35"/>
      <c r="AF105" s="35"/>
      <c r="AG105" s="35"/>
      <c r="AH105" s="35"/>
      <c r="AI105" s="35"/>
      <c r="AJ105" s="35"/>
      <c r="AK105" s="35"/>
      <c r="AL105" s="35"/>
      <c r="AM105" s="35"/>
      <c r="AN105" s="35"/>
      <c r="AO105" s="35"/>
      <c r="AP105" s="35"/>
      <c r="AQ105" s="21">
        <f t="shared" si="16"/>
        <v>-0.23749999999995453</v>
      </c>
      <c r="AR105" s="21">
        <f t="shared" si="17"/>
        <v>0.23749999999995453</v>
      </c>
      <c r="AV105" s="36">
        <f ca="1">$Q46-'246+avg2.03'!$Q46-$AQ$122</f>
        <v>3.883200107753737E-2</v>
      </c>
      <c r="AW105" s="2"/>
    </row>
    <row r="106" spans="19:49">
      <c r="S106" s="35"/>
      <c r="T106" s="35"/>
      <c r="U106" s="35"/>
      <c r="V106" s="35"/>
      <c r="W106" s="35"/>
      <c r="X106" s="35"/>
      <c r="Y106" s="35"/>
      <c r="Z106" s="35"/>
      <c r="AA106" s="35"/>
      <c r="AB106" s="35"/>
      <c r="AC106" s="35">
        <f ca="1">IF(AC47&lt;&gt;"", AC47-'246+avg2.03'!AC47-$AQ$122, "")</f>
        <v>3.883200107753737E-2</v>
      </c>
      <c r="AD106" s="35">
        <f ca="1">IF(AD47&lt;&gt;"", AD47-'246+avg2.03'!AD47-$AQ$122, "")</f>
        <v>4.485600670130907E-2</v>
      </c>
      <c r="AE106" s="35"/>
      <c r="AF106" s="35"/>
      <c r="AG106" s="35"/>
      <c r="AH106" s="35"/>
      <c r="AI106" s="35"/>
      <c r="AJ106" s="35"/>
      <c r="AK106" s="35"/>
      <c r="AL106" s="35"/>
      <c r="AM106" s="35"/>
      <c r="AN106" s="35"/>
      <c r="AO106" s="35"/>
      <c r="AP106" s="35"/>
      <c r="AQ106" s="21">
        <f t="shared" si="16"/>
        <v>-0.23749999999995453</v>
      </c>
      <c r="AR106" s="21">
        <f t="shared" si="17"/>
        <v>0.23749999999995453</v>
      </c>
      <c r="AV106" s="36">
        <f ca="1">$Q47-'246+avg2.03'!$Q47-$AQ$122</f>
        <v>4.485600670130907E-2</v>
      </c>
      <c r="AW106" s="2"/>
    </row>
    <row r="107" spans="19:49">
      <c r="S107" s="35"/>
      <c r="T107" s="35"/>
      <c r="U107" s="35"/>
      <c r="V107" s="35"/>
      <c r="W107" s="35"/>
      <c r="X107" s="35"/>
      <c r="Y107" s="35"/>
      <c r="Z107" s="35"/>
      <c r="AA107" s="35"/>
      <c r="AB107" s="35"/>
      <c r="AC107" s="35"/>
      <c r="AD107" s="35">
        <f ca="1">IF(AD48&lt;&gt;"", AD48-'246+avg2.03'!AD48-$AQ$122, "")</f>
        <v>4.485600670130907E-2</v>
      </c>
      <c r="AE107" s="35">
        <f ca="1">IF(AE48&lt;&gt;"", AE48-'246+avg2.03'!AE48-$AQ$122, "")</f>
        <v>3.3328006100987295E-2</v>
      </c>
      <c r="AF107" s="35"/>
      <c r="AG107" s="35"/>
      <c r="AH107" s="35"/>
      <c r="AI107" s="35"/>
      <c r="AJ107" s="35"/>
      <c r="AK107" s="35"/>
      <c r="AL107" s="35"/>
      <c r="AM107" s="35"/>
      <c r="AN107" s="35"/>
      <c r="AO107" s="35"/>
      <c r="AP107" s="35"/>
      <c r="AQ107" s="21">
        <f t="shared" si="16"/>
        <v>-0.23749999999995453</v>
      </c>
      <c r="AR107" s="21">
        <f t="shared" si="17"/>
        <v>0.23749999999995453</v>
      </c>
      <c r="AV107" s="36">
        <f ca="1">$Q48-'246+avg2.03'!$Q48-$AQ$122</f>
        <v>3.3328006100987295E-2</v>
      </c>
      <c r="AW107" s="2"/>
    </row>
    <row r="108" spans="19:49">
      <c r="S108" s="35"/>
      <c r="T108" s="35"/>
      <c r="U108" s="35"/>
      <c r="V108" s="35"/>
      <c r="W108" s="35"/>
      <c r="X108" s="35"/>
      <c r="Y108" s="35"/>
      <c r="Z108" s="35"/>
      <c r="AA108" s="35"/>
      <c r="AB108" s="35"/>
      <c r="AC108" s="35"/>
      <c r="AD108" s="35"/>
      <c r="AE108" s="35">
        <f ca="1">IF(AE49&lt;&gt;"", AE49-'246+avg2.03'!AE49-$AQ$122, "")</f>
        <v>3.3328006100987295E-2</v>
      </c>
      <c r="AF108" s="35">
        <f ca="1">IF(AF49&lt;&gt;"", AF49-'246+avg2.03'!AF49-$AQ$122, "")</f>
        <v>1.574396549017365E-2</v>
      </c>
      <c r="AG108" s="35"/>
      <c r="AH108" s="35"/>
      <c r="AI108" s="35"/>
      <c r="AJ108" s="35"/>
      <c r="AK108" s="35"/>
      <c r="AL108" s="35"/>
      <c r="AM108" s="35"/>
      <c r="AN108" s="35"/>
      <c r="AO108" s="35"/>
      <c r="AP108" s="35"/>
      <c r="AQ108" s="21">
        <f t="shared" si="16"/>
        <v>-0.23749999999995453</v>
      </c>
      <c r="AR108" s="21">
        <f t="shared" si="17"/>
        <v>0.23749999999995453</v>
      </c>
      <c r="AV108" s="36">
        <f ca="1">$Q49-'246+avg2.03'!$Q49-$AQ$122</f>
        <v>1.574396549017365E-2</v>
      </c>
      <c r="AW108" s="2"/>
    </row>
    <row r="109" spans="19:49">
      <c r="S109" s="35"/>
      <c r="T109" s="35"/>
      <c r="U109" s="35"/>
      <c r="V109" s="35"/>
      <c r="W109" s="35"/>
      <c r="X109" s="35"/>
      <c r="Y109" s="35"/>
      <c r="Z109" s="35"/>
      <c r="AA109" s="35"/>
      <c r="AB109" s="35"/>
      <c r="AC109" s="35"/>
      <c r="AD109" s="35"/>
      <c r="AE109" s="35"/>
      <c r="AF109" s="35">
        <f ca="1">IF(AF50&lt;&gt;"", AF50-'246+avg2.03'!AF50-$AQ$122, "")</f>
        <v>1.574396549017365E-2</v>
      </c>
      <c r="AG109" s="35">
        <f ca="1">IF(AG50&lt;&gt;"", AG50-'246+avg2.03'!AG50-$AQ$122, "")</f>
        <v>6.9918773501171927E-3</v>
      </c>
      <c r="AH109" s="35"/>
      <c r="AI109" s="35"/>
      <c r="AJ109" s="35"/>
      <c r="AK109" s="35"/>
      <c r="AL109" s="35"/>
      <c r="AM109" s="35"/>
      <c r="AN109" s="35"/>
      <c r="AO109" s="35"/>
      <c r="AP109" s="35"/>
      <c r="AQ109" s="21">
        <f t="shared" si="16"/>
        <v>-0.23749999999995453</v>
      </c>
      <c r="AR109" s="21">
        <f t="shared" si="17"/>
        <v>0.23749999999995453</v>
      </c>
      <c r="AV109" s="36">
        <f ca="1">$Q50-'246+avg2.03'!$Q50-$AQ$122</f>
        <v>6.9918773501171927E-3</v>
      </c>
      <c r="AW109" s="2"/>
    </row>
    <row r="110" spans="19:49">
      <c r="S110" s="35"/>
      <c r="T110" s="35"/>
      <c r="U110" s="35"/>
      <c r="V110" s="35"/>
      <c r="W110" s="35"/>
      <c r="X110" s="35"/>
      <c r="Y110" s="35"/>
      <c r="Z110" s="35"/>
      <c r="AA110" s="35"/>
      <c r="AB110" s="35"/>
      <c r="AC110" s="35"/>
      <c r="AD110" s="35"/>
      <c r="AE110" s="35"/>
      <c r="AF110" s="35"/>
      <c r="AG110" s="35">
        <f ca="1">IF(AG51&lt;&gt;"", AG51-'246+avg2.03'!AG51-$AQ$122, "")</f>
        <v>6.9918773501171927E-3</v>
      </c>
      <c r="AH110" s="35">
        <f ca="1">IF(AH51&lt;&gt;"", AH51-'246+avg2.03'!AH51-$AQ$122, "")</f>
        <v>1.6823887007262783E-2</v>
      </c>
      <c r="AI110" s="35"/>
      <c r="AJ110" s="35"/>
      <c r="AK110" s="35"/>
      <c r="AL110" s="35"/>
      <c r="AM110" s="35"/>
      <c r="AN110" s="35"/>
      <c r="AO110" s="35"/>
      <c r="AP110" s="35"/>
      <c r="AQ110" s="21">
        <f t="shared" si="16"/>
        <v>-0.23749999999995453</v>
      </c>
      <c r="AR110" s="21">
        <f t="shared" si="17"/>
        <v>0.23749999999995453</v>
      </c>
      <c r="AV110" s="36">
        <f ca="1">$Q51-'246+avg2.03'!$Q51-$AQ$122</f>
        <v>1.6823887007262783E-2</v>
      </c>
      <c r="AW110" s="2"/>
    </row>
    <row r="111" spans="19:49">
      <c r="S111" s="35"/>
      <c r="T111" s="35"/>
      <c r="U111" s="35"/>
      <c r="V111" s="35"/>
      <c r="W111" s="35"/>
      <c r="X111" s="35"/>
      <c r="Y111" s="35"/>
      <c r="Z111" s="35"/>
      <c r="AA111" s="35"/>
      <c r="AB111" s="35"/>
      <c r="AC111" s="35"/>
      <c r="AD111" s="35"/>
      <c r="AE111" s="35"/>
      <c r="AF111" s="35"/>
      <c r="AG111" s="35"/>
      <c r="AH111" s="35">
        <f ca="1">IF(AH52&lt;&gt;"", AH52-'246+avg2.03'!AH52-$AQ$122, "")</f>
        <v>1.6823887007262783E-2</v>
      </c>
      <c r="AI111" s="35">
        <f ca="1">IF(AI52&lt;&gt;"", AI52-'246+avg2.03'!AI52-$AQ$122, "")</f>
        <v>3.4679973375148165E-2</v>
      </c>
      <c r="AJ111" s="35"/>
      <c r="AK111" s="35"/>
      <c r="AL111" s="35"/>
      <c r="AM111" s="35"/>
      <c r="AN111" s="35"/>
      <c r="AO111" s="35"/>
      <c r="AP111" s="35"/>
      <c r="AQ111" s="21">
        <f t="shared" si="16"/>
        <v>-0.23749999999995453</v>
      </c>
      <c r="AR111" s="21">
        <f t="shared" si="17"/>
        <v>0.23749999999995453</v>
      </c>
      <c r="AV111" s="36">
        <f ca="1">$Q52-'246+avg2.03'!$Q52-$AQ$122</f>
        <v>3.4679973375148165E-2</v>
      </c>
      <c r="AW111" s="2"/>
    </row>
    <row r="112" spans="19:49">
      <c r="S112" s="35"/>
      <c r="T112" s="35"/>
      <c r="U112" s="35"/>
      <c r="V112" s="35"/>
      <c r="W112" s="35"/>
      <c r="X112" s="35"/>
      <c r="Y112" s="35"/>
      <c r="Z112" s="35"/>
      <c r="AA112" s="35"/>
      <c r="AB112" s="35"/>
      <c r="AC112" s="35"/>
      <c r="AD112" s="35"/>
      <c r="AE112" s="35"/>
      <c r="AF112" s="35"/>
      <c r="AG112" s="35"/>
      <c r="AH112" s="35"/>
      <c r="AI112" s="35">
        <f ca="1">IF(AI53&lt;&gt;"", AI53-'246+avg2.03'!AI53-$AQ$122, "")</f>
        <v>3.4679973375148165E-2</v>
      </c>
      <c r="AJ112" s="35">
        <f ca="1">IF(AJ53&lt;&gt;"", AJ53-'246+avg2.03'!AJ53-$AQ$122, "")</f>
        <v>4.1489330925458034E-2</v>
      </c>
      <c r="AK112" s="35"/>
      <c r="AL112" s="35"/>
      <c r="AM112" s="35"/>
      <c r="AN112" s="35"/>
      <c r="AO112" s="35"/>
      <c r="AP112" s="35"/>
      <c r="AQ112" s="21">
        <f t="shared" si="16"/>
        <v>-0.23749999999995453</v>
      </c>
      <c r="AR112" s="21">
        <f t="shared" si="17"/>
        <v>0.23749999999995453</v>
      </c>
      <c r="AV112" s="36">
        <f ca="1">$Q53-'246+avg2.03'!$Q53-$AQ$122</f>
        <v>4.1489330925458034E-2</v>
      </c>
      <c r="AW112" s="2"/>
    </row>
    <row r="113" spans="19:49">
      <c r="S113" s="35"/>
      <c r="T113" s="35"/>
      <c r="U113" s="35"/>
      <c r="V113" s="35"/>
      <c r="W113" s="35"/>
      <c r="X113" s="35"/>
      <c r="Y113" s="35"/>
      <c r="Z113" s="35"/>
      <c r="AA113" s="35"/>
      <c r="AB113" s="35"/>
      <c r="AC113" s="35"/>
      <c r="AD113" s="35"/>
      <c r="AE113" s="35"/>
      <c r="AF113" s="35"/>
      <c r="AG113" s="35"/>
      <c r="AH113" s="35"/>
      <c r="AI113" s="35"/>
      <c r="AJ113" s="35">
        <f ca="1">IF(AJ54&lt;&gt;"", AJ54-'246+avg2.03'!AJ54-$AQ$122, "")</f>
        <v>4.1489330925458034E-2</v>
      </c>
      <c r="AK113" s="35">
        <f ca="1">IF(AK54&lt;&gt;"", AK54-'246+avg2.03'!AK54-$AQ$122, "")</f>
        <v>3.8775997774166626E-2</v>
      </c>
      <c r="AL113" s="35"/>
      <c r="AM113" s="35"/>
      <c r="AN113" s="35"/>
      <c r="AO113" s="35"/>
      <c r="AP113" s="35"/>
      <c r="AQ113" s="21">
        <f t="shared" si="16"/>
        <v>-0.23749999999995453</v>
      </c>
      <c r="AR113" s="21">
        <f t="shared" si="17"/>
        <v>0.23749999999995453</v>
      </c>
      <c r="AV113" s="36">
        <f ca="1">$Q54-'246+avg2.03'!$Q54-$AQ$122</f>
        <v>3.8775997774166626E-2</v>
      </c>
      <c r="AW113" s="2"/>
    </row>
    <row r="114" spans="19:49">
      <c r="S114" s="35"/>
      <c r="T114" s="35"/>
      <c r="U114" s="35"/>
      <c r="V114" s="35"/>
      <c r="W114" s="35"/>
      <c r="X114" s="35"/>
      <c r="Y114" s="35"/>
      <c r="Z114" s="35"/>
      <c r="AA114" s="35"/>
      <c r="AB114" s="35"/>
      <c r="AC114" s="35"/>
      <c r="AD114" s="35"/>
      <c r="AE114" s="35"/>
      <c r="AF114" s="35"/>
      <c r="AG114" s="35"/>
      <c r="AH114" s="35"/>
      <c r="AI114" s="35"/>
      <c r="AJ114" s="35"/>
      <c r="AK114" s="35">
        <f ca="1">IF(AK55&lt;&gt;"", AK55-'246+avg2.03'!AK55-$AQ$122, "")</f>
        <v>3.8775997774166626E-2</v>
      </c>
      <c r="AL114" s="35">
        <f ca="1">IF(AL55&lt;&gt;"", AL55-'246+avg2.03'!AL55-$AQ$122, "")</f>
        <v>2.2226668193241039E-2</v>
      </c>
      <c r="AM114" s="35"/>
      <c r="AN114" s="35"/>
      <c r="AO114" s="35"/>
      <c r="AP114" s="35"/>
      <c r="AQ114" s="21">
        <f t="shared" si="16"/>
        <v>-0.23749999999995453</v>
      </c>
      <c r="AR114" s="21">
        <f t="shared" si="17"/>
        <v>0.23749999999995453</v>
      </c>
      <c r="AV114" s="36">
        <f ca="1">$Q55-'246+avg2.03'!$Q55-$AQ$122</f>
        <v>2.2226668193241039E-2</v>
      </c>
      <c r="AW114" s="2"/>
    </row>
    <row r="115" spans="19:49">
      <c r="S115" s="35"/>
      <c r="T115" s="35"/>
      <c r="U115" s="35"/>
      <c r="V115" s="35"/>
      <c r="W115" s="35"/>
      <c r="X115" s="35"/>
      <c r="Y115" s="35"/>
      <c r="Z115" s="35"/>
      <c r="AA115" s="35"/>
      <c r="AB115" s="35"/>
      <c r="AC115" s="35"/>
      <c r="AD115" s="35"/>
      <c r="AE115" s="35"/>
      <c r="AF115" s="35"/>
      <c r="AG115" s="35"/>
      <c r="AH115" s="35"/>
      <c r="AI115" s="35"/>
      <c r="AJ115" s="35"/>
      <c r="AK115" s="35"/>
      <c r="AL115" s="35">
        <f ca="1">IF(AL56&lt;&gt;"", AL56-'246+avg2.03'!AL56-$AQ$122, "")</f>
        <v>2.2226668193241039E-2</v>
      </c>
      <c r="AM115" s="35">
        <f ca="1">IF(AM56&lt;&gt;"", AM56-'246+avg2.03'!AM56-$AQ$122, "")</f>
        <v>-8.6506594797697289E-3</v>
      </c>
      <c r="AN115" s="35"/>
      <c r="AO115" s="35"/>
      <c r="AP115" s="35"/>
      <c r="AQ115" s="21">
        <f t="shared" si="16"/>
        <v>-0.23749999999995453</v>
      </c>
      <c r="AR115" s="21">
        <f t="shared" si="17"/>
        <v>0.23749999999995453</v>
      </c>
      <c r="AV115" s="36">
        <f ca="1">$Q56-'246+avg2.03'!$Q56-$AQ$122</f>
        <v>-8.6506594797697289E-3</v>
      </c>
      <c r="AW115" s="2"/>
    </row>
    <row r="116" spans="19:49">
      <c r="S116" s="35"/>
      <c r="T116" s="35"/>
      <c r="U116" s="35"/>
      <c r="V116" s="35"/>
      <c r="W116" s="35"/>
      <c r="X116" s="35"/>
      <c r="Y116" s="35"/>
      <c r="Z116" s="35"/>
      <c r="AA116" s="35"/>
      <c r="AB116" s="35"/>
      <c r="AC116" s="35"/>
      <c r="AD116" s="35"/>
      <c r="AE116" s="35"/>
      <c r="AF116" s="35"/>
      <c r="AG116" s="35"/>
      <c r="AH116" s="35"/>
      <c r="AI116" s="35"/>
      <c r="AJ116" s="35"/>
      <c r="AK116" s="35"/>
      <c r="AL116" s="35"/>
      <c r="AM116" s="35">
        <f ca="1">IF(AM57&lt;&gt;"", AM57-'246+avg2.03'!AM57-$AQ$122, "")</f>
        <v>-8.6506594797697289E-3</v>
      </c>
      <c r="AN116" s="35">
        <f ca="1">IF(AN57&lt;&gt;"", AN57-'246+avg2.03'!AN57-$AQ$122, "")</f>
        <v>-2.4311992079731226E-2</v>
      </c>
      <c r="AO116" s="35"/>
      <c r="AP116" s="35"/>
      <c r="AQ116" s="21">
        <f t="shared" si="16"/>
        <v>-0.23749999999995453</v>
      </c>
      <c r="AR116" s="21">
        <f t="shared" si="17"/>
        <v>0.23749999999995453</v>
      </c>
      <c r="AV116" s="36">
        <f ca="1">$Q57-'246+avg2.03'!$Q57-$AQ$122</f>
        <v>-2.4311992079731226E-2</v>
      </c>
      <c r="AW116" s="2"/>
    </row>
    <row r="117" spans="19:49">
      <c r="S117" s="35"/>
      <c r="T117" s="35"/>
      <c r="U117" s="35"/>
      <c r="V117" s="35"/>
      <c r="W117" s="35"/>
      <c r="X117" s="35"/>
      <c r="Y117" s="35"/>
      <c r="Z117" s="35"/>
      <c r="AA117" s="35"/>
      <c r="AB117" s="35"/>
      <c r="AC117" s="35"/>
      <c r="AD117" s="35"/>
      <c r="AE117" s="35"/>
      <c r="AF117" s="35"/>
      <c r="AG117" s="35"/>
      <c r="AH117" s="35"/>
      <c r="AI117" s="35"/>
      <c r="AJ117" s="35"/>
      <c r="AK117" s="35"/>
      <c r="AL117" s="35"/>
      <c r="AM117" s="35"/>
      <c r="AN117" s="35">
        <f ca="1">IF(AN58&lt;&gt;"", AN58-'246+avg2.03'!AN58-$AQ$122, "")</f>
        <v>-2.4311992079731226E-2</v>
      </c>
      <c r="AO117" s="35">
        <f ca="1">IF(AO58&lt;&gt;"", AO58-'246+avg2.03'!AO58-$AQ$122, "")</f>
        <v>-1.1389331538453007E-2</v>
      </c>
      <c r="AP117" s="35"/>
      <c r="AQ117" s="21">
        <f t="shared" si="16"/>
        <v>-0.23749999999995453</v>
      </c>
      <c r="AR117" s="21">
        <f t="shared" si="17"/>
        <v>0.23749999999995453</v>
      </c>
      <c r="AV117" s="36">
        <f ca="1">$Q58-'246+avg2.03'!$Q58-$AQ$122</f>
        <v>-1.1389331538453007E-2</v>
      </c>
      <c r="AW117" s="2"/>
    </row>
    <row r="118" spans="19:49">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f ca="1">IF(AO59&lt;&gt;"", AO59-'246+avg2.03'!AO59-$AQ$122, "")</f>
        <v>-1.1389331538453007E-2</v>
      </c>
      <c r="AP118" s="39">
        <f ca="1">IF(AP59&lt;&gt;"", AP59-'246+avg2.03'!AP59-$AQ$122, "")</f>
        <v>5.2519976285907433E-3</v>
      </c>
      <c r="AQ118" s="21">
        <f t="shared" si="16"/>
        <v>-0.23749999999995453</v>
      </c>
      <c r="AR118" s="21">
        <f t="shared" si="17"/>
        <v>0.23749999999995453</v>
      </c>
      <c r="AV118" s="36">
        <f ca="1">$Q59-'246+avg2.03'!$Q59-$AQ$122</f>
        <v>5.2519976285907433E-3</v>
      </c>
    </row>
    <row r="120" spans="19:49">
      <c r="AQ120">
        <f>AQ36-'246+avg2.03'!AR36</f>
        <v>1.0805000000000859</v>
      </c>
      <c r="AR120">
        <f>AR36-'246+avg2.03'!AQ36</f>
        <v>1.555499999999995</v>
      </c>
    </row>
    <row r="122" spans="19:49">
      <c r="AQ122">
        <f>AVERAGE(AQ120:AR120)</f>
        <v>1.3180000000000405</v>
      </c>
    </row>
  </sheetData>
  <mergeCells count="2">
    <mergeCell ref="J9:J10"/>
    <mergeCell ref="U9:U10"/>
  </mergeCells>
  <phoneticPr fontId="2"/>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FFFF00"/>
  </sheetPr>
  <dimension ref="A1:DF63"/>
  <sheetViews>
    <sheetView zoomScale="70" zoomScaleNormal="70" workbookViewId="0">
      <selection activeCell="AB55" sqref="AB55:AE63"/>
    </sheetView>
  </sheetViews>
  <sheetFormatPr defaultColWidth="9" defaultRowHeight="18"/>
  <cols>
    <col min="1" max="1" width="9" style="64"/>
    <col min="2" max="2" width="16.5703125" style="64" customWidth="1"/>
    <col min="3" max="3" width="5.85546875" style="64" bestFit="1" customWidth="1"/>
    <col min="4" max="4" width="9.42578125" style="64" bestFit="1" customWidth="1"/>
    <col min="5" max="5" width="11.42578125" style="64" bestFit="1" customWidth="1"/>
    <col min="6" max="6" width="12.42578125" style="64" bestFit="1" customWidth="1"/>
    <col min="7" max="7" width="11.42578125" style="64" bestFit="1" customWidth="1"/>
    <col min="8" max="8" width="12.42578125" style="64" bestFit="1" customWidth="1"/>
    <col min="9" max="9" width="9" style="13"/>
    <col min="10" max="10" width="5.85546875" style="13" bestFit="1" customWidth="1"/>
    <col min="11" max="11" width="8.140625" style="13" bestFit="1" customWidth="1"/>
    <col min="12" max="13" width="9" style="13"/>
    <col min="14" max="14" width="10.85546875" style="13" bestFit="1" customWidth="1"/>
    <col min="15" max="15" width="10" style="13" bestFit="1" customWidth="1"/>
    <col min="16" max="16" width="9" style="13"/>
    <col min="17" max="18" width="5.85546875" style="13" bestFit="1" customWidth="1"/>
    <col min="19" max="20" width="9" style="13"/>
    <col min="21" max="21" width="10.85546875" style="13" bestFit="1" customWidth="1"/>
    <col min="22" max="27" width="9" style="13"/>
    <col min="28" max="28" width="6.85546875" style="13" bestFit="1" customWidth="1"/>
    <col min="29" max="29" width="6.42578125" style="13" bestFit="1" customWidth="1"/>
    <col min="30" max="30" width="14.42578125" style="13" bestFit="1" customWidth="1"/>
    <col min="31" max="31" width="8.42578125" style="13" bestFit="1" customWidth="1"/>
    <col min="32" max="84" width="9" style="13"/>
    <col min="85" max="85" width="12.42578125" style="13" bestFit="1" customWidth="1"/>
    <col min="86" max="16384" width="9" style="13"/>
  </cols>
  <sheetData>
    <row r="1" spans="1:110">
      <c r="BT1" s="85"/>
      <c r="BU1" s="85"/>
      <c r="BV1" s="85"/>
      <c r="BW1" s="85"/>
      <c r="BX1" s="85"/>
      <c r="BY1" s="85"/>
      <c r="BZ1" s="85"/>
      <c r="CA1" s="85"/>
      <c r="CB1" s="86"/>
      <c r="CC1" s="86"/>
      <c r="CD1" s="86"/>
      <c r="CE1" s="86"/>
      <c r="CF1" s="86"/>
      <c r="CG1" s="86"/>
      <c r="CH1" s="86"/>
      <c r="CI1" s="86" t="s">
        <v>285</v>
      </c>
      <c r="CJ1" s="86" t="s">
        <v>286</v>
      </c>
      <c r="CK1" s="86"/>
      <c r="CL1" s="86"/>
      <c r="CM1" s="86"/>
      <c r="CN1" s="86"/>
      <c r="CO1" s="86"/>
      <c r="CP1" s="86"/>
      <c r="CQ1" s="86"/>
      <c r="CR1" s="86"/>
    </row>
    <row r="2" spans="1:110">
      <c r="J2" s="138" t="s">
        <v>395</v>
      </c>
      <c r="BT2" s="85"/>
      <c r="BU2" s="85"/>
      <c r="BV2" s="85"/>
      <c r="BW2" s="85"/>
      <c r="BX2" s="85"/>
      <c r="BY2" s="85"/>
      <c r="BZ2" s="85"/>
      <c r="CA2" s="85"/>
      <c r="CB2" s="86"/>
      <c r="CC2" s="86"/>
      <c r="CD2" s="86"/>
      <c r="CE2" s="86"/>
      <c r="CF2" s="86"/>
      <c r="CG2" s="86"/>
      <c r="CH2" s="86"/>
      <c r="CI2" s="86"/>
      <c r="CJ2" s="86"/>
      <c r="CK2" s="86"/>
      <c r="CL2" s="86"/>
      <c r="CM2" s="86"/>
      <c r="CN2" s="86"/>
      <c r="CO2" s="86"/>
      <c r="CP2" s="86"/>
      <c r="CQ2" s="86"/>
      <c r="CR2" s="86"/>
    </row>
    <row r="3" spans="1:110">
      <c r="B3" s="65" t="s">
        <v>298</v>
      </c>
      <c r="C3" s="65"/>
      <c r="D3" s="65"/>
      <c r="E3" s="65"/>
      <c r="F3" s="65"/>
      <c r="G3" s="65"/>
      <c r="H3" s="65"/>
      <c r="J3" s="13" t="s">
        <v>234</v>
      </c>
      <c r="Q3" s="13" t="s">
        <v>235</v>
      </c>
      <c r="W3" s="13" t="s">
        <v>299</v>
      </c>
      <c r="AB3" s="13" t="s">
        <v>236</v>
      </c>
      <c r="AK3" s="13" t="s">
        <v>268</v>
      </c>
      <c r="BF3" s="13" t="s">
        <v>270</v>
      </c>
      <c r="CB3" s="87"/>
      <c r="CC3" s="87"/>
      <c r="CD3" s="87"/>
      <c r="CE3" s="87"/>
      <c r="CF3" s="87"/>
      <c r="CG3" s="87"/>
      <c r="CH3" s="87"/>
      <c r="CI3" s="87"/>
      <c r="CJ3" s="87"/>
      <c r="CK3" s="87"/>
      <c r="CL3" s="87"/>
      <c r="CM3" s="87"/>
      <c r="CN3" s="87"/>
      <c r="CO3" s="87"/>
      <c r="CP3" s="87"/>
      <c r="CQ3" s="87"/>
      <c r="CR3" s="87"/>
      <c r="CU3" s="13" t="s">
        <v>295</v>
      </c>
    </row>
    <row r="4" spans="1:110">
      <c r="AK4" s="13">
        <v>105</v>
      </c>
      <c r="AL4" s="13">
        <v>236</v>
      </c>
      <c r="AM4" s="13">
        <v>237</v>
      </c>
      <c r="AN4" s="13">
        <v>238</v>
      </c>
      <c r="AO4" s="13">
        <v>239</v>
      </c>
      <c r="AP4" s="13">
        <v>240</v>
      </c>
      <c r="AQ4" s="13">
        <v>241</v>
      </c>
      <c r="AR4" s="13">
        <v>242</v>
      </c>
      <c r="AS4" s="13">
        <v>243</v>
      </c>
      <c r="AT4" s="13">
        <v>244</v>
      </c>
      <c r="AU4" s="13">
        <v>245</v>
      </c>
      <c r="AV4" s="13">
        <v>246</v>
      </c>
      <c r="AW4" s="13">
        <v>247</v>
      </c>
      <c r="AX4" s="13">
        <v>248</v>
      </c>
      <c r="AY4" s="87">
        <v>201</v>
      </c>
      <c r="AZ4" s="87">
        <v>242</v>
      </c>
      <c r="BA4" s="87">
        <v>246</v>
      </c>
      <c r="BF4" s="81">
        <f t="shared" ref="BF4:BS4" si="0">AK4</f>
        <v>105</v>
      </c>
      <c r="BG4" s="81">
        <f t="shared" si="0"/>
        <v>236</v>
      </c>
      <c r="BH4" s="82">
        <f t="shared" si="0"/>
        <v>237</v>
      </c>
      <c r="BI4" s="81">
        <f t="shared" si="0"/>
        <v>238</v>
      </c>
      <c r="BJ4" s="82">
        <f t="shared" si="0"/>
        <v>239</v>
      </c>
      <c r="BK4" s="81">
        <f t="shared" si="0"/>
        <v>240</v>
      </c>
      <c r="BL4" s="82">
        <f t="shared" si="0"/>
        <v>241</v>
      </c>
      <c r="BM4" s="81">
        <f t="shared" si="0"/>
        <v>242</v>
      </c>
      <c r="BN4" s="82">
        <f t="shared" si="0"/>
        <v>243</v>
      </c>
      <c r="BO4" s="81">
        <f t="shared" si="0"/>
        <v>244</v>
      </c>
      <c r="BP4" s="82">
        <f t="shared" si="0"/>
        <v>245</v>
      </c>
      <c r="BQ4" s="81">
        <f t="shared" si="0"/>
        <v>246</v>
      </c>
      <c r="BR4" s="82">
        <f t="shared" si="0"/>
        <v>247</v>
      </c>
      <c r="BS4" s="81">
        <f t="shared" si="0"/>
        <v>248</v>
      </c>
      <c r="BT4" s="13" t="s">
        <v>7</v>
      </c>
      <c r="BU4" s="13" t="s">
        <v>8</v>
      </c>
      <c r="CB4" s="87"/>
      <c r="CC4" s="87"/>
      <c r="CD4" s="87"/>
      <c r="CE4" s="87"/>
      <c r="CF4" s="87"/>
      <c r="CG4" s="87"/>
      <c r="CH4" s="87"/>
      <c r="CI4" s="87"/>
      <c r="CJ4" s="87"/>
      <c r="CK4" s="87"/>
      <c r="CL4" s="87"/>
      <c r="CM4" s="87"/>
      <c r="CN4" s="87"/>
      <c r="CO4" s="87"/>
      <c r="CP4" s="87"/>
      <c r="CQ4" s="87"/>
      <c r="CR4" s="87"/>
      <c r="CW4" s="13" t="s">
        <v>292</v>
      </c>
      <c r="CX4" s="13" t="s">
        <v>293</v>
      </c>
      <c r="CY4" s="13" t="s">
        <v>290</v>
      </c>
      <c r="DD4" s="13" t="s">
        <v>294</v>
      </c>
    </row>
    <row r="5" spans="1:110">
      <c r="A5" s="64" t="s">
        <v>258</v>
      </c>
      <c r="B5" s="13"/>
      <c r="C5" s="13"/>
      <c r="D5" s="13"/>
      <c r="E5" s="13"/>
      <c r="F5" s="13"/>
      <c r="G5" s="13"/>
      <c r="H5" s="13"/>
      <c r="I5" s="13" t="s">
        <v>258</v>
      </c>
      <c r="L5" s="13" t="s">
        <v>237</v>
      </c>
      <c r="P5" s="13" t="s">
        <v>258</v>
      </c>
      <c r="R5" s="59"/>
      <c r="S5" s="13" t="s">
        <v>238</v>
      </c>
      <c r="V5" s="13" t="s">
        <v>239</v>
      </c>
      <c r="W5" s="13">
        <f>Q6</f>
        <v>105</v>
      </c>
      <c r="Y5" s="13">
        <f>R6</f>
        <v>236</v>
      </c>
      <c r="AH5" s="13" t="s">
        <v>262</v>
      </c>
      <c r="AI5" s="13" t="s">
        <v>269</v>
      </c>
      <c r="AK5" s="13">
        <f>'105'!M5/2</f>
        <v>356.3</v>
      </c>
      <c r="AL5" s="13">
        <f>'236'!M5/2</f>
        <v>359.4</v>
      </c>
      <c r="AM5" s="13">
        <f>'237'!M5/2</f>
        <v>361.4</v>
      </c>
      <c r="AN5" s="13">
        <f>'238'!M5/2</f>
        <v>374.55</v>
      </c>
      <c r="AO5" s="13">
        <f>'239'!M5/2</f>
        <v>376.75</v>
      </c>
      <c r="AP5" s="13">
        <f>'240'!M5/2</f>
        <v>394.9</v>
      </c>
      <c r="AQ5" s="13">
        <f>'241'!M5/2</f>
        <v>396.9</v>
      </c>
      <c r="AR5" s="13">
        <f>'242'!M5/2</f>
        <v>405.5</v>
      </c>
      <c r="AS5" s="13">
        <f>'243'!M5/2</f>
        <v>407.5</v>
      </c>
      <c r="AT5" s="13">
        <f>'244'!M5/2</f>
        <v>417.3</v>
      </c>
      <c r="AU5" s="13">
        <f>'245'!M5/2</f>
        <v>419.3</v>
      </c>
      <c r="AV5" s="13">
        <f>'246'!M5/2</f>
        <v>417.65</v>
      </c>
      <c r="AW5" s="13">
        <f>'247'!M5/2</f>
        <v>419.35</v>
      </c>
      <c r="AX5" s="13">
        <f>'248'!M5/2</f>
        <v>419.5</v>
      </c>
      <c r="AY5" s="13">
        <f>'201'!M5/2</f>
        <v>422.46800000000002</v>
      </c>
      <c r="AZ5" s="87"/>
      <c r="BA5" s="87"/>
      <c r="BF5" s="81"/>
      <c r="BG5" s="81"/>
      <c r="BH5" s="82"/>
      <c r="BI5" s="81"/>
      <c r="BJ5" s="82"/>
      <c r="BK5" s="81"/>
      <c r="BL5" s="82"/>
      <c r="BM5" s="81"/>
      <c r="BN5" s="82"/>
      <c r="BO5" s="81"/>
      <c r="BP5" s="82"/>
      <c r="BQ5" s="81"/>
      <c r="BR5" s="82"/>
      <c r="BS5" s="81"/>
      <c r="CA5" s="88"/>
      <c r="CB5" s="27"/>
      <c r="CC5" s="27"/>
      <c r="CD5" s="27"/>
      <c r="CE5" s="27"/>
      <c r="CF5" s="27"/>
      <c r="CG5" s="27"/>
      <c r="CH5" s="27"/>
      <c r="CI5" s="27" t="s">
        <v>287</v>
      </c>
      <c r="CJ5" s="27" t="s">
        <v>288</v>
      </c>
      <c r="CK5" s="27"/>
      <c r="CL5" s="27"/>
      <c r="CM5" s="27"/>
      <c r="CN5" s="27"/>
      <c r="CO5" s="27"/>
      <c r="CP5" s="27"/>
      <c r="CQ5" s="27"/>
      <c r="CR5" s="27"/>
      <c r="CV5" s="13" t="str">
        <f>AI5</f>
        <v>nominal</v>
      </c>
      <c r="CW5" s="87">
        <f>AM5-AL5</f>
        <v>2</v>
      </c>
      <c r="CX5" s="87">
        <f>AQ5-AP5</f>
        <v>2</v>
      </c>
      <c r="CY5" s="87">
        <f>AM5-AL5</f>
        <v>2</v>
      </c>
      <c r="DD5" s="13">
        <f>AW5-AV5</f>
        <v>1.7000000000000455</v>
      </c>
    </row>
    <row r="6" spans="1:110">
      <c r="A6" s="64" t="s">
        <v>254</v>
      </c>
      <c r="B6" s="152" t="s">
        <v>227</v>
      </c>
      <c r="C6" s="97">
        <v>105</v>
      </c>
      <c r="D6" s="96" t="str">
        <f>IF(N6="-","規格内","規格外")</f>
        <v>規格内</v>
      </c>
      <c r="E6" s="96" t="s">
        <v>228</v>
      </c>
      <c r="F6" s="96" t="str">
        <f>"φ"&amp;TEXT(L6,"0.###")</f>
        <v>φ712.568</v>
      </c>
      <c r="G6" s="146" t="str">
        <f>IF(N6="-","",N6)</f>
        <v/>
      </c>
      <c r="H6" s="147"/>
      <c r="I6" s="13" t="s">
        <v>254</v>
      </c>
      <c r="J6" s="59">
        <v>105</v>
      </c>
      <c r="K6" s="59" t="s">
        <v>271</v>
      </c>
      <c r="L6" s="13">
        <f>'105'!$K$30</f>
        <v>712.5677500036843</v>
      </c>
      <c r="N6" s="13" t="str">
        <f>'105'!$M$30</f>
        <v>-</v>
      </c>
      <c r="P6" s="13" t="s">
        <v>254</v>
      </c>
      <c r="Q6" s="59">
        <v>105</v>
      </c>
      <c r="R6" s="59">
        <v>236</v>
      </c>
      <c r="S6" s="13" t="s">
        <v>2</v>
      </c>
      <c r="T6" s="61">
        <f>'236'!AN89</f>
        <v>0.10257779359079677</v>
      </c>
      <c r="U6" s="13" t="str">
        <f>'236'!AO89</f>
        <v>O/Max 0.021</v>
      </c>
      <c r="V6" s="13">
        <f>'236'!AQ89</f>
        <v>18</v>
      </c>
      <c r="W6" s="61">
        <f>INDEX('105'!$J:$Q,MATCH("#",'105'!$J:$J,0)+'236'!AA$10,8)</f>
        <v>356.16744444981009</v>
      </c>
      <c r="X6" s="61">
        <f>W6-HLOOKUP(W5,$AK$4:$AX$5,2,FALSE)</f>
        <v>-0.13255555018992027</v>
      </c>
      <c r="Y6" s="61">
        <f>INDEX('236'!$J:$Q,MATCH("#",'236'!$J:$J,0)+'236'!AA$10,8)</f>
        <v>359.37002224340085</v>
      </c>
      <c r="Z6" s="61">
        <f>Y6-HLOOKUP(Y5,$AK$4:$AX$5,2,FALSE)</f>
        <v>-2.9977756599123495E-2</v>
      </c>
      <c r="AI6" s="13" t="s">
        <v>264</v>
      </c>
      <c r="AK6" s="13">
        <f>'105'!L11</f>
        <v>356.25000000000006</v>
      </c>
      <c r="AL6" s="67">
        <f>'236'!L11</f>
        <v>359.31</v>
      </c>
      <c r="AM6" s="67">
        <f>'237'!L11</f>
        <v>361.31</v>
      </c>
      <c r="AN6" s="67">
        <f>'238'!L11</f>
        <v>374.46000000000004</v>
      </c>
      <c r="AO6" s="67">
        <f>'239'!L11</f>
        <v>376.66</v>
      </c>
      <c r="AP6" s="67">
        <f>'240'!L11</f>
        <v>394.81</v>
      </c>
      <c r="AQ6" s="67">
        <f>'241'!L11</f>
        <v>396.81</v>
      </c>
      <c r="AR6" s="67">
        <f>'242'!L11</f>
        <v>405.41</v>
      </c>
      <c r="AS6" s="67">
        <f>'243'!L11</f>
        <v>407.41500000000002</v>
      </c>
      <c r="AT6" s="67">
        <f>'244'!L11</f>
        <v>417.23200000000003</v>
      </c>
      <c r="AU6" s="67">
        <f>'245'!L11</f>
        <v>419.25700000000001</v>
      </c>
      <c r="AV6" s="67">
        <f>'246'!L11</f>
        <v>417.56</v>
      </c>
      <c r="AW6" s="67">
        <f>'247'!L11</f>
        <v>419.26000000000005</v>
      </c>
      <c r="AX6" s="67">
        <f>'248'!L11</f>
        <v>419.41</v>
      </c>
      <c r="AY6" s="67">
        <f>'201'!L11</f>
        <v>422.4425</v>
      </c>
      <c r="AZ6" s="87"/>
      <c r="BA6" s="87"/>
      <c r="BF6" s="81"/>
      <c r="BG6" s="81"/>
      <c r="BH6" s="82"/>
      <c r="BI6" s="81"/>
      <c r="BJ6" s="82"/>
      <c r="BK6" s="81"/>
      <c r="BL6" s="82"/>
      <c r="BM6" s="81"/>
      <c r="BN6" s="82"/>
      <c r="BO6" s="81"/>
      <c r="BP6" s="82"/>
      <c r="BQ6" s="81"/>
      <c r="BR6" s="82"/>
      <c r="BS6" s="81"/>
      <c r="CA6" s="87" t="s">
        <v>258</v>
      </c>
      <c r="CB6" s="88" t="str">
        <f t="shared" ref="CB6:CH6" si="1">P6</f>
        <v>Stg.1</v>
      </c>
      <c r="CC6" s="87">
        <f t="shared" si="1"/>
        <v>105</v>
      </c>
      <c r="CD6" s="87">
        <f t="shared" si="1"/>
        <v>236</v>
      </c>
      <c r="CE6" s="27" t="str">
        <f t="shared" si="1"/>
        <v>Max</v>
      </c>
      <c r="CF6" s="27">
        <f t="shared" si="1"/>
        <v>0.10257779359079677</v>
      </c>
      <c r="CG6" s="27" t="str">
        <f t="shared" si="1"/>
        <v>O/Max 0.021</v>
      </c>
      <c r="CH6" s="87">
        <f t="shared" si="1"/>
        <v>18</v>
      </c>
      <c r="CI6" s="61">
        <f>X6</f>
        <v>-0.13255555018992027</v>
      </c>
      <c r="CJ6" s="61">
        <f>Z6</f>
        <v>-2.9977756599123495E-2</v>
      </c>
      <c r="CK6" s="61">
        <f>CI6-CJ6</f>
        <v>-0.10257779359079677</v>
      </c>
      <c r="CL6" s="61">
        <f>ABS(CK6)-ABS(HLOOKUP(CC6,$AK$4:$AX$7,3)-HLOOKUP(CC6,$AK$4:$AX$7,2)-(HLOOKUP(CD6,$AK$4:$AX$7,4)-HLOOKUP(CD6,$AK$4:$AX$7,2)))</f>
        <v>-3.7422206409132741E-2</v>
      </c>
      <c r="CM6" s="61"/>
      <c r="CN6" s="61"/>
      <c r="CO6" s="61"/>
      <c r="CP6" s="61"/>
      <c r="CQ6" s="61"/>
      <c r="CR6" s="61"/>
      <c r="CV6" s="13" t="str">
        <f>AI6</f>
        <v>min</v>
      </c>
      <c r="CW6" s="87">
        <f>AM6-AL7</f>
        <v>1.82000000000005</v>
      </c>
      <c r="CX6" s="87">
        <f>AQ6-AP7</f>
        <v>1.82000000000005</v>
      </c>
      <c r="CY6" s="87">
        <f>AU6-AT7</f>
        <v>1.88900000000001</v>
      </c>
      <c r="DD6" s="13">
        <f>AW7-AV6</f>
        <v>1.8799999999999955</v>
      </c>
    </row>
    <row r="7" spans="1:110">
      <c r="B7" s="150"/>
      <c r="C7" s="94">
        <v>236</v>
      </c>
      <c r="D7" s="95" t="str">
        <f t="shared" ref="D7" si="2">IF(N7="-","規格内","規格外")</f>
        <v>規格内</v>
      </c>
      <c r="E7" s="95" t="s">
        <v>228</v>
      </c>
      <c r="F7" s="95" t="str">
        <f t="shared" ref="F7" si="3">"φ"&amp;TEXT(L7,"0.###")</f>
        <v>φ718.77</v>
      </c>
      <c r="G7" s="148" t="str">
        <f>IF(N7="-","",N7)</f>
        <v/>
      </c>
      <c r="H7" s="149"/>
      <c r="J7" s="59">
        <v>236</v>
      </c>
      <c r="K7" s="59" t="s">
        <v>272</v>
      </c>
      <c r="L7" s="13">
        <f>'236'!K30</f>
        <v>718.76962501373862</v>
      </c>
      <c r="N7" s="13" t="str">
        <f>'236'!M30</f>
        <v>-</v>
      </c>
      <c r="Q7" s="59"/>
      <c r="R7" s="59"/>
      <c r="S7" s="13" t="s">
        <v>3</v>
      </c>
      <c r="T7" s="61">
        <f>'236'!AN90</f>
        <v>-4.8311110001066027E-2</v>
      </c>
      <c r="U7" s="13" t="str">
        <f>'236'!AO90</f>
        <v>-</v>
      </c>
      <c r="V7" s="13">
        <f>'236'!AQ90</f>
        <v>14</v>
      </c>
      <c r="W7" s="61">
        <f>INDEX('105'!$J:$Q,MATCH("#",'105'!$J:$J,0)+'236'!AA$11,8)</f>
        <v>356.36375555589854</v>
      </c>
      <c r="X7" s="61">
        <f>W7-HLOOKUP(W5,$AK$4:$AX$5,2,FALSE)</f>
        <v>6.3755555898524108E-2</v>
      </c>
      <c r="Y7" s="61">
        <f>INDEX('236'!$J:$Q,MATCH("#",'236'!$J:$J,0)+'236'!AA$11,8)</f>
        <v>359.41544444589744</v>
      </c>
      <c r="Z7" s="61">
        <f>Y7-HLOOKUP(Y5,$AK$4:$AX$5,2,FALSE)</f>
        <v>1.5444445897458081E-2</v>
      </c>
      <c r="AI7" s="13" t="s">
        <v>263</v>
      </c>
      <c r="AK7" s="13">
        <f>'105'!M11</f>
        <v>356.34999999999997</v>
      </c>
      <c r="AL7" s="67">
        <f>'236'!M11</f>
        <v>359.48999999999995</v>
      </c>
      <c r="AM7" s="67">
        <f>'237'!M11</f>
        <v>361.48999999999995</v>
      </c>
      <c r="AN7" s="67">
        <f>'238'!M11</f>
        <v>374.64</v>
      </c>
      <c r="AO7" s="67">
        <f>'239'!M11</f>
        <v>376.84</v>
      </c>
      <c r="AP7" s="67">
        <f>'240'!M11</f>
        <v>394.98999999999995</v>
      </c>
      <c r="AQ7" s="67">
        <f>'241'!M11</f>
        <v>396.98999999999995</v>
      </c>
      <c r="AR7" s="67">
        <f>'242'!M11</f>
        <v>405.59</v>
      </c>
      <c r="AS7" s="67">
        <f>'243'!M11</f>
        <v>407.58499999999998</v>
      </c>
      <c r="AT7" s="67">
        <f>'244'!M11</f>
        <v>417.36799999999999</v>
      </c>
      <c r="AU7" s="67">
        <f>'245'!M11</f>
        <v>419.34300000000002</v>
      </c>
      <c r="AV7" s="67">
        <f>'246'!M11</f>
        <v>417.73999999999995</v>
      </c>
      <c r="AW7" s="67">
        <f>'247'!M11</f>
        <v>419.44</v>
      </c>
      <c r="AX7" s="67">
        <f>'248'!M11</f>
        <v>419.59</v>
      </c>
      <c r="AY7" s="67">
        <f>'201'!L12</f>
        <v>422.4425</v>
      </c>
      <c r="AZ7" s="87"/>
      <c r="BA7" s="87"/>
      <c r="BF7" s="81"/>
      <c r="BG7" s="81"/>
      <c r="BH7" s="82"/>
      <c r="BI7" s="81"/>
      <c r="BJ7" s="82"/>
      <c r="BK7" s="81"/>
      <c r="BL7" s="82"/>
      <c r="BM7" s="81"/>
      <c r="BN7" s="82"/>
      <c r="BO7" s="81"/>
      <c r="BP7" s="82"/>
      <c r="BQ7" s="81"/>
      <c r="BR7" s="82"/>
      <c r="BS7" s="81"/>
      <c r="CC7" s="87"/>
      <c r="CD7" s="87"/>
      <c r="CE7" s="87" t="str">
        <f>S7</f>
        <v>Min</v>
      </c>
      <c r="CF7" s="61">
        <f>T7</f>
        <v>-4.8311110001066027E-2</v>
      </c>
      <c r="CG7" s="87" t="str">
        <f>U7</f>
        <v>-</v>
      </c>
      <c r="CH7" s="87">
        <f>V7</f>
        <v>14</v>
      </c>
      <c r="CI7" s="61">
        <f>X7</f>
        <v>6.3755555898524108E-2</v>
      </c>
      <c r="CJ7" s="61">
        <f>Z7</f>
        <v>1.5444445897458081E-2</v>
      </c>
      <c r="CK7" s="61">
        <f t="shared" ref="CK7:CK19" si="4">CI7-CJ7</f>
        <v>4.8311110001066027E-2</v>
      </c>
      <c r="CL7" s="61">
        <f>ABS(CK7)-ABS(HLOOKUP(CC6,$AK$4:$AX$7,4)-HLOOKUP(CC6,$AK$4:$AX$7,2)-(HLOOKUP(CD6,$AK$4:$AX$7,3)-HLOOKUP(CD6,$AK$4:$AX$7,2)))</f>
        <v>-9.1688889998863488E-2</v>
      </c>
      <c r="CM7" s="61"/>
      <c r="CN7" s="61"/>
      <c r="CO7" s="61"/>
      <c r="CP7" s="61"/>
      <c r="CQ7" s="61"/>
      <c r="CR7" s="61"/>
      <c r="CV7" s="13" t="str">
        <f>AI7</f>
        <v>max</v>
      </c>
      <c r="CW7" s="87">
        <f>AM7-AL6</f>
        <v>2.17999999999995</v>
      </c>
      <c r="CX7" s="87">
        <f>AQ7-AP6</f>
        <v>2.17999999999995</v>
      </c>
      <c r="CY7" s="87">
        <f>AU7-AT6</f>
        <v>2.11099999999999</v>
      </c>
      <c r="DD7" s="13">
        <f>AW6-AV7</f>
        <v>1.5200000000000955</v>
      </c>
    </row>
    <row r="8" spans="1:110">
      <c r="B8" s="150" t="s">
        <v>229</v>
      </c>
      <c r="C8" s="94">
        <v>105</v>
      </c>
      <c r="D8" s="95" t="str">
        <f>IF(AND(O8="-",N8="-"),"規格内","規格外")</f>
        <v>規格外</v>
      </c>
      <c r="E8" s="95" t="s">
        <v>230</v>
      </c>
      <c r="F8" s="95" t="str">
        <f>"φ"&amp;TEXT(M8,"0.###")</f>
        <v>φ712.318</v>
      </c>
      <c r="G8" s="95" t="s">
        <v>231</v>
      </c>
      <c r="H8" s="75" t="str">
        <f>"φ"&amp;TEXT(L8,"0.###")</f>
        <v>φ712.75</v>
      </c>
      <c r="J8" s="59">
        <v>105</v>
      </c>
      <c r="K8" s="139" t="s">
        <v>273</v>
      </c>
      <c r="L8" s="138">
        <f>'105'!$L$28</f>
        <v>712.75</v>
      </c>
      <c r="M8" s="138">
        <f>'105'!$L$29</f>
        <v>712.31799999999998</v>
      </c>
      <c r="N8" s="138" t="str">
        <f>'105'!$Q$28</f>
        <v>O/Max 0.050</v>
      </c>
      <c r="O8" s="138" t="str">
        <f>'105'!$Q$29</f>
        <v>U/Min 0.182</v>
      </c>
      <c r="Q8" s="59"/>
      <c r="R8" s="59"/>
      <c r="AI8" s="13" t="s">
        <v>261</v>
      </c>
      <c r="AY8" s="87" t="s">
        <v>289</v>
      </c>
      <c r="AZ8" s="87" t="s">
        <v>289</v>
      </c>
      <c r="BA8" s="87" t="s">
        <v>289</v>
      </c>
      <c r="BD8" s="13" t="s">
        <v>261</v>
      </c>
      <c r="BF8" s="81"/>
      <c r="BG8" s="81"/>
      <c r="BH8" s="82"/>
      <c r="BI8" s="81"/>
      <c r="BJ8" s="82"/>
      <c r="BK8" s="81"/>
      <c r="BL8" s="82"/>
      <c r="BM8" s="81"/>
      <c r="BN8" s="82"/>
      <c r="BO8" s="81"/>
      <c r="BP8" s="82"/>
      <c r="BQ8" s="81"/>
      <c r="BR8" s="82"/>
      <c r="BS8" s="81"/>
      <c r="CB8" s="13" t="str">
        <f t="shared" ref="CB8:CH8" si="5">P11</f>
        <v>Stg.2</v>
      </c>
      <c r="CC8" s="87">
        <f t="shared" si="5"/>
        <v>238</v>
      </c>
      <c r="CD8" s="87">
        <f t="shared" si="5"/>
        <v>240</v>
      </c>
      <c r="CE8" s="87" t="str">
        <f t="shared" si="5"/>
        <v>Max</v>
      </c>
      <c r="CF8" s="61">
        <f t="shared" ca="1" si="5"/>
        <v>5.0677720826683981E-3</v>
      </c>
      <c r="CG8" s="87" t="str">
        <f t="shared" ca="1" si="5"/>
        <v>-</v>
      </c>
      <c r="CH8" s="87">
        <f t="shared" ca="1" si="5"/>
        <v>16</v>
      </c>
      <c r="CI8" s="61">
        <f ca="1">X11</f>
        <v>-4.7633264466639957E-3</v>
      </c>
      <c r="CJ8" s="61">
        <f ca="1">Z11</f>
        <v>3.0444563600440233E-4</v>
      </c>
      <c r="CK8" s="61">
        <f t="shared" ca="1" si="4"/>
        <v>-5.0677720826683981E-3</v>
      </c>
      <c r="CL8" s="61">
        <f ca="1">ABS(CK8)-ABS(HLOOKUP(CC8,$AK$4:$AX$7,3)-HLOOKUP(CC8,$AK$4:$AX$7,2)-(HLOOKUP(CD8,$AK$4:$AX$7,4)-HLOOKUP(CD8,$AK$4:$AX$7,2)))</f>
        <v>-0.17493222791728158</v>
      </c>
      <c r="CM8" s="61"/>
      <c r="CN8" s="61"/>
      <c r="CO8" s="61"/>
      <c r="CP8" s="61"/>
      <c r="CQ8" s="61"/>
      <c r="CR8" s="61"/>
      <c r="CV8" s="13" t="str">
        <f>AI8</f>
        <v>Position</v>
      </c>
      <c r="CW8" s="13" t="str">
        <f>CW4</f>
        <v>236-237</v>
      </c>
      <c r="CX8" s="13" t="str">
        <f>CX4</f>
        <v>240-241</v>
      </c>
      <c r="CY8" s="13" t="str">
        <f>CY4</f>
        <v>244-245</v>
      </c>
      <c r="CZ8" s="13" t="s">
        <v>8</v>
      </c>
      <c r="DA8" s="13" t="s">
        <v>7</v>
      </c>
      <c r="DB8" s="13" t="s">
        <v>291</v>
      </c>
      <c r="DD8" s="13" t="str">
        <f>DD4</f>
        <v>246-247</v>
      </c>
      <c r="DE8" s="13" t="s">
        <v>8</v>
      </c>
      <c r="DF8" s="13" t="s">
        <v>7</v>
      </c>
    </row>
    <row r="9" spans="1:110">
      <c r="B9" s="151"/>
      <c r="C9" s="76">
        <v>236</v>
      </c>
      <c r="D9" s="77" t="str">
        <f>IF(AND(O9="-",N9="-"),"規格内","規格外")</f>
        <v>規格内</v>
      </c>
      <c r="E9" s="77" t="s">
        <v>230</v>
      </c>
      <c r="F9" s="77" t="str">
        <f>"φ"&amp;TEXT(M9,"0.###")</f>
        <v>φ718.694</v>
      </c>
      <c r="G9" s="77" t="s">
        <v>231</v>
      </c>
      <c r="H9" s="78" t="str">
        <f>"φ"&amp;TEXT(L9,"0.###")</f>
        <v>φ718.846</v>
      </c>
      <c r="J9" s="59">
        <v>236</v>
      </c>
      <c r="K9" s="139" t="s">
        <v>273</v>
      </c>
      <c r="L9" s="138">
        <f>'236'!$L$28</f>
        <v>718.84600001112892</v>
      </c>
      <c r="M9" s="138">
        <f>'236'!$L$29</f>
        <v>718.69399999999996</v>
      </c>
      <c r="N9" s="138" t="str">
        <f>'236'!$Q$28</f>
        <v>-</v>
      </c>
      <c r="O9" s="138" t="str">
        <f>'236'!$Q$29</f>
        <v>-</v>
      </c>
      <c r="Q9" s="59"/>
      <c r="R9" s="11"/>
      <c r="AH9" s="13" t="s">
        <v>260</v>
      </c>
      <c r="AJ9" s="13">
        <v>245</v>
      </c>
      <c r="AK9" s="13" t="s">
        <v>12</v>
      </c>
      <c r="BE9" s="13">
        <v>245</v>
      </c>
      <c r="BF9" s="81" t="s">
        <v>12</v>
      </c>
      <c r="BG9" s="81"/>
      <c r="BH9" s="82"/>
      <c r="BI9" s="81"/>
      <c r="BJ9" s="82"/>
      <c r="BK9" s="81"/>
      <c r="BL9" s="82"/>
      <c r="BM9" s="81"/>
      <c r="BN9" s="82"/>
      <c r="BO9" s="81"/>
      <c r="BP9" s="82"/>
      <c r="BQ9" s="81"/>
      <c r="BR9" s="82"/>
      <c r="BS9" s="81"/>
      <c r="CC9" s="87"/>
      <c r="CD9" s="87"/>
      <c r="CE9" s="87" t="str">
        <f>S12</f>
        <v>Min</v>
      </c>
      <c r="CF9" s="61">
        <f ca="1">T12</f>
        <v>-1.2766667414950916E-2</v>
      </c>
      <c r="CG9" s="87" t="str">
        <f ca="1">U12</f>
        <v>-</v>
      </c>
      <c r="CH9" s="87">
        <f ca="1">V12</f>
        <v>13</v>
      </c>
      <c r="CI9" s="61">
        <f ca="1">X12</f>
        <v>2.498000355063823E-2</v>
      </c>
      <c r="CJ9" s="61">
        <f ca="1">Z12</f>
        <v>1.2213336135687314E-2</v>
      </c>
      <c r="CK9" s="61">
        <f t="shared" ca="1" si="4"/>
        <v>1.2766667414950916E-2</v>
      </c>
      <c r="CL9" s="61">
        <f ca="1">ABS(CK9)-ABS(HLOOKUP(CC8,$AK$4:$AX$7,4)-HLOOKUP(CC8,$AK$4:$AX$7,2)-(HLOOKUP(CD8,$AK$4:$AX$7,3)-HLOOKUP(CD8,$AK$4:$AX$7,2)))</f>
        <v>-0.16723333258499906</v>
      </c>
      <c r="CM9" s="61"/>
      <c r="CN9" s="61"/>
      <c r="CO9" s="61"/>
      <c r="CP9" s="61"/>
      <c r="CQ9" s="61"/>
      <c r="CR9" s="61"/>
      <c r="CU9" s="13" t="str">
        <f t="shared" ref="CU9:CU25" si="6">AH9</f>
        <v>Area#</v>
      </c>
      <c r="CV9" s="13">
        <f>BE9</f>
        <v>245</v>
      </c>
      <c r="CY9" s="13" t="s">
        <v>12</v>
      </c>
      <c r="CZ9" s="13" t="s">
        <v>12</v>
      </c>
      <c r="DA9" s="13" t="s">
        <v>12</v>
      </c>
      <c r="DD9" s="13" t="s">
        <v>12</v>
      </c>
      <c r="DE9" s="13" t="s">
        <v>12</v>
      </c>
      <c r="DF9" s="13" t="s">
        <v>12</v>
      </c>
    </row>
    <row r="10" spans="1:110">
      <c r="A10" s="64" t="s">
        <v>258</v>
      </c>
      <c r="B10" s="62"/>
      <c r="C10" s="62"/>
      <c r="D10" s="62"/>
      <c r="E10" s="62"/>
      <c r="F10" s="62"/>
      <c r="G10" s="62"/>
      <c r="H10" s="62"/>
      <c r="J10" s="11"/>
      <c r="K10" s="11"/>
      <c r="Q10" s="11"/>
      <c r="R10" s="59"/>
      <c r="W10" s="13">
        <f>Q11</f>
        <v>238</v>
      </c>
      <c r="Y10" s="13">
        <f>R11</f>
        <v>240</v>
      </c>
      <c r="AD10" s="13" t="s">
        <v>302</v>
      </c>
      <c r="AE10" s="13" t="s">
        <v>240</v>
      </c>
      <c r="AH10" s="13">
        <v>1</v>
      </c>
      <c r="AI10" s="13">
        <v>1</v>
      </c>
      <c r="AJ10" s="13">
        <v>1</v>
      </c>
      <c r="AK10" s="13">
        <f>'105'!K11</f>
        <v>356.15899999999999</v>
      </c>
      <c r="AL10" s="13">
        <f>'236'!K11</f>
        <v>359.36599999999999</v>
      </c>
      <c r="AM10" s="13">
        <f>'237'!K11</f>
        <v>361.38300000138355</v>
      </c>
      <c r="AN10" s="13">
        <f ca="1">'238'!K11</f>
        <v>374.51500000133507</v>
      </c>
      <c r="AO10" s="13">
        <f>'239'!K11</f>
        <v>376.71199999999999</v>
      </c>
      <c r="AP10" s="13">
        <f>'240'!K11</f>
        <v>394.86599999999999</v>
      </c>
      <c r="AQ10" s="13">
        <f>'241'!K11</f>
        <v>396.88500000125981</v>
      </c>
      <c r="AR10" s="13">
        <f ca="1">'242'!K11</f>
        <v>405.48900000123308</v>
      </c>
      <c r="AS10" s="13">
        <f>'243'!K11</f>
        <v>407.48</v>
      </c>
      <c r="AT10" s="13">
        <f>'244'!K11</f>
        <v>417.26400000000001</v>
      </c>
      <c r="AU10" s="13">
        <f>'245'!K11</f>
        <v>419.315</v>
      </c>
      <c r="AV10" s="13">
        <f ca="1">'246'!K11</f>
        <v>417.62400000119732</v>
      </c>
      <c r="AW10" s="13">
        <f>'247'!K11</f>
        <v>419.32299999999998</v>
      </c>
      <c r="AX10" s="13">
        <f>'248'!K11</f>
        <v>419.49600000119187</v>
      </c>
      <c r="AY10" s="13">
        <f>'238'!W11</f>
        <v>374.51500000133507</v>
      </c>
      <c r="AZ10" s="13">
        <f>'242'!W11</f>
        <v>405.48900000123308</v>
      </c>
      <c r="BA10" s="13">
        <f>'246'!W11</f>
        <v>417.62400000119732</v>
      </c>
      <c r="BC10" s="13">
        <f t="shared" ref="BC10:BC25" si="7">AH10</f>
        <v>1</v>
      </c>
      <c r="BD10" s="13">
        <f t="shared" ref="BD10:BD25" si="8">AI10</f>
        <v>1</v>
      </c>
      <c r="BE10" s="13">
        <f t="shared" ref="BE10:BE24" si="9">AJ10</f>
        <v>1</v>
      </c>
      <c r="BF10" s="83">
        <f>IF(AK10="",NA(),AK10-AK$5)</f>
        <v>-0.14100000000001955</v>
      </c>
      <c r="BG10" s="83">
        <f t="shared" ref="BG10:BS10" si="10">IF(AL10="",NA(),AL10-AL$5)</f>
        <v>-3.3999999999991815E-2</v>
      </c>
      <c r="BH10" s="84">
        <f t="shared" si="10"/>
        <v>-1.6999998616427092E-2</v>
      </c>
      <c r="BI10" s="83">
        <f t="shared" ca="1" si="10"/>
        <v>-3.4999998664943632E-2</v>
      </c>
      <c r="BJ10" s="84">
        <f t="shared" si="10"/>
        <v>-3.8000000000010914E-2</v>
      </c>
      <c r="BK10" s="83">
        <f t="shared" si="10"/>
        <v>-3.3999999999991815E-2</v>
      </c>
      <c r="BL10" s="84">
        <f t="shared" si="10"/>
        <v>-1.4999998740165665E-2</v>
      </c>
      <c r="BM10" s="83">
        <f t="shared" ca="1" si="10"/>
        <v>-1.0999998766919816E-2</v>
      </c>
      <c r="BN10" s="84">
        <f t="shared" si="10"/>
        <v>-1.999999999998181E-2</v>
      </c>
      <c r="BO10" s="83">
        <f t="shared" si="10"/>
        <v>-3.6000000000001364E-2</v>
      </c>
      <c r="BP10" s="84">
        <f t="shared" si="10"/>
        <v>1.4999999999986358E-2</v>
      </c>
      <c r="BQ10" s="83">
        <f t="shared" ca="1" si="10"/>
        <v>-2.5999998802660684E-2</v>
      </c>
      <c r="BR10" s="84">
        <f t="shared" si="10"/>
        <v>-2.7000000000043656E-2</v>
      </c>
      <c r="BS10" s="83">
        <f t="shared" si="10"/>
        <v>-3.9999988081262927E-3</v>
      </c>
      <c r="BT10" s="13">
        <v>-3.2000000000000001E-2</v>
      </c>
      <c r="BU10" s="13">
        <v>3.2000000000000001E-2</v>
      </c>
      <c r="BV10" s="89">
        <f t="shared" ref="BV10:BV25" si="11">IFERROR(BN10-$BP10,"")</f>
        <v>-3.4999999999968168E-2</v>
      </c>
      <c r="BW10" s="89">
        <f t="shared" ref="BW10:BW25" si="12">IFERROR(BO10-$BP10,"")</f>
        <v>-5.0999999999987722E-2</v>
      </c>
      <c r="BX10" s="89">
        <f t="shared" ref="BX10:BZ25" ca="1" si="13">IFERROR(BQ10-$BP10,"")</f>
        <v>-4.0999998802647042E-2</v>
      </c>
      <c r="BY10" s="89">
        <f t="shared" si="13"/>
        <v>-4.2000000000030013E-2</v>
      </c>
      <c r="BZ10" s="89">
        <f t="shared" si="13"/>
        <v>-1.899999880811265E-2</v>
      </c>
      <c r="CB10" s="13" t="str">
        <f t="shared" ref="CB10:CH10" si="14">P16</f>
        <v>Stg.3</v>
      </c>
      <c r="CC10" s="87">
        <f t="shared" si="14"/>
        <v>242</v>
      </c>
      <c r="CD10" s="87">
        <f t="shared" si="14"/>
        <v>244</v>
      </c>
      <c r="CE10" s="87" t="str">
        <f t="shared" si="14"/>
        <v>Max</v>
      </c>
      <c r="CF10" s="61">
        <f t="shared" ca="1" si="14"/>
        <v>-1.3935549127552349E-2</v>
      </c>
      <c r="CG10" s="87" t="str">
        <f t="shared" ca="1" si="14"/>
        <v>-</v>
      </c>
      <c r="CH10" s="87">
        <f t="shared" ca="1" si="14"/>
        <v>13</v>
      </c>
      <c r="CI10" s="61">
        <f ca="1">X16</f>
        <v>-1.6750108471796921E-3</v>
      </c>
      <c r="CJ10" s="61">
        <f ca="1">Z16</f>
        <v>-1.5610559974732041E-2</v>
      </c>
      <c r="CK10" s="61">
        <f t="shared" ca="1" si="4"/>
        <v>1.3935549127552349E-2</v>
      </c>
      <c r="CL10" s="61">
        <f ca="1">ABS(CK10)-ABS(HLOOKUP(CC10,$AK$4:$AX$7,3)-HLOOKUP(CC10,$AK$4:$AX$7,2)-(HLOOKUP(CD10,$AK$4:$AX$7,4)-HLOOKUP(CD10,$AK$4:$AX$7,2)))</f>
        <v>-0.14406445087240627</v>
      </c>
      <c r="CM10" s="61"/>
      <c r="CN10" s="61"/>
      <c r="CO10" s="61"/>
      <c r="CP10" s="61"/>
      <c r="CQ10" s="61"/>
      <c r="CR10" s="61"/>
      <c r="CU10" s="13">
        <f t="shared" si="6"/>
        <v>1</v>
      </c>
      <c r="CV10" s="13">
        <f>BE10</f>
        <v>1</v>
      </c>
      <c r="CW10" s="13">
        <f t="shared" ref="CW10:CW25" si="15">AM10-AL10</f>
        <v>2.0170000013835647</v>
      </c>
      <c r="CX10" s="13">
        <f t="shared" ref="CX10:CX25" si="16">AQ10-AP10</f>
        <v>2.0190000012598261</v>
      </c>
      <c r="CY10" s="13">
        <f t="shared" ref="CY10:CY25" si="17">IF(CV10="",NA(),AU10-AT10)</f>
        <v>2.0509999999999877</v>
      </c>
      <c r="CZ10" s="13">
        <f t="shared" ref="CZ10:CZ25" si="18">CY$7</f>
        <v>2.11099999999999</v>
      </c>
      <c r="DA10" s="13">
        <f t="shared" ref="DA10:DA25" si="19">CY$6</f>
        <v>1.88900000000001</v>
      </c>
      <c r="DB10" s="13">
        <f t="shared" ref="DB10:DB25" si="20">CY10-DA10</f>
        <v>0.16199999999997772</v>
      </c>
      <c r="DD10" s="13">
        <f ca="1">AW10-AV10</f>
        <v>1.6989999988026625</v>
      </c>
      <c r="DE10" s="13">
        <f>$DD$6</f>
        <v>1.8799999999999955</v>
      </c>
      <c r="DF10" s="13">
        <f>$DD$7</f>
        <v>1.5200000000000955</v>
      </c>
    </row>
    <row r="11" spans="1:110">
      <c r="A11" s="64" t="s">
        <v>255</v>
      </c>
      <c r="B11" s="152" t="s">
        <v>227</v>
      </c>
      <c r="C11" s="97">
        <v>238</v>
      </c>
      <c r="D11" s="96" t="str">
        <f ca="1">IF(N11="-","規格内","規格外")</f>
        <v>規格内</v>
      </c>
      <c r="E11" s="96" t="s">
        <v>228</v>
      </c>
      <c r="F11" s="96" t="str">
        <f ca="1">"φ"&amp;TEXT(L11,"0.###")</f>
        <v>φ749.091</v>
      </c>
      <c r="G11" s="146" t="str">
        <f ca="1">IF(N11="-","",N11)</f>
        <v/>
      </c>
      <c r="H11" s="147"/>
      <c r="I11" s="13" t="s">
        <v>255</v>
      </c>
      <c r="J11" s="59">
        <v>238</v>
      </c>
      <c r="K11" s="59" t="s">
        <v>271</v>
      </c>
      <c r="L11" s="13">
        <f ca="1">'238'!K30</f>
        <v>749.09075001034591</v>
      </c>
      <c r="N11" s="13" t="str">
        <f ca="1">'238'!M30</f>
        <v>-</v>
      </c>
      <c r="P11" s="13" t="s">
        <v>255</v>
      </c>
      <c r="Q11" s="59">
        <v>238</v>
      </c>
      <c r="R11" s="59">
        <v>240</v>
      </c>
      <c r="S11" s="13" t="s">
        <v>2</v>
      </c>
      <c r="T11" s="61">
        <f ca="1">'240'!AN89</f>
        <v>5.0677720826683981E-3</v>
      </c>
      <c r="U11" s="13" t="str">
        <f ca="1">'240'!AO89</f>
        <v>-</v>
      </c>
      <c r="V11" s="13">
        <f ca="1">'240'!AQ89</f>
        <v>16</v>
      </c>
      <c r="W11" s="61">
        <f ca="1">INDEX('238'!$J:$Q,MATCH("#",'238'!$J:$J,0)+'240'!AA$10,8)</f>
        <v>374.54523667355335</v>
      </c>
      <c r="X11" s="61">
        <f ca="1">W11-HLOOKUP(W10,$AK$4:$AX$5,2,FALSE)</f>
        <v>-4.7633264466639957E-3</v>
      </c>
      <c r="Y11" s="61">
        <f ca="1">INDEX('240'!$J:$Q,MATCH("#",'240'!$J:$J,0)+'240'!AA$10,8)</f>
        <v>394.90030444563598</v>
      </c>
      <c r="Z11" s="61">
        <f ca="1">Y11-HLOOKUP(Y10,$AK$4:$AX$5,2,FALSE)</f>
        <v>3.0444563600440233E-4</v>
      </c>
      <c r="AA11" s="13" t="s">
        <v>255</v>
      </c>
      <c r="AB11" s="13">
        <v>238</v>
      </c>
      <c r="AC11" s="13" t="s">
        <v>242</v>
      </c>
      <c r="AD11" s="61">
        <f>'238'!X28</f>
        <v>1.9000000000005457E-2</v>
      </c>
      <c r="AE11" s="13">
        <f>'238'!Y28</f>
        <v>11</v>
      </c>
      <c r="AH11" s="13">
        <v>2</v>
      </c>
      <c r="AI11" s="13">
        <v>16</v>
      </c>
      <c r="AK11" s="13">
        <f>'105'!K12</f>
        <v>356.17500001263426</v>
      </c>
      <c r="AL11" s="13">
        <f>'236'!K12</f>
        <v>359.37600005008676</v>
      </c>
      <c r="AM11" s="13">
        <f>'237'!K12</f>
        <v>361.39000002213675</v>
      </c>
      <c r="AN11" s="13">
        <f ca="1">'238'!K12</f>
        <v>374.53800001201483</v>
      </c>
      <c r="AO11" s="13">
        <f>'239'!K12</f>
        <v>376.72900003318028</v>
      </c>
      <c r="AP11" s="13">
        <f>'240'!K12</f>
        <v>394.89100000126621</v>
      </c>
      <c r="AQ11" s="13">
        <f>'241'!K12</f>
        <v>396.90400000503899</v>
      </c>
      <c r="AR11" s="13">
        <f ca="1">'242'!K12</f>
        <v>405.51700001109697</v>
      </c>
      <c r="AS11" s="13">
        <f>'243'!K12</f>
        <v>407.50700001963156</v>
      </c>
      <c r="AT11" s="13">
        <f>'244'!K12</f>
        <v>417.30000007668343</v>
      </c>
      <c r="AV11" s="13">
        <f ca="1">'246'!K12</f>
        <v>417.6620000011971</v>
      </c>
      <c r="AW11" s="13">
        <f>'247'!K12</f>
        <v>419.36100000476915</v>
      </c>
      <c r="AX11" s="13">
        <f>'248'!K12</f>
        <v>419.53400020141396</v>
      </c>
      <c r="AY11" s="13">
        <f>'238'!W12</f>
        <v>374.53800001201483</v>
      </c>
      <c r="AZ11" s="13">
        <f>'242'!W12</f>
        <v>405.51700001109697</v>
      </c>
      <c r="BA11" s="13">
        <f>'246'!W12</f>
        <v>417.6620000011971</v>
      </c>
      <c r="BC11" s="13">
        <f t="shared" si="7"/>
        <v>2</v>
      </c>
      <c r="BD11" s="13">
        <f t="shared" si="8"/>
        <v>16</v>
      </c>
      <c r="BF11" s="83">
        <f t="shared" ref="BF11:BF25" si="21">IF(AK11="",NA(),AK11-AK$5)</f>
        <v>-0.12499998736575435</v>
      </c>
      <c r="BG11" s="83">
        <f t="shared" ref="BG11:BG25" si="22">IF(AL11="",NA(),AL11-AL$5)</f>
        <v>-2.3999949913218188E-2</v>
      </c>
      <c r="BH11" s="84">
        <f t="shared" ref="BH11:BH25" si="23">IF(AM11="",NA(),AM11-AM$5)</f>
        <v>-9.9999778632309244E-3</v>
      </c>
      <c r="BI11" s="83">
        <f t="shared" ref="BI11:BI25" ca="1" si="24">IF(AN11="",NA(),AN11-AN$5)</f>
        <v>-1.199998798517754E-2</v>
      </c>
      <c r="BJ11" s="84">
        <f t="shared" ref="BJ11:BJ25" si="25">IF(AO11="",NA(),AO11-AO$5)</f>
        <v>-2.099996681971561E-2</v>
      </c>
      <c r="BK11" s="83">
        <f t="shared" ref="BK11:BK25" si="26">IF(AP11="",NA(),AP11-AP$5)</f>
        <v>-8.9999987337705534E-3</v>
      </c>
      <c r="BL11" s="84">
        <f t="shared" ref="BL11:BL25" si="27">IF(AQ11="",NA(),AQ11-AQ$5)</f>
        <v>4.0000050390176511E-3</v>
      </c>
      <c r="BM11" s="83">
        <f t="shared" ref="BM11:BM25" ca="1" si="28">IF(AR11="",NA(),AR11-AR$5)</f>
        <v>1.7000011096968137E-2</v>
      </c>
      <c r="BN11" s="84">
        <f t="shared" ref="BN11:BN25" si="29">IF(AS11="",NA(),AS11-AS$5)</f>
        <v>7.0000196315618268E-3</v>
      </c>
      <c r="BO11" s="83">
        <f t="shared" ref="BO11:BO25" si="30">IF(AT11="",NA(),AT11-AT$5)</f>
        <v>7.6683420502376975E-8</v>
      </c>
      <c r="BP11" s="84" t="e">
        <f t="shared" ref="BP11:BP25" si="31">IF(AU11="",NA(),AU11-AU$5)</f>
        <v>#N/A</v>
      </c>
      <c r="BQ11" s="83">
        <f t="shared" ref="BQ11:BQ25" ca="1" si="32">IF(AV11="",NA(),AV11-AV$5)</f>
        <v>1.2000001197122856E-2</v>
      </c>
      <c r="BR11" s="84">
        <f t="shared" ref="BR11:BR25" si="33">IF(AW11="",NA(),AW11-AW$5)</f>
        <v>1.1000004769130101E-2</v>
      </c>
      <c r="BS11" s="83">
        <f t="shared" ref="BS11:BS25" si="34">IF(AX11="",NA(),AX11-AX$5)</f>
        <v>3.4000201413959985E-2</v>
      </c>
      <c r="BT11" s="13">
        <v>-3.2000000000000001E-2</v>
      </c>
      <c r="BU11" s="13">
        <v>3.2000000000000001E-2</v>
      </c>
      <c r="BV11" s="89" t="str">
        <f t="shared" si="11"/>
        <v/>
      </c>
      <c r="BW11" s="89" t="str">
        <f t="shared" si="12"/>
        <v/>
      </c>
      <c r="BX11" s="89" t="str">
        <f t="shared" ca="1" si="13"/>
        <v/>
      </c>
      <c r="BY11" s="89" t="str">
        <f t="shared" si="13"/>
        <v/>
      </c>
      <c r="BZ11" s="89" t="str">
        <f t="shared" si="13"/>
        <v/>
      </c>
      <c r="CC11" s="87"/>
      <c r="CD11" s="87"/>
      <c r="CE11" s="87" t="str">
        <f>S17</f>
        <v>Min</v>
      </c>
      <c r="CF11" s="61">
        <f ca="1">T17</f>
        <v>-5.1711918843011517E-2</v>
      </c>
      <c r="CG11" s="87" t="str">
        <f ca="1">U17</f>
        <v>-</v>
      </c>
      <c r="CH11" s="87">
        <f ca="1">V17</f>
        <v>2</v>
      </c>
      <c r="CI11" s="61">
        <f ca="1">X17</f>
        <v>-2.4837962088668064E-2</v>
      </c>
      <c r="CJ11" s="61">
        <f ca="1">Z17</f>
        <v>-7.6549880931679581E-2</v>
      </c>
      <c r="CK11" s="61">
        <f t="shared" ca="1" si="4"/>
        <v>5.1711918843011517E-2</v>
      </c>
      <c r="CL11" s="61">
        <f ca="1">ABS(CK11)-ABS(HLOOKUP(CC10,$AK$4:$AX$7,4)-HLOOKUP(CC10,$AK$4:$AX$7,2)-(HLOOKUP(CD10,$AK$4:$AX$7,3)-HLOOKUP(CD10,$AK$4:$AX$7,2)))</f>
        <v>-0.1062880811569471</v>
      </c>
      <c r="CM11" s="61"/>
      <c r="CN11" s="61"/>
      <c r="CO11" s="61"/>
      <c r="CP11" s="61"/>
      <c r="CQ11" s="61"/>
      <c r="CR11" s="61"/>
      <c r="CU11" s="13">
        <f t="shared" si="6"/>
        <v>2</v>
      </c>
      <c r="CW11" s="13">
        <f t="shared" si="15"/>
        <v>2.0139999720499873</v>
      </c>
      <c r="CX11" s="13">
        <f t="shared" si="16"/>
        <v>2.0130000037727882</v>
      </c>
      <c r="CY11" s="13" t="e">
        <f t="shared" si="17"/>
        <v>#N/A</v>
      </c>
      <c r="CZ11" s="13">
        <f t="shared" si="18"/>
        <v>2.11099999999999</v>
      </c>
      <c r="DA11" s="13">
        <f t="shared" si="19"/>
        <v>1.88900000000001</v>
      </c>
      <c r="DB11" s="13" t="e">
        <f t="shared" si="20"/>
        <v>#N/A</v>
      </c>
      <c r="DD11" s="13">
        <f t="shared" ref="DD11:DD25" ca="1" si="35">AW11-AV11</f>
        <v>1.6990000035720527</v>
      </c>
      <c r="DE11" s="13">
        <f t="shared" ref="DE11:DE25" si="36">$DD$6</f>
        <v>1.8799999999999955</v>
      </c>
      <c r="DF11" s="13">
        <f t="shared" ref="DF11:DF25" si="37">$DD$7</f>
        <v>1.5200000000000955</v>
      </c>
    </row>
    <row r="12" spans="1:110">
      <c r="B12" s="150"/>
      <c r="C12" s="94">
        <v>240</v>
      </c>
      <c r="D12" s="95" t="str">
        <f t="shared" ref="D12" si="38">IF(N12="-","規格内","規格外")</f>
        <v>規格内</v>
      </c>
      <c r="E12" s="95" t="s">
        <v>228</v>
      </c>
      <c r="F12" s="95" t="str">
        <f t="shared" ref="F12" si="39">"φ"&amp;TEXT(L12,"0.###")</f>
        <v>φ789.787</v>
      </c>
      <c r="G12" s="148" t="str">
        <f>IF(N12="-","",N12)</f>
        <v/>
      </c>
      <c r="H12" s="149"/>
      <c r="J12" s="59">
        <v>240</v>
      </c>
      <c r="K12" s="59" t="s">
        <v>272</v>
      </c>
      <c r="L12" s="13">
        <f>'240'!K30</f>
        <v>789.78650000648918</v>
      </c>
      <c r="N12" s="13" t="str">
        <f>'240'!M30</f>
        <v>-</v>
      </c>
      <c r="Q12" s="59"/>
      <c r="R12" s="59"/>
      <c r="S12" s="13" t="s">
        <v>3</v>
      </c>
      <c r="T12" s="61">
        <f ca="1">'240'!AN90</f>
        <v>-1.2766667414950916E-2</v>
      </c>
      <c r="U12" s="13" t="str">
        <f ca="1">'240'!AO90</f>
        <v>-</v>
      </c>
      <c r="V12" s="13">
        <f ca="1">'240'!AQ90</f>
        <v>13</v>
      </c>
      <c r="W12" s="61">
        <f ca="1">INDEX('238'!$J:$Q,MATCH("#",'238'!$J:$J,0)+'240'!AA$11,8)</f>
        <v>374.57498000355065</v>
      </c>
      <c r="X12" s="61">
        <f ca="1">W12-HLOOKUP(W10,$AK$4:$AX$5,2,FALSE)</f>
        <v>2.498000355063823E-2</v>
      </c>
      <c r="Y12" s="61">
        <f ca="1">INDEX('240'!$J:$Q,MATCH("#",'240'!$J:$J,0)+'240'!AA$11,8)</f>
        <v>394.91221333613566</v>
      </c>
      <c r="Z12" s="61">
        <f ca="1">Y12-HLOOKUP(Y10,$AK$4:$AX$5,2,FALSE)</f>
        <v>1.2213336135687314E-2</v>
      </c>
      <c r="AC12" s="13" t="s">
        <v>244</v>
      </c>
      <c r="AD12" s="61">
        <f>'238'!X29</f>
        <v>3.9999999998485691E-3</v>
      </c>
      <c r="AE12" s="13">
        <f>'238'!Y29</f>
        <v>2</v>
      </c>
      <c r="AH12" s="13">
        <v>3</v>
      </c>
      <c r="AI12" s="13">
        <v>15</v>
      </c>
      <c r="AJ12" s="13">
        <v>8</v>
      </c>
      <c r="AK12" s="13">
        <f>'105'!K13</f>
        <v>356.26500000140345</v>
      </c>
      <c r="AL12" s="13">
        <f>'236'!K13</f>
        <v>359.37900000139132</v>
      </c>
      <c r="AM12" s="13">
        <f>'237'!K13</f>
        <v>361.38900000000001</v>
      </c>
      <c r="AN12" s="13">
        <f ca="1">'238'!K13</f>
        <v>374.54</v>
      </c>
      <c r="AO12" s="13">
        <f>'239'!K13</f>
        <v>376.73399999999998</v>
      </c>
      <c r="AP12" s="13">
        <f>'240'!K13</f>
        <v>394.9</v>
      </c>
      <c r="AQ12" s="13">
        <f>'241'!K13</f>
        <v>396.90900000125976</v>
      </c>
      <c r="AR12" s="13">
        <f ca="1">'242'!K13</f>
        <v>405.52699999999999</v>
      </c>
      <c r="AS12" s="13">
        <f>'243'!K13</f>
        <v>407.51499999999999</v>
      </c>
      <c r="AT12" s="13">
        <f>'244'!K13</f>
        <v>417.30800000119814</v>
      </c>
      <c r="AU12" s="13">
        <f>'245'!K12</f>
        <v>419.31</v>
      </c>
      <c r="AV12" s="13">
        <f ca="1">'246'!K13</f>
        <v>417.66300000478856</v>
      </c>
      <c r="AW12" s="13">
        <f>'247'!K13</f>
        <v>419.3650000011923</v>
      </c>
      <c r="AX12" s="13">
        <f>'248'!K13</f>
        <v>419.53800000000001</v>
      </c>
      <c r="AY12" s="13">
        <f>'238'!W13</f>
        <v>374.54</v>
      </c>
      <c r="AZ12" s="13">
        <f>'242'!W13</f>
        <v>405.52699999999999</v>
      </c>
      <c r="BA12" s="13">
        <f>'246'!W13</f>
        <v>417.66300000478856</v>
      </c>
      <c r="BC12" s="13">
        <f t="shared" si="7"/>
        <v>3</v>
      </c>
      <c r="BD12" s="13">
        <f t="shared" si="8"/>
        <v>15</v>
      </c>
      <c r="BE12" s="13">
        <f t="shared" si="9"/>
        <v>8</v>
      </c>
      <c r="BF12" s="83">
        <f t="shared" si="21"/>
        <v>-3.4999998596560999E-2</v>
      </c>
      <c r="BG12" s="83">
        <f t="shared" si="22"/>
        <v>-2.0999998608658643E-2</v>
      </c>
      <c r="BH12" s="84">
        <f t="shared" si="23"/>
        <v>-1.0999999999967258E-2</v>
      </c>
      <c r="BI12" s="83">
        <f t="shared" ca="1" si="24"/>
        <v>-9.9999999999909051E-3</v>
      </c>
      <c r="BJ12" s="84">
        <f t="shared" si="25"/>
        <v>-1.6000000000019554E-2</v>
      </c>
      <c r="BK12" s="83">
        <f t="shared" si="26"/>
        <v>0</v>
      </c>
      <c r="BL12" s="84">
        <f t="shared" si="27"/>
        <v>9.0000012597784007E-3</v>
      </c>
      <c r="BM12" s="83">
        <f t="shared" ca="1" si="28"/>
        <v>2.6999999999986812E-2</v>
      </c>
      <c r="BN12" s="84">
        <f t="shared" si="29"/>
        <v>1.4999999999986358E-2</v>
      </c>
      <c r="BO12" s="83">
        <f t="shared" si="30"/>
        <v>8.0000011981269381E-3</v>
      </c>
      <c r="BP12" s="84">
        <f t="shared" si="31"/>
        <v>9.9999999999909051E-3</v>
      </c>
      <c r="BQ12" s="83">
        <f t="shared" ca="1" si="32"/>
        <v>1.30000047885801E-2</v>
      </c>
      <c r="BR12" s="84">
        <f t="shared" si="33"/>
        <v>1.5000001192277068E-2</v>
      </c>
      <c r="BS12" s="83">
        <f t="shared" si="34"/>
        <v>3.8000000000010914E-2</v>
      </c>
      <c r="BT12" s="13">
        <v>-3.2000000000000001E-2</v>
      </c>
      <c r="BU12" s="13">
        <v>3.2000000000000001E-2</v>
      </c>
      <c r="BV12" s="89">
        <f t="shared" si="11"/>
        <v>4.9999999999954525E-3</v>
      </c>
      <c r="BW12" s="89">
        <f t="shared" si="12"/>
        <v>-1.9999988018639669E-3</v>
      </c>
      <c r="BX12" s="89">
        <f t="shared" ca="1" si="13"/>
        <v>3.0000047885891945E-3</v>
      </c>
      <c r="BY12" s="89">
        <f t="shared" si="13"/>
        <v>5.0000011922861631E-3</v>
      </c>
      <c r="BZ12" s="89">
        <f t="shared" si="13"/>
        <v>2.8000000000020009E-2</v>
      </c>
      <c r="CB12" s="13" t="str">
        <f t="shared" ref="CB12:CH12" si="40">P26</f>
        <v>Stg.4</v>
      </c>
      <c r="CC12" s="87">
        <f t="shared" si="40"/>
        <v>246</v>
      </c>
      <c r="CD12" s="87">
        <f t="shared" si="40"/>
        <v>248</v>
      </c>
      <c r="CE12" s="87" t="str">
        <f t="shared" si="40"/>
        <v>Max</v>
      </c>
      <c r="CF12" s="61">
        <f t="shared" ca="1" si="40"/>
        <v>2.9786666901713943E-2</v>
      </c>
      <c r="CG12" s="87" t="str">
        <f t="shared" ca="1" si="40"/>
        <v>-</v>
      </c>
      <c r="CH12" s="87">
        <f t="shared" ca="1" si="40"/>
        <v>6</v>
      </c>
      <c r="CI12" s="61">
        <f ca="1">X26</f>
        <v>4.8965334808031002E-2</v>
      </c>
      <c r="CJ12" s="61">
        <f ca="1">Z26</f>
        <v>7.8752001709744945E-2</v>
      </c>
      <c r="CK12" s="61">
        <f t="shared" ca="1" si="4"/>
        <v>-2.9786666901713943E-2</v>
      </c>
      <c r="CL12" s="61">
        <f ca="1">ABS(CK12)-ABS(HLOOKUP(CC12,$AK$4:$AX$7,3)-HLOOKUP(CC12,$AK$4:$AX$7,2)-(HLOOKUP(CD12,$AK$4:$AX$7,4)-HLOOKUP(CD12,$AK$4:$AX$7,2)))</f>
        <v>-0.15021333309823603</v>
      </c>
      <c r="CM12" s="61"/>
      <c r="CN12" s="61"/>
      <c r="CO12" s="61"/>
      <c r="CP12" s="61"/>
      <c r="CQ12" s="61"/>
      <c r="CR12" s="61"/>
      <c r="CU12" s="13">
        <f t="shared" si="6"/>
        <v>3</v>
      </c>
      <c r="CV12" s="13">
        <f>BE12</f>
        <v>8</v>
      </c>
      <c r="CW12" s="13">
        <f t="shared" si="15"/>
        <v>2.0099999986086914</v>
      </c>
      <c r="CX12" s="13">
        <f t="shared" si="16"/>
        <v>2.0090000012597784</v>
      </c>
      <c r="CY12" s="13">
        <f t="shared" si="17"/>
        <v>2.001999998801864</v>
      </c>
      <c r="CZ12" s="13">
        <f t="shared" si="18"/>
        <v>2.11099999999999</v>
      </c>
      <c r="DA12" s="13">
        <f t="shared" si="19"/>
        <v>1.88900000000001</v>
      </c>
      <c r="DB12" s="13">
        <f t="shared" si="20"/>
        <v>0.11299999880185396</v>
      </c>
      <c r="DD12" s="13">
        <f t="shared" ca="1" si="35"/>
        <v>1.7019999964037424</v>
      </c>
      <c r="DE12" s="13">
        <f t="shared" si="36"/>
        <v>1.8799999999999955</v>
      </c>
      <c r="DF12" s="13">
        <f t="shared" si="37"/>
        <v>1.5200000000000955</v>
      </c>
    </row>
    <row r="13" spans="1:110">
      <c r="B13" s="150" t="s">
        <v>229</v>
      </c>
      <c r="C13" s="94">
        <v>238</v>
      </c>
      <c r="D13" s="95" t="str">
        <f ca="1">IF(AND(O13="-",N13="-"),"規格内","規格外")</f>
        <v>規格内</v>
      </c>
      <c r="E13" s="95" t="s">
        <v>230</v>
      </c>
      <c r="F13" s="95" t="str">
        <f ca="1">"φ"&amp;TEXT(M13,"0.###")</f>
        <v>φ749.028</v>
      </c>
      <c r="G13" s="95" t="s">
        <v>231</v>
      </c>
      <c r="H13" s="75" t="str">
        <f ca="1">"φ"&amp;TEXT(L13,"0.###")</f>
        <v>φ749.162</v>
      </c>
      <c r="J13" s="59">
        <v>238</v>
      </c>
      <c r="K13" s="139" t="s">
        <v>273</v>
      </c>
      <c r="L13" s="138">
        <f ca="1">'238'!$L$28</f>
        <v>749.16200000266974</v>
      </c>
      <c r="M13" s="138">
        <f ca="1">'238'!$L$29</f>
        <v>749.02800000267018</v>
      </c>
      <c r="N13" s="138" t="str">
        <f ca="1">'238'!$Q$28</f>
        <v>-</v>
      </c>
      <c r="O13" s="138" t="str">
        <f ca="1">'238'!$Q$29</f>
        <v>-</v>
      </c>
      <c r="Q13" s="59"/>
      <c r="R13" s="59"/>
      <c r="AH13" s="13">
        <v>4</v>
      </c>
      <c r="AI13" s="13">
        <v>14</v>
      </c>
      <c r="AK13" s="13">
        <f>'105'!K14</f>
        <v>356.35600000140306</v>
      </c>
      <c r="AL13" s="13">
        <f>'236'!K14</f>
        <v>359.41600000139113</v>
      </c>
      <c r="AM13" s="13">
        <f>'237'!K14</f>
        <v>361.43000004980217</v>
      </c>
      <c r="AN13" s="13">
        <f ca="1">'238'!K14</f>
        <v>374.57500002135754</v>
      </c>
      <c r="AO13" s="13">
        <f>'239'!K14</f>
        <v>376.77200000132706</v>
      </c>
      <c r="AP13" s="13">
        <f>'240'!K14</f>
        <v>394.91700000506432</v>
      </c>
      <c r="AQ13" s="13">
        <f>'241'!K14</f>
        <v>396.92900004534818</v>
      </c>
      <c r="AR13" s="13">
        <f ca="1">'242'!K14</f>
        <v>405.53000004438633</v>
      </c>
      <c r="AS13" s="13">
        <f>'243'!K14</f>
        <v>407.52400003067299</v>
      </c>
      <c r="AT13" s="13">
        <f>'244'!K14</f>
        <v>417.29500000479277</v>
      </c>
      <c r="AV13" s="13">
        <f ca="1">'246'!K14</f>
        <v>417.63600001915546</v>
      </c>
      <c r="AW13" s="13">
        <f>'247'!K14</f>
        <v>419.33800000000002</v>
      </c>
      <c r="AX13" s="13">
        <f>'248'!K14</f>
        <v>419.48200011919465</v>
      </c>
      <c r="AY13" s="13">
        <f>'238'!W14</f>
        <v>374.57500002135754</v>
      </c>
      <c r="AZ13" s="13">
        <f>'242'!W14</f>
        <v>405.53000004438633</v>
      </c>
      <c r="BA13" s="13">
        <f>'246'!W14</f>
        <v>417.63600001915546</v>
      </c>
      <c r="BC13" s="13">
        <f t="shared" si="7"/>
        <v>4</v>
      </c>
      <c r="BD13" s="13">
        <f t="shared" si="8"/>
        <v>14</v>
      </c>
      <c r="BF13" s="83">
        <f t="shared" si="21"/>
        <v>5.6000001403049282E-2</v>
      </c>
      <c r="BG13" s="83">
        <f t="shared" si="22"/>
        <v>1.6000001391148544E-2</v>
      </c>
      <c r="BH13" s="84">
        <f t="shared" si="23"/>
        <v>3.0000049802197282E-2</v>
      </c>
      <c r="BI13" s="83">
        <f t="shared" ca="1" si="24"/>
        <v>2.5000021357527658E-2</v>
      </c>
      <c r="BJ13" s="84">
        <f t="shared" si="25"/>
        <v>2.2000001327057817E-2</v>
      </c>
      <c r="BK13" s="83">
        <f t="shared" si="26"/>
        <v>1.7000005064346624E-2</v>
      </c>
      <c r="BL13" s="84">
        <f t="shared" si="27"/>
        <v>2.9000045348198E-2</v>
      </c>
      <c r="BM13" s="83">
        <f t="shared" ca="1" si="28"/>
        <v>3.0000044386326863E-2</v>
      </c>
      <c r="BN13" s="84">
        <f t="shared" si="29"/>
        <v>2.4000030672993944E-2</v>
      </c>
      <c r="BO13" s="83">
        <f t="shared" si="30"/>
        <v>-4.9999952072425913E-3</v>
      </c>
      <c r="BP13" s="84" t="e">
        <f t="shared" si="31"/>
        <v>#N/A</v>
      </c>
      <c r="BQ13" s="83">
        <f t="shared" ca="1" si="32"/>
        <v>-1.3999980844516813E-2</v>
      </c>
      <c r="BR13" s="84">
        <f t="shared" si="33"/>
        <v>-1.2000000000000455E-2</v>
      </c>
      <c r="BS13" s="83">
        <f t="shared" si="34"/>
        <v>-1.7999880805348312E-2</v>
      </c>
      <c r="BT13" s="13">
        <v>-3.2000000000000001E-2</v>
      </c>
      <c r="BU13" s="13">
        <v>3.2000000000000001E-2</v>
      </c>
      <c r="BV13" s="89" t="str">
        <f t="shared" si="11"/>
        <v/>
      </c>
      <c r="BW13" s="89" t="str">
        <f t="shared" si="12"/>
        <v/>
      </c>
      <c r="BX13" s="89" t="str">
        <f t="shared" ca="1" si="13"/>
        <v/>
      </c>
      <c r="BY13" s="89" t="str">
        <f t="shared" si="13"/>
        <v/>
      </c>
      <c r="BZ13" s="89" t="str">
        <f t="shared" si="13"/>
        <v/>
      </c>
      <c r="CC13" s="87"/>
      <c r="CD13" s="87"/>
      <c r="CE13" s="87" t="str">
        <f>S27</f>
        <v>Min</v>
      </c>
      <c r="CF13" s="61">
        <f ca="1">T27</f>
        <v>2.2406116437423407E-4</v>
      </c>
      <c r="CG13" s="87" t="str">
        <f ca="1">U27</f>
        <v>-</v>
      </c>
      <c r="CH13" s="87">
        <f ca="1">V27</f>
        <v>19</v>
      </c>
      <c r="CI13" s="61">
        <f ca="1">X27</f>
        <v>-1.3615987740479341E-2</v>
      </c>
      <c r="CJ13" s="61">
        <f ca="1">Z27</f>
        <v>-1.3391926576105107E-2</v>
      </c>
      <c r="CK13" s="61">
        <f t="shared" ca="1" si="4"/>
        <v>-2.2406116437423407E-4</v>
      </c>
      <c r="CL13" s="61">
        <f ca="1">ABS(CK13)-ABS(HLOOKUP(CC12,$AK$4:$AX$7,4)-HLOOKUP(CC12,$AK$4:$AX$7,2)-(HLOOKUP(CD12,$AK$4:$AX$7,3)-HLOOKUP(CD12,$AK$4:$AX$7,2)))</f>
        <v>-0.17977593883557574</v>
      </c>
      <c r="CM13" s="61"/>
      <c r="CN13" s="61"/>
      <c r="CO13" s="61"/>
      <c r="CP13" s="61"/>
      <c r="CQ13" s="61"/>
      <c r="CR13" s="61"/>
      <c r="CU13" s="13">
        <f t="shared" si="6"/>
        <v>4</v>
      </c>
      <c r="CW13" s="13">
        <f t="shared" si="15"/>
        <v>2.0140000484110487</v>
      </c>
      <c r="CX13" s="13">
        <f t="shared" si="16"/>
        <v>2.0120000402838514</v>
      </c>
      <c r="CY13" s="13" t="e">
        <f t="shared" si="17"/>
        <v>#N/A</v>
      </c>
      <c r="CZ13" s="13">
        <f t="shared" si="18"/>
        <v>2.11099999999999</v>
      </c>
      <c r="DA13" s="13">
        <f t="shared" si="19"/>
        <v>1.88900000000001</v>
      </c>
      <c r="DB13" s="13" t="e">
        <f t="shared" si="20"/>
        <v>#N/A</v>
      </c>
      <c r="DD13" s="13">
        <f t="shared" ca="1" si="35"/>
        <v>1.7019999808445618</v>
      </c>
      <c r="DE13" s="13">
        <f t="shared" si="36"/>
        <v>1.8799999999999955</v>
      </c>
      <c r="DF13" s="13">
        <f t="shared" si="37"/>
        <v>1.5200000000000955</v>
      </c>
    </row>
    <row r="14" spans="1:110">
      <c r="B14" s="151"/>
      <c r="C14" s="76">
        <v>240</v>
      </c>
      <c r="D14" s="77" t="str">
        <f>IF(AND(O14="-",N14="-"),"規格内","規格外")</f>
        <v>規格内</v>
      </c>
      <c r="E14" s="77" t="s">
        <v>230</v>
      </c>
      <c r="F14" s="77" t="str">
        <f>"φ"&amp;TEXT(M14,"0.###")</f>
        <v>φ789.714</v>
      </c>
      <c r="G14" s="77" t="s">
        <v>231</v>
      </c>
      <c r="H14" s="78" t="str">
        <f>"φ"&amp;TEXT(L14,"0.###")</f>
        <v>φ789.87</v>
      </c>
      <c r="J14" s="59">
        <v>240</v>
      </c>
      <c r="K14" s="139" t="s">
        <v>273</v>
      </c>
      <c r="L14" s="138">
        <f>'240'!$L$28</f>
        <v>789.87000002278864</v>
      </c>
      <c r="M14" s="138">
        <f>'240'!$L$29</f>
        <v>789.71400000253266</v>
      </c>
      <c r="N14" s="138" t="str">
        <f>'240'!$Q$28</f>
        <v>-</v>
      </c>
      <c r="O14" s="138" t="str">
        <f>'240'!$Q$29</f>
        <v>-</v>
      </c>
      <c r="Q14" s="59"/>
      <c r="R14" s="11"/>
      <c r="AH14" s="13">
        <v>5</v>
      </c>
      <c r="AI14" s="13">
        <v>13</v>
      </c>
      <c r="AJ14" s="13">
        <v>7</v>
      </c>
      <c r="AK14" s="13">
        <f>'105'!K15</f>
        <v>356.375</v>
      </c>
      <c r="AL14" s="13">
        <f>'236'!K15</f>
        <v>359.41500000000002</v>
      </c>
      <c r="AM14" s="13">
        <f>'237'!K15</f>
        <v>361.4230000013834</v>
      </c>
      <c r="AN14" s="13">
        <f ca="1">'238'!K15</f>
        <v>374.57000000133485</v>
      </c>
      <c r="AO14" s="13">
        <f>'239'!K15</f>
        <v>376.762</v>
      </c>
      <c r="AP14" s="13">
        <f>'240'!K15</f>
        <v>394.91</v>
      </c>
      <c r="AQ14" s="13">
        <f>'241'!K15</f>
        <v>396.916</v>
      </c>
      <c r="AR14" s="13">
        <f ca="1">'242'!K15</f>
        <v>405.52700000123298</v>
      </c>
      <c r="AS14" s="13">
        <f>'243'!K15</f>
        <v>407.51799999999997</v>
      </c>
      <c r="AT14" s="13">
        <f>'244'!K15</f>
        <v>417.298</v>
      </c>
      <c r="AU14" s="13">
        <f>'245'!K13</f>
        <v>419.32</v>
      </c>
      <c r="AV14" s="13">
        <f ca="1">'246'!K15</f>
        <v>417.63700000119724</v>
      </c>
      <c r="AW14" s="13">
        <f>'247'!K15</f>
        <v>419.34300000000002</v>
      </c>
      <c r="AX14" s="13">
        <f>'248'!K15</f>
        <v>419.49400000000003</v>
      </c>
      <c r="AY14" s="13">
        <f>'238'!W15</f>
        <v>374.57000000133485</v>
      </c>
      <c r="AZ14" s="13">
        <f>'242'!W15</f>
        <v>405.52700000123298</v>
      </c>
      <c r="BA14" s="13">
        <f>'246'!W15</f>
        <v>417.63700000119724</v>
      </c>
      <c r="BC14" s="13">
        <f t="shared" si="7"/>
        <v>5</v>
      </c>
      <c r="BD14" s="13">
        <f t="shared" si="8"/>
        <v>13</v>
      </c>
      <c r="BE14" s="13">
        <f t="shared" si="9"/>
        <v>7</v>
      </c>
      <c r="BF14" s="83">
        <f t="shared" si="21"/>
        <v>7.4999999999988631E-2</v>
      </c>
      <c r="BG14" s="83">
        <f t="shared" si="22"/>
        <v>1.5000000000043201E-2</v>
      </c>
      <c r="BH14" s="84">
        <f t="shared" si="23"/>
        <v>2.3000001383422841E-2</v>
      </c>
      <c r="BI14" s="83">
        <f t="shared" ca="1" si="24"/>
        <v>2.0000001334835815E-2</v>
      </c>
      <c r="BJ14" s="84">
        <f t="shared" si="25"/>
        <v>1.2000000000000455E-2</v>
      </c>
      <c r="BK14" s="83">
        <f t="shared" si="26"/>
        <v>1.0000000000047748E-2</v>
      </c>
      <c r="BL14" s="84">
        <f t="shared" si="27"/>
        <v>1.6000000000019554E-2</v>
      </c>
      <c r="BM14" s="83">
        <f t="shared" ca="1" si="28"/>
        <v>2.7000001232977411E-2</v>
      </c>
      <c r="BN14" s="84">
        <f t="shared" si="29"/>
        <v>1.799999999997226E-2</v>
      </c>
      <c r="BO14" s="83">
        <f t="shared" si="30"/>
        <v>-2.0000000000095497E-3</v>
      </c>
      <c r="BP14" s="84">
        <f t="shared" si="31"/>
        <v>1.999999999998181E-2</v>
      </c>
      <c r="BQ14" s="83">
        <f t="shared" ca="1" si="32"/>
        <v>-1.299999880274072E-2</v>
      </c>
      <c r="BR14" s="84">
        <f t="shared" si="33"/>
        <v>-7.0000000000050022E-3</v>
      </c>
      <c r="BS14" s="83">
        <f t="shared" si="34"/>
        <v>-5.9999999999718057E-3</v>
      </c>
      <c r="BT14" s="13">
        <v>-3.2000000000000001E-2</v>
      </c>
      <c r="BU14" s="13">
        <v>3.2000000000000001E-2</v>
      </c>
      <c r="BV14" s="89">
        <f t="shared" si="11"/>
        <v>-2.0000000000095497E-3</v>
      </c>
      <c r="BW14" s="89">
        <f t="shared" si="12"/>
        <v>-2.199999999999136E-2</v>
      </c>
      <c r="BX14" s="89">
        <f t="shared" ca="1" si="13"/>
        <v>-3.299999880272253E-2</v>
      </c>
      <c r="BY14" s="89">
        <f t="shared" si="13"/>
        <v>-2.6999999999986812E-2</v>
      </c>
      <c r="BZ14" s="89">
        <f t="shared" si="13"/>
        <v>-2.5999999999953616E-2</v>
      </c>
      <c r="CA14" s="87" t="s">
        <v>259</v>
      </c>
      <c r="CB14" s="13" t="str">
        <f t="shared" ref="CB14:CH14" si="41">P32</f>
        <v>Stg.2</v>
      </c>
      <c r="CC14" s="87">
        <f t="shared" si="41"/>
        <v>237</v>
      </c>
      <c r="CD14" s="87">
        <f t="shared" si="41"/>
        <v>239</v>
      </c>
      <c r="CE14" s="87" t="str">
        <f t="shared" si="41"/>
        <v>Max</v>
      </c>
      <c r="CF14" s="61">
        <f t="shared" si="41"/>
        <v>2.811110659536098E-3</v>
      </c>
      <c r="CG14" s="87" t="str">
        <f t="shared" si="41"/>
        <v>-</v>
      </c>
      <c r="CH14" s="87">
        <f t="shared" si="41"/>
        <v>21</v>
      </c>
      <c r="CI14" s="61">
        <f>X32</f>
        <v>-3.6799990006898042E-2</v>
      </c>
      <c r="CJ14" s="61">
        <f>Z32</f>
        <v>-3.3988879347361944E-2</v>
      </c>
      <c r="CK14" s="61">
        <f t="shared" si="4"/>
        <v>-2.811110659536098E-3</v>
      </c>
      <c r="CL14" s="61">
        <f>ABS(CK14)-ABS(HLOOKUP(CC14,$AK$4:$AX$7,3)-HLOOKUP(CC14,$AK$4:$AX$7,2)-(HLOOKUP(CD14,$AK$4:$AX$7,4)-HLOOKUP(CD14,$AK$4:$AX$7,2)))</f>
        <v>-0.17718888934041388</v>
      </c>
      <c r="CM14" s="61"/>
      <c r="CN14" s="61"/>
      <c r="CO14" s="61"/>
      <c r="CP14" s="61"/>
      <c r="CQ14" s="61"/>
      <c r="CR14" s="61"/>
      <c r="CU14" s="13">
        <f t="shared" si="6"/>
        <v>5</v>
      </c>
      <c r="CV14" s="13">
        <f>BE14</f>
        <v>7</v>
      </c>
      <c r="CW14" s="13">
        <f t="shared" si="15"/>
        <v>2.0080000013833796</v>
      </c>
      <c r="CX14" s="13">
        <f t="shared" si="16"/>
        <v>2.0059999999999718</v>
      </c>
      <c r="CY14" s="13">
        <f t="shared" si="17"/>
        <v>2.0219999999999914</v>
      </c>
      <c r="CZ14" s="13">
        <f t="shared" si="18"/>
        <v>2.11099999999999</v>
      </c>
      <c r="DA14" s="13">
        <f t="shared" si="19"/>
        <v>1.88900000000001</v>
      </c>
      <c r="DB14" s="13">
        <f t="shared" si="20"/>
        <v>0.13299999999998136</v>
      </c>
      <c r="DD14" s="13">
        <f t="shared" ca="1" si="35"/>
        <v>1.7059999988027812</v>
      </c>
      <c r="DE14" s="13">
        <f t="shared" si="36"/>
        <v>1.8799999999999955</v>
      </c>
      <c r="DF14" s="13">
        <f t="shared" si="37"/>
        <v>1.5200000000000955</v>
      </c>
    </row>
    <row r="15" spans="1:110">
      <c r="A15" s="64" t="s">
        <v>258</v>
      </c>
      <c r="B15" s="62"/>
      <c r="C15" s="62"/>
      <c r="D15" s="62"/>
      <c r="E15" s="62"/>
      <c r="F15" s="62"/>
      <c r="G15" s="62"/>
      <c r="H15" s="62"/>
      <c r="J15" s="11"/>
      <c r="K15" s="11"/>
      <c r="Q15" s="11"/>
      <c r="R15" s="59"/>
      <c r="W15" s="13">
        <f>Q16</f>
        <v>242</v>
      </c>
      <c r="Y15" s="13">
        <f>R16</f>
        <v>244</v>
      </c>
      <c r="AD15" s="13" t="s">
        <v>302</v>
      </c>
      <c r="AE15" s="13" t="s">
        <v>245</v>
      </c>
      <c r="AH15" s="13">
        <v>6</v>
      </c>
      <c r="AI15" s="13">
        <v>12</v>
      </c>
      <c r="AK15" s="13">
        <f>'105'!K16</f>
        <v>356.34199999999998</v>
      </c>
      <c r="AL15" s="13">
        <f>'236'!K16</f>
        <v>359.41600000556457</v>
      </c>
      <c r="AM15" s="13">
        <f>'237'!K16</f>
        <v>361.43300002213414</v>
      </c>
      <c r="AN15" s="13">
        <f ca="1">'238'!K16</f>
        <v>374.57900000533931</v>
      </c>
      <c r="AO15" s="13">
        <f>'239'!K16</f>
        <v>376.77300029858827</v>
      </c>
      <c r="AP15" s="13">
        <f>'240'!K16</f>
        <v>394.91400000506439</v>
      </c>
      <c r="AQ15" s="13">
        <f>'241'!K16</f>
        <v>396.92500001133715</v>
      </c>
      <c r="AR15" s="13">
        <f ca="1">'242'!K16</f>
        <v>405.52700000493184</v>
      </c>
      <c r="AS15" s="13">
        <f>'243'!K16</f>
        <v>407.51900000122697</v>
      </c>
      <c r="AT15" s="13">
        <f>'244'!K16</f>
        <v>417.30900000000003</v>
      </c>
      <c r="AV15" s="13">
        <f ca="1">'246'!K16</f>
        <v>417.65800000119714</v>
      </c>
      <c r="AW15" s="13">
        <f>'247'!K16</f>
        <v>419.36</v>
      </c>
      <c r="AX15" s="13">
        <f>'248'!K16</f>
        <v>419.50900009654146</v>
      </c>
      <c r="AY15" s="13">
        <f>'238'!W16</f>
        <v>374.57900000533931</v>
      </c>
      <c r="AZ15" s="13">
        <f>'242'!W16</f>
        <v>405.52700000493184</v>
      </c>
      <c r="BA15" s="13">
        <f>'246'!W16</f>
        <v>417.65800000119714</v>
      </c>
      <c r="BC15" s="13">
        <f t="shared" si="7"/>
        <v>6</v>
      </c>
      <c r="BD15" s="13">
        <f t="shared" si="8"/>
        <v>12</v>
      </c>
      <c r="BF15" s="83">
        <f t="shared" si="21"/>
        <v>4.199999999997317E-2</v>
      </c>
      <c r="BG15" s="83">
        <f t="shared" si="22"/>
        <v>1.6000005564592357E-2</v>
      </c>
      <c r="BH15" s="84">
        <f t="shared" si="23"/>
        <v>3.3000022134160645E-2</v>
      </c>
      <c r="BI15" s="83">
        <f t="shared" ca="1" si="24"/>
        <v>2.9000005339298696E-2</v>
      </c>
      <c r="BJ15" s="84">
        <f t="shared" si="25"/>
        <v>2.3000298588272017E-2</v>
      </c>
      <c r="BK15" s="83">
        <f t="shared" si="26"/>
        <v>1.4000005064417564E-2</v>
      </c>
      <c r="BL15" s="84">
        <f t="shared" si="27"/>
        <v>2.5000011337169781E-2</v>
      </c>
      <c r="BM15" s="83">
        <f t="shared" ca="1" si="28"/>
        <v>2.700000493183552E-2</v>
      </c>
      <c r="BN15" s="84">
        <f t="shared" si="29"/>
        <v>1.9000001226970653E-2</v>
      </c>
      <c r="BO15" s="83">
        <f t="shared" si="30"/>
        <v>9.0000000000145519E-3</v>
      </c>
      <c r="BP15" s="84" t="e">
        <f t="shared" si="31"/>
        <v>#N/A</v>
      </c>
      <c r="BQ15" s="83">
        <f t="shared" ca="1" si="32"/>
        <v>8.0000011971606E-3</v>
      </c>
      <c r="BR15" s="84">
        <f t="shared" si="33"/>
        <v>9.9999999999909051E-3</v>
      </c>
      <c r="BS15" s="83">
        <f t="shared" si="34"/>
        <v>9.0000965414560596E-3</v>
      </c>
      <c r="BT15" s="13">
        <v>-3.2000000000000001E-2</v>
      </c>
      <c r="BU15" s="13">
        <v>3.2000000000000001E-2</v>
      </c>
      <c r="BV15" s="89" t="str">
        <f t="shared" si="11"/>
        <v/>
      </c>
      <c r="BW15" s="89" t="str">
        <f t="shared" si="12"/>
        <v/>
      </c>
      <c r="BX15" s="89" t="str">
        <f t="shared" ca="1" si="13"/>
        <v/>
      </c>
      <c r="BY15" s="89" t="str">
        <f t="shared" si="13"/>
        <v/>
      </c>
      <c r="BZ15" s="89" t="str">
        <f t="shared" si="13"/>
        <v/>
      </c>
      <c r="CC15" s="87"/>
      <c r="CD15" s="87"/>
      <c r="CE15" s="87" t="str">
        <f>S33</f>
        <v>Min</v>
      </c>
      <c r="CF15" s="61">
        <f>T33</f>
        <v>-1.9400001383587551E-2</v>
      </c>
      <c r="CG15" s="87" t="str">
        <f>U33</f>
        <v>-</v>
      </c>
      <c r="CH15" s="87">
        <f>V33</f>
        <v>1</v>
      </c>
      <c r="CI15" s="61">
        <f>X33</f>
        <v>-1.9666665283068596E-2</v>
      </c>
      <c r="CJ15" s="61">
        <f>Z33</f>
        <v>-3.9066666666656147E-2</v>
      </c>
      <c r="CK15" s="61">
        <f t="shared" si="4"/>
        <v>1.9400001383587551E-2</v>
      </c>
      <c r="CL15" s="61">
        <f>ABS(CK15)-ABS(HLOOKUP(CC14,$AK$4:$AX$7,4)-HLOOKUP(CC14,$AK$4:$AX$7,2)-(HLOOKUP(CD14,$AK$4:$AX$7,3)-HLOOKUP(CD14,$AK$4:$AX$7,2)))</f>
        <v>-0.16059999861636243</v>
      </c>
      <c r="CM15" s="61"/>
      <c r="CN15" s="61"/>
      <c r="CO15" s="61"/>
      <c r="CP15" s="61"/>
      <c r="CQ15" s="61"/>
      <c r="CR15" s="61"/>
      <c r="CU15" s="13">
        <f t="shared" si="6"/>
        <v>6</v>
      </c>
      <c r="CW15" s="13">
        <f t="shared" si="15"/>
        <v>2.0170000165695683</v>
      </c>
      <c r="CX15" s="13">
        <f t="shared" si="16"/>
        <v>2.0110000062727522</v>
      </c>
      <c r="CY15" s="13" t="e">
        <f t="shared" si="17"/>
        <v>#N/A</v>
      </c>
      <c r="CZ15" s="13">
        <f t="shared" si="18"/>
        <v>2.11099999999999</v>
      </c>
      <c r="DA15" s="13">
        <f t="shared" si="19"/>
        <v>1.88900000000001</v>
      </c>
      <c r="DB15" s="13" t="e">
        <f t="shared" si="20"/>
        <v>#N/A</v>
      </c>
      <c r="DD15" s="13">
        <f t="shared" ca="1" si="35"/>
        <v>1.7019999988028758</v>
      </c>
      <c r="DE15" s="13">
        <f t="shared" si="36"/>
        <v>1.8799999999999955</v>
      </c>
      <c r="DF15" s="13">
        <f t="shared" si="37"/>
        <v>1.5200000000000955</v>
      </c>
    </row>
    <row r="16" spans="1:110">
      <c r="A16" s="64" t="s">
        <v>256</v>
      </c>
      <c r="B16" s="152" t="s">
        <v>227</v>
      </c>
      <c r="C16" s="97">
        <v>242</v>
      </c>
      <c r="D16" s="96" t="str">
        <f ca="1">IF(N16="-","規格内","規格外")</f>
        <v>規格内</v>
      </c>
      <c r="E16" s="96" t="s">
        <v>228</v>
      </c>
      <c r="F16" s="96" t="str">
        <f ca="1">"φ"&amp;TEXT(L16,"0.###")</f>
        <v>φ811.025</v>
      </c>
      <c r="G16" s="146" t="str">
        <f ca="1">IF(N16="-","",N16)</f>
        <v/>
      </c>
      <c r="H16" s="147"/>
      <c r="I16" s="13" t="s">
        <v>256</v>
      </c>
      <c r="J16" s="59">
        <v>242</v>
      </c>
      <c r="K16" s="59" t="s">
        <v>271</v>
      </c>
      <c r="L16" s="13">
        <f ca="1">'242'!K30</f>
        <v>811.0247500168</v>
      </c>
      <c r="N16" s="13" t="str">
        <f ca="1">'242'!M30</f>
        <v>-</v>
      </c>
      <c r="P16" s="13" t="s">
        <v>256</v>
      </c>
      <c r="Q16" s="59">
        <v>242</v>
      </c>
      <c r="R16" s="59">
        <v>244</v>
      </c>
      <c r="S16" s="13" t="s">
        <v>2</v>
      </c>
      <c r="T16" s="61">
        <f ca="1">'244'!AS94</f>
        <v>-1.3935549127552349E-2</v>
      </c>
      <c r="U16" s="13" t="str">
        <f ca="1">'244'!AT94</f>
        <v>-</v>
      </c>
      <c r="V16" s="13">
        <f ca="1">'244'!AV94</f>
        <v>13</v>
      </c>
      <c r="W16" s="61">
        <f ca="1">INDEX('242'!$J:$Q,MATCH("#",'242'!$J:$J,0)+'244'!AA$10,8)</f>
        <v>405.49832498915282</v>
      </c>
      <c r="X16" s="61">
        <f ca="1">W16-HLOOKUP(W15,$AK$4:$AX$5,2,FALSE)</f>
        <v>-1.6750108471796921E-3</v>
      </c>
      <c r="Y16" s="61">
        <f ca="1">INDEX('244'!$J:$Q,MATCH("#",'244'!$J:$J,0)+'244'!AA$10,8)</f>
        <v>417.28438944002528</v>
      </c>
      <c r="Z16" s="61">
        <f ca="1">Y16-HLOOKUP(Y15,$AK$4:$AX$5,2,FALSE)</f>
        <v>-1.5610559974732041E-2</v>
      </c>
      <c r="AA16" s="13" t="s">
        <v>256</v>
      </c>
      <c r="AB16" s="13">
        <v>242</v>
      </c>
      <c r="AC16" s="13" t="s">
        <v>241</v>
      </c>
      <c r="AD16" s="61">
        <f>'242'!X28</f>
        <v>1.7999974104725425E-2</v>
      </c>
      <c r="AE16" s="13">
        <f>'242'!Y28</f>
        <v>10</v>
      </c>
      <c r="AH16" s="13">
        <v>7</v>
      </c>
      <c r="AI16" s="13">
        <v>11</v>
      </c>
      <c r="AJ16" s="13">
        <v>6</v>
      </c>
      <c r="AK16" s="13">
        <f>'105'!K17</f>
        <v>356.27800000561359</v>
      </c>
      <c r="AL16" s="13">
        <f>'236'!K17</f>
        <v>359.35800000139136</v>
      </c>
      <c r="AM16" s="13">
        <f>'237'!K17</f>
        <v>361.37300000138362</v>
      </c>
      <c r="AN16" s="13">
        <f ca="1">'238'!K17</f>
        <v>374.529</v>
      </c>
      <c r="AO16" s="13">
        <f>'239'!K17</f>
        <v>376.71800000132725</v>
      </c>
      <c r="AP16" s="13">
        <f>'240'!K17</f>
        <v>394.88500000126618</v>
      </c>
      <c r="AQ16" s="13">
        <f>'241'!K17</f>
        <v>396.892</v>
      </c>
      <c r="AR16" s="13">
        <f ca="1">'242'!K17</f>
        <v>405.51000000123304</v>
      </c>
      <c r="AS16" s="13">
        <f>'243'!K17</f>
        <v>407.49800000490802</v>
      </c>
      <c r="AT16" s="13">
        <f>'244'!K17</f>
        <v>417.29400000119819</v>
      </c>
      <c r="AU16" s="13">
        <f>'245'!K14</f>
        <v>419.32</v>
      </c>
      <c r="AV16" s="13">
        <f ca="1">'246'!K17</f>
        <v>417.64200000119718</v>
      </c>
      <c r="AW16" s="13">
        <f>'247'!K17</f>
        <v>419.3410000047694</v>
      </c>
      <c r="AX16" s="13">
        <f>'248'!K17</f>
        <v>419.50400000119191</v>
      </c>
      <c r="AY16" s="13">
        <f>'238'!W17</f>
        <v>374.529</v>
      </c>
      <c r="AZ16" s="13">
        <f>'242'!W17</f>
        <v>405.51000000123304</v>
      </c>
      <c r="BA16" s="13">
        <f>'246'!W17</f>
        <v>417.64200000119718</v>
      </c>
      <c r="BC16" s="13">
        <f t="shared" si="7"/>
        <v>7</v>
      </c>
      <c r="BD16" s="13">
        <f t="shared" si="8"/>
        <v>11</v>
      </c>
      <c r="BE16" s="13">
        <f t="shared" si="9"/>
        <v>6</v>
      </c>
      <c r="BF16" s="83">
        <f t="shared" si="21"/>
        <v>-2.199999438641953E-2</v>
      </c>
      <c r="BG16" s="83">
        <f t="shared" si="22"/>
        <v>-4.1999998608616806E-2</v>
      </c>
      <c r="BH16" s="84">
        <f t="shared" si="23"/>
        <v>-2.6999998616361154E-2</v>
      </c>
      <c r="BI16" s="83">
        <f t="shared" ca="1" si="24"/>
        <v>-2.1000000000015007E-2</v>
      </c>
      <c r="BJ16" s="84">
        <f t="shared" si="25"/>
        <v>-3.1999998672745278E-2</v>
      </c>
      <c r="BK16" s="83">
        <f t="shared" si="26"/>
        <v>-1.4999998733799202E-2</v>
      </c>
      <c r="BL16" s="84">
        <f t="shared" si="27"/>
        <v>-7.9999999999813554E-3</v>
      </c>
      <c r="BM16" s="83">
        <f t="shared" ca="1" si="28"/>
        <v>1.0000001233038347E-2</v>
      </c>
      <c r="BN16" s="84">
        <f t="shared" si="29"/>
        <v>-1.999995091978235E-3</v>
      </c>
      <c r="BO16" s="83">
        <f t="shared" si="30"/>
        <v>-5.9999988018262229E-3</v>
      </c>
      <c r="BP16" s="84">
        <f t="shared" si="31"/>
        <v>1.999999999998181E-2</v>
      </c>
      <c r="BQ16" s="83">
        <f t="shared" ca="1" si="32"/>
        <v>-7.9999988028021107E-3</v>
      </c>
      <c r="BR16" s="84">
        <f t="shared" si="33"/>
        <v>-8.9999952306243358E-3</v>
      </c>
      <c r="BS16" s="83">
        <f t="shared" si="34"/>
        <v>4.0000011919119061E-3</v>
      </c>
      <c r="BT16" s="13">
        <v>-3.2000000000000001E-2</v>
      </c>
      <c r="BU16" s="13">
        <v>3.2000000000000001E-2</v>
      </c>
      <c r="BV16" s="89">
        <f t="shared" si="11"/>
        <v>-2.1999995091960045E-2</v>
      </c>
      <c r="BW16" s="89">
        <f t="shared" si="12"/>
        <v>-2.5999998801808033E-2</v>
      </c>
      <c r="BX16" s="89">
        <f t="shared" ca="1" si="13"/>
        <v>-2.7999998802783921E-2</v>
      </c>
      <c r="BY16" s="89">
        <f t="shared" si="13"/>
        <v>-2.8999995230606146E-2</v>
      </c>
      <c r="BZ16" s="89">
        <f t="shared" si="13"/>
        <v>-1.5999998808069904E-2</v>
      </c>
      <c r="CB16" s="13" t="str">
        <f t="shared" ref="CB16:CH16" si="42">P39</f>
        <v>Stg.3</v>
      </c>
      <c r="CC16" s="87">
        <f t="shared" si="42"/>
        <v>241</v>
      </c>
      <c r="CD16" s="87">
        <f t="shared" si="42"/>
        <v>243</v>
      </c>
      <c r="CE16" s="87" t="str">
        <f t="shared" si="42"/>
        <v>Max</v>
      </c>
      <c r="CF16" s="61">
        <f t="shared" si="42"/>
        <v>4.427364636967468E-3</v>
      </c>
      <c r="CG16" s="87" t="str">
        <f t="shared" si="42"/>
        <v>-</v>
      </c>
      <c r="CH16" s="87">
        <f t="shared" si="42"/>
        <v>21</v>
      </c>
      <c r="CI16" s="61">
        <f>X39</f>
        <v>8.9144979941693236E-3</v>
      </c>
      <c r="CJ16" s="61">
        <f>Z39</f>
        <v>1.3341862631136792E-2</v>
      </c>
      <c r="CK16" s="61">
        <f t="shared" si="4"/>
        <v>-4.427364636967468E-3</v>
      </c>
      <c r="CL16" s="61">
        <f>ABS(CK16)-ABS(HLOOKUP(CC16,$AK$4:$AX$7,3)-HLOOKUP(CC16,$AK$4:$AX$7,2)-(HLOOKUP(CD16,$AK$4:$AX$7,4)-HLOOKUP(CD16,$AK$4:$AX$7,2)))</f>
        <v>-0.17057263536298706</v>
      </c>
      <c r="CM16" s="61"/>
      <c r="CN16" s="61"/>
      <c r="CO16" s="61"/>
      <c r="CP16" s="61"/>
      <c r="CQ16" s="61"/>
      <c r="CR16" s="61"/>
      <c r="CU16" s="13">
        <f t="shared" si="6"/>
        <v>7</v>
      </c>
      <c r="CV16" s="13">
        <f>BE16</f>
        <v>6</v>
      </c>
      <c r="CW16" s="13">
        <f t="shared" si="15"/>
        <v>2.0149999999922557</v>
      </c>
      <c r="CX16" s="13">
        <f t="shared" si="16"/>
        <v>2.0069999987338178</v>
      </c>
      <c r="CY16" s="13">
        <f t="shared" si="17"/>
        <v>2.025999998801808</v>
      </c>
      <c r="CZ16" s="13">
        <f t="shared" si="18"/>
        <v>2.11099999999999</v>
      </c>
      <c r="DA16" s="13">
        <f t="shared" si="19"/>
        <v>1.88900000000001</v>
      </c>
      <c r="DB16" s="13">
        <f t="shared" si="20"/>
        <v>0.13699999880179803</v>
      </c>
      <c r="DD16" s="13">
        <f t="shared" ca="1" si="35"/>
        <v>1.6990000035722232</v>
      </c>
      <c r="DE16" s="13">
        <f t="shared" si="36"/>
        <v>1.8799999999999955</v>
      </c>
      <c r="DF16" s="13">
        <f t="shared" si="37"/>
        <v>1.5200000000000955</v>
      </c>
    </row>
    <row r="17" spans="1:110">
      <c r="B17" s="150"/>
      <c r="C17" s="94">
        <v>244</v>
      </c>
      <c r="D17" s="95" t="str">
        <f t="shared" ref="D17" si="43">IF(N17="-","規格内","規格外")</f>
        <v>規格内</v>
      </c>
      <c r="E17" s="95" t="s">
        <v>228</v>
      </c>
      <c r="F17" s="95" t="str">
        <f t="shared" ref="F17" si="44">"φ"&amp;TEXT(L17,"0.###")</f>
        <v>φ834.572</v>
      </c>
      <c r="G17" s="148" t="str">
        <f>IF(N17="-","",N17)</f>
        <v/>
      </c>
      <c r="H17" s="149"/>
      <c r="J17" s="59">
        <v>244</v>
      </c>
      <c r="K17" s="59" t="s">
        <v>272</v>
      </c>
      <c r="L17" s="13">
        <f>'244'!K30</f>
        <v>834.57175002726046</v>
      </c>
      <c r="N17" s="13" t="str">
        <f>'244'!M30</f>
        <v>-</v>
      </c>
      <c r="Q17" s="59"/>
      <c r="R17" s="59"/>
      <c r="S17" s="13" t="s">
        <v>3</v>
      </c>
      <c r="T17" s="61">
        <f ca="1">'244'!AS95</f>
        <v>-5.1711918843011517E-2</v>
      </c>
      <c r="U17" s="13" t="str">
        <f ca="1">'244'!AT95</f>
        <v>-</v>
      </c>
      <c r="V17" s="13">
        <f ca="1">'244'!AV95</f>
        <v>2</v>
      </c>
      <c r="W17" s="61">
        <f ca="1">INDEX('242'!$J:$Q,MATCH("#",'242'!$J:$J,0)+'244'!AA$11,8)</f>
        <v>405.47516203791133</v>
      </c>
      <c r="X17" s="61">
        <f ca="1">W17-HLOOKUP(W15,$AK$4:$AX$5,2,FALSE)</f>
        <v>-2.4837962088668064E-2</v>
      </c>
      <c r="Y17" s="61">
        <f ca="1">INDEX('244'!$J:$Q,MATCH("#",'244'!$J:$J,0)+'244'!AA$11,8)</f>
        <v>417.22345011906833</v>
      </c>
      <c r="Z17" s="61">
        <f ca="1">Y17-HLOOKUP(Y15,$AK$4:$AX$5,2,FALSE)</f>
        <v>-7.6549880931679581E-2</v>
      </c>
      <c r="AC17" s="13" t="s">
        <v>244</v>
      </c>
      <c r="AD17" s="61">
        <f>'242'!X29</f>
        <v>2.0000000000095497E-3</v>
      </c>
      <c r="AE17" s="13">
        <f>'242'!Y29</f>
        <v>3</v>
      </c>
      <c r="AH17" s="13">
        <v>8</v>
      </c>
      <c r="AI17" s="13">
        <v>10</v>
      </c>
      <c r="AK17" s="13">
        <f>'105'!K18</f>
        <v>356.24</v>
      </c>
      <c r="AL17" s="13">
        <f>'236'!K18</f>
        <v>359.35000000556562</v>
      </c>
      <c r="AM17" s="13">
        <f>'237'!K18</f>
        <v>361.36100001245291</v>
      </c>
      <c r="AN17" s="13">
        <f ca="1">'238'!K18</f>
        <v>374.52700000534008</v>
      </c>
      <c r="AO17" s="13">
        <f>'239'!K18</f>
        <v>376.71600001194537</v>
      </c>
      <c r="AP17" s="13">
        <f>'240'!K18</f>
        <v>394.88000000126624</v>
      </c>
      <c r="AQ17" s="13">
        <f>'241'!K18</f>
        <v>396.88500003149528</v>
      </c>
      <c r="AR17" s="13">
        <f ca="1">'242'!K18</f>
        <v>405.50100000493217</v>
      </c>
      <c r="AS17" s="13">
        <f>'243'!K18</f>
        <v>407.48300031412356</v>
      </c>
      <c r="AT17" s="13">
        <f>'244'!K18</f>
        <v>417.28900002995522</v>
      </c>
      <c r="AV17" s="13">
        <f ca="1">'246'!K18</f>
        <v>417.649</v>
      </c>
      <c r="AW17" s="13">
        <f>'247'!K18</f>
        <v>419.34700001073099</v>
      </c>
      <c r="AX17" s="13">
        <f>'248'!K18</f>
        <v>419.51400004290684</v>
      </c>
      <c r="AY17" s="13">
        <f>'238'!W18</f>
        <v>374.52700000534008</v>
      </c>
      <c r="AZ17" s="13">
        <f>'242'!W18</f>
        <v>405.50100000493217</v>
      </c>
      <c r="BA17" s="13">
        <f>'246'!W18</f>
        <v>417.649</v>
      </c>
      <c r="BC17" s="13">
        <f t="shared" si="7"/>
        <v>8</v>
      </c>
      <c r="BD17" s="13">
        <f t="shared" si="8"/>
        <v>10</v>
      </c>
      <c r="BF17" s="83">
        <f t="shared" si="21"/>
        <v>-6.0000000000002274E-2</v>
      </c>
      <c r="BG17" s="83">
        <f t="shared" si="22"/>
        <v>-4.9999994434358541E-2</v>
      </c>
      <c r="BH17" s="84">
        <f t="shared" si="23"/>
        <v>-3.8999987547072124E-2</v>
      </c>
      <c r="BI17" s="83">
        <f t="shared" ca="1" si="24"/>
        <v>-2.2999994659926415E-2</v>
      </c>
      <c r="BJ17" s="84">
        <f t="shared" si="25"/>
        <v>-3.3999988054631558E-2</v>
      </c>
      <c r="BK17" s="83">
        <f t="shared" si="26"/>
        <v>-1.9999998733737812E-2</v>
      </c>
      <c r="BL17" s="84">
        <f t="shared" si="27"/>
        <v>-1.4999968504696426E-2</v>
      </c>
      <c r="BM17" s="83">
        <f t="shared" ca="1" si="28"/>
        <v>1.0000049321661209E-3</v>
      </c>
      <c r="BN17" s="84">
        <f t="shared" si="29"/>
        <v>-1.6999685876442072E-2</v>
      </c>
      <c r="BO17" s="83">
        <f t="shared" si="30"/>
        <v>-1.0999970044792917E-2</v>
      </c>
      <c r="BP17" s="84" t="e">
        <f t="shared" si="31"/>
        <v>#N/A</v>
      </c>
      <c r="BQ17" s="83">
        <f t="shared" ca="1" si="32"/>
        <v>-9.9999999997635314E-4</v>
      </c>
      <c r="BR17" s="84">
        <f t="shared" si="33"/>
        <v>-2.9999892690284469E-3</v>
      </c>
      <c r="BS17" s="83">
        <f t="shared" si="34"/>
        <v>1.4000042906843646E-2</v>
      </c>
      <c r="BT17" s="13">
        <v>-3.2000000000000001E-2</v>
      </c>
      <c r="BU17" s="13">
        <v>3.2000000000000001E-2</v>
      </c>
      <c r="BV17" s="89" t="str">
        <f t="shared" si="11"/>
        <v/>
      </c>
      <c r="BW17" s="89" t="str">
        <f t="shared" si="12"/>
        <v/>
      </c>
      <c r="BX17" s="89" t="str">
        <f t="shared" ca="1" si="13"/>
        <v/>
      </c>
      <c r="BY17" s="89" t="str">
        <f t="shared" si="13"/>
        <v/>
      </c>
      <c r="BZ17" s="89" t="str">
        <f t="shared" si="13"/>
        <v/>
      </c>
      <c r="CC17" s="87"/>
      <c r="CD17" s="87"/>
      <c r="CE17" s="87" t="str">
        <f>S40</f>
        <v>Min</v>
      </c>
      <c r="CF17" s="61">
        <f>T40</f>
        <v>-1.024004295584291E-2</v>
      </c>
      <c r="CG17" s="87" t="str">
        <f>U40</f>
        <v>-</v>
      </c>
      <c r="CH17" s="87">
        <f>V40</f>
        <v>3</v>
      </c>
      <c r="CI17" s="61">
        <f>X40</f>
        <v>-2.0356284381705336E-2</v>
      </c>
      <c r="CJ17" s="61">
        <f>Z40</f>
        <v>-3.0596327337548246E-2</v>
      </c>
      <c r="CK17" s="61">
        <f t="shared" si="4"/>
        <v>1.024004295584291E-2</v>
      </c>
      <c r="CL17" s="61">
        <f>ABS(CK17)-ABS(HLOOKUP(CC16,$AK$4:$AX$7,4)-HLOOKUP(CC16,$AK$4:$AX$7,2)-(HLOOKUP(CD16,$AK$4:$AX$7,3)-HLOOKUP(CD16,$AK$4:$AX$7,2)))</f>
        <v>-0.16475995704411162</v>
      </c>
      <c r="CM17" s="61"/>
      <c r="CN17" s="61"/>
      <c r="CO17" s="61"/>
      <c r="CP17" s="61"/>
      <c r="CQ17" s="61"/>
      <c r="CR17" s="61"/>
      <c r="CU17" s="13">
        <f t="shared" si="6"/>
        <v>8</v>
      </c>
      <c r="CW17" s="13">
        <f t="shared" si="15"/>
        <v>2.0110000068872864</v>
      </c>
      <c r="CX17" s="13">
        <f t="shared" si="16"/>
        <v>2.0050000302290414</v>
      </c>
      <c r="CY17" s="13" t="e">
        <f t="shared" si="17"/>
        <v>#N/A</v>
      </c>
      <c r="CZ17" s="13">
        <f t="shared" si="18"/>
        <v>2.11099999999999</v>
      </c>
      <c r="DA17" s="13">
        <f t="shared" si="19"/>
        <v>1.88900000000001</v>
      </c>
      <c r="DB17" s="13" t="e">
        <f t="shared" si="20"/>
        <v>#N/A</v>
      </c>
      <c r="DD17" s="13">
        <f t="shared" ca="1" si="35"/>
        <v>1.6980000107309934</v>
      </c>
      <c r="DE17" s="13">
        <f t="shared" si="36"/>
        <v>1.8799999999999955</v>
      </c>
      <c r="DF17" s="13">
        <f t="shared" si="37"/>
        <v>1.5200000000000955</v>
      </c>
    </row>
    <row r="18" spans="1:110">
      <c r="B18" s="150" t="s">
        <v>229</v>
      </c>
      <c r="C18" s="94">
        <v>242</v>
      </c>
      <c r="D18" s="95" t="str">
        <f ca="1">IF(AND(O18="-",N18="-"),"規格内","規格外")</f>
        <v>規格内</v>
      </c>
      <c r="E18" s="95" t="s">
        <v>230</v>
      </c>
      <c r="F18" s="95" t="str">
        <f ca="1">"φ"&amp;TEXT(M18,"0.###")</f>
        <v>φ810.946</v>
      </c>
      <c r="G18" s="95" t="s">
        <v>231</v>
      </c>
      <c r="H18" s="75" t="str">
        <f ca="1">"φ"&amp;TEXT(L18,"0.###")</f>
        <v>φ811.116</v>
      </c>
      <c r="J18" s="59">
        <v>242</v>
      </c>
      <c r="K18" s="59" t="s">
        <v>273</v>
      </c>
      <c r="L18" s="13">
        <f ca="1">'242'!$L$28</f>
        <v>811.11600000246574</v>
      </c>
      <c r="M18" s="13">
        <f ca="1">'242'!$L$29</f>
        <v>810.94600002219636</v>
      </c>
      <c r="N18" s="13" t="str">
        <f ca="1">'242'!$Q$28</f>
        <v>-</v>
      </c>
      <c r="O18" s="13" t="str">
        <f ca="1">'242'!$Q$29</f>
        <v>-</v>
      </c>
      <c r="Q18" s="59"/>
      <c r="R18" s="59"/>
      <c r="AH18" s="13">
        <v>9</v>
      </c>
      <c r="AI18" s="13">
        <v>9</v>
      </c>
      <c r="AJ18" s="13">
        <v>5</v>
      </c>
      <c r="AK18" s="13">
        <f>'105'!K19</f>
        <v>356.24900000000002</v>
      </c>
      <c r="AL18" s="13">
        <f>'236'!K19</f>
        <v>359.34699999999998</v>
      </c>
      <c r="AM18" s="13">
        <f>'237'!K19</f>
        <v>361.35900000138366</v>
      </c>
      <c r="AN18" s="13">
        <f ca="1">'238'!K19</f>
        <v>374.51400000133509</v>
      </c>
      <c r="AO18" s="13">
        <f>'239'!K19</f>
        <v>376.70499999999998</v>
      </c>
      <c r="AP18" s="13">
        <f>'240'!K19</f>
        <v>394.86399999999998</v>
      </c>
      <c r="AQ18" s="13">
        <f>'241'!K19</f>
        <v>396.87200000125989</v>
      </c>
      <c r="AR18" s="13">
        <f ca="1">'242'!K19</f>
        <v>405.47800000123311</v>
      </c>
      <c r="AS18" s="13">
        <f>'243'!K19</f>
        <v>407.47</v>
      </c>
      <c r="AT18" s="13">
        <f>'244'!K19</f>
        <v>417.25900000000001</v>
      </c>
      <c r="AU18" s="13">
        <f>'245'!K15</f>
        <v>419.315</v>
      </c>
      <c r="AV18" s="13">
        <f ca="1">'246'!K19</f>
        <v>417.60600000119729</v>
      </c>
      <c r="AW18" s="13">
        <f>'247'!K19</f>
        <v>419.30799999999999</v>
      </c>
      <c r="AX18" s="13">
        <f>'248'!K19</f>
        <v>419.46600000000001</v>
      </c>
      <c r="AY18" s="13">
        <f>'238'!W19</f>
        <v>374.51400000133509</v>
      </c>
      <c r="AZ18" s="13">
        <f>'242'!W19</f>
        <v>405.47800000123311</v>
      </c>
      <c r="BA18" s="13">
        <f>'246'!W19</f>
        <v>417.60600000119729</v>
      </c>
      <c r="BC18" s="13">
        <f t="shared" si="7"/>
        <v>9</v>
      </c>
      <c r="BD18" s="13">
        <f t="shared" si="8"/>
        <v>9</v>
      </c>
      <c r="BE18" s="13">
        <f t="shared" si="9"/>
        <v>5</v>
      </c>
      <c r="BF18" s="83">
        <f t="shared" si="21"/>
        <v>-5.0999999999987722E-2</v>
      </c>
      <c r="BG18" s="83">
        <f t="shared" si="22"/>
        <v>-5.2999999999997272E-2</v>
      </c>
      <c r="BH18" s="84">
        <f t="shared" si="23"/>
        <v>-4.0999998616314315E-2</v>
      </c>
      <c r="BI18" s="83">
        <f t="shared" ca="1" si="24"/>
        <v>-3.5999998664919985E-2</v>
      </c>
      <c r="BJ18" s="84">
        <f t="shared" si="25"/>
        <v>-4.5000000000015916E-2</v>
      </c>
      <c r="BK18" s="83">
        <f t="shared" si="26"/>
        <v>-3.6000000000001364E-2</v>
      </c>
      <c r="BL18" s="84">
        <f t="shared" si="27"/>
        <v>-2.799999874008563E-2</v>
      </c>
      <c r="BM18" s="83">
        <f t="shared" ca="1" si="28"/>
        <v>-2.1999998766887074E-2</v>
      </c>
      <c r="BN18" s="84">
        <f t="shared" si="29"/>
        <v>-2.9999999999972715E-2</v>
      </c>
      <c r="BO18" s="83">
        <f t="shared" si="30"/>
        <v>-4.0999999999996817E-2</v>
      </c>
      <c r="BP18" s="84">
        <f t="shared" si="31"/>
        <v>1.4999999999986358E-2</v>
      </c>
      <c r="BQ18" s="83">
        <f t="shared" ca="1" si="32"/>
        <v>-4.3999998802689788E-2</v>
      </c>
      <c r="BR18" s="84">
        <f t="shared" si="33"/>
        <v>-4.2000000000030013E-2</v>
      </c>
      <c r="BS18" s="83">
        <f t="shared" si="34"/>
        <v>-3.3999999999991815E-2</v>
      </c>
      <c r="BT18" s="13">
        <v>-3.2000000000000001E-2</v>
      </c>
      <c r="BU18" s="13">
        <v>3.2000000000000001E-2</v>
      </c>
      <c r="BV18" s="89">
        <f t="shared" si="11"/>
        <v>-4.4999999999959073E-2</v>
      </c>
      <c r="BW18" s="89">
        <f t="shared" si="12"/>
        <v>-5.5999999999983174E-2</v>
      </c>
      <c r="BX18" s="89">
        <f t="shared" ca="1" si="13"/>
        <v>-5.8999998802676146E-2</v>
      </c>
      <c r="BY18" s="89">
        <f t="shared" si="13"/>
        <v>-5.7000000000016371E-2</v>
      </c>
      <c r="BZ18" s="89">
        <f t="shared" si="13"/>
        <v>-4.8999999999978172E-2</v>
      </c>
      <c r="CB18" s="13" t="str">
        <f t="shared" ref="CB18:CH18" si="45">P46</f>
        <v>Stg.4</v>
      </c>
      <c r="CC18" s="87">
        <f t="shared" si="45"/>
        <v>245</v>
      </c>
      <c r="CD18" s="87">
        <f t="shared" si="45"/>
        <v>247</v>
      </c>
      <c r="CE18" s="87" t="str">
        <f t="shared" si="45"/>
        <v>Max</v>
      </c>
      <c r="CF18" s="61">
        <f t="shared" si="45"/>
        <v>4.3606667064125304E-2</v>
      </c>
      <c r="CG18" s="87" t="str">
        <f t="shared" si="45"/>
        <v>-</v>
      </c>
      <c r="CH18" s="87">
        <f t="shared" si="45"/>
        <v>7</v>
      </c>
      <c r="CI18" s="61">
        <f>X46</f>
        <v>1.845999999994774E-2</v>
      </c>
      <c r="CJ18" s="61">
        <f>Z46</f>
        <v>6.2066667064073044E-2</v>
      </c>
      <c r="CK18" s="61">
        <f t="shared" si="4"/>
        <v>-4.3606667064125304E-2</v>
      </c>
      <c r="CL18" s="61">
        <f>ABS(CK18)-ABS(HLOOKUP(CC18,$AK$4:$AX$7,3)-HLOOKUP(CC18,$AK$4:$AX$7,2)-(HLOOKUP(CD18,$AK$4:$AX$7,4)-HLOOKUP(CD18,$AK$4:$AX$7,2)))</f>
        <v>-8.9393332935856051E-2</v>
      </c>
      <c r="CM18" s="61"/>
      <c r="CN18" s="61"/>
      <c r="CO18" s="61"/>
      <c r="CP18" s="61"/>
      <c r="CQ18" s="61"/>
      <c r="CR18" s="61"/>
      <c r="CU18" s="13">
        <f t="shared" si="6"/>
        <v>9</v>
      </c>
      <c r="CV18" s="13">
        <f>BE18</f>
        <v>5</v>
      </c>
      <c r="CW18" s="13">
        <f t="shared" si="15"/>
        <v>2.012000001383683</v>
      </c>
      <c r="CX18" s="13">
        <f t="shared" si="16"/>
        <v>2.0080000012599157</v>
      </c>
      <c r="CY18" s="13">
        <f t="shared" si="17"/>
        <v>2.0559999999999832</v>
      </c>
      <c r="CZ18" s="13">
        <f t="shared" si="18"/>
        <v>2.11099999999999</v>
      </c>
      <c r="DA18" s="13">
        <f t="shared" si="19"/>
        <v>1.88900000000001</v>
      </c>
      <c r="DB18" s="13">
        <f t="shared" si="20"/>
        <v>0.16699999999997317</v>
      </c>
      <c r="DD18" s="13">
        <f t="shared" ca="1" si="35"/>
        <v>1.7019999988027052</v>
      </c>
      <c r="DE18" s="13">
        <f t="shared" si="36"/>
        <v>1.8799999999999955</v>
      </c>
      <c r="DF18" s="13">
        <f t="shared" si="37"/>
        <v>1.5200000000000955</v>
      </c>
    </row>
    <row r="19" spans="1:110">
      <c r="B19" s="151"/>
      <c r="C19" s="76">
        <v>244</v>
      </c>
      <c r="D19" s="77" t="str">
        <f>IF(AND(O19="-",N19="-"),"規格内","規格外")</f>
        <v>規格外</v>
      </c>
      <c r="E19" s="77" t="s">
        <v>230</v>
      </c>
      <c r="F19" s="77" t="str">
        <f>"φ"&amp;TEXT(M19,"0.###")</f>
        <v>φ834.436</v>
      </c>
      <c r="G19" s="77" t="s">
        <v>231</v>
      </c>
      <c r="H19" s="78" t="str">
        <f>"φ"&amp;TEXT(L19,"0.###")</f>
        <v>φ834.692</v>
      </c>
      <c r="J19" s="59">
        <v>244</v>
      </c>
      <c r="K19" s="59" t="s">
        <v>273</v>
      </c>
      <c r="L19" s="13">
        <f>'244'!$L$28</f>
        <v>834.69200000000001</v>
      </c>
      <c r="M19" s="13">
        <f>'244'!$L$29</f>
        <v>834.43600000958736</v>
      </c>
      <c r="N19" s="13" t="str">
        <f>'244'!$Q$28</f>
        <v>-</v>
      </c>
      <c r="O19" s="13" t="str">
        <f>'244'!$Q$29</f>
        <v>U/Min 0.028</v>
      </c>
      <c r="Q19" s="59"/>
      <c r="R19" s="11"/>
      <c r="AH19" s="13">
        <v>10</v>
      </c>
      <c r="AI19" s="13">
        <v>8</v>
      </c>
      <c r="AK19" s="13">
        <f>'105'!K20</f>
        <v>356.298</v>
      </c>
      <c r="AL19" s="13">
        <f>'236'!K20</f>
        <v>359.37700001252165</v>
      </c>
      <c r="AM19" s="13">
        <f>'237'!K20</f>
        <v>361.38600001245209</v>
      </c>
      <c r="AN19" s="13">
        <f ca="1">'238'!K20</f>
        <v>374.52600000534011</v>
      </c>
      <c r="AO19" s="13">
        <f>'239'!K20</f>
        <v>376.71800003318128</v>
      </c>
      <c r="AP19" s="13">
        <f>'240'!K20</f>
        <v>394.87400002025964</v>
      </c>
      <c r="AQ19" s="13">
        <f>'241'!K20</f>
        <v>396.88700001133827</v>
      </c>
      <c r="AR19" s="13">
        <f ca="1">'242'!K20</f>
        <v>405.4860000308272</v>
      </c>
      <c r="AS19" s="13">
        <f>'243'!K20</f>
        <v>407.47900001104352</v>
      </c>
      <c r="AT19" s="13">
        <f>'244'!K20</f>
        <v>417.24400009706557</v>
      </c>
      <c r="AV19" s="13">
        <f ca="1">'246'!K20</f>
        <v>417.57100020236084</v>
      </c>
      <c r="AW19" s="13">
        <f>'247'!K20</f>
        <v>419.27900000119251</v>
      </c>
      <c r="AX19" s="13">
        <f>'248'!K20</f>
        <v>419.4230000429161</v>
      </c>
      <c r="AY19" s="13">
        <f>'238'!W20</f>
        <v>374.52600000534011</v>
      </c>
      <c r="AZ19" s="13">
        <f>'242'!W20</f>
        <v>405.4860000308272</v>
      </c>
      <c r="BA19" s="13">
        <f>'246'!W20</f>
        <v>417.57100020236084</v>
      </c>
      <c r="BC19" s="13">
        <f t="shared" si="7"/>
        <v>10</v>
      </c>
      <c r="BD19" s="13">
        <f t="shared" si="8"/>
        <v>8</v>
      </c>
      <c r="BF19" s="83">
        <f t="shared" si="21"/>
        <v>-2.0000000000095497E-3</v>
      </c>
      <c r="BG19" s="83">
        <f t="shared" si="22"/>
        <v>-2.2999987478328876E-2</v>
      </c>
      <c r="BH19" s="84">
        <f t="shared" si="23"/>
        <v>-1.3999987547890669E-2</v>
      </c>
      <c r="BI19" s="83">
        <f t="shared" ca="1" si="24"/>
        <v>-2.3999994659902768E-2</v>
      </c>
      <c r="BJ19" s="84">
        <f t="shared" si="25"/>
        <v>-3.199996681871653E-2</v>
      </c>
      <c r="BK19" s="83">
        <f t="shared" si="26"/>
        <v>-2.5999979740333856E-2</v>
      </c>
      <c r="BL19" s="84">
        <f t="shared" si="27"/>
        <v>-1.2999988661704265E-2</v>
      </c>
      <c r="BM19" s="83">
        <f t="shared" ca="1" si="28"/>
        <v>-1.3999969172800775E-2</v>
      </c>
      <c r="BN19" s="84">
        <f t="shared" si="29"/>
        <v>-2.099998895647559E-2</v>
      </c>
      <c r="BO19" s="83">
        <f t="shared" si="30"/>
        <v>-5.5999902934445345E-2</v>
      </c>
      <c r="BP19" s="84" t="e">
        <f t="shared" si="31"/>
        <v>#N/A</v>
      </c>
      <c r="BQ19" s="83">
        <f t="shared" ca="1" si="32"/>
        <v>-7.8999797639141889E-2</v>
      </c>
      <c r="BR19" s="84">
        <f t="shared" si="33"/>
        <v>-7.0999998807508291E-2</v>
      </c>
      <c r="BS19" s="83">
        <f t="shared" si="34"/>
        <v>-7.6999957083899062E-2</v>
      </c>
      <c r="BT19" s="13">
        <v>-3.2000000000000001E-2</v>
      </c>
      <c r="BU19" s="13">
        <v>3.2000000000000001E-2</v>
      </c>
      <c r="BV19" s="89" t="str">
        <f t="shared" si="11"/>
        <v/>
      </c>
      <c r="BW19" s="89" t="str">
        <f t="shared" si="12"/>
        <v/>
      </c>
      <c r="BX19" s="89" t="str">
        <f t="shared" ca="1" si="13"/>
        <v/>
      </c>
      <c r="BY19" s="89" t="str">
        <f t="shared" si="13"/>
        <v/>
      </c>
      <c r="BZ19" s="89" t="str">
        <f t="shared" si="13"/>
        <v/>
      </c>
      <c r="CC19" s="87"/>
      <c r="CD19" s="87"/>
      <c r="CE19" s="87" t="str">
        <f>S47</f>
        <v>Min</v>
      </c>
      <c r="CF19" s="61">
        <f>T47</f>
        <v>-9.8191999542052599E-2</v>
      </c>
      <c r="CG19" s="87" t="str">
        <f>U47</f>
        <v>U/Min 0.034</v>
      </c>
      <c r="CH19" s="87">
        <f>V47</f>
        <v>3</v>
      </c>
      <c r="CI19" s="61">
        <f>X47</f>
        <v>1.903999999996131E-2</v>
      </c>
      <c r="CJ19" s="61">
        <f>Z47</f>
        <v>-7.9151999542091289E-2</v>
      </c>
      <c r="CK19" s="61">
        <f t="shared" si="4"/>
        <v>9.8191999542052599E-2</v>
      </c>
      <c r="CL19" s="61">
        <f>ABS(CK19)-ABS(HLOOKUP(CC18,$AK$4:$AX$7,4)-HLOOKUP(CC18,$AK$4:$AX$7,2)-(HLOOKUP(CD18,$AK$4:$AX$7,3)-HLOOKUP(CD18,$AK$4:$AX$7,2)))</f>
        <v>-3.4808000457928756E-2</v>
      </c>
      <c r="CM19" s="61"/>
      <c r="CN19" s="61"/>
      <c r="CO19" s="61"/>
      <c r="CP19" s="61"/>
      <c r="CQ19" s="61"/>
      <c r="CR19" s="61"/>
      <c r="CU19" s="13">
        <f t="shared" si="6"/>
        <v>10</v>
      </c>
      <c r="CW19" s="13">
        <f t="shared" si="15"/>
        <v>2.0089999999304382</v>
      </c>
      <c r="CX19" s="13">
        <f t="shared" si="16"/>
        <v>2.0129999910786296</v>
      </c>
      <c r="CY19" s="13" t="e">
        <f t="shared" si="17"/>
        <v>#N/A</v>
      </c>
      <c r="CZ19" s="13">
        <f t="shared" si="18"/>
        <v>2.11099999999999</v>
      </c>
      <c r="DA19" s="13">
        <f t="shared" si="19"/>
        <v>1.88900000000001</v>
      </c>
      <c r="DB19" s="13" t="e">
        <f t="shared" si="20"/>
        <v>#N/A</v>
      </c>
      <c r="DD19" s="13">
        <f t="shared" ca="1" si="35"/>
        <v>1.7079997988316791</v>
      </c>
      <c r="DE19" s="13">
        <f t="shared" si="36"/>
        <v>1.8799999999999955</v>
      </c>
      <c r="DF19" s="13">
        <f t="shared" si="37"/>
        <v>1.5200000000000955</v>
      </c>
    </row>
    <row r="20" spans="1:110">
      <c r="A20" s="64" t="s">
        <v>258</v>
      </c>
      <c r="B20" s="62"/>
      <c r="C20" s="62"/>
      <c r="D20" s="62"/>
      <c r="E20" s="62"/>
      <c r="F20" s="62"/>
      <c r="G20" s="62"/>
      <c r="H20" s="62"/>
      <c r="J20" s="11"/>
      <c r="K20" s="11"/>
      <c r="Q20" s="11"/>
      <c r="R20" s="59"/>
      <c r="W20" s="13">
        <f>Q21</f>
        <v>246</v>
      </c>
      <c r="Y20" s="13">
        <f>R21</f>
        <v>201</v>
      </c>
      <c r="AD20" s="13" t="s">
        <v>302</v>
      </c>
      <c r="AE20" s="13" t="s">
        <v>10</v>
      </c>
      <c r="AH20" s="13">
        <v>11</v>
      </c>
      <c r="AI20" s="13">
        <v>7</v>
      </c>
      <c r="AJ20" s="13">
        <v>4</v>
      </c>
      <c r="AK20" s="13">
        <f>'105'!K21</f>
        <v>356.32100000140326</v>
      </c>
      <c r="AL20" s="13">
        <f>'236'!K21</f>
        <v>359.39200000139124</v>
      </c>
      <c r="AM20" s="13">
        <f>'237'!K21</f>
        <v>361.401000005534</v>
      </c>
      <c r="AN20" s="13">
        <f ca="1">'238'!K21</f>
        <v>374.54900001201446</v>
      </c>
      <c r="AO20" s="13">
        <f>'239'!K21</f>
        <v>376.7420000013272</v>
      </c>
      <c r="AP20" s="13">
        <f>'240'!K21</f>
        <v>394.89000000506468</v>
      </c>
      <c r="AQ20" s="13">
        <f>'241'!K21</f>
        <v>396.89900000125976</v>
      </c>
      <c r="AR20" s="13">
        <f ca="1">'242'!K21</f>
        <v>405.5110000049321</v>
      </c>
      <c r="AS20" s="13">
        <f>'243'!K21</f>
        <v>407.501000001227</v>
      </c>
      <c r="AT20" s="13">
        <f>'244'!K21</f>
        <v>417.28000000119823</v>
      </c>
      <c r="AU20" s="13">
        <f>'245'!K16</f>
        <v>419.31</v>
      </c>
      <c r="AV20" s="13">
        <f ca="1">'246'!K21</f>
        <v>417.62400000119732</v>
      </c>
      <c r="AW20" s="13">
        <f>'247'!K21</f>
        <v>419.32299999999998</v>
      </c>
      <c r="AX20" s="13">
        <f>'248'!K21</f>
        <v>419.48899999999998</v>
      </c>
      <c r="AY20" s="13">
        <f>'238'!W21</f>
        <v>374.54900001201446</v>
      </c>
      <c r="AZ20" s="13">
        <f>'242'!W21</f>
        <v>405.5110000049321</v>
      </c>
      <c r="BA20" s="13">
        <f>'246'!W21</f>
        <v>417.62400000119732</v>
      </c>
      <c r="BC20" s="13">
        <f t="shared" si="7"/>
        <v>11</v>
      </c>
      <c r="BD20" s="13">
        <f t="shared" si="8"/>
        <v>7</v>
      </c>
      <c r="BE20" s="13">
        <f t="shared" si="9"/>
        <v>4</v>
      </c>
      <c r="BF20" s="83">
        <f t="shared" si="21"/>
        <v>2.1000001403251645E-2</v>
      </c>
      <c r="BG20" s="83">
        <f t="shared" si="22"/>
        <v>-7.9999986087386787E-3</v>
      </c>
      <c r="BH20" s="84">
        <f t="shared" si="23"/>
        <v>1.0000055340242398E-3</v>
      </c>
      <c r="BI20" s="83">
        <f t="shared" ca="1" si="24"/>
        <v>-9.9998798555134272E-4</v>
      </c>
      <c r="BJ20" s="84">
        <f t="shared" si="25"/>
        <v>-7.9999986728012118E-3</v>
      </c>
      <c r="BK20" s="83">
        <f t="shared" si="26"/>
        <v>-9.999994935299128E-3</v>
      </c>
      <c r="BL20" s="84">
        <f t="shared" si="27"/>
        <v>-9.9999874021250434E-4</v>
      </c>
      <c r="BM20" s="83">
        <f t="shared" ca="1" si="28"/>
        <v>1.1000004932100182E-2</v>
      </c>
      <c r="BN20" s="84">
        <f t="shared" si="29"/>
        <v>1.0000012269983927E-3</v>
      </c>
      <c r="BO20" s="83">
        <f t="shared" si="30"/>
        <v>-1.9999998801779384E-2</v>
      </c>
      <c r="BP20" s="84">
        <f t="shared" si="31"/>
        <v>9.9999999999909051E-3</v>
      </c>
      <c r="BQ20" s="83">
        <f t="shared" ca="1" si="32"/>
        <v>-2.5999998802660684E-2</v>
      </c>
      <c r="BR20" s="84">
        <f t="shared" si="33"/>
        <v>-2.7000000000043656E-2</v>
      </c>
      <c r="BS20" s="83">
        <f t="shared" si="34"/>
        <v>-1.1000000000024102E-2</v>
      </c>
      <c r="BT20" s="13">
        <v>-3.2000000000000001E-2</v>
      </c>
      <c r="BU20" s="13">
        <v>3.2000000000000001E-2</v>
      </c>
      <c r="BV20" s="89">
        <f t="shared" si="11"/>
        <v>-8.9999987729925124E-3</v>
      </c>
      <c r="BW20" s="89">
        <f t="shared" si="12"/>
        <v>-2.9999998801770289E-2</v>
      </c>
      <c r="BX20" s="89">
        <f t="shared" ca="1" si="13"/>
        <v>-3.5999998802651589E-2</v>
      </c>
      <c r="BY20" s="89">
        <f t="shared" si="13"/>
        <v>-3.7000000000034561E-2</v>
      </c>
      <c r="BZ20" s="89">
        <f t="shared" si="13"/>
        <v>-2.1000000000015007E-2</v>
      </c>
      <c r="CK20" s="61"/>
      <c r="CL20" s="61"/>
      <c r="CU20" s="13">
        <f t="shared" si="6"/>
        <v>11</v>
      </c>
      <c r="CV20" s="13">
        <f>BE20</f>
        <v>4</v>
      </c>
      <c r="CW20" s="13">
        <f t="shared" si="15"/>
        <v>2.0090000041427629</v>
      </c>
      <c r="CX20" s="13">
        <f t="shared" si="16"/>
        <v>2.0089999961950866</v>
      </c>
      <c r="CY20" s="13">
        <f t="shared" si="17"/>
        <v>2.0299999988017703</v>
      </c>
      <c r="CZ20" s="13">
        <f t="shared" si="18"/>
        <v>2.11099999999999</v>
      </c>
      <c r="DA20" s="13">
        <f t="shared" si="19"/>
        <v>1.88900000000001</v>
      </c>
      <c r="DB20" s="13">
        <f t="shared" si="20"/>
        <v>0.14099999880176028</v>
      </c>
      <c r="DD20" s="13">
        <f t="shared" ca="1" si="35"/>
        <v>1.6989999988026625</v>
      </c>
      <c r="DE20" s="13">
        <f t="shared" si="36"/>
        <v>1.8799999999999955</v>
      </c>
      <c r="DF20" s="13">
        <f t="shared" si="37"/>
        <v>1.5200000000000955</v>
      </c>
    </row>
    <row r="21" spans="1:110">
      <c r="A21" s="64" t="s">
        <v>257</v>
      </c>
      <c r="B21" s="152" t="s">
        <v>227</v>
      </c>
      <c r="C21" s="113">
        <v>246</v>
      </c>
      <c r="D21" s="115" t="str">
        <f ca="1">IF(N21="-","規格内","規格外")</f>
        <v>規格内</v>
      </c>
      <c r="E21" s="115" t="s">
        <v>228</v>
      </c>
      <c r="F21" s="115" t="str">
        <f ca="1">"φ"&amp;TEXT(L21,"0.###")</f>
        <v>φ835.271</v>
      </c>
      <c r="G21" s="146" t="str">
        <f ca="1">IF(N21="-","",N21)</f>
        <v/>
      </c>
      <c r="H21" s="147"/>
      <c r="I21" s="13" t="s">
        <v>257</v>
      </c>
      <c r="J21" s="59">
        <v>246</v>
      </c>
      <c r="K21" s="59" t="s">
        <v>271</v>
      </c>
      <c r="L21" s="13">
        <f ca="1">'246'!K30</f>
        <v>835.27050003158058</v>
      </c>
      <c r="N21" s="13" t="str">
        <f ca="1">'246'!M30</f>
        <v>-</v>
      </c>
      <c r="P21" s="13" t="s">
        <v>257</v>
      </c>
      <c r="Q21" s="59">
        <v>246</v>
      </c>
      <c r="R21" s="59">
        <v>201</v>
      </c>
      <c r="S21" s="13" t="s">
        <v>2</v>
      </c>
      <c r="T21" s="61">
        <f ca="1">'201'!AT95</f>
        <v>9.8957332953830246E-2</v>
      </c>
      <c r="U21" s="61" t="str">
        <f ca="1">'201'!AU95</f>
        <v>O/Max 0.041</v>
      </c>
      <c r="V21" s="13">
        <f ca="1">'201'!AW95</f>
        <v>23</v>
      </c>
      <c r="W21" s="61">
        <f ca="1">INDEX('246'!$J:$Q,MATCH("#",'246'!$J:$J,0)+'248'!AA$10,8)</f>
        <v>417.69896533480801</v>
      </c>
      <c r="X21" s="61">
        <f ca="1">W21-HLOOKUP(W20,$AK$4:$AX$5,2,FALSE)</f>
        <v>4.8965334808031002E-2</v>
      </c>
      <c r="Y21" s="61">
        <f ca="1">INDEX('201'!$J:$Q,MATCH("#",'201'!$J:$J,0)+'201'!AA$10,8)</f>
        <v>422.56727866757535</v>
      </c>
      <c r="Z21" s="61">
        <f ca="1">Y21-HLOOKUP(Y20,$AK$4:$AY$5,2,FALSE)</f>
        <v>9.9278667575333657E-2</v>
      </c>
      <c r="AA21" s="13" t="s">
        <v>257</v>
      </c>
      <c r="AB21" s="13">
        <v>246</v>
      </c>
      <c r="AC21" s="13" t="s">
        <v>241</v>
      </c>
      <c r="AD21" s="61">
        <f>'246'!X28</f>
        <v>1.3000003591002951E-2</v>
      </c>
      <c r="AE21" s="13">
        <f>'246'!Y28</f>
        <v>6</v>
      </c>
      <c r="AH21" s="13">
        <v>12</v>
      </c>
      <c r="AI21" s="13">
        <v>6</v>
      </c>
      <c r="AK21" s="13">
        <f>'105'!K22</f>
        <v>356.30600000561316</v>
      </c>
      <c r="AL21" s="13">
        <f>'236'!K22</f>
        <v>359.42300000556446</v>
      </c>
      <c r="AM21" s="13">
        <f>'237'!K22</f>
        <v>361.43700016738745</v>
      </c>
      <c r="AN21" s="13">
        <f ca="1">'238'!K22</f>
        <v>374.58100000133487</v>
      </c>
      <c r="AO21" s="13">
        <f>'239'!K22</f>
        <v>376.77600001194344</v>
      </c>
      <c r="AP21" s="13">
        <f>'240'!K22</f>
        <v>394.93500001139432</v>
      </c>
      <c r="AQ21" s="13">
        <f>'241'!K22</f>
        <v>396.95400015241063</v>
      </c>
      <c r="AR21" s="13">
        <f ca="1">'242'!K22</f>
        <v>405.55700000000002</v>
      </c>
      <c r="AS21" s="13">
        <f>'243'!K22</f>
        <v>407.55200003067091</v>
      </c>
      <c r="AT21" s="13">
        <f>'244'!K22</f>
        <v>417.34100000000001</v>
      </c>
      <c r="AV21" s="13">
        <f ca="1">'246'!K22</f>
        <v>417.70800000478806</v>
      </c>
      <c r="AW21" s="13">
        <f>'247'!K22</f>
        <v>419.40400000119217</v>
      </c>
      <c r="AX21" s="13">
        <f>'248'!K22</f>
        <v>419.58</v>
      </c>
      <c r="AY21" s="13">
        <f>'238'!W22</f>
        <v>374.58100000133487</v>
      </c>
      <c r="AZ21" s="13">
        <f>'242'!W22</f>
        <v>405.55700000000002</v>
      </c>
      <c r="BA21" s="13">
        <f>'246'!W22</f>
        <v>417.70800000478806</v>
      </c>
      <c r="BC21" s="13">
        <f t="shared" si="7"/>
        <v>12</v>
      </c>
      <c r="BD21" s="13">
        <f t="shared" si="8"/>
        <v>6</v>
      </c>
      <c r="BF21" s="83">
        <f t="shared" si="21"/>
        <v>6.0000056131457313E-3</v>
      </c>
      <c r="BG21" s="83">
        <f t="shared" si="22"/>
        <v>2.3000005564483672E-2</v>
      </c>
      <c r="BH21" s="84">
        <f t="shared" si="23"/>
        <v>3.7000167387475358E-2</v>
      </c>
      <c r="BI21" s="83">
        <f t="shared" ca="1" si="24"/>
        <v>3.1000001334859917E-2</v>
      </c>
      <c r="BJ21" s="84">
        <f t="shared" si="25"/>
        <v>2.6000011943438039E-2</v>
      </c>
      <c r="BK21" s="83">
        <f t="shared" si="26"/>
        <v>3.5000011394345165E-2</v>
      </c>
      <c r="BL21" s="84">
        <f t="shared" si="27"/>
        <v>5.4000152410651481E-2</v>
      </c>
      <c r="BM21" s="83">
        <f t="shared" ca="1" si="28"/>
        <v>5.7000000000016371E-2</v>
      </c>
      <c r="BN21" s="84">
        <f t="shared" si="29"/>
        <v>5.2000030670910746E-2</v>
      </c>
      <c r="BO21" s="83">
        <f t="shared" si="30"/>
        <v>4.0999999999996817E-2</v>
      </c>
      <c r="BP21" s="84" t="e">
        <f t="shared" si="31"/>
        <v>#N/A</v>
      </c>
      <c r="BQ21" s="83">
        <f t="shared" ca="1" si="32"/>
        <v>5.8000004788084425E-2</v>
      </c>
      <c r="BR21" s="84">
        <f t="shared" si="33"/>
        <v>5.4000001192150648E-2</v>
      </c>
      <c r="BS21" s="83">
        <f t="shared" si="34"/>
        <v>7.9999999999984084E-2</v>
      </c>
      <c r="BT21" s="13">
        <v>-3.2000000000000001E-2</v>
      </c>
      <c r="BU21" s="13">
        <v>3.2000000000000001E-2</v>
      </c>
      <c r="BV21" s="89" t="str">
        <f t="shared" si="11"/>
        <v/>
      </c>
      <c r="BW21" s="89" t="str">
        <f t="shared" si="12"/>
        <v/>
      </c>
      <c r="BX21" s="89" t="str">
        <f t="shared" ca="1" si="13"/>
        <v/>
      </c>
      <c r="BY21" s="89" t="str">
        <f t="shared" si="13"/>
        <v/>
      </c>
      <c r="BZ21" s="89" t="str">
        <f t="shared" si="13"/>
        <v/>
      </c>
      <c r="CK21" s="61"/>
      <c r="CL21" s="61"/>
      <c r="CU21" s="13">
        <f t="shared" si="6"/>
        <v>12</v>
      </c>
      <c r="CW21" s="13">
        <f t="shared" si="15"/>
        <v>2.0140001618229917</v>
      </c>
      <c r="CX21" s="13">
        <f t="shared" si="16"/>
        <v>2.0190001410163063</v>
      </c>
      <c r="CY21" s="13" t="e">
        <f t="shared" si="17"/>
        <v>#N/A</v>
      </c>
      <c r="CZ21" s="13">
        <f t="shared" si="18"/>
        <v>2.11099999999999</v>
      </c>
      <c r="DA21" s="13">
        <f t="shared" si="19"/>
        <v>1.88900000000001</v>
      </c>
      <c r="DB21" s="13" t="e">
        <f t="shared" si="20"/>
        <v>#N/A</v>
      </c>
      <c r="DD21" s="13">
        <f t="shared" ca="1" si="35"/>
        <v>1.6959999964041117</v>
      </c>
      <c r="DE21" s="13">
        <f t="shared" si="36"/>
        <v>1.8799999999999955</v>
      </c>
      <c r="DF21" s="13">
        <f t="shared" si="37"/>
        <v>1.5200000000000955</v>
      </c>
    </row>
    <row r="22" spans="1:110">
      <c r="B22" s="150"/>
      <c r="C22" s="114">
        <v>201</v>
      </c>
      <c r="D22" s="116" t="str">
        <f>IF(N22="-","規格内","規格外")</f>
        <v>規格内</v>
      </c>
      <c r="E22" s="116" t="s">
        <v>228</v>
      </c>
      <c r="F22" s="116" t="str">
        <f t="shared" ref="F22" si="46">"φ"&amp;TEXT(L22,"0.###")</f>
        <v>φ844.954</v>
      </c>
      <c r="G22" s="148" t="str">
        <f>IF(N22="-","",N22)</f>
        <v/>
      </c>
      <c r="H22" s="149"/>
      <c r="J22" s="59">
        <v>201</v>
      </c>
      <c r="K22" s="59" t="s">
        <v>271</v>
      </c>
      <c r="L22" s="13">
        <f>'201'!K30</f>
        <v>844.95399999999995</v>
      </c>
      <c r="N22" s="13" t="str">
        <f>'201'!M30</f>
        <v>-</v>
      </c>
      <c r="Q22" s="59"/>
      <c r="R22" s="59"/>
      <c r="S22" s="13" t="s">
        <v>3</v>
      </c>
      <c r="T22" s="61">
        <f ca="1">'201'!AT96</f>
        <v>-3.4232012259508338E-2</v>
      </c>
      <c r="U22" s="61" t="str">
        <f ca="1">'201'!AU96</f>
        <v>-</v>
      </c>
      <c r="V22" s="13">
        <f ca="1">'201'!AW96</f>
        <v>19</v>
      </c>
      <c r="W22" s="61">
        <f ca="1">INDEX('246'!$J:$Q,MATCH("#",'246'!$J:$J,0)+'248'!AA$11,8)</f>
        <v>417.6363840122595</v>
      </c>
      <c r="X22" s="61">
        <f ca="1">W22-HLOOKUP(W20,$AK$4:$AX$5,2,FALSE)</f>
        <v>-1.3615987740479341E-2</v>
      </c>
      <c r="Y22" s="61">
        <f ca="1">INDEX('201'!$J:$Q,MATCH("#",'201'!$J:$J,0)+'201'!AA$11,8)</f>
        <v>422.42015200000003</v>
      </c>
      <c r="Z22" s="61">
        <f ca="1">Y22-HLOOKUP(Y20,$AK$4:$AY$5,2,FALSE)</f>
        <v>-4.7847999999987678E-2</v>
      </c>
      <c r="AC22" s="13" t="s">
        <v>243</v>
      </c>
      <c r="AD22" s="61">
        <f>'246'!X29</f>
        <v>-9.9999999997635314E-4</v>
      </c>
      <c r="AE22" s="13">
        <f>'246'!Y29</f>
        <v>3</v>
      </c>
      <c r="AH22" s="13">
        <v>13</v>
      </c>
      <c r="AI22" s="13">
        <v>5</v>
      </c>
      <c r="AJ22" s="13">
        <v>3</v>
      </c>
      <c r="AK22" s="13">
        <f>'105'!K23</f>
        <v>356.30500000000001</v>
      </c>
      <c r="AL22" s="13">
        <f>'236'!K23</f>
        <v>359.40800000000002</v>
      </c>
      <c r="AM22" s="13">
        <f>'237'!K23</f>
        <v>361.4230000013834</v>
      </c>
      <c r="AN22" s="13">
        <f ca="1">'238'!K23</f>
        <v>374.58000000133484</v>
      </c>
      <c r="AO22" s="13">
        <f>'239'!K23</f>
        <v>376.77</v>
      </c>
      <c r="AP22" s="13">
        <f>'240'!K23</f>
        <v>394.93</v>
      </c>
      <c r="AQ22" s="13">
        <f>'241'!K23</f>
        <v>396.94100000125962</v>
      </c>
      <c r="AR22" s="13">
        <f ca="1">'242'!K23</f>
        <v>405.55800000123287</v>
      </c>
      <c r="AS22" s="13">
        <f>'243'!K23</f>
        <v>407.54599999999999</v>
      </c>
      <c r="AT22" s="13">
        <f>'244'!K23</f>
        <v>417.346</v>
      </c>
      <c r="AU22" s="13">
        <f>'245'!K17</f>
        <v>419.32</v>
      </c>
      <c r="AV22" s="13">
        <f ca="1">'246'!K23</f>
        <v>417.71000000119699</v>
      </c>
      <c r="AW22" s="13">
        <f>'247'!K23</f>
        <v>419.41800000000001</v>
      </c>
      <c r="AX22" s="13">
        <f>'248'!K23</f>
        <v>419.59800000119162</v>
      </c>
      <c r="AY22" s="13">
        <f>'238'!W23</f>
        <v>374.58000000133484</v>
      </c>
      <c r="AZ22" s="13">
        <f>'242'!W23</f>
        <v>405.55800000123287</v>
      </c>
      <c r="BA22" s="13">
        <f>'246'!W23</f>
        <v>417.71000000119699</v>
      </c>
      <c r="BC22" s="13">
        <f t="shared" si="7"/>
        <v>13</v>
      </c>
      <c r="BD22" s="13">
        <f t="shared" si="8"/>
        <v>5</v>
      </c>
      <c r="BE22" s="13">
        <f t="shared" si="9"/>
        <v>3</v>
      </c>
      <c r="BF22" s="83">
        <f t="shared" si="21"/>
        <v>4.9999999999954525E-3</v>
      </c>
      <c r="BG22" s="83">
        <f t="shared" si="22"/>
        <v>8.0000000000381988E-3</v>
      </c>
      <c r="BH22" s="84">
        <f t="shared" si="23"/>
        <v>2.3000001383422841E-2</v>
      </c>
      <c r="BI22" s="83">
        <f t="shared" ca="1" si="24"/>
        <v>3.000000133482672E-2</v>
      </c>
      <c r="BJ22" s="84">
        <f t="shared" si="25"/>
        <v>1.999999999998181E-2</v>
      </c>
      <c r="BK22" s="83">
        <f t="shared" si="26"/>
        <v>3.0000000000029559E-2</v>
      </c>
      <c r="BL22" s="84">
        <f t="shared" si="27"/>
        <v>4.1000001259646979E-2</v>
      </c>
      <c r="BM22" s="83">
        <f t="shared" ca="1" si="28"/>
        <v>5.8000001232869636E-2</v>
      </c>
      <c r="BN22" s="84">
        <f t="shared" si="29"/>
        <v>4.5999999999992269E-2</v>
      </c>
      <c r="BO22" s="83">
        <f t="shared" si="30"/>
        <v>4.5999999999992269E-2</v>
      </c>
      <c r="BP22" s="84">
        <f t="shared" si="31"/>
        <v>1.999999999998181E-2</v>
      </c>
      <c r="BQ22" s="83">
        <f t="shared" ca="1" si="32"/>
        <v>6.0000001197010988E-2</v>
      </c>
      <c r="BR22" s="84">
        <f t="shared" si="33"/>
        <v>6.7999999999983629E-2</v>
      </c>
      <c r="BS22" s="83">
        <f t="shared" si="34"/>
        <v>9.8000001191621777E-2</v>
      </c>
      <c r="BT22" s="13">
        <v>-3.2000000000000001E-2</v>
      </c>
      <c r="BU22" s="13">
        <v>3.2000000000000001E-2</v>
      </c>
      <c r="BV22" s="89">
        <f t="shared" si="11"/>
        <v>2.6000000000010459E-2</v>
      </c>
      <c r="BW22" s="89">
        <f t="shared" si="12"/>
        <v>2.6000000000010459E-2</v>
      </c>
      <c r="BX22" s="89">
        <f t="shared" ca="1" si="13"/>
        <v>4.0000001197029178E-2</v>
      </c>
      <c r="BY22" s="89">
        <f t="shared" si="13"/>
        <v>4.8000000000001819E-2</v>
      </c>
      <c r="BZ22" s="89">
        <f t="shared" si="13"/>
        <v>7.8000001191639967E-2</v>
      </c>
      <c r="CK22" s="61"/>
      <c r="CL22" s="61"/>
      <c r="CU22" s="13">
        <f t="shared" si="6"/>
        <v>13</v>
      </c>
      <c r="CV22" s="13">
        <f>BE22</f>
        <v>3</v>
      </c>
      <c r="CW22" s="13">
        <f t="shared" si="15"/>
        <v>2.0150000013833846</v>
      </c>
      <c r="CX22" s="13">
        <f t="shared" si="16"/>
        <v>2.0110000012596174</v>
      </c>
      <c r="CY22" s="13">
        <f t="shared" si="17"/>
        <v>1.9739999999999895</v>
      </c>
      <c r="CZ22" s="13">
        <f t="shared" si="18"/>
        <v>2.11099999999999</v>
      </c>
      <c r="DA22" s="13">
        <f t="shared" si="19"/>
        <v>1.88900000000001</v>
      </c>
      <c r="DB22" s="13">
        <f t="shared" si="20"/>
        <v>8.4999999999979536E-2</v>
      </c>
      <c r="DD22" s="13">
        <f t="shared" ca="1" si="35"/>
        <v>1.7079999988030181</v>
      </c>
      <c r="DE22" s="13">
        <f t="shared" si="36"/>
        <v>1.8799999999999955</v>
      </c>
      <c r="DF22" s="13">
        <f t="shared" si="37"/>
        <v>1.5200000000000955</v>
      </c>
    </row>
    <row r="23" spans="1:110">
      <c r="B23" s="150" t="s">
        <v>229</v>
      </c>
      <c r="C23" s="114">
        <v>246</v>
      </c>
      <c r="D23" s="116" t="str">
        <f ca="1">IF(AND(O23="-",N23="-"),"規格内","規格外")</f>
        <v>規格内</v>
      </c>
      <c r="E23" s="116" t="s">
        <v>230</v>
      </c>
      <c r="F23" s="116" t="str">
        <f ca="1">"φ"&amp;TEXT(M23,"0.###")</f>
        <v>φ835.12</v>
      </c>
      <c r="G23" s="116" t="s">
        <v>231</v>
      </c>
      <c r="H23" s="75" t="str">
        <f ca="1">"φ"&amp;TEXT(L23,"0.###")</f>
        <v>φ835.42</v>
      </c>
      <c r="J23" s="59">
        <v>246</v>
      </c>
      <c r="K23" s="139" t="s">
        <v>273</v>
      </c>
      <c r="L23" s="138">
        <f ca="1">'246'!$L$28</f>
        <v>835.42000000239398</v>
      </c>
      <c r="M23" s="138">
        <f ca="1">'246'!$L$29</f>
        <v>835.12000000239493</v>
      </c>
      <c r="N23" s="138" t="str">
        <f ca="1">'246'!$Q$28</f>
        <v>-</v>
      </c>
      <c r="O23" s="138" t="str">
        <f ca="1">'246'!$Q$29</f>
        <v>-</v>
      </c>
      <c r="Q23" s="59"/>
      <c r="R23" s="59"/>
      <c r="AH23" s="13">
        <v>14</v>
      </c>
      <c r="AI23" s="13">
        <v>4</v>
      </c>
      <c r="AK23" s="13">
        <f>'105'!K24</f>
        <v>356.32799999999997</v>
      </c>
      <c r="AL23" s="13">
        <f>'236'!K24</f>
        <v>359.40900002225879</v>
      </c>
      <c r="AM23" s="13">
        <f>'237'!K24</f>
        <v>361.42599999999999</v>
      </c>
      <c r="AN23" s="13">
        <f ca="1">'238'!K24</f>
        <v>374.56800000133489</v>
      </c>
      <c r="AO23" s="13">
        <f>'239'!K24</f>
        <v>376.7680000013271</v>
      </c>
      <c r="AP23" s="13">
        <f>'240'!K24</f>
        <v>394.911</v>
      </c>
      <c r="AQ23" s="13">
        <f>'241'!K24</f>
        <v>396.92600004534853</v>
      </c>
      <c r="AR23" s="13">
        <f ca="1">'242'!K24</f>
        <v>405.52800001109665</v>
      </c>
      <c r="AS23" s="13">
        <f>'243'!K24</f>
        <v>407.52000000122689</v>
      </c>
      <c r="AT23" s="13">
        <f>'244'!K24</f>
        <v>417.29600000119819</v>
      </c>
      <c r="AV23" s="13">
        <f ca="1">'246'!K24</f>
        <v>417.654</v>
      </c>
      <c r="AW23" s="13">
        <f>'247'!K24</f>
        <v>419.35400000119233</v>
      </c>
      <c r="AX23" s="13">
        <f>'248'!K24</f>
        <v>419.51100000476748</v>
      </c>
      <c r="AY23" s="13">
        <f>'238'!W24</f>
        <v>374.56800000133489</v>
      </c>
      <c r="AZ23" s="13">
        <f>'242'!W24</f>
        <v>405.52800001109665</v>
      </c>
      <c r="BA23" s="13">
        <f>'246'!W24</f>
        <v>417.654</v>
      </c>
      <c r="BC23" s="13">
        <f t="shared" si="7"/>
        <v>14</v>
      </c>
      <c r="BD23" s="13">
        <f t="shared" si="8"/>
        <v>4</v>
      </c>
      <c r="BF23" s="83">
        <f t="shared" si="21"/>
        <v>2.7999999999963165E-2</v>
      </c>
      <c r="BG23" s="83">
        <f t="shared" si="22"/>
        <v>9.0000222588173528E-3</v>
      </c>
      <c r="BH23" s="84">
        <f t="shared" si="23"/>
        <v>2.6000000000010459E-2</v>
      </c>
      <c r="BI23" s="83">
        <f t="shared" ca="1" si="24"/>
        <v>1.8000001334883109E-2</v>
      </c>
      <c r="BJ23" s="84">
        <f t="shared" si="25"/>
        <v>1.8000001327095561E-2</v>
      </c>
      <c r="BK23" s="83">
        <f t="shared" si="26"/>
        <v>1.1000000000024102E-2</v>
      </c>
      <c r="BL23" s="84">
        <f t="shared" si="27"/>
        <v>2.6000045348553158E-2</v>
      </c>
      <c r="BM23" s="83">
        <f t="shared" ca="1" si="28"/>
        <v>2.8000011096651178E-2</v>
      </c>
      <c r="BN23" s="84">
        <f t="shared" si="29"/>
        <v>2.0000001226890163E-2</v>
      </c>
      <c r="BO23" s="83">
        <f t="shared" si="30"/>
        <v>-3.9999988018166732E-3</v>
      </c>
      <c r="BP23" s="84" t="e">
        <f t="shared" si="31"/>
        <v>#N/A</v>
      </c>
      <c r="BQ23" s="83">
        <f t="shared" ca="1" si="32"/>
        <v>4.0000000000190994E-3</v>
      </c>
      <c r="BR23" s="84">
        <f t="shared" si="33"/>
        <v>4.00000119230981E-3</v>
      </c>
      <c r="BS23" s="83">
        <f t="shared" si="34"/>
        <v>1.1000004767481641E-2</v>
      </c>
      <c r="BT23" s="13">
        <v>-3.2000000000000001E-2</v>
      </c>
      <c r="BU23" s="13">
        <v>3.2000000000000001E-2</v>
      </c>
      <c r="BV23" s="89" t="str">
        <f t="shared" si="11"/>
        <v/>
      </c>
      <c r="BW23" s="89" t="str">
        <f t="shared" si="12"/>
        <v/>
      </c>
      <c r="BX23" s="89" t="str">
        <f t="shared" ca="1" si="13"/>
        <v/>
      </c>
      <c r="BY23" s="89" t="str">
        <f t="shared" si="13"/>
        <v/>
      </c>
      <c r="BZ23" s="89" t="str">
        <f t="shared" si="13"/>
        <v/>
      </c>
      <c r="CK23" s="61"/>
      <c r="CL23" s="61"/>
      <c r="CU23" s="13">
        <f t="shared" si="6"/>
        <v>14</v>
      </c>
      <c r="CW23" s="13">
        <f t="shared" si="15"/>
        <v>2.0169999777411931</v>
      </c>
      <c r="CX23" s="13">
        <f t="shared" si="16"/>
        <v>2.0150000453485291</v>
      </c>
      <c r="CY23" s="13" t="e">
        <f t="shared" si="17"/>
        <v>#N/A</v>
      </c>
      <c r="CZ23" s="13">
        <f t="shared" si="18"/>
        <v>2.11099999999999</v>
      </c>
      <c r="DA23" s="13">
        <f t="shared" si="19"/>
        <v>1.88900000000001</v>
      </c>
      <c r="DB23" s="13" t="e">
        <f t="shared" si="20"/>
        <v>#N/A</v>
      </c>
      <c r="DD23" s="13">
        <f t="shared" ca="1" si="35"/>
        <v>1.7000000011923362</v>
      </c>
      <c r="DE23" s="13">
        <f t="shared" si="36"/>
        <v>1.8799999999999955</v>
      </c>
      <c r="DF23" s="13">
        <f t="shared" si="37"/>
        <v>1.5200000000000955</v>
      </c>
    </row>
    <row r="24" spans="1:110">
      <c r="B24" s="151"/>
      <c r="C24" s="76">
        <v>201</v>
      </c>
      <c r="D24" s="77" t="str">
        <f>IF(AND(O24="-",N24="-"),"規格内","規格外")</f>
        <v>規格外</v>
      </c>
      <c r="E24" s="77" t="s">
        <v>230</v>
      </c>
      <c r="F24" s="77" t="str">
        <f>"φ"&amp;TEXT(M24,"0.###")</f>
        <v>φ844.716</v>
      </c>
      <c r="G24" s="77" t="s">
        <v>231</v>
      </c>
      <c r="H24" s="78" t="str">
        <f>"φ"&amp;TEXT(L24,"0.###")</f>
        <v>φ845.18</v>
      </c>
      <c r="J24" s="59">
        <v>201</v>
      </c>
      <c r="K24" s="139" t="s">
        <v>273</v>
      </c>
      <c r="L24" s="138">
        <f>'201'!$L$28</f>
        <v>845.18000000236634</v>
      </c>
      <c r="M24" s="138">
        <f>'201'!$L$29</f>
        <v>844.71600000947058</v>
      </c>
      <c r="N24" s="138" t="str">
        <f>'201'!$Q$28</f>
        <v>O/Max 0.193</v>
      </c>
      <c r="O24" s="138" t="str">
        <f>'201'!$Q$29</f>
        <v>U/Min 0.169</v>
      </c>
      <c r="Q24" s="59"/>
      <c r="R24" s="11"/>
      <c r="AH24" s="13">
        <v>15</v>
      </c>
      <c r="AI24" s="13">
        <v>3</v>
      </c>
      <c r="AJ24" s="13">
        <v>2</v>
      </c>
      <c r="AK24" s="13">
        <f>'105'!K25</f>
        <v>356.31</v>
      </c>
      <c r="AL24" s="13">
        <f>'236'!K25</f>
        <v>359.36800000139129</v>
      </c>
      <c r="AM24" s="13">
        <f>'237'!K25</f>
        <v>361.38000001245223</v>
      </c>
      <c r="AN24" s="13">
        <f ca="1">'238'!K25</f>
        <v>374.52000000133506</v>
      </c>
      <c r="AO24" s="13">
        <f>'239'!K25</f>
        <v>376.71800000000002</v>
      </c>
      <c r="AP24" s="13">
        <f>'240'!K25</f>
        <v>394.86799999999999</v>
      </c>
      <c r="AQ24" s="13">
        <f>'241'!K25</f>
        <v>396.8830000012598</v>
      </c>
      <c r="AR24" s="13">
        <f ca="1">'242'!K25</f>
        <v>405.47900000493246</v>
      </c>
      <c r="AS24" s="13">
        <f>'243'!K25</f>
        <v>407.47100000122708</v>
      </c>
      <c r="AT24" s="13">
        <f>'244'!K25</f>
        <v>417.233</v>
      </c>
      <c r="AU24" s="13">
        <f>'245'!K18</f>
        <v>419.32</v>
      </c>
      <c r="AV24" s="13">
        <f ca="1">'246'!K25</f>
        <v>417.56000000119747</v>
      </c>
      <c r="AW24" s="13">
        <f>'247'!K25</f>
        <v>419.27199999999999</v>
      </c>
      <c r="AX24" s="13">
        <f>'248'!K25</f>
        <v>419.41500000000002</v>
      </c>
      <c r="AY24" s="13">
        <f>'238'!W25</f>
        <v>374.52000000133506</v>
      </c>
      <c r="AZ24" s="13">
        <f>'242'!W25</f>
        <v>405.47900000493246</v>
      </c>
      <c r="BA24" s="13">
        <f>'246'!W25</f>
        <v>417.56000000119747</v>
      </c>
      <c r="BC24" s="13">
        <f t="shared" si="7"/>
        <v>15</v>
      </c>
      <c r="BD24" s="13">
        <f t="shared" si="8"/>
        <v>3</v>
      </c>
      <c r="BE24" s="13">
        <f t="shared" si="9"/>
        <v>2</v>
      </c>
      <c r="BF24" s="83">
        <f t="shared" si="21"/>
        <v>9.9999999999909051E-3</v>
      </c>
      <c r="BG24" s="83">
        <f t="shared" si="22"/>
        <v>-3.1999998608682745E-2</v>
      </c>
      <c r="BH24" s="84">
        <f t="shared" si="23"/>
        <v>-1.9999987547748788E-2</v>
      </c>
      <c r="BI24" s="83">
        <f t="shared" ca="1" si="24"/>
        <v>-2.999999866494818E-2</v>
      </c>
      <c r="BJ24" s="84">
        <f t="shared" si="25"/>
        <v>-3.1999999999982265E-2</v>
      </c>
      <c r="BK24" s="83">
        <f t="shared" si="26"/>
        <v>-3.1999999999982265E-2</v>
      </c>
      <c r="BL24" s="84">
        <f t="shared" si="27"/>
        <v>-1.6999998740175215E-2</v>
      </c>
      <c r="BM24" s="83">
        <f t="shared" ca="1" si="28"/>
        <v>-2.0999995067541022E-2</v>
      </c>
      <c r="BN24" s="84">
        <f t="shared" si="29"/>
        <v>-2.8999998772917479E-2</v>
      </c>
      <c r="BO24" s="83">
        <f t="shared" si="30"/>
        <v>-6.7000000000007276E-2</v>
      </c>
      <c r="BP24" s="84">
        <f t="shared" si="31"/>
        <v>1.999999999998181E-2</v>
      </c>
      <c r="BQ24" s="83">
        <f t="shared" ca="1" si="32"/>
        <v>-8.9999998802511527E-2</v>
      </c>
      <c r="BR24" s="84">
        <f t="shared" si="33"/>
        <v>-7.8000000000031378E-2</v>
      </c>
      <c r="BS24" s="83">
        <f t="shared" si="34"/>
        <v>-8.4999999999979536E-2</v>
      </c>
      <c r="BT24" s="13">
        <v>-3.2000000000000001E-2</v>
      </c>
      <c r="BU24" s="13">
        <v>3.2000000000000001E-2</v>
      </c>
      <c r="BV24" s="89">
        <f t="shared" si="11"/>
        <v>-4.8999998772899289E-2</v>
      </c>
      <c r="BW24" s="89">
        <f t="shared" si="12"/>
        <v>-8.6999999999989086E-2</v>
      </c>
      <c r="BX24" s="89">
        <f t="shared" ca="1" si="13"/>
        <v>-0.10999999880249334</v>
      </c>
      <c r="BY24" s="89">
        <f t="shared" si="13"/>
        <v>-9.8000000000013188E-2</v>
      </c>
      <c r="BZ24" s="89">
        <f t="shared" si="13"/>
        <v>-0.10499999999996135</v>
      </c>
      <c r="CK24" s="61"/>
      <c r="CL24" s="61"/>
      <c r="CU24" s="13">
        <f t="shared" si="6"/>
        <v>15</v>
      </c>
      <c r="CV24" s="13">
        <f>BE24</f>
        <v>2</v>
      </c>
      <c r="CW24" s="13">
        <f t="shared" si="15"/>
        <v>2.012000011060934</v>
      </c>
      <c r="CX24" s="13">
        <f t="shared" si="16"/>
        <v>2.015000001259807</v>
      </c>
      <c r="CY24" s="13">
        <f t="shared" si="17"/>
        <v>2.0869999999999891</v>
      </c>
      <c r="CZ24" s="13">
        <f t="shared" si="18"/>
        <v>2.11099999999999</v>
      </c>
      <c r="DA24" s="13">
        <f t="shared" si="19"/>
        <v>1.88900000000001</v>
      </c>
      <c r="DB24" s="13">
        <f t="shared" si="20"/>
        <v>0.19799999999997908</v>
      </c>
      <c r="DD24" s="13">
        <f t="shared" ca="1" si="35"/>
        <v>1.7119999988025256</v>
      </c>
      <c r="DE24" s="13">
        <f t="shared" si="36"/>
        <v>1.8799999999999955</v>
      </c>
      <c r="DF24" s="13">
        <f t="shared" si="37"/>
        <v>1.5200000000000955</v>
      </c>
    </row>
    <row r="25" spans="1:110">
      <c r="A25" s="64" t="s">
        <v>390</v>
      </c>
      <c r="B25" s="62"/>
      <c r="C25" s="62"/>
      <c r="D25" s="62"/>
      <c r="E25" s="62"/>
      <c r="F25" s="62"/>
      <c r="G25" s="62"/>
      <c r="H25" s="62"/>
      <c r="J25" s="11"/>
      <c r="K25" s="11"/>
      <c r="Q25" s="11"/>
      <c r="R25" s="59"/>
      <c r="W25" s="13">
        <f>Q26</f>
        <v>246</v>
      </c>
      <c r="Y25" s="13">
        <f>R26</f>
        <v>248</v>
      </c>
      <c r="AD25" s="13" t="s">
        <v>302</v>
      </c>
      <c r="AE25" s="13" t="s">
        <v>245</v>
      </c>
      <c r="AH25" s="13">
        <v>16</v>
      </c>
      <c r="AI25" s="13">
        <v>2</v>
      </c>
      <c r="AK25" s="13">
        <f>'105'!K26</f>
        <v>356.23500000140359</v>
      </c>
      <c r="AL25" s="13">
        <f>'236'!K26</f>
        <v>359.35700000139138</v>
      </c>
      <c r="AM25" s="13">
        <f>'237'!K26</f>
        <v>361.37300000138362</v>
      </c>
      <c r="AN25" s="13">
        <f ca="1">'238'!K26</f>
        <v>374.51500001201555</v>
      </c>
      <c r="AO25" s="13">
        <f>'239'!K26</f>
        <v>376.70800000000003</v>
      </c>
      <c r="AP25" s="13">
        <f>'240'!K26</f>
        <v>394.85700000126633</v>
      </c>
      <c r="AQ25" s="13">
        <f>'241'!K26</f>
        <v>396.87000001133873</v>
      </c>
      <c r="AR25" s="13">
        <f ca="1">'242'!K26</f>
        <v>405.47300001109818</v>
      </c>
      <c r="AS25" s="13">
        <f>'243'!K26</f>
        <v>407.46300006012814</v>
      </c>
      <c r="AT25" s="13">
        <f>'244'!K26</f>
        <v>417.21800000479368</v>
      </c>
      <c r="AV25" s="13">
        <f ca="1">'246'!K26</f>
        <v>417.56000001077689</v>
      </c>
      <c r="AW25" s="13">
        <f>'247'!K26</f>
        <v>419.26900000119258</v>
      </c>
      <c r="AX25" s="13">
        <f>'248'!K26</f>
        <v>419.42800034451676</v>
      </c>
      <c r="AY25" s="13">
        <f>'238'!W26</f>
        <v>374.51500001201555</v>
      </c>
      <c r="AZ25" s="13">
        <f>'242'!W26</f>
        <v>405.47300001109818</v>
      </c>
      <c r="BA25" s="13">
        <f>'246'!W26</f>
        <v>417.56000001077689</v>
      </c>
      <c r="BC25" s="13">
        <f t="shared" si="7"/>
        <v>16</v>
      </c>
      <c r="BD25" s="13">
        <f t="shared" si="8"/>
        <v>2</v>
      </c>
      <c r="BF25" s="83">
        <f t="shared" si="21"/>
        <v>-6.4999998596420028E-2</v>
      </c>
      <c r="BG25" s="83">
        <f t="shared" si="22"/>
        <v>-4.299999860859316E-2</v>
      </c>
      <c r="BH25" s="84">
        <f t="shared" si="23"/>
        <v>-2.6999998616361154E-2</v>
      </c>
      <c r="BI25" s="83">
        <f t="shared" ca="1" si="24"/>
        <v>-3.4999987984463132E-2</v>
      </c>
      <c r="BJ25" s="84">
        <f t="shared" si="25"/>
        <v>-4.199999999997317E-2</v>
      </c>
      <c r="BK25" s="83">
        <f t="shared" si="26"/>
        <v>-4.2999998733648681E-2</v>
      </c>
      <c r="BL25" s="84">
        <f t="shared" si="27"/>
        <v>-2.9999988661245425E-2</v>
      </c>
      <c r="BM25" s="83">
        <f t="shared" ca="1" si="28"/>
        <v>-2.6999988901820871E-2</v>
      </c>
      <c r="BN25" s="84">
        <f t="shared" si="29"/>
        <v>-3.6999939871861898E-2</v>
      </c>
      <c r="BO25" s="83">
        <f t="shared" si="30"/>
        <v>-8.1999995206331278E-2</v>
      </c>
      <c r="BP25" s="84" t="e">
        <f t="shared" si="31"/>
        <v>#N/A</v>
      </c>
      <c r="BQ25" s="83">
        <f t="shared" ca="1" si="32"/>
        <v>-8.999998922308805E-2</v>
      </c>
      <c r="BR25" s="84">
        <f t="shared" si="33"/>
        <v>-8.0999998807442353E-2</v>
      </c>
      <c r="BS25" s="83">
        <f t="shared" si="34"/>
        <v>-7.1999655483239167E-2</v>
      </c>
      <c r="BT25" s="13">
        <v>-3.2000000000000001E-2</v>
      </c>
      <c r="BU25" s="13">
        <v>3.2000000000000001E-2</v>
      </c>
      <c r="BV25" s="89" t="str">
        <f t="shared" si="11"/>
        <v/>
      </c>
      <c r="BW25" s="89" t="str">
        <f t="shared" si="12"/>
        <v/>
      </c>
      <c r="BX25" s="89" t="str">
        <f t="shared" ca="1" si="13"/>
        <v/>
      </c>
      <c r="BY25" s="89" t="str">
        <f t="shared" si="13"/>
        <v/>
      </c>
      <c r="BZ25" s="89" t="str">
        <f t="shared" si="13"/>
        <v/>
      </c>
      <c r="CK25" s="61"/>
      <c r="CL25" s="61"/>
      <c r="CU25" s="13">
        <f t="shared" si="6"/>
        <v>16</v>
      </c>
      <c r="CW25" s="13">
        <f t="shared" si="15"/>
        <v>2.015999999992232</v>
      </c>
      <c r="CX25" s="13">
        <f t="shared" si="16"/>
        <v>2.0130000100724033</v>
      </c>
      <c r="CY25" s="13" t="e">
        <f t="shared" si="17"/>
        <v>#N/A</v>
      </c>
      <c r="CZ25" s="13">
        <f t="shared" si="18"/>
        <v>2.11099999999999</v>
      </c>
      <c r="DA25" s="13">
        <f t="shared" si="19"/>
        <v>1.88900000000001</v>
      </c>
      <c r="DB25" s="13" t="e">
        <f t="shared" si="20"/>
        <v>#N/A</v>
      </c>
      <c r="DD25" s="13">
        <f t="shared" ca="1" si="35"/>
        <v>1.7089999904156912</v>
      </c>
      <c r="DE25" s="13">
        <f t="shared" si="36"/>
        <v>1.8799999999999955</v>
      </c>
      <c r="DF25" s="13">
        <f t="shared" si="37"/>
        <v>1.5200000000000955</v>
      </c>
    </row>
    <row r="26" spans="1:110">
      <c r="A26" s="64" t="s">
        <v>257</v>
      </c>
      <c r="B26" s="152" t="s">
        <v>227</v>
      </c>
      <c r="C26" s="97">
        <v>246</v>
      </c>
      <c r="D26" s="96" t="str">
        <f ca="1">IF(N26="-","規格内","規格外")</f>
        <v>規格内</v>
      </c>
      <c r="E26" s="96" t="s">
        <v>228</v>
      </c>
      <c r="F26" s="96" t="str">
        <f ca="1">"φ"&amp;TEXT(L26,"0.###")</f>
        <v>φ835.271</v>
      </c>
      <c r="G26" s="146" t="str">
        <f ca="1">IF(N26="-","",N26)</f>
        <v/>
      </c>
      <c r="H26" s="147"/>
      <c r="I26" s="13" t="s">
        <v>257</v>
      </c>
      <c r="J26" s="59">
        <v>246</v>
      </c>
      <c r="K26" s="59" t="s">
        <v>271</v>
      </c>
      <c r="L26" s="13">
        <f ca="1">'246'!K30</f>
        <v>835.27050003158058</v>
      </c>
      <c r="N26" s="13" t="str">
        <f ca="1">'246'!M30</f>
        <v>-</v>
      </c>
      <c r="P26" s="13" t="s">
        <v>257</v>
      </c>
      <c r="Q26" s="59">
        <v>246</v>
      </c>
      <c r="R26" s="59">
        <v>248</v>
      </c>
      <c r="S26" s="13" t="s">
        <v>2</v>
      </c>
      <c r="T26" s="61">
        <f ca="1">'248'!AT95</f>
        <v>2.9786666901713943E-2</v>
      </c>
      <c r="U26" s="13" t="str">
        <f ca="1">'248'!AU95</f>
        <v>-</v>
      </c>
      <c r="V26" s="13">
        <f ca="1">'248'!AW95</f>
        <v>6</v>
      </c>
      <c r="W26" s="61">
        <f ca="1">INDEX('246'!$J:$Q,MATCH("#",'246'!$J:$J,0)+'248'!AA$10,8)</f>
        <v>417.69896533480801</v>
      </c>
      <c r="X26" s="61">
        <f ca="1">W26-HLOOKUP(W25,$AK$4:$AX$5,2,FALSE)</f>
        <v>4.8965334808031002E-2</v>
      </c>
      <c r="Y26" s="61">
        <f ca="1">INDEX('248'!$J:$Q,MATCH("#",'248'!$J:$J,0)+'248'!AA$10,8)</f>
        <v>419.57875200170974</v>
      </c>
      <c r="Z26" s="61">
        <f ca="1">Y26-HLOOKUP(Y25,$AK$4:$AX$5,2,FALSE)</f>
        <v>7.8752001709744945E-2</v>
      </c>
      <c r="AA26" s="13" t="s">
        <v>257</v>
      </c>
      <c r="AB26" s="13">
        <v>246</v>
      </c>
      <c r="AC26" s="13" t="s">
        <v>241</v>
      </c>
      <c r="AD26" s="61">
        <f>'246'!X28</f>
        <v>1.3000003591002951E-2</v>
      </c>
      <c r="AE26" s="13">
        <f>'246'!Y28</f>
        <v>6</v>
      </c>
      <c r="BV26" s="89">
        <f ca="1">MAX(BV10:BZ25)</f>
        <v>7.8000001191639967E-2</v>
      </c>
      <c r="CK26" s="61"/>
      <c r="CL26" s="61"/>
    </row>
    <row r="27" spans="1:110">
      <c r="B27" s="150"/>
      <c r="C27" s="94">
        <v>248</v>
      </c>
      <c r="D27" s="95" t="str">
        <f t="shared" ref="D27" si="47">IF(N27="-","規格内","規格外")</f>
        <v>規格内</v>
      </c>
      <c r="E27" s="95" t="s">
        <v>228</v>
      </c>
      <c r="F27" s="95" t="str">
        <f>"φ"&amp;TEXT(L27,"0.###")</f>
        <v>φ838.998</v>
      </c>
      <c r="G27" s="148" t="str">
        <f>IF(N27="-","",N27)</f>
        <v/>
      </c>
      <c r="H27" s="149"/>
      <c r="J27" s="59">
        <v>248</v>
      </c>
      <c r="K27" s="59" t="s">
        <v>272</v>
      </c>
      <c r="L27" s="13">
        <f>'248'!K30</f>
        <v>838.99762510697883</v>
      </c>
      <c r="N27" s="13" t="str">
        <f>'248'!M30</f>
        <v>-</v>
      </c>
      <c r="Q27" s="59"/>
      <c r="R27" s="59"/>
      <c r="S27" s="13" t="s">
        <v>3</v>
      </c>
      <c r="T27" s="61">
        <f ca="1">'248'!AT96</f>
        <v>2.2406116437423407E-4</v>
      </c>
      <c r="U27" s="13" t="str">
        <f ca="1">'248'!AU96</f>
        <v>-</v>
      </c>
      <c r="V27" s="13">
        <f ca="1">'248'!AW96</f>
        <v>19</v>
      </c>
      <c r="W27" s="61">
        <f ca="1">INDEX('246'!$J:$Q,MATCH("#",'246'!$J:$J,0)+'248'!AA$11,8)</f>
        <v>417.6363840122595</v>
      </c>
      <c r="X27" s="61">
        <f ca="1">W27-HLOOKUP(W25,$AK$4:$AX$5,2,FALSE)</f>
        <v>-1.3615987740479341E-2</v>
      </c>
      <c r="Y27" s="61">
        <f ca="1">INDEX('248'!$J:$Q,MATCH("#",'248'!$J:$J,0)+'248'!AA$11,8)</f>
        <v>419.48660807342389</v>
      </c>
      <c r="Z27" s="61">
        <f ca="1">Y27-HLOOKUP(Y25,$AK$4:$AX$5,2,FALSE)</f>
        <v>-1.3391926576105107E-2</v>
      </c>
      <c r="AC27" s="13" t="s">
        <v>243</v>
      </c>
      <c r="AD27" s="61">
        <f>'246'!X29</f>
        <v>-9.9999999997635314E-4</v>
      </c>
      <c r="AE27" s="13">
        <f>'246'!Y29</f>
        <v>3</v>
      </c>
      <c r="AH27" s="13" t="s">
        <v>265</v>
      </c>
      <c r="AK27" s="13">
        <f t="shared" ref="AK27:AX27" si="48">MAX(AK10:AK25)</f>
        <v>356.375</v>
      </c>
      <c r="AL27" s="13">
        <f t="shared" si="48"/>
        <v>359.42300000556446</v>
      </c>
      <c r="AM27" s="13">
        <f t="shared" si="48"/>
        <v>361.43700016738745</v>
      </c>
      <c r="AN27" s="13">
        <f t="shared" ca="1" si="48"/>
        <v>374.58100000133487</v>
      </c>
      <c r="AO27" s="13">
        <f t="shared" si="48"/>
        <v>376.77600001194344</v>
      </c>
      <c r="AP27" s="13">
        <f t="shared" si="48"/>
        <v>394.93500001139432</v>
      </c>
      <c r="AQ27" s="13">
        <f t="shared" si="48"/>
        <v>396.95400015241063</v>
      </c>
      <c r="AR27" s="13">
        <f t="shared" ca="1" si="48"/>
        <v>405.55800000123287</v>
      </c>
      <c r="AS27" s="13">
        <f t="shared" si="48"/>
        <v>407.55200003067091</v>
      </c>
      <c r="AT27" s="13">
        <f t="shared" si="48"/>
        <v>417.346</v>
      </c>
      <c r="AU27" s="13">
        <f t="shared" si="48"/>
        <v>419.32</v>
      </c>
      <c r="AV27" s="13">
        <f t="shared" ca="1" si="48"/>
        <v>417.71000000119699</v>
      </c>
      <c r="AW27" s="13">
        <f t="shared" si="48"/>
        <v>419.41800000000001</v>
      </c>
      <c r="AX27" s="13">
        <f t="shared" si="48"/>
        <v>419.59800000119162</v>
      </c>
      <c r="BV27" s="89">
        <f ca="1">MIN(BV10:BZ25)</f>
        <v>-0.10999999880249334</v>
      </c>
    </row>
    <row r="28" spans="1:110">
      <c r="B28" s="150" t="s">
        <v>229</v>
      </c>
      <c r="C28" s="94">
        <v>246</v>
      </c>
      <c r="D28" s="95" t="str">
        <f ca="1">IF(AND(O28="-",N28="-"),"規格内","規格外")</f>
        <v>規格内</v>
      </c>
      <c r="E28" s="95" t="s">
        <v>230</v>
      </c>
      <c r="F28" s="95" t="str">
        <f ca="1">"φ"&amp;TEXT(M28,"0.###")</f>
        <v>φ835.12</v>
      </c>
      <c r="G28" s="95" t="s">
        <v>231</v>
      </c>
      <c r="H28" s="75" t="str">
        <f ca="1">"φ"&amp;TEXT(L28,"0.###")</f>
        <v>φ835.42</v>
      </c>
      <c r="J28" s="59">
        <v>246</v>
      </c>
      <c r="K28" s="139" t="s">
        <v>273</v>
      </c>
      <c r="L28" s="138">
        <f ca="1">'246'!$L$28</f>
        <v>835.42000000239398</v>
      </c>
      <c r="M28" s="138">
        <f ca="1">'246'!$L$29</f>
        <v>835.12000000239493</v>
      </c>
      <c r="N28" s="138" t="str">
        <f ca="1">'246'!$Q$28</f>
        <v>-</v>
      </c>
      <c r="O28" s="138" t="str">
        <f ca="1">'246'!$Q$29</f>
        <v>-</v>
      </c>
      <c r="Q28" s="59"/>
      <c r="R28" s="59"/>
      <c r="AH28" s="13" t="s">
        <v>266</v>
      </c>
      <c r="AK28" s="13">
        <f t="shared" ref="AK28:AX28" si="49">MIN(AK10:AK25)</f>
        <v>356.15899999999999</v>
      </c>
      <c r="AL28" s="13">
        <f t="shared" si="49"/>
        <v>359.34699999999998</v>
      </c>
      <c r="AM28" s="13">
        <f t="shared" si="49"/>
        <v>361.35900000138366</v>
      </c>
      <c r="AN28" s="13">
        <f t="shared" ca="1" si="49"/>
        <v>374.51400000133509</v>
      </c>
      <c r="AO28" s="13">
        <f t="shared" si="49"/>
        <v>376.70499999999998</v>
      </c>
      <c r="AP28" s="13">
        <f t="shared" si="49"/>
        <v>394.85700000126633</v>
      </c>
      <c r="AQ28" s="13">
        <f t="shared" si="49"/>
        <v>396.87000001133873</v>
      </c>
      <c r="AR28" s="13">
        <f t="shared" ca="1" si="49"/>
        <v>405.47300001109818</v>
      </c>
      <c r="AS28" s="13">
        <f t="shared" si="49"/>
        <v>407.46300006012814</v>
      </c>
      <c r="AT28" s="13">
        <f t="shared" si="49"/>
        <v>417.21800000479368</v>
      </c>
      <c r="AU28" s="13">
        <f t="shared" si="49"/>
        <v>419.31</v>
      </c>
      <c r="AV28" s="13">
        <f t="shared" ca="1" si="49"/>
        <v>417.56000000119747</v>
      </c>
      <c r="AW28" s="13">
        <f t="shared" si="49"/>
        <v>419.26900000119258</v>
      </c>
      <c r="AX28" s="13">
        <f t="shared" si="49"/>
        <v>419.41500000000002</v>
      </c>
    </row>
    <row r="29" spans="1:110">
      <c r="B29" s="151"/>
      <c r="C29" s="76">
        <v>248</v>
      </c>
      <c r="D29" s="77" t="str">
        <f>IF(AND(O29="-",N29="-"),"規格内","規格外")</f>
        <v>規格外</v>
      </c>
      <c r="E29" s="77" t="s">
        <v>230</v>
      </c>
      <c r="F29" s="77" t="str">
        <f>"φ"&amp;TEXT(M29,"0.###")</f>
        <v>φ838.83</v>
      </c>
      <c r="G29" s="77" t="s">
        <v>231</v>
      </c>
      <c r="H29" s="78" t="str">
        <f>"φ"&amp;TEXT(L29,"0.###")</f>
        <v>φ839.196</v>
      </c>
      <c r="J29" s="59">
        <v>248</v>
      </c>
      <c r="K29" s="139" t="s">
        <v>273</v>
      </c>
      <c r="L29" s="138">
        <f>'248'!$L$28</f>
        <v>839.19600000238324</v>
      </c>
      <c r="M29" s="138">
        <f>'248'!$L$29</f>
        <v>838.83</v>
      </c>
      <c r="N29" s="138" t="str">
        <f>'248'!$Q$28</f>
        <v>O/Max 0.016</v>
      </c>
      <c r="O29" s="138" t="str">
        <f>'248'!$Q$29</f>
        <v>-</v>
      </c>
      <c r="Q29" s="59"/>
      <c r="R29" s="11"/>
      <c r="AH29" s="13" t="s">
        <v>267</v>
      </c>
      <c r="AK29" s="13">
        <f>AVERAGE(AK10:AK25)</f>
        <v>356.28387500184215</v>
      </c>
      <c r="AL29" s="13">
        <f t="shared" ref="AL29:AX29" si="50">AVERAGE(AL10:AL25)</f>
        <v>359.38481250686931</v>
      </c>
      <c r="AM29" s="13">
        <f t="shared" si="50"/>
        <v>361.39793751954085</v>
      </c>
      <c r="AN29" s="13">
        <f t="shared" ca="1" si="50"/>
        <v>374.54537500517296</v>
      </c>
      <c r="AO29" s="13">
        <f t="shared" si="50"/>
        <v>376.73881252463417</v>
      </c>
      <c r="AP29" s="13">
        <f t="shared" si="50"/>
        <v>394.89325000324459</v>
      </c>
      <c r="AQ29" s="13">
        <f t="shared" si="50"/>
        <v>396.90481252007589</v>
      </c>
      <c r="AR29" s="13">
        <f t="shared" ca="1" si="50"/>
        <v>405.5123750084</v>
      </c>
      <c r="AS29" s="13">
        <f t="shared" si="50"/>
        <v>407.5028750297555</v>
      </c>
      <c r="AT29" s="13">
        <f t="shared" si="50"/>
        <v>417.28587501363023</v>
      </c>
      <c r="AU29" s="13">
        <f>AVERAGE(AU10:AU25)</f>
        <v>419.31625000000003</v>
      </c>
      <c r="AV29" s="13">
        <f t="shared" ca="1" si="50"/>
        <v>417.63525001579029</v>
      </c>
      <c r="AW29" s="13">
        <f t="shared" si="50"/>
        <v>419.33781250163946</v>
      </c>
      <c r="AX29" s="13">
        <f t="shared" si="50"/>
        <v>419.49881255348942</v>
      </c>
    </row>
    <row r="31" spans="1:110">
      <c r="A31" s="64" t="s">
        <v>259</v>
      </c>
      <c r="B31" s="13"/>
      <c r="C31" s="11"/>
      <c r="D31" s="11"/>
      <c r="E31" s="11"/>
      <c r="F31" s="11"/>
      <c r="G31" s="11"/>
      <c r="H31" s="11"/>
      <c r="I31" s="13" t="s">
        <v>259</v>
      </c>
      <c r="J31" s="11"/>
      <c r="K31" s="11"/>
      <c r="P31" s="13" t="s">
        <v>259</v>
      </c>
      <c r="Q31" s="11"/>
      <c r="R31" s="59"/>
      <c r="W31" s="13">
        <f>Q32</f>
        <v>237</v>
      </c>
      <c r="Y31" s="13">
        <f>R32</f>
        <v>239</v>
      </c>
    </row>
    <row r="32" spans="1:110">
      <c r="A32" s="64" t="s">
        <v>255</v>
      </c>
      <c r="B32" s="152" t="s">
        <v>227</v>
      </c>
      <c r="C32" s="153">
        <v>237</v>
      </c>
      <c r="D32" s="155" t="str">
        <f>IF(N32="-","規格内","規格外")</f>
        <v>規格内</v>
      </c>
      <c r="E32" s="155" t="s">
        <v>228</v>
      </c>
      <c r="F32" s="155" t="str">
        <f>"φ"&amp;TEXT(L32,"0.###")</f>
        <v>φ722.796</v>
      </c>
      <c r="G32" s="146" t="str">
        <f>M32&amp;": "&amp;IF(N32="-","OK",N32)</f>
        <v>Dwg: OK</v>
      </c>
      <c r="H32" s="147"/>
      <c r="I32" s="13" t="s">
        <v>255</v>
      </c>
      <c r="J32" s="59">
        <v>237</v>
      </c>
      <c r="K32" s="59" t="s">
        <v>271</v>
      </c>
      <c r="L32" s="13">
        <f>'237'!K30</f>
        <v>722.79587503908169</v>
      </c>
      <c r="M32" s="13" t="s">
        <v>246</v>
      </c>
      <c r="N32" s="13" t="str">
        <f>'237'!M30</f>
        <v>-</v>
      </c>
      <c r="P32" s="13" t="s">
        <v>255</v>
      </c>
      <c r="Q32" s="59">
        <v>237</v>
      </c>
      <c r="R32" s="59">
        <v>239</v>
      </c>
      <c r="S32" s="13" t="s">
        <v>2</v>
      </c>
      <c r="T32" s="61">
        <f>'239'!BF121</f>
        <v>2.811110659536098E-3</v>
      </c>
      <c r="U32" s="13" t="str">
        <f>'239'!BG121</f>
        <v>-</v>
      </c>
      <c r="V32" s="13">
        <f>'239'!BI121</f>
        <v>21</v>
      </c>
      <c r="W32" s="61">
        <f>INDEX('237'!$J:$Q,MATCH("#",'237'!$J:$J,0)+'239'!AA$10,8)</f>
        <v>361.36320000999308</v>
      </c>
      <c r="X32" s="61">
        <f>W32-HLOOKUP(W31,$AK$4:$AX$5,2,FALSE)</f>
        <v>-3.6799990006898042E-2</v>
      </c>
      <c r="Y32" s="61">
        <f>INDEX('239'!$J:$Q,MATCH("#",'239'!$J:$J,0)+'239'!AA$10,8)</f>
        <v>376.71601112065264</v>
      </c>
      <c r="Z32" s="61">
        <f>Y32-HLOOKUP(Y31,$AK$4:$AX$5,2,FALSE)</f>
        <v>-3.3988879347361944E-2</v>
      </c>
    </row>
    <row r="33" spans="1:36">
      <c r="B33" s="150"/>
      <c r="C33" s="154"/>
      <c r="D33" s="156"/>
      <c r="E33" s="156"/>
      <c r="F33" s="156"/>
      <c r="G33" s="148" t="str">
        <f>M33&amp;": "&amp;IF(N33="-","OK",N33)</f>
        <v>EM Limit: OK</v>
      </c>
      <c r="H33" s="149"/>
      <c r="J33" s="59"/>
      <c r="M33" s="13" t="s">
        <v>247</v>
      </c>
      <c r="N33" s="13" t="str">
        <f>'237'!$O$30</f>
        <v>-</v>
      </c>
      <c r="Q33" s="59"/>
      <c r="R33" s="59"/>
      <c r="S33" s="13" t="s">
        <v>3</v>
      </c>
      <c r="T33" s="61">
        <f>'239'!BF122</f>
        <v>-1.9400001383587551E-2</v>
      </c>
      <c r="U33" s="13" t="str">
        <f>'239'!BG122</f>
        <v>-</v>
      </c>
      <c r="V33" s="13">
        <f>'239'!BI122</f>
        <v>1</v>
      </c>
      <c r="W33" s="61">
        <f>INDEX('237'!$J:$Q,MATCH("#",'237'!$J:$J,0)+'239'!AA$11,8)</f>
        <v>361.38033333471691</v>
      </c>
      <c r="X33" s="61">
        <f>W33-HLOOKUP(W31,$AK$4:$AX$5,2,FALSE)</f>
        <v>-1.9666665283068596E-2</v>
      </c>
      <c r="Y33" s="61">
        <f>INDEX('239'!$J:$Q,MATCH("#",'239'!$J:$J,0)+'239'!AA$11,8)</f>
        <v>376.71093333333334</v>
      </c>
      <c r="Z33" s="61">
        <f>Y33-HLOOKUP(Y31,$AK$4:$AX$5,2,FALSE)</f>
        <v>-3.9066666666656147E-2</v>
      </c>
    </row>
    <row r="34" spans="1:36">
      <c r="B34" s="150"/>
      <c r="C34" s="154">
        <v>239</v>
      </c>
      <c r="D34" s="156" t="str">
        <f t="shared" ref="D34" si="51">IF(N34="-","規格内","規格外")</f>
        <v>規格内</v>
      </c>
      <c r="E34" s="156" t="s">
        <v>228</v>
      </c>
      <c r="F34" s="156" t="str">
        <f t="shared" ref="F34" si="52">"φ"&amp;TEXT(L34,"0.###")</f>
        <v>φ753.478</v>
      </c>
      <c r="G34" s="148" t="str">
        <f>M34&amp;": "&amp;IF(N34="-","OK",N34)</f>
        <v>Dwg: OK</v>
      </c>
      <c r="H34" s="149"/>
      <c r="J34" s="59">
        <v>239</v>
      </c>
      <c r="K34" s="59" t="s">
        <v>272</v>
      </c>
      <c r="L34" s="13">
        <f>'239'!K30</f>
        <v>753.47762504926834</v>
      </c>
      <c r="M34" s="13" t="s">
        <v>232</v>
      </c>
      <c r="N34" s="13" t="str">
        <f>'239'!M30</f>
        <v>-</v>
      </c>
      <c r="Q34" s="59"/>
      <c r="R34" s="59"/>
    </row>
    <row r="35" spans="1:36">
      <c r="B35" s="150"/>
      <c r="C35" s="154"/>
      <c r="D35" s="156"/>
      <c r="E35" s="156"/>
      <c r="F35" s="156"/>
      <c r="G35" s="148" t="str">
        <f>M35&amp;": "&amp;IF(N35="-","OK",N35)</f>
        <v>EM Limit: OK</v>
      </c>
      <c r="H35" s="149"/>
      <c r="J35" s="59"/>
      <c r="M35" s="13" t="s">
        <v>233</v>
      </c>
      <c r="N35" s="13" t="str">
        <f>'239'!$O$30</f>
        <v>-</v>
      </c>
      <c r="Q35" s="59"/>
      <c r="R35" s="59"/>
      <c r="T35" s="61"/>
      <c r="AG35" s="13" t="s">
        <v>396</v>
      </c>
      <c r="AH35" s="13" t="s">
        <v>398</v>
      </c>
      <c r="AI35" s="13" t="s">
        <v>401</v>
      </c>
      <c r="AJ35" s="13" t="s">
        <v>403</v>
      </c>
    </row>
    <row r="36" spans="1:36">
      <c r="B36" s="150" t="s">
        <v>229</v>
      </c>
      <c r="C36" s="94">
        <v>237</v>
      </c>
      <c r="D36" s="95" t="str">
        <f>IF(AND(O36="-",N36="-"),"規格内","規格外")</f>
        <v>規格内</v>
      </c>
      <c r="E36" s="95" t="s">
        <v>230</v>
      </c>
      <c r="F36" s="95" t="str">
        <f>"φ"&amp;TEXT(M36,"0.###")</f>
        <v>φ722.718</v>
      </c>
      <c r="G36" s="95" t="s">
        <v>231</v>
      </c>
      <c r="H36" s="75" t="str">
        <f>"φ"&amp;TEXT(L36,"0.###")</f>
        <v>φ722.874</v>
      </c>
      <c r="J36" s="59">
        <v>237</v>
      </c>
      <c r="K36" s="139" t="s">
        <v>273</v>
      </c>
      <c r="L36" s="138">
        <f>'237'!$L$28</f>
        <v>722.87400033477491</v>
      </c>
      <c r="M36" s="138">
        <f>'237'!$L$29</f>
        <v>722.71800000276733</v>
      </c>
      <c r="N36" s="138" t="str">
        <f>'237'!$Q$28</f>
        <v>-</v>
      </c>
      <c r="O36" s="138" t="str">
        <f>'237'!$Q$29</f>
        <v>-</v>
      </c>
      <c r="Q36" s="59"/>
      <c r="R36" s="59"/>
      <c r="AG36" s="13" t="s">
        <v>397</v>
      </c>
      <c r="AH36" s="13" t="s">
        <v>399</v>
      </c>
      <c r="AI36" s="13" t="s">
        <v>400</v>
      </c>
      <c r="AJ36" s="13" t="s">
        <v>402</v>
      </c>
    </row>
    <row r="37" spans="1:36">
      <c r="B37" s="151"/>
      <c r="C37" s="76">
        <v>239</v>
      </c>
      <c r="D37" s="77" t="str">
        <f>IF(AND(O37="-",N37="-"),"規格内","規格外")</f>
        <v>規格内</v>
      </c>
      <c r="E37" s="77" t="s">
        <v>230</v>
      </c>
      <c r="F37" s="77" t="str">
        <f>"φ"&amp;TEXT(M37,"0.###")</f>
        <v>φ753.41</v>
      </c>
      <c r="G37" s="77" t="s">
        <v>231</v>
      </c>
      <c r="H37" s="78" t="str">
        <f>"φ"&amp;TEXT(L37,"0.###")</f>
        <v>φ753.552</v>
      </c>
      <c r="J37" s="59">
        <v>239</v>
      </c>
      <c r="K37" s="139" t="s">
        <v>273</v>
      </c>
      <c r="L37" s="138">
        <f>'239'!$L$28</f>
        <v>753.55200002388688</v>
      </c>
      <c r="M37" s="138">
        <f>'239'!$L$29</f>
        <v>753.41</v>
      </c>
      <c r="N37" s="138" t="str">
        <f>'239'!$Q$28</f>
        <v>-</v>
      </c>
      <c r="O37" s="138" t="str">
        <f>'239'!$Q$29</f>
        <v>-</v>
      </c>
      <c r="Q37" s="59"/>
      <c r="R37" s="11"/>
    </row>
    <row r="38" spans="1:36">
      <c r="A38" s="64" t="s">
        <v>259</v>
      </c>
      <c r="B38" s="62"/>
      <c r="C38" s="62"/>
      <c r="D38" s="62"/>
      <c r="E38" s="62"/>
      <c r="F38" s="62"/>
      <c r="G38" s="62"/>
      <c r="H38" s="62"/>
      <c r="J38" s="11"/>
      <c r="K38" s="11"/>
      <c r="Q38" s="11"/>
      <c r="R38" s="59"/>
      <c r="W38" s="13">
        <f>Q39</f>
        <v>241</v>
      </c>
      <c r="Y38" s="13">
        <f>R39</f>
        <v>243</v>
      </c>
    </row>
    <row r="39" spans="1:36">
      <c r="A39" s="64" t="s">
        <v>256</v>
      </c>
      <c r="B39" s="152" t="s">
        <v>227</v>
      </c>
      <c r="C39" s="153">
        <v>241</v>
      </c>
      <c r="D39" s="155" t="str">
        <f>IF(N39="-","規格内","規格外")</f>
        <v>規格内</v>
      </c>
      <c r="E39" s="155" t="s">
        <v>228</v>
      </c>
      <c r="F39" s="155" t="str">
        <f>"φ"&amp;TEXT(L39,"0.###")</f>
        <v>φ793.81</v>
      </c>
      <c r="G39" s="146" t="str">
        <f>M39&amp;": "&amp;IF(N39="-","OK",N39)</f>
        <v>Dwg: OK</v>
      </c>
      <c r="H39" s="147"/>
      <c r="I39" s="13" t="s">
        <v>256</v>
      </c>
      <c r="J39" s="59">
        <v>241</v>
      </c>
      <c r="K39" s="59" t="s">
        <v>271</v>
      </c>
      <c r="L39" s="13">
        <f>'241'!K30</f>
        <v>793.80962504015179</v>
      </c>
      <c r="M39" s="13" t="s">
        <v>246</v>
      </c>
      <c r="N39" s="13" t="str">
        <f>'241'!M30</f>
        <v>-</v>
      </c>
      <c r="P39" s="13" t="s">
        <v>256</v>
      </c>
      <c r="Q39" s="59">
        <v>241</v>
      </c>
      <c r="R39" s="59">
        <v>243</v>
      </c>
      <c r="S39" s="13" t="s">
        <v>2</v>
      </c>
      <c r="T39" s="61">
        <f>'243'!AS108</f>
        <v>4.427364636967468E-3</v>
      </c>
      <c r="U39" s="13" t="str">
        <f>'243'!AT108</f>
        <v>-</v>
      </c>
      <c r="V39" s="13">
        <f>'243'!AV108</f>
        <v>21</v>
      </c>
      <c r="W39" s="61">
        <f>INDEX('241'!$J:$Q,MATCH("#",'241'!$J:$J,0)+'243'!AA$10,8)</f>
        <v>396.90891449799415</v>
      </c>
      <c r="X39" s="61">
        <f>W39-HLOOKUP(W38,$AK$4:$AX$5,2,FALSE)</f>
        <v>8.9144979941693236E-3</v>
      </c>
      <c r="Y39" s="61">
        <f>INDEX('243'!$J:$Q,MATCH("#",'243'!$J:$J,0)+'243'!AA$10,8)</f>
        <v>407.51334186263114</v>
      </c>
      <c r="Z39" s="61">
        <f>Y39-HLOOKUP(Y38,$AK$4:$AX$5,2,FALSE)</f>
        <v>1.3341862631136792E-2</v>
      </c>
    </row>
    <row r="40" spans="1:36">
      <c r="B40" s="150"/>
      <c r="C40" s="154"/>
      <c r="D40" s="156"/>
      <c r="E40" s="156"/>
      <c r="F40" s="156"/>
      <c r="G40" s="148" t="str">
        <f>M40&amp;": "&amp;IF(N40="-","OK",N40)</f>
        <v>EM Limit: OK</v>
      </c>
      <c r="H40" s="149"/>
      <c r="J40" s="59"/>
      <c r="M40" s="13" t="s">
        <v>248</v>
      </c>
      <c r="N40" s="13" t="str">
        <f>'241'!$O$30</f>
        <v>-</v>
      </c>
      <c r="Q40" s="59"/>
      <c r="R40" s="59"/>
      <c r="S40" s="13" t="s">
        <v>3</v>
      </c>
      <c r="T40" s="61">
        <f>'243'!AS109</f>
        <v>-1.024004295584291E-2</v>
      </c>
      <c r="U40" s="13" t="str">
        <f>'243'!AT109</f>
        <v>-</v>
      </c>
      <c r="V40" s="13">
        <f>'243'!AV109</f>
        <v>3</v>
      </c>
      <c r="W40" s="61">
        <f>INDEX('241'!$J:$Q,MATCH("#",'241'!$J:$J,0)+'243'!AA$11,8)</f>
        <v>396.87964371561827</v>
      </c>
      <c r="X40" s="61">
        <f>W40-HLOOKUP(W38,$AK$4:$AX$5,2,FALSE)</f>
        <v>-2.0356284381705336E-2</v>
      </c>
      <c r="Y40" s="61">
        <f>INDEX('243'!$J:$Q,MATCH("#",'243'!$J:$J,0)+'243'!AA$11,8)</f>
        <v>407.46940367266245</v>
      </c>
      <c r="Z40" s="61">
        <f>Y40-HLOOKUP(Y38,$AK$4:$AX$5,2,FALSE)</f>
        <v>-3.0596327337548246E-2</v>
      </c>
    </row>
    <row r="41" spans="1:36">
      <c r="B41" s="150"/>
      <c r="C41" s="154">
        <v>243</v>
      </c>
      <c r="D41" s="156" t="str">
        <f t="shared" ref="D41" si="53">IF(N41="-","規格内","規格外")</f>
        <v>規格内</v>
      </c>
      <c r="E41" s="156" t="s">
        <v>228</v>
      </c>
      <c r="F41" s="156" t="str">
        <f t="shared" ref="F41" si="54">"φ"&amp;TEXT(L41,"0.###")</f>
        <v>φ815.006</v>
      </c>
      <c r="G41" s="148" t="str">
        <f>M41&amp;": "&amp;IF(N41="-","OK",N41)</f>
        <v>Dwg: OK</v>
      </c>
      <c r="H41" s="149"/>
      <c r="J41" s="59">
        <v>243</v>
      </c>
      <c r="K41" s="59" t="s">
        <v>272</v>
      </c>
      <c r="L41" s="13">
        <f>'243'!K30</f>
        <v>815.005750059511</v>
      </c>
      <c r="M41" s="13" t="s">
        <v>232</v>
      </c>
      <c r="N41" s="13" t="str">
        <f>'243'!M30</f>
        <v>-</v>
      </c>
      <c r="Q41" s="59"/>
      <c r="R41" s="59"/>
    </row>
    <row r="42" spans="1:36">
      <c r="B42" s="150"/>
      <c r="C42" s="154"/>
      <c r="D42" s="156"/>
      <c r="E42" s="156"/>
      <c r="F42" s="156"/>
      <c r="G42" s="148" t="str">
        <f>M42&amp;": "&amp;IF(N42="-","OK",N42)</f>
        <v>EM Limit: OK</v>
      </c>
      <c r="H42" s="149"/>
      <c r="J42" s="59"/>
      <c r="M42" s="13" t="s">
        <v>248</v>
      </c>
      <c r="N42" s="13" t="str">
        <f>'243'!$O$30</f>
        <v>-</v>
      </c>
      <c r="Q42" s="59"/>
      <c r="R42" s="59"/>
      <c r="T42" s="61"/>
    </row>
    <row r="43" spans="1:36">
      <c r="B43" s="150" t="s">
        <v>229</v>
      </c>
      <c r="C43" s="94">
        <v>241</v>
      </c>
      <c r="D43" s="95" t="str">
        <f>IF(AND(O43="-",N43="-"),"規格内","規格外")</f>
        <v>規格内</v>
      </c>
      <c r="E43" s="95" t="s">
        <v>230</v>
      </c>
      <c r="F43" s="95" t="str">
        <f>"φ"&amp;TEXT(M43,"0.###")</f>
        <v>φ793.74</v>
      </c>
      <c r="G43" s="95" t="s">
        <v>231</v>
      </c>
      <c r="H43" s="75" t="str">
        <f>"φ"&amp;TEXT(L43,"0.###")</f>
        <v>φ793.908</v>
      </c>
      <c r="J43" s="59">
        <v>241</v>
      </c>
      <c r="K43" s="139" t="s">
        <v>273</v>
      </c>
      <c r="L43" s="138">
        <f>'241'!$L$28</f>
        <v>793.90800030482126</v>
      </c>
      <c r="M43" s="138">
        <f>'241'!$L$29</f>
        <v>793.74000002267746</v>
      </c>
      <c r="N43" s="138" t="str">
        <f>'241'!$Q$28</f>
        <v>-</v>
      </c>
      <c r="O43" s="138" t="str">
        <f>'241'!$Q$29</f>
        <v>-</v>
      </c>
      <c r="Q43" s="59"/>
      <c r="R43" s="59"/>
    </row>
    <row r="44" spans="1:36">
      <c r="B44" s="151"/>
      <c r="C44" s="76">
        <v>243</v>
      </c>
      <c r="D44" s="77" t="str">
        <f>IF(AND(O44="-",N44="-"),"規格内","規格外")</f>
        <v>規格内</v>
      </c>
      <c r="E44" s="77" t="s">
        <v>230</v>
      </c>
      <c r="F44" s="77" t="str">
        <f>"φ"&amp;TEXT(M44,"0.###")</f>
        <v>φ814.926</v>
      </c>
      <c r="G44" s="77" t="s">
        <v>231</v>
      </c>
      <c r="H44" s="78" t="str">
        <f>"φ"&amp;TEXT(L44,"0.###")</f>
        <v>φ815.104</v>
      </c>
      <c r="J44" s="59">
        <v>243</v>
      </c>
      <c r="K44" s="139" t="s">
        <v>273</v>
      </c>
      <c r="L44" s="138">
        <f>'243'!$L$28</f>
        <v>815.10400006134182</v>
      </c>
      <c r="M44" s="138">
        <f>'243'!$L$29</f>
        <v>814.92600012025628</v>
      </c>
      <c r="N44" s="138" t="str">
        <f>'243'!$Q$28</f>
        <v>-</v>
      </c>
      <c r="O44" s="138" t="str">
        <f>'243'!$Q$29</f>
        <v>-</v>
      </c>
      <c r="Q44" s="59"/>
      <c r="R44" s="11"/>
    </row>
    <row r="45" spans="1:36">
      <c r="A45" s="64" t="s">
        <v>259</v>
      </c>
      <c r="B45" s="62"/>
      <c r="C45" s="62"/>
      <c r="D45" s="62"/>
      <c r="E45" s="62"/>
      <c r="F45" s="62"/>
      <c r="G45" s="62"/>
      <c r="H45" s="62"/>
      <c r="J45" s="11"/>
      <c r="K45" s="11"/>
      <c r="Q45" s="11"/>
      <c r="R45" s="59"/>
      <c r="W45" s="13">
        <f>Q46</f>
        <v>245</v>
      </c>
      <c r="Y45" s="13">
        <f>R46</f>
        <v>247</v>
      </c>
    </row>
    <row r="46" spans="1:36">
      <c r="A46" s="64" t="s">
        <v>257</v>
      </c>
      <c r="B46" s="152" t="s">
        <v>227</v>
      </c>
      <c r="C46" s="153">
        <v>245</v>
      </c>
      <c r="D46" s="155" t="str">
        <f>IF(N46="-","規格内","規格外")</f>
        <v>規格内</v>
      </c>
      <c r="E46" s="155" t="s">
        <v>228</v>
      </c>
      <c r="F46" s="155" t="str">
        <f>"φ"&amp;TEXT(L46,"0.###")</f>
        <v>φ838.633</v>
      </c>
      <c r="G46" s="146" t="str">
        <f>M46&amp;": "&amp;IF(N46="-","OK",N46)</f>
        <v>Dwg: OK</v>
      </c>
      <c r="H46" s="147"/>
      <c r="I46" s="13" t="s">
        <v>257</v>
      </c>
      <c r="J46" s="59">
        <v>245</v>
      </c>
      <c r="K46" s="59" t="s">
        <v>271</v>
      </c>
      <c r="L46" s="13">
        <f>'245'!K22</f>
        <v>838.63250000000005</v>
      </c>
      <c r="M46" s="13" t="s">
        <v>249</v>
      </c>
      <c r="N46" s="13" t="str">
        <f>'245'!M22</f>
        <v>-</v>
      </c>
      <c r="P46" s="13" t="s">
        <v>257</v>
      </c>
      <c r="Q46" s="59">
        <v>245</v>
      </c>
      <c r="R46" s="59">
        <v>247</v>
      </c>
      <c r="S46" s="13" t="s">
        <v>2</v>
      </c>
      <c r="T46" s="61">
        <f>'247'!AT95</f>
        <v>4.3606667064125304E-2</v>
      </c>
      <c r="U46" s="13" t="str">
        <f>'247'!AU95</f>
        <v>-</v>
      </c>
      <c r="V46" s="13">
        <f>'247'!AW95</f>
        <v>7</v>
      </c>
      <c r="W46" s="61">
        <f>INDEX('245'!$J:$Q,MATCH("#",'245'!$J:$J,0)+'247'!AA$10,8)</f>
        <v>419.31845999999996</v>
      </c>
      <c r="X46" s="61">
        <f>W46-HLOOKUP(W45,$AK$4:$AX$5,2,FALSE)</f>
        <v>1.845999999994774E-2</v>
      </c>
      <c r="Y46" s="61">
        <f>INDEX('247'!$J:$Q,MATCH("#",'247'!$J:$J,0)+'247'!AA$10,8)</f>
        <v>419.4120666670641</v>
      </c>
      <c r="Z46" s="61">
        <f>Y46-HLOOKUP(Y45,$AK$4:$AX$5,2,FALSE)</f>
        <v>6.2066667064073044E-2</v>
      </c>
    </row>
    <row r="47" spans="1:36">
      <c r="B47" s="150"/>
      <c r="C47" s="154"/>
      <c r="D47" s="156"/>
      <c r="E47" s="156"/>
      <c r="F47" s="156"/>
      <c r="G47" s="148" t="str">
        <f>M47&amp;": "&amp;IF(N47="-","OK",N47)</f>
        <v>EM Limit: OK</v>
      </c>
      <c r="H47" s="149"/>
      <c r="J47" s="59"/>
      <c r="M47" s="13" t="s">
        <v>248</v>
      </c>
      <c r="N47" s="13" t="str">
        <f>'245'!$O$22</f>
        <v>-</v>
      </c>
      <c r="Q47" s="59"/>
      <c r="R47" s="59"/>
      <c r="S47" s="13" t="s">
        <v>3</v>
      </c>
      <c r="T47" s="61">
        <f>'247'!AT96</f>
        <v>-9.8191999542052599E-2</v>
      </c>
      <c r="U47" s="13" t="str">
        <f>'247'!AU96</f>
        <v>U/Min 0.034</v>
      </c>
      <c r="V47" s="13">
        <f>'247'!AW96</f>
        <v>3</v>
      </c>
      <c r="W47" s="61">
        <f>INDEX('245'!$J:$Q,MATCH("#",'245'!$J:$J,0)+'247'!AA$11,8)</f>
        <v>419.31903999999997</v>
      </c>
      <c r="X47" s="61">
        <f>W47-HLOOKUP(W45,$AK$4:$AX$5,2,FALSE)</f>
        <v>1.903999999996131E-2</v>
      </c>
      <c r="Y47" s="61">
        <f>INDEX('247'!$J:$Q,MATCH("#",'247'!$J:$J,0)+'247'!AA$11,8)</f>
        <v>419.27084800045793</v>
      </c>
      <c r="Z47" s="61">
        <f>Y47-HLOOKUP(Y45,$AK$4:$AX$5,2,FALSE)</f>
        <v>-7.9151999542091289E-2</v>
      </c>
    </row>
    <row r="48" spans="1:36">
      <c r="B48" s="150"/>
      <c r="C48" s="154">
        <v>247</v>
      </c>
      <c r="D48" s="156" t="str">
        <f t="shared" ref="D48" si="55">IF(N48="-","規格内","規格外")</f>
        <v>規格内</v>
      </c>
      <c r="E48" s="156" t="s">
        <v>228</v>
      </c>
      <c r="F48" s="156" t="str">
        <f t="shared" ref="F48" si="56">"φ"&amp;TEXT(L48,"0.###")</f>
        <v>φ838.676</v>
      </c>
      <c r="G48" s="148" t="str">
        <f>M48&amp;": "&amp;IF(N48="-","OK",N48)</f>
        <v>Dwg: OK</v>
      </c>
      <c r="H48" s="149"/>
      <c r="J48" s="59">
        <v>247</v>
      </c>
      <c r="K48" s="59" t="s">
        <v>272</v>
      </c>
      <c r="L48" s="13">
        <f>'247'!K30</f>
        <v>838.67562500327892</v>
      </c>
      <c r="M48" s="13" t="s">
        <v>246</v>
      </c>
      <c r="N48" s="13" t="str">
        <f>'247'!M30</f>
        <v>-</v>
      </c>
      <c r="Q48" s="59"/>
      <c r="R48" s="59"/>
    </row>
    <row r="49" spans="2:31">
      <c r="B49" s="150"/>
      <c r="C49" s="154"/>
      <c r="D49" s="156"/>
      <c r="E49" s="156"/>
      <c r="F49" s="156"/>
      <c r="G49" s="148" t="str">
        <f>M49&amp;": "&amp;IF(N49="-","OK",N49)</f>
        <v>EM Limit: OK</v>
      </c>
      <c r="H49" s="149"/>
      <c r="J49" s="59"/>
      <c r="M49" s="13" t="s">
        <v>248</v>
      </c>
      <c r="N49" s="13" t="str">
        <f>'247'!$O$30</f>
        <v>-</v>
      </c>
      <c r="Q49" s="59"/>
      <c r="R49" s="59"/>
      <c r="T49" s="61"/>
    </row>
    <row r="50" spans="2:31">
      <c r="B50" s="150" t="s">
        <v>229</v>
      </c>
      <c r="C50" s="94">
        <v>245</v>
      </c>
      <c r="D50" s="95" t="str">
        <f>IF(AND(O50="-",N50="-"),"規格内","規格外")</f>
        <v>規格内</v>
      </c>
      <c r="E50" s="95" t="s">
        <v>230</v>
      </c>
      <c r="F50" s="95" t="str">
        <f>"φ"&amp;TEXT(M50,"0.###")</f>
        <v>φ838.62</v>
      </c>
      <c r="G50" s="95" t="s">
        <v>231</v>
      </c>
      <c r="H50" s="75" t="str">
        <f>"φ"&amp;TEXT(L50,"0.###")</f>
        <v>φ838.64</v>
      </c>
      <c r="J50" s="59">
        <v>245</v>
      </c>
      <c r="K50" s="139" t="s">
        <v>273</v>
      </c>
      <c r="L50" s="138">
        <f>'245'!$L$20</f>
        <v>838.64</v>
      </c>
      <c r="M50" s="138">
        <f>'245'!$L$21</f>
        <v>838.62</v>
      </c>
      <c r="N50" s="138" t="str">
        <f>'245'!$Q$20</f>
        <v>-</v>
      </c>
      <c r="O50" s="138" t="str">
        <f>'245'!$Q$21</f>
        <v>-</v>
      </c>
      <c r="Q50" s="59"/>
      <c r="R50" s="59"/>
    </row>
    <row r="51" spans="2:31">
      <c r="B51" s="151"/>
      <c r="C51" s="76">
        <v>247</v>
      </c>
      <c r="D51" s="77" t="str">
        <f>IF(AND(O51="-",N51="-"),"規格内","規格外")</f>
        <v>規格内</v>
      </c>
      <c r="E51" s="77" t="s">
        <v>230</v>
      </c>
      <c r="F51" s="77" t="str">
        <f>"φ"&amp;TEXT(M51,"0.###")</f>
        <v>φ838.538</v>
      </c>
      <c r="G51" s="77" t="s">
        <v>231</v>
      </c>
      <c r="H51" s="78" t="str">
        <f>"φ"&amp;TEXT(L51,"0.###")</f>
        <v>φ838.836</v>
      </c>
      <c r="J51" s="59">
        <v>247</v>
      </c>
      <c r="K51" s="139" t="s">
        <v>273</v>
      </c>
      <c r="L51" s="138">
        <f>'247'!$L$28</f>
        <v>838.83600000000001</v>
      </c>
      <c r="M51" s="138">
        <f>'247'!$L$29</f>
        <v>838.53800000238516</v>
      </c>
      <c r="N51" s="138" t="str">
        <f>'247'!$Q$28</f>
        <v>-</v>
      </c>
      <c r="O51" s="138" t="str">
        <f>'247'!$Q$29</f>
        <v>-</v>
      </c>
      <c r="Q51" s="59"/>
    </row>
    <row r="52" spans="2:31">
      <c r="B52" s="60"/>
      <c r="C52" s="63"/>
      <c r="D52" s="60"/>
      <c r="E52" s="60"/>
      <c r="F52" s="60"/>
      <c r="G52" s="60"/>
      <c r="H52" s="60"/>
      <c r="J52" s="59"/>
      <c r="K52" s="59"/>
      <c r="Q52" s="59"/>
    </row>
    <row r="53" spans="2:31">
      <c r="AB53" s="65" t="s">
        <v>300</v>
      </c>
      <c r="AC53" s="66"/>
      <c r="AD53" s="66"/>
      <c r="AE53" s="66"/>
    </row>
    <row r="54" spans="2:31">
      <c r="AB54" s="64"/>
    </row>
    <row r="55" spans="2:31">
      <c r="P55" s="13" t="s">
        <v>258</v>
      </c>
      <c r="AB55" s="100" t="s">
        <v>297</v>
      </c>
      <c r="AC55" s="68"/>
      <c r="AD55" s="68"/>
      <c r="AE55" s="69"/>
    </row>
    <row r="56" spans="2:31">
      <c r="P56" s="13" t="s">
        <v>296</v>
      </c>
      <c r="Q56" s="13">
        <f>Q6</f>
        <v>105</v>
      </c>
      <c r="R56" s="13">
        <f>R6</f>
        <v>236</v>
      </c>
      <c r="S56" s="13">
        <f ca="1">INDIRECT("'"&amp;Q56&amp;"'!$Q$33")</f>
        <v>-1</v>
      </c>
      <c r="T56" s="13">
        <f ca="1">INDIRECT("'"&amp;R56&amp;"'!$Q$33")</f>
        <v>-1</v>
      </c>
      <c r="AB56" s="93"/>
      <c r="AC56" s="70"/>
      <c r="AD56" s="70" t="s">
        <v>312</v>
      </c>
      <c r="AE56" s="71" t="str">
        <f>AE10</f>
        <v>Area#</v>
      </c>
    </row>
    <row r="57" spans="2:31">
      <c r="P57" s="13" t="s">
        <v>255</v>
      </c>
      <c r="Q57" s="13">
        <f>Q11</f>
        <v>238</v>
      </c>
      <c r="R57" s="13">
        <f>R11</f>
        <v>240</v>
      </c>
      <c r="S57" s="13">
        <f t="shared" ref="S57:T59" ca="1" si="57">INDIRECT("'"&amp;Q57&amp;"'!$Q$33")</f>
        <v>-7.55</v>
      </c>
      <c r="T57" s="13">
        <f t="shared" ca="1" si="57"/>
        <v>-7.55</v>
      </c>
      <c r="AA57" s="13" t="s">
        <v>255</v>
      </c>
      <c r="AB57" s="157">
        <f>AB11</f>
        <v>238</v>
      </c>
      <c r="AC57" s="70" t="s">
        <v>250</v>
      </c>
      <c r="AD57" s="72">
        <f>AD11</f>
        <v>1.9000000000005457E-2</v>
      </c>
      <c r="AE57" s="71">
        <f>AE11</f>
        <v>11</v>
      </c>
    </row>
    <row r="58" spans="2:31">
      <c r="P58" s="13" t="s">
        <v>256</v>
      </c>
      <c r="Q58" s="13">
        <f>Q16</f>
        <v>242</v>
      </c>
      <c r="R58" s="13">
        <f>R16</f>
        <v>244</v>
      </c>
      <c r="S58" s="13">
        <f t="shared" ca="1" si="57"/>
        <v>-6.51</v>
      </c>
      <c r="T58" s="13">
        <f t="shared" ca="1" si="57"/>
        <v>-6.51</v>
      </c>
      <c r="AB58" s="157"/>
      <c r="AC58" s="70" t="s">
        <v>251</v>
      </c>
      <c r="AD58" s="72">
        <f>AD12</f>
        <v>3.9999999998485691E-3</v>
      </c>
      <c r="AE58" s="71">
        <f>AE12</f>
        <v>2</v>
      </c>
    </row>
    <row r="59" spans="2:31">
      <c r="P59" s="13" t="s">
        <v>257</v>
      </c>
      <c r="Q59" s="13">
        <f>Q26</f>
        <v>246</v>
      </c>
      <c r="R59" s="13">
        <f>R26</f>
        <v>248</v>
      </c>
      <c r="S59" s="13">
        <f t="shared" ca="1" si="57"/>
        <v>-6.36</v>
      </c>
      <c r="T59" s="13">
        <f t="shared" ca="1" si="57"/>
        <v>-6.36</v>
      </c>
      <c r="AA59" s="13" t="s">
        <v>256</v>
      </c>
      <c r="AB59" s="157">
        <f>AB16</f>
        <v>242</v>
      </c>
      <c r="AC59" s="70" t="s">
        <v>250</v>
      </c>
      <c r="AD59" s="72">
        <f>AD16</f>
        <v>1.7999974104725425E-2</v>
      </c>
      <c r="AE59" s="71">
        <f>AE16</f>
        <v>10</v>
      </c>
    </row>
    <row r="60" spans="2:31">
      <c r="P60" s="13" t="s">
        <v>259</v>
      </c>
      <c r="AB60" s="157"/>
      <c r="AC60" s="70" t="s">
        <v>251</v>
      </c>
      <c r="AD60" s="72">
        <f>AD17</f>
        <v>2.0000000000095497E-3</v>
      </c>
      <c r="AE60" s="71">
        <f>AE17</f>
        <v>3</v>
      </c>
    </row>
    <row r="61" spans="2:31">
      <c r="P61" s="13" t="s">
        <v>255</v>
      </c>
      <c r="Q61" s="13">
        <f>Q32</f>
        <v>237</v>
      </c>
      <c r="R61" s="13">
        <f>R32</f>
        <v>239</v>
      </c>
      <c r="S61" s="13">
        <f t="shared" ref="S61:T63" ca="1" si="58">INDIRECT("'"&amp;Q61&amp;"'!$Q$33")</f>
        <v>-1</v>
      </c>
      <c r="T61" s="13">
        <f t="shared" ca="1" si="58"/>
        <v>-1</v>
      </c>
      <c r="AA61" s="13" t="s">
        <v>257</v>
      </c>
      <c r="AB61" s="157">
        <f>AB26</f>
        <v>246</v>
      </c>
      <c r="AC61" s="70" t="s">
        <v>250</v>
      </c>
      <c r="AD61" s="72">
        <f t="shared" ref="AD61:AD62" si="59">AD26</f>
        <v>1.3000003591002951E-2</v>
      </c>
      <c r="AE61" s="71">
        <f>$AE$26</f>
        <v>6</v>
      </c>
    </row>
    <row r="62" spans="2:31">
      <c r="P62" s="13" t="s">
        <v>256</v>
      </c>
      <c r="Q62" s="13">
        <f>Q39</f>
        <v>241</v>
      </c>
      <c r="R62" s="13">
        <f>R39</f>
        <v>243</v>
      </c>
      <c r="S62" s="13">
        <f t="shared" ca="1" si="58"/>
        <v>1.02</v>
      </c>
      <c r="T62" s="13">
        <f t="shared" ca="1" si="58"/>
        <v>1.02</v>
      </c>
      <c r="AB62" s="157"/>
      <c r="AC62" s="70" t="s">
        <v>251</v>
      </c>
      <c r="AD62" s="72">
        <f t="shared" si="59"/>
        <v>-9.9999999997635314E-4</v>
      </c>
      <c r="AE62" s="71">
        <f>$AE$27</f>
        <v>3</v>
      </c>
    </row>
    <row r="63" spans="2:31">
      <c r="P63" s="13" t="s">
        <v>257</v>
      </c>
      <c r="Q63" s="13">
        <f>Q46</f>
        <v>245</v>
      </c>
      <c r="R63" s="13">
        <f>R46</f>
        <v>247</v>
      </c>
      <c r="S63" s="13">
        <f t="shared" ca="1" si="58"/>
        <v>1.1399999999999999</v>
      </c>
      <c r="T63" s="13">
        <f t="shared" ca="1" si="58"/>
        <v>1.1399999999999999</v>
      </c>
      <c r="AB63" s="101" t="s">
        <v>301</v>
      </c>
      <c r="AC63" s="73"/>
      <c r="AD63" s="73"/>
      <c r="AE63" s="74"/>
    </row>
  </sheetData>
  <mergeCells count="65">
    <mergeCell ref="B50:B51"/>
    <mergeCell ref="AB57:AB58"/>
    <mergeCell ref="AB59:AB60"/>
    <mergeCell ref="AB61:AB62"/>
    <mergeCell ref="G46:H46"/>
    <mergeCell ref="G47:H47"/>
    <mergeCell ref="C48:C49"/>
    <mergeCell ref="D48:D49"/>
    <mergeCell ref="E48:E49"/>
    <mergeCell ref="F48:F49"/>
    <mergeCell ref="G48:H48"/>
    <mergeCell ref="G49:H49"/>
    <mergeCell ref="F46:F47"/>
    <mergeCell ref="B43:B44"/>
    <mergeCell ref="B46:B49"/>
    <mergeCell ref="C46:C47"/>
    <mergeCell ref="D46:D47"/>
    <mergeCell ref="E46:E47"/>
    <mergeCell ref="G39:H39"/>
    <mergeCell ref="G40:H40"/>
    <mergeCell ref="C41:C42"/>
    <mergeCell ref="D41:D42"/>
    <mergeCell ref="E41:E42"/>
    <mergeCell ref="F41:F42"/>
    <mergeCell ref="G41:H41"/>
    <mergeCell ref="G42:H42"/>
    <mergeCell ref="F39:F40"/>
    <mergeCell ref="B36:B37"/>
    <mergeCell ref="B39:B42"/>
    <mergeCell ref="C39:C40"/>
    <mergeCell ref="D39:D40"/>
    <mergeCell ref="E39:E40"/>
    <mergeCell ref="G32:H32"/>
    <mergeCell ref="G33:H33"/>
    <mergeCell ref="C34:C35"/>
    <mergeCell ref="D34:D35"/>
    <mergeCell ref="E34:E35"/>
    <mergeCell ref="F34:F35"/>
    <mergeCell ref="G34:H34"/>
    <mergeCell ref="G35:H35"/>
    <mergeCell ref="F32:F33"/>
    <mergeCell ref="B32:B35"/>
    <mergeCell ref="C32:C33"/>
    <mergeCell ref="D32:D33"/>
    <mergeCell ref="E32:E33"/>
    <mergeCell ref="B21:B22"/>
    <mergeCell ref="B28:B29"/>
    <mergeCell ref="B6:B7"/>
    <mergeCell ref="G6:H6"/>
    <mergeCell ref="G7:H7"/>
    <mergeCell ref="B8:B9"/>
    <mergeCell ref="B11:B12"/>
    <mergeCell ref="G11:H11"/>
    <mergeCell ref="G12:H12"/>
    <mergeCell ref="B13:B14"/>
    <mergeCell ref="B16:B17"/>
    <mergeCell ref="G16:H16"/>
    <mergeCell ref="G17:H17"/>
    <mergeCell ref="B18:B19"/>
    <mergeCell ref="G21:H21"/>
    <mergeCell ref="G22:H22"/>
    <mergeCell ref="B23:B24"/>
    <mergeCell ref="B26:B27"/>
    <mergeCell ref="G26:H26"/>
    <mergeCell ref="G27:H27"/>
  </mergeCells>
  <phoneticPr fontId="2"/>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FFFF00"/>
  </sheetPr>
  <dimension ref="A2:AP387"/>
  <sheetViews>
    <sheetView zoomScaleNormal="100" workbookViewId="0">
      <selection activeCell="C320" sqref="C320:H324"/>
    </sheetView>
  </sheetViews>
  <sheetFormatPr defaultRowHeight="21"/>
  <cols>
    <col min="2" max="2" width="29.85546875" style="98" customWidth="1"/>
    <col min="3" max="4" width="9" style="98"/>
    <col min="6" max="6" width="14.140625" bestFit="1" customWidth="1"/>
  </cols>
  <sheetData>
    <row r="2" spans="2:9">
      <c r="C2" s="98" t="str">
        <f>Summary!Q3</f>
        <v>組み付け段差Max/Min、発生位置確認</v>
      </c>
    </row>
    <row r="4" spans="2:9">
      <c r="B4" s="98" t="str">
        <f>Summary!P5</f>
        <v>Shroud</v>
      </c>
      <c r="E4" t="str">
        <f>Summary!S5</f>
        <v>Step</v>
      </c>
      <c r="H4" t="str">
        <f>Summary!V5</f>
        <v>Step#</v>
      </c>
    </row>
    <row r="5" spans="2:9">
      <c r="B5" s="98" t="str">
        <f>Summary!P6</f>
        <v>Stg.1</v>
      </c>
      <c r="C5" s="98">
        <f>Summary!Q6</f>
        <v>105</v>
      </c>
      <c r="D5" s="98">
        <f>Summary!R6</f>
        <v>236</v>
      </c>
      <c r="E5" t="str">
        <f>Summary!S6</f>
        <v>Max</v>
      </c>
      <c r="F5" s="119">
        <f>Summary!T6</f>
        <v>0.10257779359079677</v>
      </c>
      <c r="G5" t="str">
        <f>Summary!U6</f>
        <v>O/Max 0.021</v>
      </c>
      <c r="H5">
        <f>Summary!V6</f>
        <v>18</v>
      </c>
      <c r="I5" t="str">
        <f>TEXT(ROUND(360/18*(H5-1)/(360/12),0),"0")&amp;" o'clock at ALF."</f>
        <v>11 o'clock at ALF.</v>
      </c>
    </row>
    <row r="6" spans="2:9">
      <c r="E6" t="str">
        <f>Summary!S7</f>
        <v>Min</v>
      </c>
      <c r="F6" s="119">
        <f>Summary!T7</f>
        <v>-4.8311110001066027E-2</v>
      </c>
      <c r="G6" t="str">
        <f>Summary!U7</f>
        <v>-</v>
      </c>
      <c r="H6">
        <f>Summary!V7</f>
        <v>14</v>
      </c>
      <c r="I6" t="str">
        <f>TEXT(ROUND(360/18*(H6-1)/(360/12),0),"0")&amp;" o'clock at ALF."</f>
        <v>9 o'clock at ALF.</v>
      </c>
    </row>
    <row r="7" spans="2:9" ht="20.25">
      <c r="B7" s="102"/>
      <c r="C7" s="102"/>
      <c r="D7" s="102"/>
      <c r="E7" s="103"/>
      <c r="F7" s="103"/>
      <c r="G7" s="103"/>
      <c r="H7" s="103"/>
      <c r="I7" s="103"/>
    </row>
    <row r="8" spans="2:9" ht="20.25">
      <c r="B8" s="102"/>
      <c r="C8" s="102" t="s">
        <v>314</v>
      </c>
      <c r="D8" s="102"/>
      <c r="E8" s="103"/>
      <c r="F8" s="103"/>
      <c r="G8" s="103"/>
      <c r="H8" s="103"/>
      <c r="I8" s="103"/>
    </row>
    <row r="9" spans="2:9" ht="20.25">
      <c r="B9" s="102"/>
      <c r="C9" s="102">
        <v>105</v>
      </c>
      <c r="D9" s="102">
        <v>236</v>
      </c>
      <c r="E9" s="103" t="s">
        <v>60</v>
      </c>
      <c r="F9" s="104">
        <f>3.203-'236'!$AK$111</f>
        <v>0.10300000000003395</v>
      </c>
      <c r="G9" s="103" t="str">
        <f>IF(F5&gt;F9, TEXT(F5-F9, "0.000"), "-")</f>
        <v>-</v>
      </c>
      <c r="H9" s="103"/>
      <c r="I9" s="103"/>
    </row>
    <row r="10" spans="2:9" thickBot="1">
      <c r="B10" s="102"/>
      <c r="C10" s="102"/>
      <c r="D10" s="102"/>
      <c r="E10" s="103" t="s">
        <v>62</v>
      </c>
      <c r="F10" s="104">
        <f>3.01-'236'!$AK$111</f>
        <v>-8.9999999999966107E-2</v>
      </c>
      <c r="G10" s="103" t="str">
        <f>IF(F6&lt;F10, TEXT(F10-F6, "0.000"), "-")</f>
        <v>-</v>
      </c>
      <c r="H10" s="103"/>
      <c r="I10" s="103"/>
    </row>
    <row r="11" spans="2:9" ht="20.25">
      <c r="B11" s="102"/>
      <c r="C11" s="164" t="s">
        <v>315</v>
      </c>
      <c r="D11" s="165"/>
      <c r="E11" s="165"/>
      <c r="F11" s="165"/>
      <c r="G11" s="165"/>
      <c r="H11" s="166"/>
      <c r="I11" s="105"/>
    </row>
    <row r="12" spans="2:9" ht="20.25">
      <c r="B12" s="102"/>
      <c r="C12" s="158" t="str">
        <f>IF(G5="-", IF(G6="-", "Within Limit.", ""), G5&amp;" at Loc."&amp;H5&amp;"("&amp;I5&amp;").")</f>
        <v>O/Max 0.021 at Loc.18(11 o'clock at ALF.).</v>
      </c>
      <c r="D12" s="159"/>
      <c r="E12" s="159"/>
      <c r="F12" s="159"/>
      <c r="G12" s="159"/>
      <c r="H12" s="160"/>
      <c r="I12" s="105"/>
    </row>
    <row r="13" spans="2:9">
      <c r="B13" s="106"/>
      <c r="C13" s="158" t="str">
        <f>IF(C12&lt;&gt;"Within Limit", IF(G6&lt;&gt;"-", G6&amp;" at Loc."&amp;H6&amp;"("&amp;I6&amp;").", ""), "")</f>
        <v/>
      </c>
      <c r="D13" s="159"/>
      <c r="E13" s="159"/>
      <c r="F13" s="159"/>
      <c r="G13" s="159"/>
      <c r="H13" s="160"/>
      <c r="I13" s="105"/>
    </row>
    <row r="14" spans="2:9">
      <c r="B14" s="106"/>
      <c r="C14" s="158" t="str">
        <f>IF(G5&lt;&gt;"-", IF(G9="-", "O/Max is within max acceptance limit.", "O/Max is beyond max acceptance limit by "&amp;G9&amp;"."),"")</f>
        <v>O/Max is within max acceptance limit.</v>
      </c>
      <c r="D14" s="159"/>
      <c r="E14" s="159"/>
      <c r="F14" s="159"/>
      <c r="G14" s="159"/>
      <c r="H14" s="160"/>
      <c r="I14" s="105"/>
    </row>
    <row r="15" spans="2:9" ht="21.75" thickBot="1">
      <c r="B15" s="106"/>
      <c r="C15" s="161" t="str">
        <f>IF(G6&lt;&gt;"-", IF(G10="-", "U/Min is within min acceptance limit.", "U/Min is below min acceptance limit by "&amp;G10&amp;"."), "")</f>
        <v/>
      </c>
      <c r="D15" s="162"/>
      <c r="E15" s="162"/>
      <c r="F15" s="162"/>
      <c r="G15" s="162"/>
      <c r="H15" s="163"/>
      <c r="I15" s="105"/>
    </row>
    <row r="16" spans="2:9">
      <c r="B16" s="106"/>
      <c r="C16" s="107"/>
      <c r="D16" s="107"/>
      <c r="E16" s="107"/>
      <c r="F16" s="107"/>
      <c r="G16" s="107"/>
      <c r="H16" s="107"/>
      <c r="I16" s="107"/>
    </row>
    <row r="47" spans="2:4" s="92" customFormat="1">
      <c r="B47" s="99"/>
      <c r="C47" s="99"/>
      <c r="D47" s="99"/>
    </row>
    <row r="48" spans="2:4">
      <c r="B48" s="98" t="s">
        <v>258</v>
      </c>
    </row>
    <row r="49" spans="2:9">
      <c r="B49" s="98" t="str">
        <f>Summary!P11</f>
        <v>Stg.2</v>
      </c>
      <c r="C49" s="98">
        <f>Summary!Q11</f>
        <v>238</v>
      </c>
      <c r="D49" s="98">
        <f>Summary!R11</f>
        <v>240</v>
      </c>
      <c r="E49" t="str">
        <f>Summary!S11</f>
        <v>Max</v>
      </c>
      <c r="F49" s="119">
        <f ca="1">Summary!T11</f>
        <v>5.0677720826683981E-3</v>
      </c>
      <c r="G49" t="str">
        <f ca="1">Summary!U11</f>
        <v>-</v>
      </c>
      <c r="H49">
        <f ca="1">Summary!V11</f>
        <v>16</v>
      </c>
      <c r="I49" t="str">
        <f ca="1">TEXT(ROUND(360/18*(H49-1)/(360/12),0),"0")&amp;" o'clock at ALF"</f>
        <v>10 o'clock at ALF</v>
      </c>
    </row>
    <row r="50" spans="2:9">
      <c r="E50" t="str">
        <f>Summary!S12</f>
        <v>Min</v>
      </c>
      <c r="F50" s="119">
        <f ca="1">Summary!T12</f>
        <v>-1.2766667414950916E-2</v>
      </c>
      <c r="G50" t="str">
        <f ca="1">Summary!U12</f>
        <v>-</v>
      </c>
      <c r="H50">
        <f ca="1">Summary!V12</f>
        <v>13</v>
      </c>
      <c r="I50" t="str">
        <f ca="1">TEXT(ROUND(360/18*(H50-1)/(360/12),0),"0")&amp;" o'clock at ALF"</f>
        <v>8 o'clock at ALF</v>
      </c>
    </row>
    <row r="51" spans="2:9" ht="20.25">
      <c r="B51" s="102"/>
      <c r="C51" s="102"/>
      <c r="D51" s="102"/>
      <c r="E51" s="103"/>
      <c r="F51" s="103"/>
      <c r="G51" s="103"/>
      <c r="H51" s="103"/>
      <c r="I51" s="103"/>
    </row>
    <row r="52" spans="2:9">
      <c r="B52" s="106"/>
      <c r="C52" s="102" t="s">
        <v>314</v>
      </c>
      <c r="D52" s="102"/>
      <c r="E52" s="103"/>
      <c r="F52" s="103"/>
      <c r="G52" s="103"/>
      <c r="H52" s="108"/>
      <c r="I52" s="108"/>
    </row>
    <row r="53" spans="2:9">
      <c r="B53" s="106"/>
      <c r="C53" s="102">
        <v>238</v>
      </c>
      <c r="D53" s="102">
        <v>240</v>
      </c>
      <c r="E53" s="103" t="s">
        <v>60</v>
      </c>
      <c r="F53" s="104">
        <f>20.425-'240'!$AK$111</f>
        <v>7.5000000000034817E-2</v>
      </c>
      <c r="G53" s="103" t="str">
        <f ca="1">IF(F49&gt;F53, TEXT(F49-F53, "0.000"), "-")</f>
        <v>-</v>
      </c>
      <c r="H53" s="108"/>
      <c r="I53" s="108"/>
    </row>
    <row r="54" spans="2:9" ht="21.75" thickBot="1">
      <c r="B54" s="106"/>
      <c r="C54" s="102"/>
      <c r="D54" s="102"/>
      <c r="E54" s="103" t="s">
        <v>62</v>
      </c>
      <c r="F54" s="104">
        <f>20.286-'240'!$AK$111</f>
        <v>-6.399999999996453E-2</v>
      </c>
      <c r="G54" s="103" t="str">
        <f ca="1">IF(F50&lt;F54, TEXT(F54-F50, "0.000"), "-")</f>
        <v>-</v>
      </c>
      <c r="H54" s="108"/>
      <c r="I54" s="108"/>
    </row>
    <row r="55" spans="2:9">
      <c r="B55" s="106"/>
      <c r="C55" s="164" t="s">
        <v>315</v>
      </c>
      <c r="D55" s="165"/>
      <c r="E55" s="165"/>
      <c r="F55" s="165"/>
      <c r="G55" s="165"/>
      <c r="H55" s="166"/>
      <c r="I55" s="105"/>
    </row>
    <row r="56" spans="2:9">
      <c r="B56" s="106"/>
      <c r="C56" s="158" t="str">
        <f ca="1">IF(G49="-", IF(G50="-", "Within Limit.", ""), G49&amp;" at Loc."&amp;H49&amp;"("&amp;I49&amp;").")</f>
        <v>Within Limit.</v>
      </c>
      <c r="D56" s="159"/>
      <c r="E56" s="159"/>
      <c r="F56" s="159"/>
      <c r="G56" s="159"/>
      <c r="H56" s="160"/>
      <c r="I56" s="105"/>
    </row>
    <row r="57" spans="2:9">
      <c r="B57" s="106"/>
      <c r="C57" s="158" t="str">
        <f ca="1">IF(C56&lt;&gt;"Within Limit", IF(G50&lt;&gt;"-", G50&amp;" at Loc."&amp;H50&amp;"("&amp;I50&amp;").", ""), "")</f>
        <v/>
      </c>
      <c r="D57" s="159"/>
      <c r="E57" s="159"/>
      <c r="F57" s="159"/>
      <c r="G57" s="159"/>
      <c r="H57" s="160"/>
      <c r="I57" s="105"/>
    </row>
    <row r="58" spans="2:9">
      <c r="B58" s="106"/>
      <c r="C58" s="158" t="str">
        <f ca="1">IF(G49&lt;&gt;"-", IF(G53="-", "O/Max is within max acceptance limit.", "O/Max is beyond max acceptance limit by "&amp;G53&amp;"."),"")</f>
        <v/>
      </c>
      <c r="D58" s="159"/>
      <c r="E58" s="159"/>
      <c r="F58" s="159"/>
      <c r="G58" s="159"/>
      <c r="H58" s="160"/>
      <c r="I58" s="105"/>
    </row>
    <row r="59" spans="2:9" ht="21.75" thickBot="1">
      <c r="B59" s="106"/>
      <c r="C59" s="161" t="str">
        <f ca="1">IF(G50&lt;&gt;"-", IF(G54="-", "U/Min is within min acceptance limit.", "U/Min is below min acceptance limit by "&amp;G54&amp;"."), "")</f>
        <v/>
      </c>
      <c r="D59" s="162"/>
      <c r="E59" s="162"/>
      <c r="F59" s="162"/>
      <c r="G59" s="162"/>
      <c r="H59" s="163"/>
      <c r="I59" s="105"/>
    </row>
    <row r="60" spans="2:9">
      <c r="B60" s="106"/>
      <c r="C60" s="107"/>
      <c r="D60" s="107"/>
      <c r="E60" s="107"/>
      <c r="F60" s="107"/>
      <c r="G60" s="107"/>
      <c r="H60" s="107"/>
      <c r="I60" s="107"/>
    </row>
    <row r="91" spans="2:9" s="92" customFormat="1">
      <c r="B91" s="99"/>
      <c r="C91" s="99"/>
      <c r="D91" s="99"/>
    </row>
    <row r="92" spans="2:9">
      <c r="B92" s="98" t="s">
        <v>258</v>
      </c>
    </row>
    <row r="93" spans="2:9">
      <c r="B93" s="98" t="str">
        <f>Summary!P16</f>
        <v>Stg.3</v>
      </c>
      <c r="C93" s="98">
        <f>Summary!Q16</f>
        <v>242</v>
      </c>
      <c r="D93" s="98">
        <f>Summary!R16</f>
        <v>244</v>
      </c>
      <c r="E93" t="str">
        <f>Summary!S16</f>
        <v>Max</v>
      </c>
      <c r="F93" s="119">
        <f ca="1">Summary!T16</f>
        <v>-1.3935549127552349E-2</v>
      </c>
      <c r="G93" t="str">
        <f ca="1">Summary!U16</f>
        <v>-</v>
      </c>
      <c r="H93">
        <f ca="1">Summary!V16</f>
        <v>13</v>
      </c>
      <c r="I93" t="str">
        <f ca="1">TEXT(ROUND(360/23*(H93-1)/(360/12),0),"0")&amp;" o'clock at ALF"</f>
        <v>6 o'clock at ALF</v>
      </c>
    </row>
    <row r="94" spans="2:9">
      <c r="E94" t="str">
        <f>Summary!S17</f>
        <v>Min</v>
      </c>
      <c r="F94" s="119">
        <f ca="1">Summary!T17</f>
        <v>-5.1711918843011517E-2</v>
      </c>
      <c r="G94" t="str">
        <f ca="1">Summary!U17</f>
        <v>-</v>
      </c>
      <c r="H94">
        <f ca="1">Summary!V17</f>
        <v>2</v>
      </c>
      <c r="I94" t="str">
        <f ca="1">TEXT(ROUND(360/23*(H94-1)/(360/12),0),"0")&amp;" o'clock at ALF"</f>
        <v>1 o'clock at ALF</v>
      </c>
    </row>
    <row r="95" spans="2:9" ht="20.25">
      <c r="B95" s="102"/>
      <c r="C95" s="102"/>
      <c r="D95" s="102"/>
      <c r="E95" s="103"/>
      <c r="F95" s="103"/>
      <c r="G95" s="103"/>
      <c r="H95" s="103"/>
      <c r="I95" s="103"/>
    </row>
    <row r="96" spans="2:9">
      <c r="B96" s="106"/>
      <c r="C96" s="102" t="s">
        <v>314</v>
      </c>
      <c r="D96" s="102"/>
      <c r="E96" s="103"/>
      <c r="F96" s="103"/>
      <c r="G96" s="103"/>
      <c r="H96" s="108"/>
      <c r="I96" s="108"/>
    </row>
    <row r="97" spans="2:9">
      <c r="B97" s="106"/>
      <c r="C97" s="102">
        <v>242</v>
      </c>
      <c r="D97" s="102">
        <v>244</v>
      </c>
      <c r="E97" s="103" t="s">
        <v>60</v>
      </c>
      <c r="F97" s="104">
        <f>11.864+0.035-'244'!$AP$121</f>
        <v>9.8999999999989541E-2</v>
      </c>
      <c r="G97" s="103" t="str">
        <f ca="1">IF(F93&gt;F97, TEXT(F93-F97, "0.000"), "-")</f>
        <v>-</v>
      </c>
      <c r="H97" s="108"/>
      <c r="I97" s="108"/>
    </row>
    <row r="98" spans="2:9" ht="21.75" thickBot="1">
      <c r="B98" s="106"/>
      <c r="C98" s="102"/>
      <c r="D98" s="102"/>
      <c r="E98" s="103" t="s">
        <v>62</v>
      </c>
      <c r="F98" s="104">
        <f>11.733-'244'!$AP$121</f>
        <v>-6.7000000000010829E-2</v>
      </c>
      <c r="G98" s="103" t="str">
        <f ca="1">IF(F94&lt;F98, TEXT(F98-F94, "0.000"), "-")</f>
        <v>-</v>
      </c>
      <c r="H98" s="108"/>
      <c r="I98" s="108"/>
    </row>
    <row r="99" spans="2:9">
      <c r="B99" s="106"/>
      <c r="C99" s="164" t="s">
        <v>315</v>
      </c>
      <c r="D99" s="165"/>
      <c r="E99" s="165"/>
      <c r="F99" s="165"/>
      <c r="G99" s="165"/>
      <c r="H99" s="166"/>
      <c r="I99" s="105"/>
    </row>
    <row r="100" spans="2:9">
      <c r="B100" s="106"/>
      <c r="C100" s="158" t="str">
        <f ca="1">IF(G93="-", IF(G94="-", "Within Limit.", ""), G93&amp;" at Loc."&amp;H93&amp;"("&amp;I93&amp;").")</f>
        <v>Within Limit.</v>
      </c>
      <c r="D100" s="159"/>
      <c r="E100" s="159"/>
      <c r="F100" s="159"/>
      <c r="G100" s="159"/>
      <c r="H100" s="160"/>
      <c r="I100" s="105"/>
    </row>
    <row r="101" spans="2:9">
      <c r="B101" s="106"/>
      <c r="C101" s="158" t="str">
        <f ca="1">IF(C100&lt;&gt;"Within Limit", IF(G94&lt;&gt;"-", G94&amp;" at Loc."&amp;H94&amp;"("&amp;I94&amp;").", ""), "")</f>
        <v/>
      </c>
      <c r="D101" s="159"/>
      <c r="E101" s="159"/>
      <c r="F101" s="159"/>
      <c r="G101" s="159"/>
      <c r="H101" s="160"/>
      <c r="I101" s="105"/>
    </row>
    <row r="102" spans="2:9">
      <c r="B102" s="106"/>
      <c r="C102" s="158" t="str">
        <f ca="1">IF(G93&lt;&gt;"-", IF(G97="-", "O/Max is within max acceptance limit.", "O/Max is beyond max acceptance limit by "&amp;G97&amp;"."),"")</f>
        <v/>
      </c>
      <c r="D102" s="159"/>
      <c r="E102" s="159"/>
      <c r="F102" s="159"/>
      <c r="G102" s="159"/>
      <c r="H102" s="160"/>
      <c r="I102" s="105"/>
    </row>
    <row r="103" spans="2:9" ht="21.75" thickBot="1">
      <c r="B103" s="106"/>
      <c r="C103" s="161" t="str">
        <f ca="1">IF(G94&lt;&gt;"-", IF(G98="-", "U/Min is within min acceptance limit.", "U/Min is below min acceptance limit by "&amp;G98&amp;"."), "")</f>
        <v/>
      </c>
      <c r="D103" s="162"/>
      <c r="E103" s="162"/>
      <c r="F103" s="162"/>
      <c r="G103" s="162"/>
      <c r="H103" s="163"/>
      <c r="I103" s="105"/>
    </row>
    <row r="104" spans="2:9">
      <c r="B104" s="106"/>
      <c r="C104" s="107"/>
      <c r="D104" s="107"/>
      <c r="E104" s="107"/>
      <c r="F104" s="107"/>
      <c r="G104" s="107"/>
      <c r="H104" s="107"/>
      <c r="I104" s="107"/>
    </row>
    <row r="135" spans="1:42" s="92" customFormat="1">
      <c r="B135" s="99"/>
      <c r="C135" s="99"/>
      <c r="D135" s="99"/>
    </row>
    <row r="136" spans="1:42">
      <c r="A136" s="51"/>
      <c r="B136" s="117"/>
      <c r="C136" s="117"/>
      <c r="D136" s="117"/>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row>
    <row r="137" spans="1:42">
      <c r="A137" s="51"/>
      <c r="B137" s="98" t="s">
        <v>258</v>
      </c>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row>
    <row r="138" spans="1:42">
      <c r="A138" s="51"/>
      <c r="B138" s="98" t="str">
        <f>Summary!P21</f>
        <v>Stg.4</v>
      </c>
      <c r="C138" s="98">
        <f>Summary!Q21</f>
        <v>246</v>
      </c>
      <c r="D138" s="98">
        <f>Summary!R21</f>
        <v>201</v>
      </c>
      <c r="E138" s="98" t="str">
        <f>Summary!S21</f>
        <v>Max</v>
      </c>
      <c r="F138" s="118">
        <f ca="1">Summary!T21</f>
        <v>9.8957332953830246E-2</v>
      </c>
      <c r="G138" s="98" t="str">
        <f ca="1">Summary!U21</f>
        <v>O/Max 0.041</v>
      </c>
      <c r="H138" s="98">
        <f ca="1">Summary!V21</f>
        <v>23</v>
      </c>
      <c r="I138" t="str">
        <f ca="1">TEXT(ROUND(360/23*(H138-1)/(360/12),0),"0")&amp;" o'clock at ALF"</f>
        <v>11 o'clock at ALF</v>
      </c>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row>
    <row r="139" spans="1:42">
      <c r="A139" s="51"/>
      <c r="E139" s="98" t="str">
        <f>Summary!S22</f>
        <v>Min</v>
      </c>
      <c r="F139" s="118">
        <f ca="1">Summary!T22</f>
        <v>-3.4232012259508338E-2</v>
      </c>
      <c r="G139" s="98" t="str">
        <f ca="1">Summary!U22</f>
        <v>-</v>
      </c>
      <c r="H139" s="98">
        <f ca="1">Summary!V22</f>
        <v>19</v>
      </c>
      <c r="I139" t="str">
        <f ca="1">TEXT(ROUND(360/23*(H139-1)/(360/12),0),"0")&amp;" o'clock at ALF"</f>
        <v>9 o'clock at ALF</v>
      </c>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row>
    <row r="140" spans="1:42" ht="20.25">
      <c r="A140" s="51"/>
      <c r="B140" s="102"/>
      <c r="C140" s="102"/>
      <c r="D140" s="102"/>
      <c r="E140" s="103"/>
      <c r="F140" s="103"/>
      <c r="G140" s="103"/>
      <c r="H140" s="103"/>
      <c r="I140" s="103"/>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row>
    <row r="141" spans="1:42">
      <c r="A141" s="51"/>
      <c r="B141" s="106"/>
      <c r="C141" s="102" t="s">
        <v>314</v>
      </c>
      <c r="D141" s="102"/>
      <c r="E141" s="103"/>
      <c r="F141" s="103"/>
      <c r="G141" s="108"/>
      <c r="H141" s="108"/>
      <c r="I141" s="108"/>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row>
    <row r="142" spans="1:42">
      <c r="A142" s="51"/>
      <c r="B142" s="106"/>
      <c r="C142" s="102">
        <v>246</v>
      </c>
      <c r="D142" s="102">
        <v>201</v>
      </c>
      <c r="E142" s="103" t="s">
        <v>60</v>
      </c>
      <c r="F142" s="136">
        <f>(0.13+0.05)*0.5+0.064</f>
        <v>0.154</v>
      </c>
      <c r="G142" s="103" t="str">
        <f ca="1">IF(F138&gt;F142, TEXT(F138-F142, "0.000"), "-")</f>
        <v>-</v>
      </c>
      <c r="H142" s="108"/>
      <c r="I142" s="108"/>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row>
    <row r="143" spans="1:42" ht="21.75" thickBot="1">
      <c r="A143" s="51"/>
      <c r="B143" s="106"/>
      <c r="C143" s="102"/>
      <c r="D143" s="102"/>
      <c r="E143" s="103" t="s">
        <v>62</v>
      </c>
      <c r="F143" s="136">
        <f>-F142</f>
        <v>-0.154</v>
      </c>
      <c r="G143" s="103" t="str">
        <f ca="1">IF(F139&lt;F143, TEXT(F143-F139, "0.000"), "-")</f>
        <v>-</v>
      </c>
      <c r="H143" s="108"/>
      <c r="I143" s="108"/>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row>
    <row r="144" spans="1:42">
      <c r="A144" s="51"/>
      <c r="B144" s="106"/>
      <c r="C144" s="164" t="s">
        <v>315</v>
      </c>
      <c r="D144" s="165"/>
      <c r="E144" s="165"/>
      <c r="F144" s="165"/>
      <c r="G144" s="165"/>
      <c r="H144" s="166"/>
      <c r="I144" s="105"/>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row>
    <row r="145" spans="1:42">
      <c r="A145" s="51"/>
      <c r="B145" s="106"/>
      <c r="C145" s="158" t="str">
        <f ca="1">IF(G138="-", IF(G139="-", "Within Limit.", ""), G138&amp;" at Loc."&amp;H138&amp;"("&amp;I138&amp;").")</f>
        <v>O/Max 0.041 at Loc.23(11 o'clock at ALF).</v>
      </c>
      <c r="D145" s="159"/>
      <c r="E145" s="159"/>
      <c r="F145" s="159"/>
      <c r="G145" s="159"/>
      <c r="H145" s="160"/>
      <c r="I145" s="105"/>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row>
    <row r="146" spans="1:42">
      <c r="A146" s="51"/>
      <c r="B146" s="106"/>
      <c r="C146" s="158" t="str">
        <f ca="1">IF(C145&lt;&gt;"Within Limit", IF(G139&lt;&gt;"-", G139&amp;" at Loc."&amp;H139&amp;"("&amp;I139&amp;").", ""), "")</f>
        <v/>
      </c>
      <c r="D146" s="159"/>
      <c r="E146" s="159"/>
      <c r="F146" s="159"/>
      <c r="G146" s="159"/>
      <c r="H146" s="160"/>
      <c r="I146" s="105"/>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row>
    <row r="147" spans="1:42">
      <c r="A147" s="51"/>
      <c r="B147" s="106"/>
      <c r="C147" s="158" t="str">
        <f ca="1">IF(G138&lt;&gt;"-", IF(G142="-", "O/Max is within max acceptance limit.", "O/Max is beyond max acceptance limit by "&amp;G142&amp;"."),"")</f>
        <v>O/Max is within max acceptance limit.</v>
      </c>
      <c r="D147" s="159"/>
      <c r="E147" s="159"/>
      <c r="F147" s="159"/>
      <c r="G147" s="159"/>
      <c r="H147" s="160"/>
      <c r="I147" s="105"/>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row>
    <row r="148" spans="1:42" ht="21.75" thickBot="1">
      <c r="A148" s="51"/>
      <c r="B148" s="106"/>
      <c r="C148" s="161" t="str">
        <f ca="1">IF(G139&lt;&gt;"-", IF(G143="-", "U/Min is within min acceptance limit.", "U/Min is below min acceptance limit by "&amp;G143&amp;"."), "")</f>
        <v/>
      </c>
      <c r="D148" s="162"/>
      <c r="E148" s="162"/>
      <c r="F148" s="162"/>
      <c r="G148" s="162"/>
      <c r="H148" s="163"/>
      <c r="I148" s="105"/>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row>
    <row r="149" spans="1:42">
      <c r="A149" s="51"/>
      <c r="B149" s="117"/>
      <c r="C149" s="117"/>
      <c r="D149" s="117"/>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row>
    <row r="150" spans="1:42">
      <c r="A150" s="51"/>
      <c r="B150" s="117"/>
      <c r="C150" s="117"/>
      <c r="D150" s="117"/>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row>
    <row r="151" spans="1:42">
      <c r="A151" s="51"/>
      <c r="B151" s="117"/>
      <c r="C151" s="117"/>
      <c r="D151" s="117"/>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row>
    <row r="152" spans="1:42">
      <c r="A152" s="51"/>
      <c r="B152" s="117"/>
      <c r="C152" s="117"/>
      <c r="D152" s="117"/>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row>
    <row r="153" spans="1:42">
      <c r="A153" s="51"/>
      <c r="B153" s="117"/>
      <c r="C153" s="117"/>
      <c r="D153" s="117"/>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row>
    <row r="154" spans="1:42">
      <c r="A154" s="51"/>
      <c r="B154" s="117"/>
      <c r="C154" s="117"/>
      <c r="D154" s="117"/>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row>
    <row r="155" spans="1:42">
      <c r="A155" s="51"/>
      <c r="B155" s="117"/>
      <c r="C155" s="117"/>
      <c r="D155" s="117"/>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row>
    <row r="156" spans="1:42">
      <c r="A156" s="51"/>
      <c r="B156" s="117"/>
      <c r="C156" s="117"/>
      <c r="D156" s="117"/>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row>
    <row r="157" spans="1:42">
      <c r="A157" s="51"/>
      <c r="B157" s="117"/>
      <c r="C157" s="117"/>
      <c r="D157" s="117"/>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row>
    <row r="158" spans="1:42">
      <c r="A158" s="51"/>
      <c r="B158" s="117"/>
      <c r="C158" s="117"/>
      <c r="D158" s="117"/>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row>
    <row r="159" spans="1:42">
      <c r="A159" s="51"/>
      <c r="B159" s="117"/>
      <c r="C159" s="117"/>
      <c r="D159" s="117"/>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row>
    <row r="160" spans="1:42">
      <c r="A160" s="51"/>
      <c r="B160" s="117"/>
      <c r="C160" s="117"/>
      <c r="D160" s="117"/>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row>
    <row r="161" spans="1:42">
      <c r="A161" s="51"/>
      <c r="B161" s="117"/>
      <c r="C161" s="117"/>
      <c r="D161" s="117"/>
      <c r="E161" s="51"/>
      <c r="F161" s="51"/>
      <c r="G161" s="51"/>
      <c r="H161" s="51"/>
      <c r="I161" s="5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row>
    <row r="162" spans="1:42">
      <c r="A162" s="51"/>
      <c r="B162" s="117"/>
      <c r="C162" s="117"/>
      <c r="D162" s="117"/>
      <c r="E162" s="51"/>
      <c r="F162" s="51"/>
      <c r="G162" s="51"/>
      <c r="H162" s="51"/>
      <c r="I162" s="5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row>
    <row r="163" spans="1:42">
      <c r="A163" s="51"/>
      <c r="B163" s="117"/>
      <c r="C163" s="117"/>
      <c r="D163" s="117"/>
      <c r="E163" s="51"/>
      <c r="F163" s="51"/>
      <c r="G163" s="51"/>
      <c r="H163" s="51"/>
      <c r="I163" s="5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row>
    <row r="164" spans="1:42">
      <c r="A164" s="51"/>
      <c r="B164" s="117"/>
      <c r="C164" s="117"/>
      <c r="D164" s="117"/>
      <c r="E164" s="51"/>
      <c r="F164" s="51"/>
      <c r="G164" s="51"/>
      <c r="H164" s="51"/>
      <c r="I164" s="5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row>
    <row r="165" spans="1:42">
      <c r="A165" s="51"/>
      <c r="B165" s="117"/>
      <c r="C165" s="117"/>
      <c r="D165" s="117"/>
      <c r="E165" s="51"/>
      <c r="F165" s="51"/>
      <c r="G165" s="51"/>
      <c r="H165" s="51"/>
      <c r="I165" s="5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row>
    <row r="166" spans="1:42">
      <c r="A166" s="51"/>
      <c r="B166" s="117"/>
      <c r="C166" s="117"/>
      <c r="D166" s="117"/>
      <c r="E166" s="51"/>
      <c r="F166" s="51"/>
      <c r="G166" s="51"/>
      <c r="H166" s="51"/>
      <c r="I166" s="5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row>
    <row r="167" spans="1:42">
      <c r="A167" s="51"/>
      <c r="B167" s="117"/>
      <c r="C167" s="117"/>
      <c r="D167" s="117"/>
      <c r="E167" s="51"/>
      <c r="F167" s="51"/>
      <c r="G167" s="51"/>
      <c r="H167" s="51"/>
      <c r="I167" s="5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row>
    <row r="168" spans="1:42">
      <c r="A168" s="51"/>
      <c r="B168" s="117"/>
      <c r="C168" s="117"/>
      <c r="D168" s="117"/>
      <c r="E168" s="51"/>
      <c r="F168" s="51"/>
      <c r="G168" s="51"/>
      <c r="H168" s="51"/>
      <c r="I168" s="5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row>
    <row r="169" spans="1:42">
      <c r="A169" s="51"/>
      <c r="B169" s="117"/>
      <c r="C169" s="117"/>
      <c r="D169" s="117"/>
      <c r="E169" s="51"/>
      <c r="F169" s="51"/>
      <c r="G169" s="51"/>
      <c r="H169" s="51"/>
      <c r="I169" s="5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row>
    <row r="170" spans="1:42">
      <c r="A170" s="51"/>
      <c r="B170" s="117"/>
      <c r="C170" s="117"/>
      <c r="D170" s="117"/>
      <c r="E170" s="51"/>
      <c r="F170" s="51"/>
      <c r="G170" s="51"/>
      <c r="H170" s="51"/>
      <c r="I170" s="5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row>
    <row r="171" spans="1:42">
      <c r="A171" s="51"/>
      <c r="B171" s="117"/>
      <c r="C171" s="117"/>
      <c r="D171" s="117"/>
      <c r="E171" s="51"/>
      <c r="F171" s="51"/>
      <c r="G171" s="51"/>
      <c r="H171" s="51"/>
      <c r="I171" s="5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row>
    <row r="172" spans="1:42">
      <c r="A172" s="51"/>
      <c r="B172" s="117"/>
      <c r="C172" s="117"/>
      <c r="D172" s="117"/>
      <c r="E172" s="51"/>
      <c r="F172" s="51"/>
      <c r="G172" s="51"/>
      <c r="H172" s="51"/>
      <c r="I172" s="5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row>
    <row r="173" spans="1:42">
      <c r="A173" s="51"/>
      <c r="B173" s="117"/>
      <c r="C173" s="117"/>
      <c r="D173" s="117"/>
      <c r="E173" s="51"/>
      <c r="F173" s="51"/>
      <c r="G173" s="51"/>
      <c r="H173" s="51"/>
      <c r="I173" s="5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row>
    <row r="174" spans="1:42">
      <c r="A174" s="51"/>
      <c r="B174" s="117"/>
      <c r="C174" s="117"/>
      <c r="D174" s="117"/>
      <c r="E174" s="51"/>
      <c r="F174" s="51"/>
      <c r="G174" s="51"/>
      <c r="H174" s="51"/>
      <c r="I174" s="5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row>
    <row r="175" spans="1:42">
      <c r="A175" s="51"/>
      <c r="B175" s="117"/>
      <c r="C175" s="117"/>
      <c r="D175" s="117"/>
      <c r="E175" s="51"/>
      <c r="F175" s="51"/>
      <c r="G175" s="51"/>
      <c r="H175" s="51"/>
      <c r="I175" s="5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row>
    <row r="176" spans="1:42">
      <c r="A176" s="51"/>
      <c r="B176" s="117"/>
      <c r="C176" s="117"/>
      <c r="D176" s="117"/>
      <c r="E176" s="51"/>
      <c r="F176" s="51"/>
      <c r="G176" s="51"/>
      <c r="H176" s="51"/>
      <c r="I176" s="5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row>
    <row r="177" spans="1:42">
      <c r="A177" s="51"/>
      <c r="B177" s="117"/>
      <c r="C177" s="117"/>
      <c r="D177" s="117"/>
      <c r="E177" s="51"/>
      <c r="F177" s="51"/>
      <c r="G177" s="51"/>
      <c r="H177" s="51"/>
      <c r="I177" s="5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row>
    <row r="178" spans="1:42">
      <c r="A178" s="51"/>
      <c r="B178" s="117"/>
      <c r="C178" s="117"/>
      <c r="D178" s="117"/>
      <c r="E178" s="51"/>
      <c r="F178" s="51"/>
      <c r="G178" s="51"/>
      <c r="H178" s="51"/>
      <c r="I178" s="5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row>
    <row r="179" spans="1:42" s="92" customFormat="1">
      <c r="A179" s="51"/>
      <c r="B179" s="117"/>
      <c r="C179" s="117"/>
      <c r="D179" s="117"/>
      <c r="E179" s="51"/>
      <c r="F179" s="51"/>
      <c r="G179" s="51"/>
      <c r="H179" s="51"/>
      <c r="I179" s="5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row>
    <row r="180" spans="1:42">
      <c r="B180" s="98" t="s">
        <v>358</v>
      </c>
    </row>
    <row r="181" spans="1:42">
      <c r="B181" s="98" t="str">
        <f>Summary!P26</f>
        <v>Stg.4</v>
      </c>
      <c r="C181" s="98">
        <f>Summary!Q26</f>
        <v>246</v>
      </c>
      <c r="D181" s="98">
        <f>Summary!R26</f>
        <v>248</v>
      </c>
      <c r="E181" t="str">
        <f>Summary!S26</f>
        <v>Max</v>
      </c>
      <c r="F181" s="119">
        <f ca="1">Summary!T26</f>
        <v>2.9786666901713943E-2</v>
      </c>
      <c r="G181" t="str">
        <f ca="1">Summary!U26</f>
        <v>-</v>
      </c>
      <c r="H181">
        <f ca="1">Summary!V26</f>
        <v>6</v>
      </c>
      <c r="I181" t="str">
        <f ca="1">TEXT(ROUND(360/24*(H181-1)/(360/12),0),"0")&amp;" o'clock at ALF"</f>
        <v>3 o'clock at ALF</v>
      </c>
    </row>
    <row r="182" spans="1:42">
      <c r="E182" t="str">
        <f>Summary!S27</f>
        <v>Min</v>
      </c>
      <c r="F182" s="119">
        <f ca="1">Summary!T27</f>
        <v>2.2406116437423407E-4</v>
      </c>
      <c r="G182" t="str">
        <f ca="1">Summary!U27</f>
        <v>-</v>
      </c>
      <c r="H182">
        <f ca="1">Summary!V27</f>
        <v>19</v>
      </c>
      <c r="I182" t="str">
        <f ca="1">TEXT(ROUND(360/24*(H182-1)/(360/12),0),"0")&amp;" o'clock at ALF"</f>
        <v>9 o'clock at ALF</v>
      </c>
    </row>
    <row r="183" spans="1:42" ht="20.25">
      <c r="B183" s="102"/>
      <c r="C183" s="102"/>
      <c r="D183" s="102"/>
      <c r="E183" s="103"/>
      <c r="F183" s="103"/>
      <c r="G183" s="103"/>
      <c r="H183" s="103"/>
      <c r="I183" s="103"/>
    </row>
    <row r="184" spans="1:42">
      <c r="B184" s="106"/>
      <c r="C184" s="102" t="s">
        <v>314</v>
      </c>
      <c r="D184" s="102"/>
      <c r="E184" s="103"/>
      <c r="F184" s="103"/>
      <c r="G184" s="108"/>
      <c r="H184" s="108"/>
      <c r="I184" s="108"/>
    </row>
    <row r="185" spans="1:42">
      <c r="B185" s="106"/>
      <c r="C185" s="102">
        <v>246</v>
      </c>
      <c r="D185" s="102">
        <v>248</v>
      </c>
      <c r="E185" s="103" t="s">
        <v>60</v>
      </c>
      <c r="F185" s="104">
        <f>1.949-'248'!$AQ$123</f>
        <v>9.8999999999977328E-2</v>
      </c>
      <c r="G185" s="103" t="str">
        <f ca="1">IF(F181&gt;F185, TEXT(F181-F185, "0.000"), "-")</f>
        <v>-</v>
      </c>
      <c r="H185" s="108"/>
      <c r="I185" s="108"/>
    </row>
    <row r="186" spans="1:42" ht="21.75" thickBot="1">
      <c r="B186" s="106"/>
      <c r="C186" s="102"/>
      <c r="D186" s="102"/>
      <c r="E186" s="103" t="s">
        <v>62</v>
      </c>
      <c r="F186" s="104">
        <f>1.78-'248'!$AQ$123</f>
        <v>-7.0000000000022711E-2</v>
      </c>
      <c r="G186" s="103" t="str">
        <f ca="1">IF(F182&lt;F186, TEXT(F186-F182, "0.000"), "-")</f>
        <v>-</v>
      </c>
      <c r="H186" s="108"/>
      <c r="I186" s="108"/>
    </row>
    <row r="187" spans="1:42">
      <c r="B187" s="106"/>
      <c r="C187" s="164" t="s">
        <v>315</v>
      </c>
      <c r="D187" s="165"/>
      <c r="E187" s="165"/>
      <c r="F187" s="165"/>
      <c r="G187" s="165"/>
      <c r="H187" s="166"/>
      <c r="I187" s="105"/>
    </row>
    <row r="188" spans="1:42">
      <c r="B188" s="106"/>
      <c r="C188" s="158" t="str">
        <f ca="1">IF(G181="-", IF(G182="-", "Within Limit.", ""), G181&amp;" at Loc."&amp;H181&amp;"("&amp;I181&amp;").")</f>
        <v>Within Limit.</v>
      </c>
      <c r="D188" s="159"/>
      <c r="E188" s="159"/>
      <c r="F188" s="159"/>
      <c r="G188" s="159"/>
      <c r="H188" s="160"/>
      <c r="I188" s="105"/>
    </row>
    <row r="189" spans="1:42">
      <c r="B189" s="106"/>
      <c r="C189" s="158" t="str">
        <f ca="1">IF(C188&lt;&gt;"Within Limit", IF(G182&lt;&gt;"-", G182&amp;" at Loc."&amp;H182&amp;"("&amp;I182&amp;").", ""), "")</f>
        <v/>
      </c>
      <c r="D189" s="159"/>
      <c r="E189" s="159"/>
      <c r="F189" s="159"/>
      <c r="G189" s="159"/>
      <c r="H189" s="160"/>
      <c r="I189" s="105"/>
    </row>
    <row r="190" spans="1:42">
      <c r="B190" s="106"/>
      <c r="C190" s="158" t="str">
        <f ca="1">IF(G181&lt;&gt;"-", IF(G185="-", "O/Max is within max acceptance limit.", "O/Max is beyond max acceptance limit by "&amp;G185&amp;"."),"")</f>
        <v/>
      </c>
      <c r="D190" s="159"/>
      <c r="E190" s="159"/>
      <c r="F190" s="159"/>
      <c r="G190" s="159"/>
      <c r="H190" s="160"/>
      <c r="I190" s="105"/>
    </row>
    <row r="191" spans="1:42" ht="21.75" thickBot="1">
      <c r="B191" s="106"/>
      <c r="C191" s="161" t="str">
        <f ca="1">IF(G182&lt;&gt;"-", IF(G186="-", "U/Min is within min acceptance limit.", "U/Min is below min acceptance limit by "&amp;G186&amp;"."), "")</f>
        <v/>
      </c>
      <c r="D191" s="162"/>
      <c r="E191" s="162"/>
      <c r="F191" s="162"/>
      <c r="G191" s="162"/>
      <c r="H191" s="163"/>
      <c r="I191" s="105"/>
    </row>
    <row r="192" spans="1:42">
      <c r="B192" s="106"/>
      <c r="C192" s="107"/>
      <c r="D192" s="107"/>
      <c r="E192" s="107"/>
      <c r="F192" s="107"/>
      <c r="G192" s="107"/>
      <c r="H192" s="107"/>
      <c r="I192" s="107"/>
    </row>
    <row r="223" spans="1:42">
      <c r="A223" s="92"/>
      <c r="B223" s="99"/>
      <c r="C223" s="99"/>
      <c r="D223" s="99"/>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2"/>
      <c r="AL223" s="92"/>
      <c r="AM223" s="92"/>
      <c r="AN223" s="92"/>
      <c r="AO223" s="92"/>
      <c r="AP223" s="92"/>
    </row>
    <row r="224" spans="1:42" s="92" customFormat="1">
      <c r="A224"/>
      <c r="B224" s="98"/>
      <c r="C224" s="98"/>
      <c r="D224" s="98"/>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row>
    <row r="225" spans="2:9">
      <c r="B225" s="98" t="str">
        <f>Summary!P31</f>
        <v>Nozzle</v>
      </c>
    </row>
    <row r="226" spans="2:9">
      <c r="B226" s="98" t="str">
        <f>Summary!P32</f>
        <v>Stg.2</v>
      </c>
      <c r="C226" s="98">
        <f>Summary!Q32</f>
        <v>237</v>
      </c>
      <c r="D226" s="98">
        <f>Summary!R32</f>
        <v>239</v>
      </c>
      <c r="E226" t="str">
        <f>Summary!S32</f>
        <v>Max</v>
      </c>
      <c r="F226" s="119">
        <f>Summary!T32</f>
        <v>2.811110659536098E-3</v>
      </c>
      <c r="G226" t="str">
        <f>Summary!U32</f>
        <v>-</v>
      </c>
      <c r="H226">
        <f>Summary!V32</f>
        <v>21</v>
      </c>
      <c r="I226" t="str">
        <f>TEXT(ROUND(360/36*(H226-1)/(360/12),0),"0")&amp;" o'clock at ALF"</f>
        <v>7 o'clock at ALF</v>
      </c>
    </row>
    <row r="227" spans="2:9">
      <c r="E227" t="str">
        <f>Summary!S33</f>
        <v>Min</v>
      </c>
      <c r="F227" s="119">
        <f>Summary!T33</f>
        <v>-1.9400001383587551E-2</v>
      </c>
      <c r="G227" t="str">
        <f>Summary!U33</f>
        <v>-</v>
      </c>
      <c r="H227">
        <f>Summary!V33</f>
        <v>1</v>
      </c>
      <c r="I227" t="str">
        <f>TEXT(ROUND(360/36*(H227-1)/(360/12),0),"0")&amp;" o'clock at ALF"</f>
        <v>0 o'clock at ALF</v>
      </c>
    </row>
    <row r="228" spans="2:9" ht="20.25">
      <c r="B228" s="102"/>
      <c r="C228" s="102"/>
      <c r="D228" s="102"/>
      <c r="E228" s="103"/>
      <c r="F228" s="103"/>
      <c r="G228" s="103"/>
      <c r="H228" s="103"/>
      <c r="I228" s="103"/>
    </row>
    <row r="229" spans="2:9">
      <c r="B229" s="106"/>
      <c r="C229" s="102" t="s">
        <v>314</v>
      </c>
      <c r="D229" s="102"/>
      <c r="E229" s="103"/>
      <c r="F229" s="103"/>
      <c r="G229" s="108"/>
      <c r="H229" s="108"/>
      <c r="I229" s="108"/>
    </row>
    <row r="230" spans="2:9">
      <c r="B230" s="106"/>
      <c r="C230" s="102">
        <v>237</v>
      </c>
      <c r="D230" s="102">
        <v>239</v>
      </c>
      <c r="E230" s="103" t="s">
        <v>60</v>
      </c>
      <c r="F230" s="136">
        <v>4.1999999999994486E-2</v>
      </c>
      <c r="G230" s="103" t="str">
        <f>IF(F226&gt;F230, TEXT(F226-F230, "0.000"), "-")</f>
        <v>-</v>
      </c>
      <c r="H230" s="108"/>
      <c r="I230" s="108"/>
    </row>
    <row r="231" spans="2:9" ht="21.75" thickBot="1">
      <c r="B231" s="106"/>
      <c r="C231" s="102"/>
      <c r="D231" s="102"/>
      <c r="E231" s="103" t="s">
        <v>62</v>
      </c>
      <c r="F231" s="136">
        <v>-0.11500000000000554</v>
      </c>
      <c r="G231" s="103" t="str">
        <f>IF(F227&lt;F231, TEXT(F231-F227, "0.000"), "-")</f>
        <v>-</v>
      </c>
      <c r="H231" s="108"/>
      <c r="I231" s="108"/>
    </row>
    <row r="232" spans="2:9">
      <c r="B232" s="106"/>
      <c r="C232" s="164" t="s">
        <v>315</v>
      </c>
      <c r="D232" s="165"/>
      <c r="E232" s="165"/>
      <c r="F232" s="165"/>
      <c r="G232" s="165"/>
      <c r="H232" s="166"/>
      <c r="I232" s="105"/>
    </row>
    <row r="233" spans="2:9">
      <c r="B233" s="106"/>
      <c r="C233" s="158" t="str">
        <f>IF(G226="-", IF(G227="-", "Within Limit.", ""), G226&amp;" at Loc."&amp;H226&amp;"("&amp;I226&amp;").")</f>
        <v>Within Limit.</v>
      </c>
      <c r="D233" s="159"/>
      <c r="E233" s="159"/>
      <c r="F233" s="159"/>
      <c r="G233" s="159"/>
      <c r="H233" s="160"/>
      <c r="I233" s="105"/>
    </row>
    <row r="234" spans="2:9">
      <c r="B234" s="106"/>
      <c r="C234" s="158" t="str">
        <f>IF(C233&lt;&gt;"Within Limit", IF(G227&lt;&gt;"-", G227&amp;" at Loc."&amp;H227&amp;"("&amp;I227&amp;").", ""), "")</f>
        <v/>
      </c>
      <c r="D234" s="159"/>
      <c r="E234" s="159"/>
      <c r="F234" s="159"/>
      <c r="G234" s="159"/>
      <c r="H234" s="160"/>
      <c r="I234" s="105"/>
    </row>
    <row r="235" spans="2:9">
      <c r="B235" s="106"/>
      <c r="C235" s="158" t="str">
        <f>IF(G226&lt;&gt;"-", IF(G230="-", "O/Max is within max acceptance limit.", "O/Max is beyond max acceptance limit by "&amp;G230&amp;"."),"")</f>
        <v/>
      </c>
      <c r="D235" s="159"/>
      <c r="E235" s="159"/>
      <c r="F235" s="159"/>
      <c r="G235" s="159"/>
      <c r="H235" s="160"/>
      <c r="I235" s="105"/>
    </row>
    <row r="236" spans="2:9" ht="21.75" thickBot="1">
      <c r="B236" s="106"/>
      <c r="C236" s="161" t="str">
        <f>IF(G227&lt;&gt;"-", IF(G231="-", "U/Min is within min acceptance limit.", "U/Min is below min acceptance limit by "&amp;G231&amp;"."), "")</f>
        <v/>
      </c>
      <c r="D236" s="162"/>
      <c r="E236" s="162"/>
      <c r="F236" s="162"/>
      <c r="G236" s="162"/>
      <c r="H236" s="163"/>
      <c r="I236" s="105"/>
    </row>
    <row r="237" spans="2:9">
      <c r="B237" s="106"/>
      <c r="C237" s="107"/>
      <c r="D237" s="107"/>
      <c r="E237" s="107"/>
      <c r="F237" s="107"/>
      <c r="G237" s="107"/>
      <c r="H237" s="107"/>
      <c r="I237" s="107"/>
    </row>
    <row r="268" spans="2:9" s="92" customFormat="1">
      <c r="B268" s="99"/>
      <c r="C268" s="99"/>
      <c r="D268" s="99"/>
    </row>
    <row r="269" spans="2:9">
      <c r="B269" s="98" t="s">
        <v>259</v>
      </c>
    </row>
    <row r="270" spans="2:9">
      <c r="B270" s="98" t="str">
        <f>Summary!P39</f>
        <v>Stg.3</v>
      </c>
      <c r="C270" s="98">
        <f>Summary!Q39</f>
        <v>241</v>
      </c>
      <c r="D270" s="98">
        <f>Summary!R39</f>
        <v>243</v>
      </c>
      <c r="E270" t="str">
        <f>Summary!S39</f>
        <v>Max</v>
      </c>
      <c r="F270" s="119">
        <f>Summary!T39</f>
        <v>4.427364636967468E-3</v>
      </c>
      <c r="G270" t="str">
        <f>Summary!U39</f>
        <v>-</v>
      </c>
      <c r="H270">
        <f>Summary!V39</f>
        <v>21</v>
      </c>
      <c r="I270" t="str">
        <f>TEXT(ROUND(360/23*(H270-1)/(360/12),0),"0")&amp;" o'clock at ALF"</f>
        <v>10 o'clock at ALF</v>
      </c>
    </row>
    <row r="271" spans="2:9">
      <c r="E271" t="str">
        <f>Summary!S40</f>
        <v>Min</v>
      </c>
      <c r="F271" s="119">
        <f>Summary!T40</f>
        <v>-1.024004295584291E-2</v>
      </c>
      <c r="G271" t="str">
        <f>Summary!U40</f>
        <v>-</v>
      </c>
      <c r="H271">
        <f>Summary!V40</f>
        <v>3</v>
      </c>
      <c r="I271" t="str">
        <f>TEXT(ROUND(360/23*(H271-1)/(360/12),0),"0")&amp;" o'clock at ALF"</f>
        <v>1 o'clock at ALF</v>
      </c>
    </row>
    <row r="272" spans="2:9" ht="20.25">
      <c r="B272" s="102"/>
      <c r="C272" s="102"/>
      <c r="D272" s="102"/>
      <c r="E272" s="103"/>
      <c r="F272" s="103"/>
      <c r="G272" s="103"/>
      <c r="H272" s="103"/>
      <c r="I272" s="103"/>
    </row>
    <row r="273" spans="2:9" ht="20.25">
      <c r="B273" s="102"/>
      <c r="C273" s="102" t="s">
        <v>314</v>
      </c>
      <c r="D273" s="102"/>
      <c r="E273" s="103"/>
      <c r="F273" s="103"/>
      <c r="G273" s="103"/>
      <c r="H273" s="103"/>
      <c r="I273" s="103"/>
    </row>
    <row r="274" spans="2:9">
      <c r="B274" s="106"/>
      <c r="C274" s="102">
        <v>241</v>
      </c>
      <c r="D274" s="102">
        <v>243</v>
      </c>
      <c r="E274" s="103" t="s">
        <v>60</v>
      </c>
      <c r="F274" s="136">
        <v>6.3999999999976964E-2</v>
      </c>
      <c r="G274" s="103" t="str">
        <f>IF(F270&gt;F274, TEXT(F270-F274, "0.000"), "-")</f>
        <v>-</v>
      </c>
      <c r="H274" s="108"/>
      <c r="I274" s="108"/>
    </row>
    <row r="275" spans="2:9" ht="21.75" thickBot="1">
      <c r="B275" s="106"/>
      <c r="C275" s="102"/>
      <c r="D275" s="102"/>
      <c r="E275" s="103" t="s">
        <v>62</v>
      </c>
      <c r="F275" s="136">
        <v>-6.8000000000022709E-2</v>
      </c>
      <c r="G275" s="103" t="str">
        <f>IF(F271&lt;F275, TEXT(F275-F271, "0.000"), "-")</f>
        <v>-</v>
      </c>
      <c r="H275" s="108"/>
      <c r="I275" s="108"/>
    </row>
    <row r="276" spans="2:9">
      <c r="B276" s="106"/>
      <c r="C276" s="164" t="s">
        <v>315</v>
      </c>
      <c r="D276" s="165"/>
      <c r="E276" s="165"/>
      <c r="F276" s="165"/>
      <c r="G276" s="165"/>
      <c r="H276" s="166"/>
      <c r="I276" s="105"/>
    </row>
    <row r="277" spans="2:9">
      <c r="B277" s="106"/>
      <c r="C277" s="158" t="str">
        <f>IF(G270="-", IF(G271="-", "Within Limit.", ""), G270&amp;" at Loc."&amp;H270&amp;"("&amp;I270&amp;").")</f>
        <v>Within Limit.</v>
      </c>
      <c r="D277" s="159"/>
      <c r="E277" s="159"/>
      <c r="F277" s="159"/>
      <c r="G277" s="159"/>
      <c r="H277" s="160"/>
      <c r="I277" s="105"/>
    </row>
    <row r="278" spans="2:9">
      <c r="B278" s="106"/>
      <c r="C278" s="158" t="str">
        <f>IF(C277&lt;&gt;"Within Limit", IF(G271&lt;&gt;"-", G271&amp;" at Loc."&amp;H271&amp;"("&amp;I271&amp;").", ""), "")</f>
        <v/>
      </c>
      <c r="D278" s="159"/>
      <c r="E278" s="159"/>
      <c r="F278" s="159"/>
      <c r="G278" s="159"/>
      <c r="H278" s="160"/>
      <c r="I278" s="105"/>
    </row>
    <row r="279" spans="2:9">
      <c r="B279" s="106"/>
      <c r="C279" s="158" t="str">
        <f>IF(G270&lt;&gt;"-", IF(G274="-", "O/Max is within max acceptance limit.", "O/Max is beyond max acceptance limit by "&amp;G274&amp;"."),"")</f>
        <v/>
      </c>
      <c r="D279" s="159"/>
      <c r="E279" s="159"/>
      <c r="F279" s="159"/>
      <c r="G279" s="159"/>
      <c r="H279" s="160"/>
      <c r="I279" s="105"/>
    </row>
    <row r="280" spans="2:9" ht="21.75" thickBot="1">
      <c r="B280" s="106"/>
      <c r="C280" s="161" t="str">
        <f>IF(G271&lt;&gt;"-", IF(G275="-", "U/Min is within min acceptance limit.", "U/Min is below min acceptance limit by "&amp;G275&amp;"."), "")</f>
        <v/>
      </c>
      <c r="D280" s="162"/>
      <c r="E280" s="162"/>
      <c r="F280" s="162"/>
      <c r="G280" s="162"/>
      <c r="H280" s="163"/>
      <c r="I280" s="105"/>
    </row>
    <row r="281" spans="2:9">
      <c r="B281" s="106"/>
      <c r="C281" s="107"/>
      <c r="D281" s="107"/>
      <c r="E281" s="107"/>
      <c r="F281" s="107"/>
      <c r="G281" s="107"/>
      <c r="H281" s="107"/>
      <c r="I281" s="107"/>
    </row>
    <row r="312" spans="2:9" s="92" customFormat="1">
      <c r="B312" s="99"/>
      <c r="C312" s="99"/>
      <c r="D312" s="99"/>
    </row>
    <row r="313" spans="2:9">
      <c r="B313" s="98" t="s">
        <v>259</v>
      </c>
    </row>
    <row r="314" spans="2:9">
      <c r="B314" s="98" t="str">
        <f>Summary!P46</f>
        <v>Stg.4</v>
      </c>
      <c r="C314" s="98">
        <f>Summary!Q46</f>
        <v>245</v>
      </c>
      <c r="D314" s="98">
        <f>Summary!R46</f>
        <v>247</v>
      </c>
      <c r="E314" t="str">
        <f>Summary!S46</f>
        <v>Max</v>
      </c>
      <c r="F314" s="119">
        <f>Summary!T46</f>
        <v>4.3606667064125304E-2</v>
      </c>
      <c r="G314" t="str">
        <f>Summary!U46</f>
        <v>-</v>
      </c>
      <c r="H314">
        <f>Summary!V46</f>
        <v>7</v>
      </c>
      <c r="I314" t="str">
        <f>TEXT(ROUND(360/24*(H314-1)/(360/12),0),"0")&amp;" o'clock at ALF"</f>
        <v>3 o'clock at ALF</v>
      </c>
    </row>
    <row r="315" spans="2:9">
      <c r="E315" t="str">
        <f>Summary!S47</f>
        <v>Min</v>
      </c>
      <c r="F315" s="119">
        <f>Summary!T47</f>
        <v>-9.8191999542052599E-2</v>
      </c>
      <c r="G315" t="str">
        <f>Summary!U47</f>
        <v>U/Min 0.034</v>
      </c>
      <c r="H315">
        <f>Summary!V47</f>
        <v>3</v>
      </c>
      <c r="I315" t="str">
        <f>TEXT(ROUND(360/24*(H315-1)/(360/12),0),"0")&amp;" o'clock at ALF"</f>
        <v>1 o'clock at ALF</v>
      </c>
    </row>
    <row r="316" spans="2:9">
      <c r="B316" s="106"/>
      <c r="C316" s="102"/>
      <c r="D316" s="102"/>
      <c r="E316" s="103"/>
      <c r="F316" s="103"/>
      <c r="G316" s="103"/>
      <c r="H316" s="103"/>
      <c r="I316" s="103"/>
    </row>
    <row r="317" spans="2:9">
      <c r="B317" s="106"/>
      <c r="C317" s="102" t="s">
        <v>314</v>
      </c>
      <c r="D317" s="102"/>
      <c r="E317" s="103"/>
      <c r="F317" s="103"/>
      <c r="G317" s="103"/>
      <c r="H317" s="103"/>
      <c r="I317" s="103"/>
    </row>
    <row r="318" spans="2:9">
      <c r="B318" s="106"/>
      <c r="C318" s="102">
        <v>245</v>
      </c>
      <c r="D318" s="102">
        <v>247</v>
      </c>
      <c r="E318" s="103" t="s">
        <v>60</v>
      </c>
      <c r="F318" s="136">
        <v>9.8999999999988653E-2</v>
      </c>
      <c r="G318" s="103" t="str">
        <f>IF(F314&gt;F318, TEXT(F314-F318, "0.000"), "-")</f>
        <v>-</v>
      </c>
      <c r="H318" s="108"/>
      <c r="I318" s="108"/>
    </row>
    <row r="319" spans="2:9" ht="21.75" thickBot="1">
      <c r="B319" s="106"/>
      <c r="C319" s="102"/>
      <c r="D319" s="102"/>
      <c r="E319" s="103" t="s">
        <v>62</v>
      </c>
      <c r="F319" s="136">
        <v>-7.0000000000011373E-2</v>
      </c>
      <c r="G319" s="103" t="str">
        <f>IF(F315&lt;F319, TEXT(F319-F315, "0.000"), "-")</f>
        <v>0.028</v>
      </c>
      <c r="H319" s="108"/>
      <c r="I319" s="108"/>
    </row>
    <row r="320" spans="2:9">
      <c r="B320" s="106"/>
      <c r="C320" s="164" t="s">
        <v>315</v>
      </c>
      <c r="D320" s="165"/>
      <c r="E320" s="165"/>
      <c r="F320" s="165"/>
      <c r="G320" s="165"/>
      <c r="H320" s="166"/>
      <c r="I320" s="105"/>
    </row>
    <row r="321" spans="2:9">
      <c r="B321" s="106"/>
      <c r="C321" s="158" t="str">
        <f>IF(G314="-", IF(G315="-", "Within Limit.", ""), G314&amp;" at Loc."&amp;H314&amp;"("&amp;I314&amp;").")</f>
        <v/>
      </c>
      <c r="D321" s="159"/>
      <c r="E321" s="159"/>
      <c r="F321" s="159"/>
      <c r="G321" s="159"/>
      <c r="H321" s="160"/>
      <c r="I321" s="105"/>
    </row>
    <row r="322" spans="2:9">
      <c r="B322" s="106"/>
      <c r="C322" s="158" t="str">
        <f>IF(C321&lt;&gt;"Within Limit", IF(G315&lt;&gt;"-", G315&amp;" at Loc."&amp;H315&amp;"("&amp;I315&amp;").", ""), "")</f>
        <v>U/Min 0.034 at Loc.3(1 o'clock at ALF).</v>
      </c>
      <c r="D322" s="159"/>
      <c r="E322" s="159"/>
      <c r="F322" s="159"/>
      <c r="G322" s="159"/>
      <c r="H322" s="160"/>
      <c r="I322" s="105"/>
    </row>
    <row r="323" spans="2:9">
      <c r="B323" s="106"/>
      <c r="C323" s="158" t="str">
        <f>IF(G314&lt;&gt;"-", IF(G318="-", "O/Max is within max acceptance limit.", "O/Max is beyond max acceptance limit by "&amp;G318&amp;"."),"")</f>
        <v/>
      </c>
      <c r="D323" s="159"/>
      <c r="E323" s="159"/>
      <c r="F323" s="159"/>
      <c r="G323" s="159"/>
      <c r="H323" s="160"/>
      <c r="I323" s="105"/>
    </row>
    <row r="324" spans="2:9" ht="21.75" thickBot="1">
      <c r="B324" s="106"/>
      <c r="C324" s="161" t="str">
        <f>IF(G315&lt;&gt;"-", IF(G319="-", "U/Min is within min acceptance limit.", "U/Min is below min acceptance limit by "&amp;G319&amp;"."), "")</f>
        <v>U/Min is below min acceptance limit by 0.028.</v>
      </c>
      <c r="D324" s="162"/>
      <c r="E324" s="162"/>
      <c r="F324" s="162"/>
      <c r="G324" s="162"/>
      <c r="H324" s="163"/>
      <c r="I324" s="105"/>
    </row>
    <row r="325" spans="2:9">
      <c r="B325" s="106"/>
      <c r="C325" s="107"/>
      <c r="D325" s="107"/>
      <c r="E325" s="107"/>
      <c r="F325" s="107"/>
      <c r="G325" s="107"/>
      <c r="H325" s="107"/>
      <c r="I325" s="107"/>
    </row>
    <row r="356" spans="1:42">
      <c r="A356" s="92"/>
      <c r="B356" s="99"/>
      <c r="C356" s="99"/>
      <c r="D356" s="99"/>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2"/>
      <c r="AL356" s="92"/>
      <c r="AM356" s="92"/>
      <c r="AN356" s="92"/>
      <c r="AO356" s="92"/>
      <c r="AP356" s="92"/>
    </row>
    <row r="358" spans="1:42">
      <c r="J358">
        <v>238</v>
      </c>
      <c r="O358">
        <v>242</v>
      </c>
      <c r="T358">
        <v>246</v>
      </c>
    </row>
    <row r="360" spans="1:42">
      <c r="B360" s="98" t="s">
        <v>313</v>
      </c>
    </row>
    <row r="364" spans="1:42">
      <c r="C364" s="98">
        <f>11.2</f>
        <v>11.2</v>
      </c>
    </row>
    <row r="365" spans="1:42">
      <c r="C365" s="98">
        <f>16.15/3*2</f>
        <v>10.766666666666666</v>
      </c>
    </row>
    <row r="385" spans="2:2" ht="22.5">
      <c r="B385" s="130" t="s">
        <v>374</v>
      </c>
    </row>
    <row r="386" spans="2:2" ht="22.5">
      <c r="B386" s="130" t="s">
        <v>375</v>
      </c>
    </row>
    <row r="387" spans="2:2" ht="22.5">
      <c r="B387" s="130" t="s">
        <v>289</v>
      </c>
    </row>
  </sheetData>
  <mergeCells count="40">
    <mergeCell ref="C277:H277"/>
    <mergeCell ref="C278:H278"/>
    <mergeCell ref="C279:H279"/>
    <mergeCell ref="C280:H280"/>
    <mergeCell ref="C233:H233"/>
    <mergeCell ref="C234:H234"/>
    <mergeCell ref="C235:H235"/>
    <mergeCell ref="C236:H236"/>
    <mergeCell ref="C276:H276"/>
    <mergeCell ref="C188:H188"/>
    <mergeCell ref="C189:H189"/>
    <mergeCell ref="C190:H190"/>
    <mergeCell ref="C191:H191"/>
    <mergeCell ref="C232:H232"/>
    <mergeCell ref="C100:H100"/>
    <mergeCell ref="C101:H101"/>
    <mergeCell ref="C102:H102"/>
    <mergeCell ref="C103:H103"/>
    <mergeCell ref="C187:H187"/>
    <mergeCell ref="C144:H144"/>
    <mergeCell ref="C145:H145"/>
    <mergeCell ref="C146:H146"/>
    <mergeCell ref="C147:H147"/>
    <mergeCell ref="C148:H148"/>
    <mergeCell ref="C321:H321"/>
    <mergeCell ref="C322:H322"/>
    <mergeCell ref="C323:H323"/>
    <mergeCell ref="C324:H324"/>
    <mergeCell ref="C11:H11"/>
    <mergeCell ref="C12:H12"/>
    <mergeCell ref="C13:H13"/>
    <mergeCell ref="C14:H14"/>
    <mergeCell ref="C15:H15"/>
    <mergeCell ref="C320:H320"/>
    <mergeCell ref="C55:H55"/>
    <mergeCell ref="C56:H56"/>
    <mergeCell ref="C57:H57"/>
    <mergeCell ref="C58:H58"/>
    <mergeCell ref="C59:H59"/>
    <mergeCell ref="C99:H99"/>
  </mergeCells>
  <phoneticPr fontId="2"/>
  <pageMargins left="0.7" right="0.7" top="0.75" bottom="0.75" header="0.3" footer="0.3"/>
  <pageSetup paperSize="9" orientation="portrait" r:id="rId1"/>
  <drawing r:id="rId2"/>
  <legacyDrawing r:id="rId3"/>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AC3"/>
  <sheetViews>
    <sheetView workbookViewId="0">
      <selection activeCell="L19" sqref="L19"/>
    </sheetView>
  </sheetViews>
  <sheetFormatPr defaultColWidth="8.5703125" defaultRowHeight="14.25"/>
  <cols>
    <col min="1" max="1" width="10.85546875" style="5" bestFit="1" customWidth="1"/>
    <col min="2" max="16384" width="8.5703125" style="5"/>
  </cols>
  <sheetData>
    <row r="1" spans="1:29">
      <c r="B1" s="167" t="s">
        <v>367</v>
      </c>
      <c r="C1" s="167"/>
      <c r="D1" s="167"/>
      <c r="E1" s="167"/>
      <c r="F1" s="167" t="s">
        <v>368</v>
      </c>
      <c r="G1" s="167"/>
      <c r="H1" s="167"/>
      <c r="I1" s="167"/>
      <c r="J1" s="167" t="s">
        <v>369</v>
      </c>
      <c r="K1" s="167"/>
      <c r="L1" s="167"/>
      <c r="M1" s="167"/>
      <c r="N1" s="167" t="s">
        <v>370</v>
      </c>
      <c r="O1" s="167"/>
      <c r="P1" s="167"/>
      <c r="Q1" s="167"/>
      <c r="R1" s="167" t="s">
        <v>371</v>
      </c>
      <c r="S1" s="167"/>
      <c r="T1" s="167"/>
      <c r="U1" s="167"/>
      <c r="V1" s="167" t="s">
        <v>372</v>
      </c>
      <c r="W1" s="167"/>
      <c r="X1" s="167"/>
      <c r="Y1" s="167"/>
      <c r="Z1" s="167" t="s">
        <v>373</v>
      </c>
      <c r="AA1" s="167"/>
      <c r="AB1" s="167"/>
      <c r="AC1" s="167"/>
    </row>
    <row r="2" spans="1:29">
      <c r="A2" s="5" t="s">
        <v>366</v>
      </c>
      <c r="B2" s="129" t="s">
        <v>57</v>
      </c>
      <c r="C2" s="129" t="s">
        <v>55</v>
      </c>
      <c r="D2" s="129" t="s">
        <v>364</v>
      </c>
      <c r="E2" s="129" t="s">
        <v>365</v>
      </c>
      <c r="F2" s="129" t="s">
        <v>57</v>
      </c>
      <c r="G2" s="129" t="s">
        <v>55</v>
      </c>
      <c r="H2" s="129" t="s">
        <v>364</v>
      </c>
      <c r="I2" s="129" t="s">
        <v>365</v>
      </c>
      <c r="J2" s="129" t="s">
        <v>57</v>
      </c>
      <c r="K2" s="129" t="s">
        <v>55</v>
      </c>
      <c r="L2" s="129" t="s">
        <v>364</v>
      </c>
      <c r="M2" s="129" t="s">
        <v>365</v>
      </c>
      <c r="N2" s="129" t="s">
        <v>57</v>
      </c>
      <c r="O2" s="129" t="s">
        <v>55</v>
      </c>
      <c r="P2" s="129" t="s">
        <v>364</v>
      </c>
      <c r="Q2" s="129" t="s">
        <v>365</v>
      </c>
      <c r="R2" s="129" t="s">
        <v>57</v>
      </c>
      <c r="S2" s="129" t="s">
        <v>55</v>
      </c>
      <c r="T2" s="129" t="s">
        <v>364</v>
      </c>
      <c r="U2" s="129" t="s">
        <v>365</v>
      </c>
      <c r="V2" s="129" t="s">
        <v>57</v>
      </c>
      <c r="W2" s="129" t="s">
        <v>55</v>
      </c>
      <c r="X2" s="129" t="s">
        <v>364</v>
      </c>
      <c r="Y2" s="129" t="s">
        <v>365</v>
      </c>
      <c r="Z2" s="129" t="s">
        <v>57</v>
      </c>
      <c r="AA2" s="129" t="s">
        <v>55</v>
      </c>
      <c r="AB2" s="129" t="s">
        <v>364</v>
      </c>
      <c r="AC2" s="129" t="s">
        <v>365</v>
      </c>
    </row>
    <row r="3" spans="1:29">
      <c r="A3" s="5" t="str">
        <f>'105'!$A$9</f>
        <v>JHV723EJ</v>
      </c>
      <c r="B3" s="5">
        <f>ROUND('236'!$AN$89, 3)</f>
        <v>0.10299999999999999</v>
      </c>
      <c r="C3" s="5">
        <f>ROUND('236'!$AN$90, 3)</f>
        <v>-4.8000000000000001E-2</v>
      </c>
      <c r="D3" s="5">
        <f>'236'!$AL$89</f>
        <v>8.199999999993679E-2</v>
      </c>
      <c r="E3" s="5">
        <f>'236'!$AK$89</f>
        <v>-8.199999999993679E-2</v>
      </c>
      <c r="F3" s="5">
        <f ca="1">ROUND('240'!$AN$89, 3)</f>
        <v>5.0000000000000001E-3</v>
      </c>
      <c r="G3" s="5">
        <f ca="1">ROUND('240'!$AN$90, 3)</f>
        <v>-1.2999999999999999E-2</v>
      </c>
      <c r="H3" s="5">
        <f>'240'!$AL$89</f>
        <v>6.399999999996453E-2</v>
      </c>
      <c r="I3" s="5">
        <f>'240'!$AK$89</f>
        <v>-6.399999999996453E-2</v>
      </c>
      <c r="J3" s="5">
        <f ca="1">ROUND('244'!$AS$94, 3)</f>
        <v>-1.4E-2</v>
      </c>
      <c r="K3" s="5">
        <f ca="1">ROUND('244'!$AS$95, 3)</f>
        <v>-5.1999999999999998E-2</v>
      </c>
      <c r="L3" s="5">
        <f>'244'!$AQ$94</f>
        <v>6.399999999996453E-2</v>
      </c>
      <c r="M3" s="5">
        <f>'244'!$AP$94</f>
        <v>-6.399999999996453E-2</v>
      </c>
      <c r="N3" s="5">
        <f ca="1">ROUND('201'!$AT$95, 3)</f>
        <v>9.9000000000000005E-2</v>
      </c>
      <c r="O3" s="5">
        <f ca="1">ROUND('201'!$AT$96, 3)</f>
        <v>-3.4000000000000002E-2</v>
      </c>
      <c r="P3" s="5">
        <f>'201'!$AR$95</f>
        <v>5.7500000000004547E-2</v>
      </c>
      <c r="Q3" s="5">
        <f>'201'!$AQ$95</f>
        <v>-5.7500000000004547E-2</v>
      </c>
      <c r="R3" s="5">
        <f>ROUND('239'!$BF$121, 3)</f>
        <v>3.0000000000000001E-3</v>
      </c>
      <c r="S3" s="5">
        <f>ROUND('239'!$BF$122, 3)</f>
        <v>-1.9E-2</v>
      </c>
      <c r="T3" s="5">
        <f>'239'!$BD$121</f>
        <v>6.399999999996453E-2</v>
      </c>
      <c r="U3" s="5">
        <f>'239'!$BC$121</f>
        <v>-6.399999999996453E-2</v>
      </c>
      <c r="V3" s="5">
        <f>ROUND('243'!$AS$108, 3)</f>
        <v>4.0000000000000001E-3</v>
      </c>
      <c r="W3" s="5">
        <f>ROUND('243'!$AS$109, 3)</f>
        <v>-0.01</v>
      </c>
      <c r="X3" s="5">
        <f>'243'!$AQ$108</f>
        <v>6.399999999996453E-2</v>
      </c>
      <c r="Y3" s="5">
        <f>'243'!$AP$108</f>
        <v>-6.399999999996453E-2</v>
      </c>
      <c r="Z3" s="5">
        <f>ROUND('247'!$AT$95, 3)</f>
        <v>4.3999999999999997E-2</v>
      </c>
      <c r="AA3" s="5">
        <f>ROUND('247'!$AT$96, 3)</f>
        <v>-9.8000000000000004E-2</v>
      </c>
      <c r="AB3" s="5">
        <f>'247'!$AR$95</f>
        <v>6.399999999996453E-2</v>
      </c>
      <c r="AC3" s="5">
        <f>'247'!$AQ$95</f>
        <v>-6.399999999996453E-2</v>
      </c>
    </row>
  </sheetData>
  <mergeCells count="7">
    <mergeCell ref="Z1:AC1"/>
    <mergeCell ref="B1:E1"/>
    <mergeCell ref="F1:I1"/>
    <mergeCell ref="J1:M1"/>
    <mergeCell ref="N1:Q1"/>
    <mergeCell ref="R1:U1"/>
    <mergeCell ref="V1:Y1"/>
  </mergeCells>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readme</vt:lpstr>
      <vt:lpstr>105</vt:lpstr>
      <vt:lpstr>236</vt:lpstr>
      <vt:lpstr>237</vt:lpstr>
      <vt:lpstr>238</vt:lpstr>
      <vt:lpstr>239</vt:lpstr>
      <vt:lpstr>240</vt:lpstr>
      <vt:lpstr>241</vt:lpstr>
      <vt:lpstr>242</vt:lpstr>
      <vt:lpstr>243</vt:lpstr>
      <vt:lpstr>244</vt:lpstr>
      <vt:lpstr>245</vt:lpstr>
      <vt:lpstr>246</vt:lpstr>
      <vt:lpstr>247</vt:lpstr>
      <vt:lpstr>248</vt:lpstr>
      <vt:lpstr>101</vt:lpstr>
      <vt:lpstr>201</vt:lpstr>
      <vt:lpstr>246+avg2.03</vt:lpstr>
      <vt:lpstr>201-Tool_max</vt:lpstr>
      <vt:lpstr>201-Tool_min</vt:lpstr>
      <vt:lpstr>Summary</vt:lpstr>
      <vt:lpstr>Graph</vt:lpstr>
      <vt:lpstr>Step Check 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2023-05-31T05:35:39Z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a97a89a-9189-4899-b564-97c97b2c6c1e_Enabled">
    <vt:lpwstr>true</vt:lpwstr>
  </property>
  <property fmtid="{D5CDD505-2E9C-101B-9397-08002B2CF9AE}" pid="3" name="MSIP_Label_6a97a89a-9189-4899-b564-97c97b2c6c1e_SetDate">
    <vt:lpwstr>2021-03-04T09:26:57Z</vt:lpwstr>
  </property>
  <property fmtid="{D5CDD505-2E9C-101B-9397-08002B2CF9AE}" pid="4" name="MSIP_Label_6a97a89a-9189-4899-b564-97c97b2c6c1e_Method">
    <vt:lpwstr>Privileged</vt:lpwstr>
  </property>
  <property fmtid="{D5CDD505-2E9C-101B-9397-08002B2CF9AE}" pid="5" name="MSIP_Label_6a97a89a-9189-4899-b564-97c97b2c6c1e_Name">
    <vt:lpwstr>Unlabeled</vt:lpwstr>
  </property>
  <property fmtid="{D5CDD505-2E9C-101B-9397-08002B2CF9AE}" pid="6" name="MSIP_Label_6a97a89a-9189-4899-b564-97c97b2c6c1e_SiteId">
    <vt:lpwstr>e03e4558-630c-41ca-9c31-cf261fd0ccad</vt:lpwstr>
  </property>
  <property fmtid="{D5CDD505-2E9C-101B-9397-08002B2CF9AE}" pid="7" name="MSIP_Label_6a97a89a-9189-4899-b564-97c97b2c6c1e_ActionId">
    <vt:lpwstr>9c7ee8dc-292d-44ae-aef3-c5e418d68f89</vt:lpwstr>
  </property>
  <property fmtid="{D5CDD505-2E9C-101B-9397-08002B2CF9AE}" pid="8" name="MSIP_Label_6a97a89a-9189-4899-b564-97c97b2c6c1e_ContentBits">
    <vt:lpwstr>0</vt:lpwstr>
  </property>
</Properties>
</file>