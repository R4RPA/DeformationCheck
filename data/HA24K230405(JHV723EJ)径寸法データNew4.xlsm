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drawings/drawing6.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charts/chart11.xml" ContentType="application/vnd.openxmlformats-officedocument.drawingml.chart+xml"/>
  <Override PartName="/xl/drawings/drawing8.xml" ContentType="application/vnd.openxmlformats-officedocument.drawing+xml"/>
  <Override PartName="/xl/charts/chart12.xml" ContentType="application/vnd.openxmlformats-officedocument.drawingml.chart+xml"/>
  <Override PartName="/xl/charts/style1.xml" ContentType="application/vnd.ms-office.chartstyle+xml"/>
  <Override PartName="/xl/charts/colors1.xml" ContentType="application/vnd.ms-office.chartcolorstyle+xml"/>
  <Override PartName="/xl/charts/chart1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drawings/drawing10.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drawings/drawing11.xml" ContentType="application/vnd.openxmlformats-officedocument.drawing+xml"/>
  <Override PartName="/xl/charts/chart18.xml" ContentType="application/vnd.openxmlformats-officedocument.drawingml.chart+xml"/>
  <Override PartName="/xl/drawings/drawing12.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drawings/drawing13.xml" ContentType="application/vnd.openxmlformats-officedocument.drawing+xml"/>
  <Override PartName="/xl/charts/chart21.xml" ContentType="application/vnd.openxmlformats-officedocument.drawingml.chart+xml"/>
  <Override PartName="/xl/drawings/drawing14.xml" ContentType="application/vnd.openxmlformats-officedocument.drawing+xml"/>
  <Override PartName="/xl/charts/chart22.xml" ContentType="application/vnd.openxmlformats-officedocument.drawingml.chart+xml"/>
  <Override PartName="/xl/drawings/drawing15.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drawings/drawing16.xml" ContentType="application/vnd.openxmlformats-officedocument.drawing+xml"/>
  <Override PartName="/xl/charts/chart25.xml" ContentType="application/vnd.openxmlformats-officedocument.drawingml.chart+xml"/>
  <Override PartName="/xl/drawings/drawing17.xml" ContentType="application/vnd.openxmlformats-officedocument.drawing+xml"/>
  <Override PartName="/xl/charts/chart26.xml" ContentType="application/vnd.openxmlformats-officedocument.drawingml.chart+xml"/>
  <Override PartName="/xl/drawings/drawing18.xml" ContentType="application/vnd.openxmlformats-officedocument.drawing+xml"/>
  <Override PartName="/xl/charts/chart27.xml" ContentType="application/vnd.openxmlformats-officedocument.drawingml.chart+xml"/>
  <Override PartName="/xl/drawings/drawing19.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20.xml" ContentType="application/vnd.openxmlformats-officedocument.drawing+xml"/>
  <Override PartName="/xl/charts/chart30.xml" ContentType="application/vnd.openxmlformats-officedocument.drawingml.chart+xml"/>
  <Override PartName="/xl/drawings/drawing21.xml" ContentType="application/vnd.openxmlformats-officedocument.drawing+xml"/>
  <Override PartName="/xl/charts/chart31.xml" ContentType="application/vnd.openxmlformats-officedocument.drawingml.chart+xml"/>
  <Override PartName="/xl/drawings/drawing22.xml" ContentType="application/vnd.openxmlformats-officedocument.drawing+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23.xml" ContentType="application/vnd.openxmlformats-officedocument.drawing+xml"/>
  <Override PartName="/xl/charts/chart36.xml" ContentType="application/vnd.openxmlformats-officedocument.drawingml.chart+xml"/>
  <Override PartName="/xl/drawings/drawing24.xml" ContentType="application/vnd.openxmlformats-officedocument.drawing+xml"/>
  <Override PartName="/xl/charts/chart37.xml" ContentType="application/vnd.openxmlformats-officedocument.drawingml.chart+xml"/>
  <Override PartName="/xl/drawings/drawing25.xml" ContentType="application/vnd.openxmlformats-officedocument.drawing+xml"/>
  <Override PartName="/xl/charts/chart38.xml" ContentType="application/vnd.openxmlformats-officedocument.drawingml.chart+xml"/>
  <Override PartName="/xl/drawings/drawing26.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drawings/drawing27.xml" ContentType="application/vnd.openxmlformats-officedocument.drawing+xml"/>
  <Override PartName="/xl/charts/chart43.xml" ContentType="application/vnd.openxmlformats-officedocument.drawingml.chart+xml"/>
  <Override PartName="/xl/drawings/drawing28.xml" ContentType="application/vnd.openxmlformats-officedocument.drawing+xml"/>
  <Override PartName="/xl/charts/chart44.xml" ContentType="application/vnd.openxmlformats-officedocument.drawingml.chart+xml"/>
  <Override PartName="/xl/drawings/drawing29.xml" ContentType="application/vnd.openxmlformats-officedocument.drawing+xml"/>
  <Override PartName="/xl/charts/chart45.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6" codeName="{3D1A710C-6663-3D7B-7F91-EC182F24A4BC}"/>
  <workbookPr codeName="ThisWorkbook" defaultThemeVersion="124226"/>
  <mc:AlternateContent xmlns:mc="http://schemas.openxmlformats.org/markup-compatibility/2006">
    <mc:Choice Requires="x15">
      <x15ac:absPath xmlns:x15ac="http://schemas.microsoft.com/office/spreadsheetml/2010/11/ac" url="D:\OM\IHIQST-23-0331\"/>
    </mc:Choice>
  </mc:AlternateContent>
  <xr:revisionPtr revIDLastSave="0" documentId="13_ncr:1_{BC0AA138-21F9-4110-AC99-B732A01C30A9}" xr6:coauthVersionLast="36" xr6:coauthVersionMax="36" xr10:uidLastSave="{00000000-0000-0000-0000-000000000000}"/>
  <bookViews>
    <workbookView xWindow="0" yWindow="0" windowWidth="28800" windowHeight="13620" tabRatio="855" firstSheet="3" activeTab="25" xr2:uid="{00000000-000D-0000-FFFF-FFFF00000000}"/>
  </bookViews>
  <sheets>
    <sheet name="101" sheetId="21" r:id="rId1"/>
    <sheet name="105" sheetId="22" r:id="rId2"/>
    <sheet name="206" sheetId="23" r:id="rId3"/>
    <sheet name="225" sheetId="47" r:id="rId4"/>
    <sheet name="226" sheetId="48" r:id="rId5"/>
    <sheet name="207" sheetId="49" r:id="rId6"/>
    <sheet name="207再計測" sheetId="52" r:id="rId7"/>
    <sheet name="225 226 Case Thickness" sheetId="53" r:id="rId8"/>
    <sheet name="234" sheetId="24" r:id="rId9"/>
    <sheet name="235" sheetId="25" r:id="rId10"/>
    <sheet name="234-235 Stg.1 S Hook T" sheetId="51" r:id="rId11"/>
    <sheet name="105-235Stg.1 S Groove" sheetId="46" r:id="rId12"/>
    <sheet name="237" sheetId="27" r:id="rId13"/>
    <sheet name="236" sheetId="26" r:id="rId14"/>
    <sheet name="238" sheetId="28" r:id="rId15"/>
    <sheet name="239" sheetId="29" r:id="rId16"/>
    <sheet name="240" sheetId="30" r:id="rId17"/>
    <sheet name="241" sheetId="31" r:id="rId18"/>
    <sheet name="242" sheetId="32" r:id="rId19"/>
    <sheet name="243" sheetId="33" r:id="rId20"/>
    <sheet name="244" sheetId="34" r:id="rId21"/>
    <sheet name="246" sheetId="36" r:id="rId22"/>
    <sheet name="245" sheetId="35" r:id="rId23"/>
    <sheet name="247" sheetId="37" r:id="rId24"/>
    <sheet name="248" sheetId="38" r:id="rId25"/>
    <sheet name="201" sheetId="39" r:id="rId26"/>
    <sheet name="112" sheetId="42" r:id="rId27"/>
    <sheet name="309" sheetId="43" r:id="rId28"/>
    <sheet name="118" sheetId="44" r:id="rId29"/>
    <sheet name="342" sheetId="45" r:id="rId30"/>
    <sheet name="418" sheetId="54" r:id="rId31"/>
  </sheets>
  <definedNames>
    <definedName name="_xlnm._FilterDatabase" localSheetId="26" hidden="1">'112'!$L$8:$L$55</definedName>
    <definedName name="_xlnm._FilterDatabase" localSheetId="28" hidden="1">'118'!$L$8:$L$55</definedName>
    <definedName name="_xlnm._FilterDatabase" localSheetId="25" hidden="1">'201'!$AP$12:$AR$204</definedName>
  </definedNames>
  <calcPr calcId="191029"/>
</workbook>
</file>

<file path=xl/calcChain.xml><?xml version="1.0" encoding="utf-8"?>
<calcChain xmlns="http://schemas.openxmlformats.org/spreadsheetml/2006/main">
  <c r="D5" i="35" l="1"/>
  <c r="J2" i="54" l="1"/>
  <c r="J4" i="54"/>
  <c r="J5" i="54"/>
  <c r="J6" i="54"/>
  <c r="J7" i="54"/>
  <c r="J8" i="54"/>
  <c r="J9" i="54"/>
  <c r="J10" i="54"/>
  <c r="J11" i="54"/>
  <c r="K3" i="54"/>
  <c r="K5" i="54" s="1"/>
  <c r="L3" i="54"/>
  <c r="L5" i="54" s="1"/>
  <c r="J3" i="54"/>
  <c r="L4" i="54" l="1"/>
  <c r="K8" i="54"/>
  <c r="L10" i="54"/>
  <c r="L6" i="54"/>
  <c r="K10" i="54"/>
  <c r="K6" i="54"/>
  <c r="K4" i="54"/>
  <c r="L8" i="54"/>
  <c r="J13" i="54"/>
  <c r="J14" i="54"/>
  <c r="L11" i="54"/>
  <c r="L9" i="54"/>
  <c r="L7" i="54"/>
  <c r="K11" i="54"/>
  <c r="K9" i="54"/>
  <c r="K7" i="54"/>
  <c r="B9" i="35"/>
  <c r="K13" i="54" l="1"/>
  <c r="K14" i="54"/>
  <c r="D8" i="35"/>
  <c r="D9" i="35"/>
  <c r="D12" i="35"/>
  <c r="D11" i="35"/>
  <c r="D10" i="35"/>
  <c r="D7" i="35"/>
  <c r="D6" i="35"/>
  <c r="B9" i="53" l="1"/>
  <c r="C9" i="53"/>
  <c r="E9" i="53"/>
  <c r="F9" i="53"/>
  <c r="B10" i="53"/>
  <c r="C10" i="53"/>
  <c r="E10" i="53"/>
  <c r="F10" i="53"/>
  <c r="B11" i="53"/>
  <c r="C11" i="53"/>
  <c r="E11" i="53"/>
  <c r="F11" i="53"/>
  <c r="B12" i="53"/>
  <c r="C12" i="53"/>
  <c r="E12" i="53"/>
  <c r="F12" i="53"/>
  <c r="B13" i="53"/>
  <c r="C13" i="53"/>
  <c r="E13" i="53"/>
  <c r="F13" i="53"/>
  <c r="B14" i="53"/>
  <c r="C14" i="53"/>
  <c r="E14" i="53"/>
  <c r="F14" i="53"/>
  <c r="B15" i="53"/>
  <c r="C15" i="53"/>
  <c r="E15" i="53"/>
  <c r="F15" i="53"/>
  <c r="B16" i="53"/>
  <c r="C16" i="53"/>
  <c r="E16" i="53"/>
  <c r="F16" i="53"/>
  <c r="B17" i="53"/>
  <c r="C17" i="53"/>
  <c r="E17" i="53"/>
  <c r="F17" i="53"/>
  <c r="B18" i="53"/>
  <c r="C18" i="53"/>
  <c r="E18" i="53"/>
  <c r="F18" i="53"/>
  <c r="F8" i="53"/>
  <c r="E8" i="53"/>
  <c r="C8" i="53"/>
  <c r="B8" i="53"/>
  <c r="F7" i="53"/>
  <c r="E7" i="53"/>
  <c r="C7" i="53"/>
  <c r="B7" i="53"/>
  <c r="F6" i="53"/>
  <c r="E6" i="53"/>
  <c r="C6" i="53"/>
  <c r="B6" i="53"/>
  <c r="F5" i="53"/>
  <c r="E5" i="53"/>
  <c r="C5" i="53"/>
  <c r="B5" i="53"/>
  <c r="F4" i="53"/>
  <c r="E4" i="53"/>
  <c r="C4" i="53"/>
  <c r="B4" i="53"/>
  <c r="F3" i="53"/>
  <c r="E3" i="53"/>
  <c r="C3" i="53"/>
  <c r="B3" i="53"/>
  <c r="N62" i="48" l="1"/>
  <c r="N61" i="48"/>
  <c r="AK54" i="48"/>
  <c r="G10" i="48"/>
  <c r="G13" i="48" s="1"/>
  <c r="G16" i="48" s="1"/>
  <c r="G19" i="48" s="1"/>
  <c r="G22" i="48" s="1"/>
  <c r="G25" i="48" s="1"/>
  <c r="G28" i="48" s="1"/>
  <c r="G31" i="48" s="1"/>
  <c r="G34" i="48" s="1"/>
  <c r="G37" i="48" s="1"/>
  <c r="G40" i="48" s="1"/>
  <c r="G43" i="48" s="1"/>
  <c r="G46" i="48" s="1"/>
  <c r="G49" i="48" s="1"/>
  <c r="G52" i="48" s="1"/>
  <c r="H52" i="48" s="1"/>
  <c r="N24" i="48"/>
  <c r="L8" i="48"/>
  <c r="M8" i="48" s="1"/>
  <c r="L9" i="48"/>
  <c r="M9" i="48" s="1"/>
  <c r="L10" i="48"/>
  <c r="M10" i="48" s="1"/>
  <c r="L11" i="48"/>
  <c r="M11" i="48" s="1"/>
  <c r="L12" i="48"/>
  <c r="M12" i="48" s="1"/>
  <c r="L13" i="48"/>
  <c r="M13" i="48" s="1"/>
  <c r="L14" i="48"/>
  <c r="M14" i="48" s="1"/>
  <c r="L15" i="48"/>
  <c r="M15" i="48" s="1"/>
  <c r="L16" i="48"/>
  <c r="M16" i="48" s="1"/>
  <c r="N16" i="48" s="1"/>
  <c r="L17" i="48"/>
  <c r="M17" i="48" s="1"/>
  <c r="N17" i="48" s="1"/>
  <c r="L18" i="48"/>
  <c r="M18" i="48" s="1"/>
  <c r="N18" i="48" s="1"/>
  <c r="L19" i="48"/>
  <c r="M19" i="48" s="1"/>
  <c r="N19" i="48" s="1"/>
  <c r="L20" i="48"/>
  <c r="M20" i="48" s="1"/>
  <c r="N20" i="48" s="1"/>
  <c r="L21" i="48"/>
  <c r="M21" i="48" s="1"/>
  <c r="N21" i="48" s="1"/>
  <c r="L22" i="48"/>
  <c r="M22" i="48" s="1"/>
  <c r="N22" i="48" s="1"/>
  <c r="L7" i="48"/>
  <c r="M7" i="48" s="1"/>
  <c r="N25" i="48"/>
  <c r="N62" i="47"/>
  <c r="N61" i="47"/>
  <c r="AK54" i="47"/>
  <c r="L8" i="47"/>
  <c r="M8" i="47" s="1"/>
  <c r="L9" i="47"/>
  <c r="M9" i="47" s="1"/>
  <c r="L10" i="47"/>
  <c r="M10" i="47" s="1"/>
  <c r="L11" i="47"/>
  <c r="M11" i="47" s="1"/>
  <c r="L12" i="47"/>
  <c r="M12" i="47" s="1"/>
  <c r="L13" i="47"/>
  <c r="M13" i="47" s="1"/>
  <c r="L14" i="47"/>
  <c r="M14" i="47" s="1"/>
  <c r="L15" i="47"/>
  <c r="M15" i="47" s="1"/>
  <c r="L16" i="47"/>
  <c r="M16" i="47" s="1"/>
  <c r="N16" i="47" s="1"/>
  <c r="L17" i="47"/>
  <c r="M17" i="47" s="1"/>
  <c r="N17" i="47" s="1"/>
  <c r="L18" i="47"/>
  <c r="M18" i="47" s="1"/>
  <c r="N18" i="47" s="1"/>
  <c r="L19" i="47"/>
  <c r="M19" i="47" s="1"/>
  <c r="N19" i="47" s="1"/>
  <c r="L20" i="47"/>
  <c r="M20" i="47" s="1"/>
  <c r="N20" i="47" s="1"/>
  <c r="L21" i="47"/>
  <c r="M21" i="47" s="1"/>
  <c r="N21" i="47" s="1"/>
  <c r="L22" i="47"/>
  <c r="M22" i="47" s="1"/>
  <c r="N22" i="47" s="1"/>
  <c r="L7" i="47"/>
  <c r="M7" i="47" s="1"/>
  <c r="G10" i="47"/>
  <c r="G13" i="47" s="1"/>
  <c r="H8" i="47"/>
  <c r="H7" i="47"/>
  <c r="AK54" i="49"/>
  <c r="AQ24" i="49" s="1"/>
  <c r="L7" i="49"/>
  <c r="M7" i="49" s="1"/>
  <c r="L9" i="49"/>
  <c r="M9" i="49" s="1"/>
  <c r="L10" i="49"/>
  <c r="M10" i="49" s="1"/>
  <c r="L11" i="49"/>
  <c r="M11" i="49" s="1"/>
  <c r="L12" i="49"/>
  <c r="M12" i="49" s="1"/>
  <c r="L13" i="49"/>
  <c r="M13" i="49" s="1"/>
  <c r="L14" i="49"/>
  <c r="M14" i="49" s="1"/>
  <c r="L15" i="49"/>
  <c r="M15" i="49" s="1"/>
  <c r="L16" i="49"/>
  <c r="L17" i="49"/>
  <c r="M17" i="49" s="1"/>
  <c r="N17" i="49" s="1"/>
  <c r="L18" i="49"/>
  <c r="M18" i="49" s="1"/>
  <c r="N18" i="49" s="1"/>
  <c r="L19" i="49"/>
  <c r="M19" i="49" s="1"/>
  <c r="L20" i="49"/>
  <c r="M20" i="49" s="1"/>
  <c r="L21" i="49"/>
  <c r="M21" i="49" s="1"/>
  <c r="N21" i="49" s="1"/>
  <c r="L22" i="49"/>
  <c r="M22" i="49" s="1"/>
  <c r="N22" i="49" s="1"/>
  <c r="L8" i="49"/>
  <c r="M8" i="49" s="1"/>
  <c r="G10" i="49"/>
  <c r="G13" i="49" s="1"/>
  <c r="A18" i="53" l="1"/>
  <c r="A17" i="53"/>
  <c r="A14" i="53"/>
  <c r="A13" i="53"/>
  <c r="AA52" i="48"/>
  <c r="AF52" i="48" s="1"/>
  <c r="H53" i="48"/>
  <c r="H50" i="48"/>
  <c r="H47" i="48"/>
  <c r="H44" i="48"/>
  <c r="H41" i="48"/>
  <c r="H38" i="48"/>
  <c r="H35" i="48"/>
  <c r="H49" i="48"/>
  <c r="H46" i="48"/>
  <c r="H43" i="48"/>
  <c r="H40" i="48"/>
  <c r="H37" i="48"/>
  <c r="H34" i="48"/>
  <c r="H14" i="47"/>
  <c r="H13" i="47"/>
  <c r="G16" i="47"/>
  <c r="H10" i="47"/>
  <c r="H11" i="47"/>
  <c r="M16" i="49"/>
  <c r="N20" i="49"/>
  <c r="A16" i="53" s="1"/>
  <c r="N19" i="49"/>
  <c r="A15" i="53" s="1"/>
  <c r="N15" i="49"/>
  <c r="H13" i="49"/>
  <c r="H14" i="49"/>
  <c r="H10" i="49"/>
  <c r="H11" i="49"/>
  <c r="G16" i="49"/>
  <c r="L3" i="52"/>
  <c r="D19" i="52"/>
  <c r="M5" i="52" s="1"/>
  <c r="D18" i="52"/>
  <c r="M6" i="52" s="1"/>
  <c r="D17" i="52"/>
  <c r="M7" i="52" s="1"/>
  <c r="D16" i="52"/>
  <c r="M8" i="52" s="1"/>
  <c r="D15" i="52"/>
  <c r="M9" i="52" s="1"/>
  <c r="D14" i="52"/>
  <c r="M10" i="52" s="1"/>
  <c r="D13" i="52"/>
  <c r="M11" i="52" s="1"/>
  <c r="D12" i="52"/>
  <c r="M12" i="52" s="1"/>
  <c r="D11" i="52"/>
  <c r="M13" i="52" s="1"/>
  <c r="D10" i="52"/>
  <c r="M14" i="52" s="1"/>
  <c r="D9" i="52"/>
  <c r="M15" i="52" s="1"/>
  <c r="D8" i="52"/>
  <c r="M16" i="52" s="1"/>
  <c r="D7" i="52"/>
  <c r="M17" i="52" s="1"/>
  <c r="D6" i="52"/>
  <c r="M18" i="52" s="1"/>
  <c r="D5" i="52"/>
  <c r="M19" i="52" s="1"/>
  <c r="F4" i="52"/>
  <c r="F5" i="52" s="1"/>
  <c r="F6" i="52" s="1"/>
  <c r="F7" i="52" s="1"/>
  <c r="F8" i="52" s="1"/>
  <c r="F9" i="52" s="1"/>
  <c r="F10" i="52" s="1"/>
  <c r="F11" i="52" s="1"/>
  <c r="F12" i="52" s="1"/>
  <c r="F13" i="52" s="1"/>
  <c r="F14" i="52" s="1"/>
  <c r="F15" i="52" s="1"/>
  <c r="F16" i="52" s="1"/>
  <c r="F17" i="52" s="1"/>
  <c r="F18" i="52" s="1"/>
  <c r="F19" i="52" s="1"/>
  <c r="E4" i="52"/>
  <c r="E5" i="52" s="1"/>
  <c r="E6" i="52" s="1"/>
  <c r="E7" i="52" s="1"/>
  <c r="E8" i="52" s="1"/>
  <c r="E9" i="52" s="1"/>
  <c r="E10" i="52" s="1"/>
  <c r="E11" i="52" s="1"/>
  <c r="E12" i="52" s="1"/>
  <c r="E13" i="52" s="1"/>
  <c r="E14" i="52" s="1"/>
  <c r="E15" i="52" s="1"/>
  <c r="E16" i="52" s="1"/>
  <c r="E17" i="52" s="1"/>
  <c r="E18" i="52" s="1"/>
  <c r="E19" i="52" s="1"/>
  <c r="D4" i="52"/>
  <c r="M4" i="52" s="1"/>
  <c r="N16" i="49" l="1"/>
  <c r="A12" i="53" s="1"/>
  <c r="AA38" i="48"/>
  <c r="AA34" i="48"/>
  <c r="AA46" i="48"/>
  <c r="AA41" i="48"/>
  <c r="AA53" i="48"/>
  <c r="AA43" i="48"/>
  <c r="AA37" i="48"/>
  <c r="AA49" i="48"/>
  <c r="AA44" i="48"/>
  <c r="AE52" i="48"/>
  <c r="AG52" i="48"/>
  <c r="AA50" i="48"/>
  <c r="AA40" i="48"/>
  <c r="AA35" i="48"/>
  <c r="AA47" i="48"/>
  <c r="H16" i="47"/>
  <c r="G19" i="47"/>
  <c r="H17" i="47"/>
  <c r="H17" i="49"/>
  <c r="H16" i="49"/>
  <c r="G19" i="49"/>
  <c r="M21" i="52"/>
  <c r="M24" i="52"/>
  <c r="M23" i="52"/>
  <c r="F3" i="51"/>
  <c r="G3" i="51"/>
  <c r="F4" i="51"/>
  <c r="G4" i="51"/>
  <c r="F5" i="51"/>
  <c r="G5" i="51"/>
  <c r="F6" i="51"/>
  <c r="G6" i="51"/>
  <c r="F7" i="51"/>
  <c r="G7" i="51"/>
  <c r="F8" i="51"/>
  <c r="G8" i="51"/>
  <c r="F9" i="51"/>
  <c r="G9" i="51"/>
  <c r="F10" i="51"/>
  <c r="G10" i="51"/>
  <c r="F11" i="51"/>
  <c r="G11" i="51"/>
  <c r="F12" i="51"/>
  <c r="G12" i="51"/>
  <c r="F13" i="51"/>
  <c r="G13" i="51"/>
  <c r="F14" i="51"/>
  <c r="G14" i="51"/>
  <c r="F15" i="51"/>
  <c r="G15" i="51"/>
  <c r="F16" i="51"/>
  <c r="G16" i="51"/>
  <c r="F17" i="51"/>
  <c r="G17" i="51"/>
  <c r="G2" i="51"/>
  <c r="F2" i="51"/>
  <c r="N46" i="24"/>
  <c r="N45" i="24"/>
  <c r="AS75" i="24"/>
  <c r="AS71" i="24"/>
  <c r="AS70" i="24"/>
  <c r="AS74" i="24" s="1"/>
  <c r="AS69" i="24"/>
  <c r="AS73" i="24" s="1"/>
  <c r="AK30" i="24"/>
  <c r="AQ24" i="24" s="1"/>
  <c r="G10" i="24"/>
  <c r="G13" i="24" s="1"/>
  <c r="H8" i="24"/>
  <c r="H7" i="24"/>
  <c r="AB46" i="48" l="1"/>
  <c r="AI46" i="48"/>
  <c r="AD46" i="48"/>
  <c r="AC46" i="48"/>
  <c r="AH46" i="48"/>
  <c r="AJ46" i="48"/>
  <c r="AF43" i="48"/>
  <c r="AE43" i="48"/>
  <c r="AG43" i="48"/>
  <c r="AE49" i="48"/>
  <c r="AF49" i="48"/>
  <c r="AG49" i="48"/>
  <c r="AC40" i="48"/>
  <c r="AI40" i="48"/>
  <c r="AJ40" i="48"/>
  <c r="AH40" i="48"/>
  <c r="AB40" i="48"/>
  <c r="AD40" i="48"/>
  <c r="AB34" i="48"/>
  <c r="AH34" i="48"/>
  <c r="AI34" i="48"/>
  <c r="AJ34" i="48"/>
  <c r="AC34" i="48"/>
  <c r="AD34" i="48"/>
  <c r="AC52" i="48"/>
  <c r="AJ52" i="48"/>
  <c r="AB52" i="48"/>
  <c r="AH52" i="48"/>
  <c r="AI52" i="48"/>
  <c r="AD52" i="48"/>
  <c r="AF46" i="48"/>
  <c r="AG46" i="48"/>
  <c r="AE46" i="48"/>
  <c r="AF40" i="48"/>
  <c r="AG40" i="48"/>
  <c r="AE40" i="48"/>
  <c r="AF34" i="48"/>
  <c r="AG34" i="48"/>
  <c r="AE34" i="48"/>
  <c r="AC49" i="48"/>
  <c r="AB49" i="48"/>
  <c r="AD49" i="48"/>
  <c r="AJ49" i="48"/>
  <c r="AI49" i="48"/>
  <c r="AH49" i="48"/>
  <c r="AD43" i="48"/>
  <c r="AC43" i="48"/>
  <c r="AI43" i="48"/>
  <c r="AB43" i="48"/>
  <c r="AJ43" i="48"/>
  <c r="AH43" i="48"/>
  <c r="AF37" i="48"/>
  <c r="AE37" i="48"/>
  <c r="AG37" i="48"/>
  <c r="AC37" i="48"/>
  <c r="AB37" i="48"/>
  <c r="AJ37" i="48"/>
  <c r="AI37" i="48"/>
  <c r="AH37" i="48"/>
  <c r="AD37" i="48"/>
  <c r="H20" i="47"/>
  <c r="G22" i="47"/>
  <c r="H19" i="47"/>
  <c r="H19" i="49"/>
  <c r="H20" i="49"/>
  <c r="G22" i="49"/>
  <c r="AA7" i="24"/>
  <c r="AA8" i="24"/>
  <c r="AD7" i="24" s="1"/>
  <c r="G16" i="24"/>
  <c r="H14" i="24"/>
  <c r="H13" i="24"/>
  <c r="H10" i="24"/>
  <c r="H11" i="24"/>
  <c r="O7" i="48"/>
  <c r="O8" i="48" s="1"/>
  <c r="O9" i="48" s="1"/>
  <c r="O10" i="48" s="1"/>
  <c r="O11" i="48" s="1"/>
  <c r="O12" i="48" s="1"/>
  <c r="O13" i="48" s="1"/>
  <c r="O14" i="48" s="1"/>
  <c r="O15" i="48" s="1"/>
  <c r="O16" i="48" s="1"/>
  <c r="O17" i="48" s="1"/>
  <c r="O18" i="48" s="1"/>
  <c r="O19" i="48" s="1"/>
  <c r="O20" i="48" s="1"/>
  <c r="O21" i="48" s="1"/>
  <c r="O22" i="48" s="1"/>
  <c r="N62" i="49"/>
  <c r="N61" i="49"/>
  <c r="N25" i="49"/>
  <c r="N24" i="49"/>
  <c r="N13" i="49"/>
  <c r="N12" i="49"/>
  <c r="N11" i="49"/>
  <c r="AA11" i="49"/>
  <c r="AA10" i="49"/>
  <c r="N8" i="49"/>
  <c r="H8" i="49"/>
  <c r="P7" i="49"/>
  <c r="O7" i="49"/>
  <c r="N7" i="49"/>
  <c r="H7" i="49"/>
  <c r="AA7" i="49" s="1"/>
  <c r="AE7" i="49" s="1"/>
  <c r="L6" i="49"/>
  <c r="AS71" i="48"/>
  <c r="AS75" i="48" s="1"/>
  <c r="AS70" i="48"/>
  <c r="AS74" i="48" s="1"/>
  <c r="AS69" i="48"/>
  <c r="AS73" i="48" s="1"/>
  <c r="AQ24" i="48"/>
  <c r="N15" i="48"/>
  <c r="N13" i="48"/>
  <c r="N12" i="48"/>
  <c r="N11" i="48"/>
  <c r="N9" i="48"/>
  <c r="N8" i="48"/>
  <c r="P7" i="48"/>
  <c r="P8" i="48" s="1"/>
  <c r="P9" i="48" s="1"/>
  <c r="P10" i="48" s="1"/>
  <c r="P11" i="48" s="1"/>
  <c r="P12" i="48" s="1"/>
  <c r="P13" i="48" s="1"/>
  <c r="P14" i="48" s="1"/>
  <c r="P15" i="48" s="1"/>
  <c r="P16" i="48" s="1"/>
  <c r="P17" i="48" s="1"/>
  <c r="P18" i="48" s="1"/>
  <c r="P19" i="48" s="1"/>
  <c r="P20" i="48" s="1"/>
  <c r="P21" i="48" s="1"/>
  <c r="P22" i="48" s="1"/>
  <c r="N7" i="48"/>
  <c r="H7" i="48"/>
  <c r="AA7" i="48" s="1"/>
  <c r="AE7" i="48" s="1"/>
  <c r="L6" i="48"/>
  <c r="AS71" i="47"/>
  <c r="AS75" i="47" s="1"/>
  <c r="AS70" i="47"/>
  <c r="AS74" i="47" s="1"/>
  <c r="AS69" i="47"/>
  <c r="AS73" i="47" s="1"/>
  <c r="AQ24" i="47"/>
  <c r="N25" i="47"/>
  <c r="N24" i="47"/>
  <c r="N15" i="47"/>
  <c r="A11" i="53" s="1"/>
  <c r="N14" i="47"/>
  <c r="N13" i="47"/>
  <c r="N12" i="47"/>
  <c r="N11" i="47"/>
  <c r="N10" i="47"/>
  <c r="N9" i="47"/>
  <c r="N8" i="47"/>
  <c r="P7" i="47"/>
  <c r="P8" i="47" s="1"/>
  <c r="P9" i="47" s="1"/>
  <c r="P10" i="47" s="1"/>
  <c r="P11" i="47" s="1"/>
  <c r="P12" i="47" s="1"/>
  <c r="P13" i="47" s="1"/>
  <c r="P14" i="47" s="1"/>
  <c r="P15" i="47" s="1"/>
  <c r="P16" i="47" s="1"/>
  <c r="P17" i="47" s="1"/>
  <c r="P18" i="47" s="1"/>
  <c r="P19" i="47" s="1"/>
  <c r="P20" i="47" s="1"/>
  <c r="P21" i="47" s="1"/>
  <c r="P22" i="47" s="1"/>
  <c r="O7" i="47"/>
  <c r="O8" i="47" s="1"/>
  <c r="O9" i="47" s="1"/>
  <c r="O10" i="47" s="1"/>
  <c r="O11" i="47" s="1"/>
  <c r="O12" i="47" s="1"/>
  <c r="O13" i="47" s="1"/>
  <c r="O14" i="47" s="1"/>
  <c r="O15" i="47" s="1"/>
  <c r="O16" i="47" s="1"/>
  <c r="O17" i="47" s="1"/>
  <c r="O18" i="47" s="1"/>
  <c r="O19" i="47" s="1"/>
  <c r="O20" i="47" s="1"/>
  <c r="O21" i="47" s="1"/>
  <c r="O22" i="47" s="1"/>
  <c r="N7" i="47"/>
  <c r="AA8" i="47"/>
  <c r="L6" i="47"/>
  <c r="A7" i="53" l="1"/>
  <c r="A9" i="53"/>
  <c r="D11" i="53"/>
  <c r="D15" i="53"/>
  <c r="D17" i="53"/>
  <c r="D12" i="53"/>
  <c r="D16" i="53"/>
  <c r="D14" i="53"/>
  <c r="D18" i="53"/>
  <c r="D9" i="53"/>
  <c r="D13" i="53"/>
  <c r="D3" i="53"/>
  <c r="D4" i="53"/>
  <c r="D8" i="53"/>
  <c r="D7" i="53"/>
  <c r="A4" i="53"/>
  <c r="A8" i="53"/>
  <c r="A3" i="53"/>
  <c r="H8" i="48"/>
  <c r="AA8" i="48" s="1"/>
  <c r="AC7" i="48" s="1"/>
  <c r="H10" i="48"/>
  <c r="AA10" i="48" s="1"/>
  <c r="N32" i="47"/>
  <c r="N31" i="47"/>
  <c r="N29" i="47"/>
  <c r="N27" i="47"/>
  <c r="G25" i="47"/>
  <c r="H22" i="47"/>
  <c r="H23" i="47"/>
  <c r="AA7" i="47"/>
  <c r="AI7" i="47" s="1"/>
  <c r="H22" i="49"/>
  <c r="G25" i="49"/>
  <c r="H23" i="49"/>
  <c r="P8" i="49"/>
  <c r="P9" i="49" s="1"/>
  <c r="P10" i="49" s="1"/>
  <c r="P11" i="49" s="1"/>
  <c r="P12" i="49" s="1"/>
  <c r="P14" i="49" s="1"/>
  <c r="P16" i="49" s="1"/>
  <c r="P18" i="49" s="1"/>
  <c r="P20" i="49" s="1"/>
  <c r="P22" i="49" s="1"/>
  <c r="O4" i="52"/>
  <c r="O8" i="49"/>
  <c r="O9" i="49" s="1"/>
  <c r="O10" i="49" s="1"/>
  <c r="O11" i="49" s="1"/>
  <c r="O12" i="49" s="1"/>
  <c r="O13" i="49" s="1"/>
  <c r="O15" i="49" s="1"/>
  <c r="O17" i="49" s="1"/>
  <c r="O19" i="49" s="1"/>
  <c r="O21" i="49" s="1"/>
  <c r="N4" i="52"/>
  <c r="AH7" i="24"/>
  <c r="AA13" i="24"/>
  <c r="AE7" i="24"/>
  <c r="AG7" i="24"/>
  <c r="AF7" i="24"/>
  <c r="AA14" i="24"/>
  <c r="AA10" i="24"/>
  <c r="AI7" i="24"/>
  <c r="AC7" i="24"/>
  <c r="AJ7" i="24"/>
  <c r="AB7" i="24"/>
  <c r="AA11" i="24"/>
  <c r="H16" i="24"/>
  <c r="G19" i="24"/>
  <c r="H17" i="24"/>
  <c r="N14" i="48"/>
  <c r="N10" i="48"/>
  <c r="AB7" i="47"/>
  <c r="AD7" i="47"/>
  <c r="AC7" i="47"/>
  <c r="AF7" i="49"/>
  <c r="AJ10" i="49"/>
  <c r="AB10" i="49"/>
  <c r="AI10" i="49"/>
  <c r="AG7" i="48"/>
  <c r="AG7" i="49"/>
  <c r="N10" i="49"/>
  <c r="A6" i="53" s="1"/>
  <c r="AD10" i="49"/>
  <c r="AA8" i="49"/>
  <c r="AF10" i="49"/>
  <c r="AE10" i="49"/>
  <c r="AH10" i="49"/>
  <c r="AF7" i="48"/>
  <c r="N9" i="49"/>
  <c r="A5" i="53" s="1"/>
  <c r="AC10" i="49"/>
  <c r="AG10" i="49"/>
  <c r="N14" i="49"/>
  <c r="A10" i="53" s="1"/>
  <c r="AC15" i="39"/>
  <c r="AC16" i="39" s="1"/>
  <c r="AD14" i="39"/>
  <c r="AD13" i="39"/>
  <c r="Z14" i="39"/>
  <c r="Z15" i="39"/>
  <c r="Z16" i="39"/>
  <c r="Z17" i="39"/>
  <c r="Z18" i="39"/>
  <c r="Z19" i="39"/>
  <c r="Z20" i="39"/>
  <c r="Z21" i="39"/>
  <c r="Z22" i="39"/>
  <c r="Z23" i="39"/>
  <c r="Z24" i="39"/>
  <c r="Z25" i="39"/>
  <c r="Z26" i="39"/>
  <c r="Z27" i="39"/>
  <c r="Z28" i="39"/>
  <c r="Z29" i="39"/>
  <c r="Z30" i="39"/>
  <c r="Z31" i="39"/>
  <c r="Z32" i="39"/>
  <c r="Z33" i="39"/>
  <c r="Z34" i="39"/>
  <c r="Z35" i="39"/>
  <c r="Z36" i="39"/>
  <c r="Z37" i="39"/>
  <c r="Z38" i="39"/>
  <c r="Z39" i="39"/>
  <c r="Z40" i="39"/>
  <c r="Z41" i="39"/>
  <c r="Z42" i="39"/>
  <c r="Z43" i="39"/>
  <c r="Z44" i="39"/>
  <c r="Z45" i="39"/>
  <c r="Z46" i="39"/>
  <c r="Z47" i="39"/>
  <c r="Z48" i="39"/>
  <c r="Z49" i="39"/>
  <c r="Z50" i="39"/>
  <c r="Z51" i="39"/>
  <c r="Z52" i="39"/>
  <c r="Z53" i="39"/>
  <c r="Z54" i="39"/>
  <c r="Z55" i="39"/>
  <c r="Z56" i="39"/>
  <c r="Z57" i="39"/>
  <c r="Z58" i="39"/>
  <c r="Z59" i="39"/>
  <c r="Z60" i="39"/>
  <c r="Z61" i="39"/>
  <c r="Z62" i="39"/>
  <c r="Z63" i="39"/>
  <c r="Z64" i="39"/>
  <c r="Z65" i="39"/>
  <c r="Z66" i="39"/>
  <c r="Z67" i="39"/>
  <c r="Z68" i="39"/>
  <c r="Z69" i="39"/>
  <c r="Z70" i="39"/>
  <c r="Z71" i="39"/>
  <c r="Z72" i="39"/>
  <c r="Z73" i="39"/>
  <c r="Z74" i="39"/>
  <c r="Z75" i="39"/>
  <c r="Z76" i="39"/>
  <c r="Z13" i="39"/>
  <c r="AA76" i="39"/>
  <c r="AA75" i="39"/>
  <c r="AA74" i="39"/>
  <c r="AA73" i="39"/>
  <c r="AA72" i="39"/>
  <c r="AA71" i="39"/>
  <c r="AA70" i="39"/>
  <c r="AA69" i="39"/>
  <c r="AA68" i="39"/>
  <c r="AA67" i="39"/>
  <c r="AA66" i="39"/>
  <c r="AA65" i="39"/>
  <c r="AA64" i="39"/>
  <c r="AA63" i="39"/>
  <c r="AA62" i="39"/>
  <c r="AA61" i="39"/>
  <c r="AA60" i="39"/>
  <c r="AA59" i="39"/>
  <c r="AA58" i="39"/>
  <c r="AA57" i="39"/>
  <c r="AA56" i="39"/>
  <c r="AA55" i="39"/>
  <c r="AA54" i="39"/>
  <c r="AA53" i="39"/>
  <c r="AA52" i="39"/>
  <c r="AA51" i="39"/>
  <c r="AA50" i="39"/>
  <c r="AA49" i="39"/>
  <c r="AA48" i="39"/>
  <c r="AA47" i="39"/>
  <c r="AA46" i="39"/>
  <c r="AA45" i="39"/>
  <c r="AA44" i="39"/>
  <c r="AA43" i="39"/>
  <c r="AA42" i="39"/>
  <c r="AA41" i="39"/>
  <c r="AA40" i="39"/>
  <c r="AA39" i="39"/>
  <c r="AA38" i="39"/>
  <c r="AA37" i="39"/>
  <c r="AA36" i="39"/>
  <c r="AA35" i="39"/>
  <c r="AA34" i="39"/>
  <c r="AA33" i="39"/>
  <c r="AA32" i="39"/>
  <c r="AA31" i="39"/>
  <c r="AA30" i="39"/>
  <c r="AA29" i="39"/>
  <c r="AA28" i="39"/>
  <c r="AA27" i="39"/>
  <c r="AA26" i="39"/>
  <c r="AA25" i="39"/>
  <c r="AA24" i="39"/>
  <c r="AA23" i="39"/>
  <c r="AA22" i="39"/>
  <c r="AA21" i="39"/>
  <c r="AA20" i="39"/>
  <c r="AA19" i="39"/>
  <c r="AA18" i="39"/>
  <c r="AA17" i="39"/>
  <c r="AA16" i="39"/>
  <c r="AA15" i="39"/>
  <c r="AA14" i="39"/>
  <c r="AA13" i="39"/>
  <c r="AE13" i="39" s="1"/>
  <c r="N32" i="49" l="1"/>
  <c r="N31" i="49"/>
  <c r="N29" i="49"/>
  <c r="N30" i="49" s="1"/>
  <c r="N27" i="49"/>
  <c r="N28" i="49" s="1"/>
  <c r="AE14" i="39"/>
  <c r="O14" i="49"/>
  <c r="O16" i="49" s="1"/>
  <c r="O18" i="49" s="1"/>
  <c r="O20" i="49" s="1"/>
  <c r="O22" i="49" s="1"/>
  <c r="B21" i="53"/>
  <c r="C21" i="53" s="1"/>
  <c r="B20" i="53"/>
  <c r="C20" i="53" s="1"/>
  <c r="AI7" i="48"/>
  <c r="AH7" i="47"/>
  <c r="H5" i="53"/>
  <c r="D10" i="53"/>
  <c r="D5" i="53"/>
  <c r="D6" i="53"/>
  <c r="AH7" i="48"/>
  <c r="N29" i="48"/>
  <c r="N30" i="48" s="1"/>
  <c r="N32" i="48"/>
  <c r="N31" i="48"/>
  <c r="N27" i="48"/>
  <c r="N28" i="48" s="1"/>
  <c r="AB7" i="48"/>
  <c r="AD7" i="48"/>
  <c r="AJ7" i="48"/>
  <c r="H14" i="48"/>
  <c r="H11" i="48"/>
  <c r="AA11" i="48" s="1"/>
  <c r="N33" i="47"/>
  <c r="AF7" i="47"/>
  <c r="AG7" i="47"/>
  <c r="AJ7" i="47"/>
  <c r="AE7" i="47"/>
  <c r="G28" i="47"/>
  <c r="H26" i="47"/>
  <c r="H25" i="47"/>
  <c r="AA11" i="47"/>
  <c r="AC10" i="47" s="1"/>
  <c r="P13" i="49"/>
  <c r="P15" i="49" s="1"/>
  <c r="P17" i="49" s="1"/>
  <c r="P19" i="49" s="1"/>
  <c r="P21" i="49" s="1"/>
  <c r="H25" i="49"/>
  <c r="G28" i="49"/>
  <c r="H26" i="49"/>
  <c r="N5" i="52"/>
  <c r="N6" i="52" s="1"/>
  <c r="N7" i="52" s="1"/>
  <c r="N8" i="52" s="1"/>
  <c r="N9" i="52" s="1"/>
  <c r="N24" i="52"/>
  <c r="O5" i="52"/>
  <c r="O6" i="52" s="1"/>
  <c r="O7" i="52" s="1"/>
  <c r="O8" i="52" s="1"/>
  <c r="O9" i="52" s="1"/>
  <c r="N23" i="52"/>
  <c r="AA17" i="24"/>
  <c r="AC10" i="24"/>
  <c r="AI10" i="24"/>
  <c r="AB10" i="24"/>
  <c r="AH10" i="24"/>
  <c r="AJ10" i="24"/>
  <c r="AD10" i="24"/>
  <c r="AD13" i="24"/>
  <c r="AC13" i="24"/>
  <c r="AB13" i="24"/>
  <c r="AH13" i="24"/>
  <c r="AI13" i="24"/>
  <c r="AJ13" i="24"/>
  <c r="AG13" i="24"/>
  <c r="AF13" i="24"/>
  <c r="AE13" i="24"/>
  <c r="AA16" i="24"/>
  <c r="AF10" i="24"/>
  <c r="AG10" i="24"/>
  <c r="AE10" i="24"/>
  <c r="H20" i="24"/>
  <c r="H19" i="24"/>
  <c r="G22" i="24"/>
  <c r="AI7" i="49"/>
  <c r="AH7" i="49"/>
  <c r="AD7" i="49"/>
  <c r="AJ7" i="49"/>
  <c r="AB7" i="49"/>
  <c r="AC7" i="49"/>
  <c r="AA14" i="49"/>
  <c r="AA13" i="49"/>
  <c r="AF10" i="48"/>
  <c r="AG10" i="48"/>
  <c r="AE10" i="48"/>
  <c r="AA10" i="47"/>
  <c r="N28" i="47"/>
  <c r="N30" i="47"/>
  <c r="AC17" i="39"/>
  <c r="AD16" i="39"/>
  <c r="AE16" i="39" s="1"/>
  <c r="AD15" i="39"/>
  <c r="AE15" i="39" s="1"/>
  <c r="G37" i="46"/>
  <c r="F37" i="46"/>
  <c r="G36" i="46"/>
  <c r="F36" i="46"/>
  <c r="G35" i="46"/>
  <c r="F35" i="46"/>
  <c r="G34" i="46"/>
  <c r="F34" i="46"/>
  <c r="G33" i="46"/>
  <c r="F33" i="46"/>
  <c r="G32" i="46"/>
  <c r="F32" i="46"/>
  <c r="G31" i="46"/>
  <c r="F31" i="46"/>
  <c r="G30" i="46"/>
  <c r="F30" i="46"/>
  <c r="G29" i="46"/>
  <c r="F29" i="46"/>
  <c r="G28" i="46"/>
  <c r="F28" i="46"/>
  <c r="G27" i="46"/>
  <c r="F27" i="46"/>
  <c r="G26" i="46"/>
  <c r="F26" i="46"/>
  <c r="G25" i="46"/>
  <c r="F25" i="46"/>
  <c r="G24" i="46"/>
  <c r="F24" i="46"/>
  <c r="G23" i="46"/>
  <c r="F23" i="46"/>
  <c r="G22" i="46"/>
  <c r="F22" i="46"/>
  <c r="G17" i="46"/>
  <c r="F17" i="46"/>
  <c r="G16" i="46"/>
  <c r="F16" i="46"/>
  <c r="G15" i="46"/>
  <c r="F15" i="46"/>
  <c r="G14" i="46"/>
  <c r="F14" i="46"/>
  <c r="G13" i="46"/>
  <c r="F13" i="46"/>
  <c r="G12" i="46"/>
  <c r="F12" i="46"/>
  <c r="G11" i="46"/>
  <c r="F11" i="46"/>
  <c r="G10" i="46"/>
  <c r="F10" i="46"/>
  <c r="G9" i="46"/>
  <c r="F9" i="46"/>
  <c r="G8" i="46"/>
  <c r="F8" i="46"/>
  <c r="G7" i="46"/>
  <c r="F7" i="46"/>
  <c r="G6" i="46"/>
  <c r="F6" i="46"/>
  <c r="G5" i="46"/>
  <c r="F5" i="46"/>
  <c r="G4" i="46"/>
  <c r="F4" i="46"/>
  <c r="G3" i="46"/>
  <c r="F3" i="46"/>
  <c r="G2" i="46"/>
  <c r="F2" i="46"/>
  <c r="N33" i="49" l="1"/>
  <c r="E23" i="53"/>
  <c r="F23" i="53" s="1"/>
  <c r="E22" i="53"/>
  <c r="F22" i="53" s="1"/>
  <c r="H7" i="53"/>
  <c r="H8" i="53" s="1"/>
  <c r="N33" i="48"/>
  <c r="H13" i="48"/>
  <c r="AA13" i="48" s="1"/>
  <c r="AD10" i="47"/>
  <c r="AI10" i="47"/>
  <c r="AB10" i="47"/>
  <c r="H28" i="47"/>
  <c r="G31" i="47"/>
  <c r="H29" i="47"/>
  <c r="AA13" i="47"/>
  <c r="AG13" i="47" s="1"/>
  <c r="AA14" i="47"/>
  <c r="H29" i="49"/>
  <c r="H28" i="49"/>
  <c r="G31" i="49"/>
  <c r="O11" i="52"/>
  <c r="O13" i="52" s="1"/>
  <c r="O15" i="52" s="1"/>
  <c r="O17" i="52" s="1"/>
  <c r="O19" i="52" s="1"/>
  <c r="O10" i="52"/>
  <c r="O12" i="52" s="1"/>
  <c r="O14" i="52" s="1"/>
  <c r="O16" i="52" s="1"/>
  <c r="O18" i="52" s="1"/>
  <c r="N11" i="52"/>
  <c r="N13" i="52" s="1"/>
  <c r="N15" i="52" s="1"/>
  <c r="N17" i="52" s="1"/>
  <c r="N19" i="52" s="1"/>
  <c r="N10" i="52"/>
  <c r="N12" i="52" s="1"/>
  <c r="N14" i="52" s="1"/>
  <c r="N16" i="52" s="1"/>
  <c r="N18" i="52" s="1"/>
  <c r="AA19" i="24"/>
  <c r="AE16" i="24"/>
  <c r="AF16" i="24"/>
  <c r="AG16" i="24"/>
  <c r="AA20" i="24"/>
  <c r="AB16" i="24"/>
  <c r="AC16" i="24"/>
  <c r="AJ16" i="24"/>
  <c r="AH16" i="24"/>
  <c r="AI16" i="24"/>
  <c r="AD16" i="24"/>
  <c r="G25" i="24"/>
  <c r="H23" i="24"/>
  <c r="H22" i="24"/>
  <c r="H16" i="48"/>
  <c r="H17" i="48"/>
  <c r="AA16" i="49"/>
  <c r="AG10" i="47"/>
  <c r="AE10" i="47"/>
  <c r="AF10" i="47"/>
  <c r="AC13" i="49"/>
  <c r="AJ13" i="49"/>
  <c r="AB13" i="49"/>
  <c r="AI13" i="49"/>
  <c r="AH13" i="49"/>
  <c r="AD13" i="49"/>
  <c r="AJ10" i="48"/>
  <c r="AB10" i="48"/>
  <c r="AH10" i="48"/>
  <c r="AC10" i="48"/>
  <c r="AI10" i="48"/>
  <c r="AD10" i="48"/>
  <c r="AJ10" i="47"/>
  <c r="AG13" i="49"/>
  <c r="AF13" i="49"/>
  <c r="AE13" i="49"/>
  <c r="AA17" i="49"/>
  <c r="AH10" i="47"/>
  <c r="AA14" i="48"/>
  <c r="AC18" i="39"/>
  <c r="AD17" i="39"/>
  <c r="AE17" i="39" s="1"/>
  <c r="I35" i="21"/>
  <c r="I36" i="21"/>
  <c r="J36" i="21" s="1"/>
  <c r="K36" i="21" s="1"/>
  <c r="AI13" i="47" l="1"/>
  <c r="AJ13" i="47"/>
  <c r="AD13" i="47"/>
  <c r="AE13" i="47"/>
  <c r="AC13" i="47"/>
  <c r="AB13" i="47"/>
  <c r="AF13" i="47"/>
  <c r="AH13" i="47"/>
  <c r="H32" i="47"/>
  <c r="H31" i="47"/>
  <c r="G34" i="47"/>
  <c r="AA17" i="47"/>
  <c r="AA16" i="47"/>
  <c r="H31" i="49"/>
  <c r="AA31" i="49" s="1"/>
  <c r="H32" i="49"/>
  <c r="AA32" i="49" s="1"/>
  <c r="G34" i="49"/>
  <c r="AA22" i="24"/>
  <c r="AA23" i="24"/>
  <c r="AI19" i="24"/>
  <c r="AC19" i="24"/>
  <c r="AJ19" i="24"/>
  <c r="AB19" i="24"/>
  <c r="AH19" i="24"/>
  <c r="AD19" i="24"/>
  <c r="AE19" i="24"/>
  <c r="AG19" i="24"/>
  <c r="AF19" i="24"/>
  <c r="G28" i="24"/>
  <c r="H26" i="24"/>
  <c r="H25" i="24"/>
  <c r="AG13" i="48"/>
  <c r="AF13" i="48"/>
  <c r="AE13" i="48"/>
  <c r="AA17" i="48"/>
  <c r="AA20" i="49"/>
  <c r="AC13" i="48"/>
  <c r="AJ13" i="48"/>
  <c r="AB13" i="48"/>
  <c r="AI13" i="48"/>
  <c r="AD13" i="48"/>
  <c r="AH13" i="48"/>
  <c r="AA16" i="48"/>
  <c r="AI16" i="49"/>
  <c r="AH16" i="49"/>
  <c r="AD16" i="49"/>
  <c r="AJ16" i="49"/>
  <c r="AC16" i="49"/>
  <c r="AB16" i="49"/>
  <c r="AA19" i="49"/>
  <c r="AE16" i="49"/>
  <c r="AF16" i="49"/>
  <c r="AG16" i="49"/>
  <c r="H20" i="48"/>
  <c r="H19" i="48"/>
  <c r="AC19" i="39"/>
  <c r="AD18" i="39"/>
  <c r="AE18" i="39" s="1"/>
  <c r="I37" i="21"/>
  <c r="J37" i="21" s="1"/>
  <c r="K37" i="21" s="1"/>
  <c r="I38" i="21"/>
  <c r="J38" i="21" s="1"/>
  <c r="K38" i="21" s="1"/>
  <c r="I39" i="21"/>
  <c r="J39" i="21" s="1"/>
  <c r="K39" i="21" s="1"/>
  <c r="I40" i="21"/>
  <c r="J40" i="21" s="1"/>
  <c r="K40" i="21" s="1"/>
  <c r="I41" i="21"/>
  <c r="J41" i="21" s="1"/>
  <c r="K41" i="21" s="1"/>
  <c r="I42" i="21"/>
  <c r="J42" i="21" s="1"/>
  <c r="K42" i="21" s="1"/>
  <c r="I43" i="21"/>
  <c r="J43" i="21" s="1"/>
  <c r="K43" i="21" s="1"/>
  <c r="K46" i="21"/>
  <c r="K45" i="21"/>
  <c r="M36" i="21"/>
  <c r="M37" i="21" s="1"/>
  <c r="M38" i="21" s="1"/>
  <c r="M39" i="21" s="1"/>
  <c r="M40" i="21" s="1"/>
  <c r="M41" i="21" s="1"/>
  <c r="M42" i="21" s="1"/>
  <c r="M43" i="21" s="1"/>
  <c r="L36" i="21"/>
  <c r="L37" i="21" s="1"/>
  <c r="L38" i="21" s="1"/>
  <c r="L39" i="21" s="1"/>
  <c r="L40" i="21" s="1"/>
  <c r="L41" i="21" s="1"/>
  <c r="L42" i="21" s="1"/>
  <c r="L43" i="21" s="1"/>
  <c r="G37" i="47" l="1"/>
  <c r="H34" i="47"/>
  <c r="AA34" i="47" s="1"/>
  <c r="H35" i="47"/>
  <c r="AA35" i="47" s="1"/>
  <c r="AF16" i="47"/>
  <c r="AE16" i="47"/>
  <c r="AG16" i="47"/>
  <c r="AA19" i="47"/>
  <c r="AA20" i="47"/>
  <c r="AI16" i="47"/>
  <c r="AH16" i="47"/>
  <c r="AJ16" i="47"/>
  <c r="AD16" i="47"/>
  <c r="AB16" i="47"/>
  <c r="AC16" i="47"/>
  <c r="AB31" i="49"/>
  <c r="AH31" i="49"/>
  <c r="AD31" i="49"/>
  <c r="AI31" i="49"/>
  <c r="AJ31" i="49"/>
  <c r="AC31" i="49"/>
  <c r="AF31" i="49"/>
  <c r="AE31" i="49"/>
  <c r="AG31" i="49"/>
  <c r="H34" i="49"/>
  <c r="AA34" i="49" s="1"/>
  <c r="G37" i="49"/>
  <c r="H35" i="49"/>
  <c r="AA35" i="49" s="1"/>
  <c r="AA26" i="24"/>
  <c r="AF22" i="24"/>
  <c r="AG22" i="24"/>
  <c r="AE22" i="24"/>
  <c r="AA25" i="24"/>
  <c r="AJ22" i="24"/>
  <c r="AC22" i="24"/>
  <c r="AD22" i="24"/>
  <c r="AH22" i="24"/>
  <c r="AI22" i="24"/>
  <c r="AB22" i="24"/>
  <c r="H28" i="24"/>
  <c r="H29" i="24"/>
  <c r="H23" i="48"/>
  <c r="H22" i="48"/>
  <c r="AA22" i="49"/>
  <c r="AC19" i="49"/>
  <c r="AJ19" i="49"/>
  <c r="AB19" i="49"/>
  <c r="AI19" i="49"/>
  <c r="AD19" i="49"/>
  <c r="AH19" i="49"/>
  <c r="AI16" i="48"/>
  <c r="AH16" i="48"/>
  <c r="AD16" i="48"/>
  <c r="AC16" i="48"/>
  <c r="AJ16" i="48"/>
  <c r="AB16" i="48"/>
  <c r="AG19" i="49"/>
  <c r="AF19" i="49"/>
  <c r="AE19" i="49"/>
  <c r="AA19" i="48"/>
  <c r="AE16" i="48"/>
  <c r="AF16" i="48"/>
  <c r="AG16" i="48"/>
  <c r="AA23" i="49"/>
  <c r="AA20" i="48"/>
  <c r="AC20" i="39"/>
  <c r="AD19" i="39"/>
  <c r="AE19" i="39" s="1"/>
  <c r="K56" i="21"/>
  <c r="K52" i="21"/>
  <c r="K53" i="21"/>
  <c r="AF34" i="47" l="1"/>
  <c r="AE34" i="47"/>
  <c r="AG34" i="47"/>
  <c r="AB34" i="47"/>
  <c r="AH34" i="47"/>
  <c r="AI34" i="47"/>
  <c r="AD34" i="47"/>
  <c r="AC34" i="47"/>
  <c r="AJ34" i="47"/>
  <c r="H37" i="47"/>
  <c r="AA37" i="47" s="1"/>
  <c r="G40" i="47"/>
  <c r="H38" i="47"/>
  <c r="AA38" i="47" s="1"/>
  <c r="AG19" i="47"/>
  <c r="AF19" i="47"/>
  <c r="AE19" i="47"/>
  <c r="AA22" i="47"/>
  <c r="AA23" i="47"/>
  <c r="AH19" i="47"/>
  <c r="AB19" i="47"/>
  <c r="AD19" i="47"/>
  <c r="AI19" i="47"/>
  <c r="AJ19" i="47"/>
  <c r="AC19" i="47"/>
  <c r="AC34" i="49"/>
  <c r="AB34" i="49"/>
  <c r="AI34" i="49"/>
  <c r="AD34" i="49"/>
  <c r="AJ34" i="49"/>
  <c r="AH34" i="49"/>
  <c r="AF34" i="49"/>
  <c r="AE34" i="49"/>
  <c r="AG34" i="49"/>
  <c r="H38" i="49"/>
  <c r="AA38" i="49" s="1"/>
  <c r="H37" i="49"/>
  <c r="AA37" i="49" s="1"/>
  <c r="G40" i="49"/>
  <c r="G43" i="49" s="1"/>
  <c r="AA28" i="24"/>
  <c r="AG25" i="24"/>
  <c r="AF25" i="24"/>
  <c r="AE25" i="24"/>
  <c r="AA29" i="24"/>
  <c r="AB25" i="24"/>
  <c r="AH25" i="24"/>
  <c r="AD25" i="24"/>
  <c r="AC25" i="24"/>
  <c r="AJ25" i="24"/>
  <c r="AI25" i="24"/>
  <c r="AA25" i="49"/>
  <c r="AC19" i="48"/>
  <c r="AJ19" i="48"/>
  <c r="AB19" i="48"/>
  <c r="AI19" i="48"/>
  <c r="AH19" i="48"/>
  <c r="AD19" i="48"/>
  <c r="AG19" i="48"/>
  <c r="AF19" i="48"/>
  <c r="AE19" i="48"/>
  <c r="H25" i="48"/>
  <c r="H26" i="48"/>
  <c r="AA23" i="48"/>
  <c r="AA26" i="49"/>
  <c r="AH22" i="49"/>
  <c r="AD22" i="49"/>
  <c r="AC22" i="49"/>
  <c r="AB22" i="49"/>
  <c r="AI22" i="49"/>
  <c r="AJ22" i="49"/>
  <c r="AG22" i="49"/>
  <c r="AF22" i="49"/>
  <c r="AE22" i="49"/>
  <c r="AA22" i="48"/>
  <c r="AC21" i="39"/>
  <c r="AD20" i="39"/>
  <c r="AE20" i="39" s="1"/>
  <c r="K48" i="21"/>
  <c r="K49" i="21" s="1"/>
  <c r="K57" i="21"/>
  <c r="K50" i="21"/>
  <c r="K51" i="21" s="1"/>
  <c r="K54" i="21"/>
  <c r="K2" i="45"/>
  <c r="K2" i="43"/>
  <c r="AC37" i="47" l="1"/>
  <c r="AB37" i="47"/>
  <c r="AI37" i="47"/>
  <c r="AD37" i="47"/>
  <c r="AJ37" i="47"/>
  <c r="AH37" i="47"/>
  <c r="AF37" i="47"/>
  <c r="AE37" i="47"/>
  <c r="AG37" i="47"/>
  <c r="H40" i="47"/>
  <c r="AA40" i="47" s="1"/>
  <c r="G43" i="47"/>
  <c r="H41" i="47"/>
  <c r="AA41" i="47" s="1"/>
  <c r="AF22" i="47"/>
  <c r="AE22" i="47"/>
  <c r="AG22" i="47"/>
  <c r="AA26" i="47"/>
  <c r="AA25" i="47"/>
  <c r="AB22" i="47"/>
  <c r="AI22" i="47"/>
  <c r="AJ22" i="47"/>
  <c r="AH22" i="47"/>
  <c r="AD22" i="47"/>
  <c r="AC22" i="47"/>
  <c r="H44" i="49"/>
  <c r="AA44" i="49" s="1"/>
  <c r="H43" i="49"/>
  <c r="AA43" i="49" s="1"/>
  <c r="G46" i="49"/>
  <c r="AG37" i="49"/>
  <c r="AF37" i="49"/>
  <c r="AE37" i="49"/>
  <c r="AC37" i="49"/>
  <c r="AB37" i="49"/>
  <c r="AJ37" i="49"/>
  <c r="AH37" i="49"/>
  <c r="AI37" i="49"/>
  <c r="AD37" i="49"/>
  <c r="H41" i="49"/>
  <c r="AA41" i="49" s="1"/>
  <c r="H40" i="49"/>
  <c r="AA40" i="49" s="1"/>
  <c r="AG28" i="24"/>
  <c r="AG30" i="24" s="1"/>
  <c r="AE28" i="24"/>
  <c r="AE30" i="24" s="1"/>
  <c r="AF28" i="24"/>
  <c r="AF30" i="24" s="1"/>
  <c r="AP23" i="24" s="1"/>
  <c r="AH28" i="24"/>
  <c r="AH30" i="24" s="1"/>
  <c r="AC28" i="24"/>
  <c r="AC30" i="24" s="1"/>
  <c r="AB28" i="24"/>
  <c r="AB30" i="24" s="1"/>
  <c r="AD28" i="24"/>
  <c r="AD30" i="24" s="1"/>
  <c r="AI28" i="24"/>
  <c r="AI30" i="24" s="1"/>
  <c r="AJ28" i="24"/>
  <c r="AJ30" i="24" s="1"/>
  <c r="AA26" i="48"/>
  <c r="AA28" i="49"/>
  <c r="AA25" i="48"/>
  <c r="AA29" i="49"/>
  <c r="AE25" i="49"/>
  <c r="AG25" i="49"/>
  <c r="AF25" i="49"/>
  <c r="H29" i="48"/>
  <c r="H28" i="48"/>
  <c r="AG22" i="48"/>
  <c r="AF22" i="48"/>
  <c r="AE22" i="48"/>
  <c r="AH22" i="48"/>
  <c r="AD22" i="48"/>
  <c r="AC22" i="48"/>
  <c r="AJ22" i="48"/>
  <c r="AI22" i="48"/>
  <c r="AB22" i="48"/>
  <c r="AI25" i="49"/>
  <c r="AH25" i="49"/>
  <c r="AD25" i="49"/>
  <c r="AC25" i="49"/>
  <c r="AJ25" i="49"/>
  <c r="AB25" i="49"/>
  <c r="AC22" i="39"/>
  <c r="AD21" i="39"/>
  <c r="AE21" i="39" s="1"/>
  <c r="J7" i="42"/>
  <c r="J7" i="44"/>
  <c r="L10" i="45"/>
  <c r="L9" i="45"/>
  <c r="L8" i="45"/>
  <c r="L7" i="45"/>
  <c r="L6" i="45"/>
  <c r="L5" i="45"/>
  <c r="L4" i="45"/>
  <c r="J4" i="45"/>
  <c r="J5" i="45" s="1"/>
  <c r="J6" i="45" s="1"/>
  <c r="J7" i="45" s="1"/>
  <c r="J8" i="45" s="1"/>
  <c r="J9" i="45" s="1"/>
  <c r="J10" i="45" s="1"/>
  <c r="L3" i="45"/>
  <c r="L69" i="44"/>
  <c r="L66" i="44"/>
  <c r="J35" i="44"/>
  <c r="M32" i="44"/>
  <c r="K24" i="44"/>
  <c r="K23" i="44"/>
  <c r="K22" i="44"/>
  <c r="K21" i="44"/>
  <c r="K20" i="44"/>
  <c r="K19" i="44"/>
  <c r="K18" i="44"/>
  <c r="K17" i="44"/>
  <c r="K16" i="44"/>
  <c r="K15" i="44"/>
  <c r="K14" i="44"/>
  <c r="K13" i="44"/>
  <c r="K12" i="44"/>
  <c r="K11" i="44"/>
  <c r="K10" i="44"/>
  <c r="K9" i="44"/>
  <c r="I9" i="44"/>
  <c r="I10" i="44" s="1"/>
  <c r="I11" i="44" s="1"/>
  <c r="I12" i="44" s="1"/>
  <c r="I13" i="44" s="1"/>
  <c r="I14" i="44" s="1"/>
  <c r="I15" i="44" s="1"/>
  <c r="I16" i="44" s="1"/>
  <c r="I17" i="44" s="1"/>
  <c r="I18" i="44" s="1"/>
  <c r="I19" i="44" s="1"/>
  <c r="I20" i="44" s="1"/>
  <c r="I21" i="44" s="1"/>
  <c r="I22" i="44" s="1"/>
  <c r="I23" i="44" s="1"/>
  <c r="I24" i="44" s="1"/>
  <c r="K8" i="44"/>
  <c r="L10" i="43"/>
  <c r="L9" i="43"/>
  <c r="L8" i="43"/>
  <c r="L7" i="43"/>
  <c r="L6" i="43"/>
  <c r="L5" i="43"/>
  <c r="L4" i="43"/>
  <c r="J4" i="43"/>
  <c r="J5" i="43" s="1"/>
  <c r="J6" i="43" s="1"/>
  <c r="J7" i="43" s="1"/>
  <c r="J8" i="43" s="1"/>
  <c r="J9" i="43" s="1"/>
  <c r="J10" i="43" s="1"/>
  <c r="L3" i="43"/>
  <c r="L64" i="42"/>
  <c r="L61" i="42"/>
  <c r="J35" i="42"/>
  <c r="Q35" i="42" s="1"/>
  <c r="K24" i="42"/>
  <c r="K23" i="42"/>
  <c r="K22" i="42"/>
  <c r="K21" i="42"/>
  <c r="K20" i="42"/>
  <c r="K19" i="42"/>
  <c r="K18" i="42"/>
  <c r="K17" i="42"/>
  <c r="K16" i="42"/>
  <c r="K15" i="42"/>
  <c r="K14" i="42"/>
  <c r="K13" i="42"/>
  <c r="K12" i="42"/>
  <c r="K11" i="42"/>
  <c r="K10" i="42"/>
  <c r="K9" i="42"/>
  <c r="I9" i="42"/>
  <c r="I10" i="42" s="1"/>
  <c r="I11" i="42" s="1"/>
  <c r="I12" i="42" s="1"/>
  <c r="I13" i="42" s="1"/>
  <c r="I14" i="42" s="1"/>
  <c r="I15" i="42" s="1"/>
  <c r="I16" i="42" s="1"/>
  <c r="I17" i="42" s="1"/>
  <c r="I18" i="42" s="1"/>
  <c r="I19" i="42" s="1"/>
  <c r="I20" i="42" s="1"/>
  <c r="I21" i="42" s="1"/>
  <c r="I22" i="42" s="1"/>
  <c r="I23" i="42" s="1"/>
  <c r="I24" i="42" s="1"/>
  <c r="K8" i="42"/>
  <c r="AG40" i="47" l="1"/>
  <c r="AF40" i="47"/>
  <c r="AE40" i="47"/>
  <c r="AC40" i="47"/>
  <c r="AB40" i="47"/>
  <c r="AJ40" i="47"/>
  <c r="AH40" i="47"/>
  <c r="AI40" i="47"/>
  <c r="AD40" i="47"/>
  <c r="H44" i="47"/>
  <c r="AA44" i="47" s="1"/>
  <c r="H43" i="47"/>
  <c r="AA43" i="47" s="1"/>
  <c r="G46" i="47"/>
  <c r="AA28" i="47"/>
  <c r="AA29" i="47"/>
  <c r="AE25" i="47"/>
  <c r="AF25" i="47"/>
  <c r="AG25" i="47"/>
  <c r="AB25" i="47"/>
  <c r="AC25" i="47"/>
  <c r="AD25" i="47"/>
  <c r="AI25" i="47"/>
  <c r="AJ25" i="47"/>
  <c r="AH25" i="47"/>
  <c r="H47" i="49"/>
  <c r="AA47" i="49" s="1"/>
  <c r="G49" i="49"/>
  <c r="H46" i="49"/>
  <c r="AA46" i="49" s="1"/>
  <c r="AE40" i="49"/>
  <c r="AF40" i="49"/>
  <c r="AG40" i="49"/>
  <c r="AF43" i="49"/>
  <c r="AE43" i="49"/>
  <c r="AG43" i="49"/>
  <c r="AD40" i="49"/>
  <c r="AJ40" i="49"/>
  <c r="AI40" i="49"/>
  <c r="AB40" i="49"/>
  <c r="AH40" i="49"/>
  <c r="AC40" i="49"/>
  <c r="AB43" i="49"/>
  <c r="AC43" i="49"/>
  <c r="AD43" i="49"/>
  <c r="AH43" i="49"/>
  <c r="AI43" i="49"/>
  <c r="AJ43" i="49"/>
  <c r="AS23" i="24"/>
  <c r="AS27" i="24" s="1"/>
  <c r="AS22" i="24"/>
  <c r="AS26" i="24" s="1"/>
  <c r="AO22" i="24"/>
  <c r="AS24" i="24"/>
  <c r="AS28" i="24" s="1"/>
  <c r="AO23" i="24"/>
  <c r="AP22" i="24"/>
  <c r="AO24" i="24"/>
  <c r="AQ22" i="24"/>
  <c r="AQ23" i="24"/>
  <c r="AP24" i="24"/>
  <c r="H31" i="48"/>
  <c r="H32" i="48"/>
  <c r="AI25" i="48"/>
  <c r="AH25" i="48"/>
  <c r="AD25" i="48"/>
  <c r="AJ25" i="48"/>
  <c r="AC25" i="48"/>
  <c r="AB25" i="48"/>
  <c r="AI28" i="49"/>
  <c r="AH28" i="49"/>
  <c r="AD28" i="49"/>
  <c r="AC28" i="49"/>
  <c r="AJ28" i="49"/>
  <c r="AB28" i="49"/>
  <c r="AE28" i="49"/>
  <c r="AG28" i="49"/>
  <c r="AF28" i="49"/>
  <c r="AA28" i="48"/>
  <c r="AA29" i="48"/>
  <c r="AE25" i="48"/>
  <c r="AG25" i="48"/>
  <c r="AF25" i="48"/>
  <c r="AC23" i="39"/>
  <c r="AD22" i="39"/>
  <c r="AE22" i="39" s="1"/>
  <c r="J36" i="44"/>
  <c r="K36" i="44" s="1"/>
  <c r="N36" i="44" s="1"/>
  <c r="L12" i="45"/>
  <c r="L68" i="44" s="1"/>
  <c r="L71" i="44" s="1"/>
  <c r="S59" i="44" s="1"/>
  <c r="K26" i="42"/>
  <c r="K27" i="44"/>
  <c r="J36" i="42"/>
  <c r="K35" i="42"/>
  <c r="K27" i="42"/>
  <c r="L12" i="43"/>
  <c r="L63" i="42" s="1"/>
  <c r="L66" i="42" s="1"/>
  <c r="S54" i="42" s="1"/>
  <c r="K26" i="44"/>
  <c r="K35" i="44"/>
  <c r="Q35" i="44"/>
  <c r="W58" i="36"/>
  <c r="W57" i="36"/>
  <c r="W2" i="36"/>
  <c r="W3" i="36"/>
  <c r="L41" i="39"/>
  <c r="I61" i="36"/>
  <c r="V61" i="36" s="1"/>
  <c r="I62" i="36"/>
  <c r="J62" i="36" s="1"/>
  <c r="K62" i="36" s="1"/>
  <c r="W62" i="36" s="1"/>
  <c r="L62" i="36"/>
  <c r="M62" i="36"/>
  <c r="AE43" i="47" l="1"/>
  <c r="AF43" i="47"/>
  <c r="AG43" i="47"/>
  <c r="AD43" i="47"/>
  <c r="AJ43" i="47"/>
  <c r="AC43" i="47"/>
  <c r="AI43" i="47"/>
  <c r="AB43" i="47"/>
  <c r="AH43" i="47"/>
  <c r="G49" i="47"/>
  <c r="H46" i="47"/>
  <c r="AA46" i="47" s="1"/>
  <c r="H47" i="47"/>
  <c r="AA47" i="47" s="1"/>
  <c r="AI28" i="47"/>
  <c r="AB28" i="47"/>
  <c r="AH28" i="47"/>
  <c r="AD28" i="47"/>
  <c r="AC28" i="47"/>
  <c r="AJ28" i="47"/>
  <c r="AE28" i="47"/>
  <c r="AF28" i="47"/>
  <c r="AG28" i="47"/>
  <c r="AA31" i="47"/>
  <c r="AA32" i="47"/>
  <c r="AE46" i="49"/>
  <c r="AG46" i="49"/>
  <c r="AF46" i="49"/>
  <c r="H49" i="49"/>
  <c r="AA49" i="49" s="1"/>
  <c r="H50" i="49"/>
  <c r="AA50" i="49" s="1"/>
  <c r="G52" i="49"/>
  <c r="AD46" i="49"/>
  <c r="AC46" i="49"/>
  <c r="AI46" i="49"/>
  <c r="AB46" i="49"/>
  <c r="AH46" i="49"/>
  <c r="AJ46" i="49"/>
  <c r="AP27" i="24"/>
  <c r="AQ26" i="24"/>
  <c r="AO28" i="24"/>
  <c r="AQ27" i="24"/>
  <c r="AP26" i="24"/>
  <c r="AO27" i="24"/>
  <c r="AQ28" i="24"/>
  <c r="AP28" i="24"/>
  <c r="AO26" i="24"/>
  <c r="AH28" i="48"/>
  <c r="AD28" i="48"/>
  <c r="AC28" i="48"/>
  <c r="AJ28" i="48"/>
  <c r="AB28" i="48"/>
  <c r="AI28" i="48"/>
  <c r="AG28" i="48"/>
  <c r="AF28" i="48"/>
  <c r="AE28" i="48"/>
  <c r="AA32" i="48"/>
  <c r="AA31" i="48"/>
  <c r="AC24" i="39"/>
  <c r="AD23" i="39"/>
  <c r="AE23" i="39" s="1"/>
  <c r="J37" i="44"/>
  <c r="K37" i="44" s="1"/>
  <c r="Y62" i="36"/>
  <c r="X79" i="36" s="1"/>
  <c r="K29" i="42"/>
  <c r="L29" i="42" s="1"/>
  <c r="Y7" i="36"/>
  <c r="Y8" i="36" s="1"/>
  <c r="Y9" i="36" s="1"/>
  <c r="Y10" i="36" s="1"/>
  <c r="Y11" i="36" s="1"/>
  <c r="Y12" i="36" s="1"/>
  <c r="Y13" i="36" s="1"/>
  <c r="Y14" i="36" s="1"/>
  <c r="Y15" i="36" s="1"/>
  <c r="Y16" i="36" s="1"/>
  <c r="Y17" i="36" s="1"/>
  <c r="Y18" i="36" s="1"/>
  <c r="Y19" i="36" s="1"/>
  <c r="Y20" i="36" s="1"/>
  <c r="Y21" i="36" s="1"/>
  <c r="Y22" i="36" s="1"/>
  <c r="X7" i="36"/>
  <c r="X25" i="36" s="1"/>
  <c r="Q36" i="44"/>
  <c r="K29" i="44"/>
  <c r="L29" i="44" s="1"/>
  <c r="L35" i="44"/>
  <c r="N35" i="44"/>
  <c r="M35" i="44"/>
  <c r="Q37" i="44"/>
  <c r="J38" i="44"/>
  <c r="Q36" i="42"/>
  <c r="K36" i="42"/>
  <c r="J37" i="42"/>
  <c r="M36" i="44"/>
  <c r="L36" i="44"/>
  <c r="L35" i="42"/>
  <c r="M35" i="42"/>
  <c r="N35" i="42"/>
  <c r="X62" i="36"/>
  <c r="M41" i="39"/>
  <c r="K65" i="39"/>
  <c r="K39" i="39"/>
  <c r="AF46" i="47" l="1"/>
  <c r="AE46" i="47"/>
  <c r="AG46" i="47"/>
  <c r="AB46" i="47"/>
  <c r="AI46" i="47"/>
  <c r="AH46" i="47"/>
  <c r="AD46" i="47"/>
  <c r="AJ46" i="47"/>
  <c r="AC46" i="47"/>
  <c r="H49" i="47"/>
  <c r="AA49" i="47" s="1"/>
  <c r="G52" i="47"/>
  <c r="H50" i="47"/>
  <c r="AA50" i="47" s="1"/>
  <c r="AC31" i="47"/>
  <c r="AH31" i="47"/>
  <c r="AB31" i="47"/>
  <c r="AD31" i="47"/>
  <c r="AJ31" i="47"/>
  <c r="AI31" i="47"/>
  <c r="AG31" i="47"/>
  <c r="AE31" i="47"/>
  <c r="AF31" i="47"/>
  <c r="AF49" i="49"/>
  <c r="AG49" i="49"/>
  <c r="AE49" i="49"/>
  <c r="H52" i="49"/>
  <c r="AA52" i="49" s="1"/>
  <c r="H53" i="49"/>
  <c r="AA53" i="49" s="1"/>
  <c r="AJ49" i="49"/>
  <c r="AH49" i="49"/>
  <c r="AC49" i="49"/>
  <c r="AD49" i="49"/>
  <c r="AB49" i="49"/>
  <c r="AI49" i="49"/>
  <c r="AO30" i="24"/>
  <c r="AO34" i="24" s="1"/>
  <c r="I17" i="24" s="1"/>
  <c r="AO32" i="24"/>
  <c r="AO31" i="24"/>
  <c r="AO35" i="24" s="1"/>
  <c r="AC31" i="48"/>
  <c r="AC54" i="48" s="1"/>
  <c r="AJ31" i="48"/>
  <c r="AJ54" i="48" s="1"/>
  <c r="AB31" i="48"/>
  <c r="AB54" i="48" s="1"/>
  <c r="AI31" i="48"/>
  <c r="AI54" i="48" s="1"/>
  <c r="AH31" i="48"/>
  <c r="AH54" i="48" s="1"/>
  <c r="AD31" i="48"/>
  <c r="AD54" i="48" s="1"/>
  <c r="AG31" i="48"/>
  <c r="AG54" i="48" s="1"/>
  <c r="AF31" i="48"/>
  <c r="AE31" i="48"/>
  <c r="AE54" i="48" s="1"/>
  <c r="AC25" i="39"/>
  <c r="AD24" i="39"/>
  <c r="AE24" i="39" s="1"/>
  <c r="Y63" i="36"/>
  <c r="Y64" i="36" s="1"/>
  <c r="Y65" i="36" s="1"/>
  <c r="Y66" i="36" s="1"/>
  <c r="Y67" i="36" s="1"/>
  <c r="Y68" i="36" s="1"/>
  <c r="Y69" i="36" s="1"/>
  <c r="Y70" i="36" s="1"/>
  <c r="Y71" i="36" s="1"/>
  <c r="Y72" i="36" s="1"/>
  <c r="Y73" i="36" s="1"/>
  <c r="Y74" i="36" s="1"/>
  <c r="Y75" i="36" s="1"/>
  <c r="Y76" i="36" s="1"/>
  <c r="Y77" i="36" s="1"/>
  <c r="X24" i="36"/>
  <c r="X8" i="36"/>
  <c r="X9" i="36" s="1"/>
  <c r="X10" i="36" s="1"/>
  <c r="X11" i="36" s="1"/>
  <c r="X12" i="36" s="1"/>
  <c r="X13" i="36" s="1"/>
  <c r="X14" i="36" s="1"/>
  <c r="X15" i="36" s="1"/>
  <c r="X16" i="36" s="1"/>
  <c r="X17" i="36" s="1"/>
  <c r="X18" i="36" s="1"/>
  <c r="X19" i="36" s="1"/>
  <c r="X20" i="36" s="1"/>
  <c r="X21" i="36" s="1"/>
  <c r="X22" i="36" s="1"/>
  <c r="O35" i="42"/>
  <c r="O36" i="44"/>
  <c r="M36" i="42"/>
  <c r="L36" i="42"/>
  <c r="Q38" i="44"/>
  <c r="K38" i="44"/>
  <c r="N38" i="44"/>
  <c r="J39" i="44"/>
  <c r="O35" i="44"/>
  <c r="N36" i="42"/>
  <c r="M37" i="44"/>
  <c r="L37" i="44"/>
  <c r="J38" i="42"/>
  <c r="K37" i="42"/>
  <c r="Q37" i="42"/>
  <c r="N37" i="44"/>
  <c r="X80" i="36"/>
  <c r="X63" i="36"/>
  <c r="X64" i="36" s="1"/>
  <c r="X65" i="36" s="1"/>
  <c r="X66" i="36" s="1"/>
  <c r="X67" i="36" s="1"/>
  <c r="X68" i="36" s="1"/>
  <c r="X69" i="36" s="1"/>
  <c r="X70" i="36" s="1"/>
  <c r="X71" i="36" s="1"/>
  <c r="X72" i="36" s="1"/>
  <c r="X73" i="36" s="1"/>
  <c r="X74" i="36" s="1"/>
  <c r="X75" i="36" s="1"/>
  <c r="X76" i="36" s="1"/>
  <c r="X77" i="36" s="1"/>
  <c r="H59" i="39"/>
  <c r="H58" i="39"/>
  <c r="H57" i="39"/>
  <c r="H56" i="39"/>
  <c r="H55" i="39"/>
  <c r="H54" i="39"/>
  <c r="H53" i="39"/>
  <c r="H52" i="39"/>
  <c r="H51" i="39"/>
  <c r="H50" i="39"/>
  <c r="H49" i="39"/>
  <c r="H48" i="39"/>
  <c r="H47" i="39"/>
  <c r="H46" i="39"/>
  <c r="H45" i="39"/>
  <c r="H44" i="39"/>
  <c r="L59" i="39"/>
  <c r="I11" i="24" l="1"/>
  <c r="I14" i="24"/>
  <c r="I23" i="24"/>
  <c r="I26" i="24"/>
  <c r="I20" i="24"/>
  <c r="I8" i="24"/>
  <c r="I29" i="24"/>
  <c r="AC49" i="47"/>
  <c r="AB49" i="47"/>
  <c r="AI49" i="47"/>
  <c r="AH49" i="47"/>
  <c r="AJ49" i="47"/>
  <c r="AD49" i="47"/>
  <c r="AF54" i="48"/>
  <c r="AS24" i="48" s="1"/>
  <c r="AS28" i="48" s="1"/>
  <c r="AF49" i="47"/>
  <c r="AE49" i="47"/>
  <c r="AG49" i="47"/>
  <c r="H53" i="47"/>
  <c r="AA53" i="47" s="1"/>
  <c r="H52" i="47"/>
  <c r="AA52" i="47" s="1"/>
  <c r="AF52" i="49"/>
  <c r="AF54" i="49" s="1"/>
  <c r="AP23" i="49" s="1"/>
  <c r="AG52" i="49"/>
  <c r="AG54" i="49" s="1"/>
  <c r="AE52" i="49"/>
  <c r="AE54" i="49" s="1"/>
  <c r="AJ52" i="49"/>
  <c r="AJ54" i="49" s="1"/>
  <c r="AB52" i="49"/>
  <c r="AB54" i="49" s="1"/>
  <c r="AD52" i="49"/>
  <c r="AD54" i="49" s="1"/>
  <c r="AH52" i="49"/>
  <c r="AH54" i="49" s="1"/>
  <c r="AI52" i="49"/>
  <c r="AI54" i="49" s="1"/>
  <c r="AC52" i="49"/>
  <c r="AC54" i="49" s="1"/>
  <c r="AO36" i="24"/>
  <c r="AO37" i="24" s="1"/>
  <c r="I7" i="24"/>
  <c r="I13" i="24"/>
  <c r="I10" i="24"/>
  <c r="I16" i="24"/>
  <c r="I19" i="24"/>
  <c r="I22" i="24"/>
  <c r="I25" i="24"/>
  <c r="I28" i="24"/>
  <c r="AO24" i="48"/>
  <c r="AQ22" i="48"/>
  <c r="AS23" i="48"/>
  <c r="AS27" i="48" s="1"/>
  <c r="AO22" i="48"/>
  <c r="AP22" i="48"/>
  <c r="AO23" i="48"/>
  <c r="AQ23" i="48"/>
  <c r="AP24" i="48"/>
  <c r="AS22" i="48"/>
  <c r="AS26" i="48" s="1"/>
  <c r="AC26" i="39"/>
  <c r="AD25" i="39"/>
  <c r="AE25" i="39" s="1"/>
  <c r="L37" i="42"/>
  <c r="M37" i="42"/>
  <c r="J39" i="42"/>
  <c r="Q38" i="42"/>
  <c r="K38" i="42"/>
  <c r="M38" i="44"/>
  <c r="L38" i="44"/>
  <c r="N37" i="42"/>
  <c r="O37" i="44"/>
  <c r="P36" i="44" s="1"/>
  <c r="P35" i="44"/>
  <c r="Q39" i="44"/>
  <c r="K39" i="44"/>
  <c r="N39" i="44" s="1"/>
  <c r="J40" i="44"/>
  <c r="O36" i="42"/>
  <c r="P35" i="42" s="1"/>
  <c r="L44" i="39"/>
  <c r="K62" i="39" s="1"/>
  <c r="L46" i="39"/>
  <c r="L48" i="39"/>
  <c r="L50" i="39"/>
  <c r="L52" i="39"/>
  <c r="L54" i="39"/>
  <c r="L56" i="39"/>
  <c r="L57" i="39"/>
  <c r="L58" i="39"/>
  <c r="M44" i="39"/>
  <c r="K61" i="39" s="1"/>
  <c r="M45" i="39"/>
  <c r="M46" i="39"/>
  <c r="M47" i="39"/>
  <c r="M48" i="39"/>
  <c r="M49" i="39"/>
  <c r="M50" i="39"/>
  <c r="M51" i="39"/>
  <c r="M52" i="39"/>
  <c r="M53" i="39"/>
  <c r="M54" i="39"/>
  <c r="M55" i="39"/>
  <c r="M56" i="39"/>
  <c r="M57" i="39"/>
  <c r="M58" i="39"/>
  <c r="M59" i="39"/>
  <c r="L45" i="39"/>
  <c r="L47" i="39"/>
  <c r="L49" i="39"/>
  <c r="L51" i="39"/>
  <c r="L53" i="39"/>
  <c r="L55" i="39"/>
  <c r="AS23" i="49" l="1"/>
  <c r="AS27" i="49" s="1"/>
  <c r="AP23" i="48"/>
  <c r="AO28" i="48" s="1"/>
  <c r="AG52" i="47"/>
  <c r="AG54" i="47" s="1"/>
  <c r="AE52" i="47"/>
  <c r="AE54" i="47" s="1"/>
  <c r="AF52" i="47"/>
  <c r="AF54" i="47" s="1"/>
  <c r="AP23" i="47" s="1"/>
  <c r="AC52" i="47"/>
  <c r="AC54" i="47" s="1"/>
  <c r="AB52" i="47"/>
  <c r="AB54" i="47" s="1"/>
  <c r="AJ52" i="47"/>
  <c r="AJ54" i="47" s="1"/>
  <c r="AD52" i="47"/>
  <c r="AD54" i="47" s="1"/>
  <c r="AI52" i="47"/>
  <c r="AI54" i="47" s="1"/>
  <c r="AH52" i="47"/>
  <c r="AH54" i="47" s="1"/>
  <c r="AO23" i="49"/>
  <c r="AP22" i="49"/>
  <c r="AO24" i="49"/>
  <c r="AQ22" i="49"/>
  <c r="AP24" i="49"/>
  <c r="AQ23" i="49"/>
  <c r="AS24" i="49"/>
  <c r="AS28" i="49" s="1"/>
  <c r="AO22" i="49"/>
  <c r="AS22" i="49"/>
  <c r="AS26" i="49" s="1"/>
  <c r="AD26" i="39"/>
  <c r="AE26" i="39" s="1"/>
  <c r="AC27" i="39"/>
  <c r="O38" i="44"/>
  <c r="P37" i="44" s="1"/>
  <c r="M38" i="42"/>
  <c r="L38" i="42"/>
  <c r="O37" i="42"/>
  <c r="P36" i="42" s="1"/>
  <c r="Q40" i="44"/>
  <c r="K40" i="44"/>
  <c r="N40" i="44" s="1"/>
  <c r="J41" i="44"/>
  <c r="N38" i="42"/>
  <c r="M39" i="44"/>
  <c r="L39" i="44"/>
  <c r="J40" i="42"/>
  <c r="Q39" i="42"/>
  <c r="K39" i="42"/>
  <c r="AO26" i="48" l="1"/>
  <c r="AP26" i="48"/>
  <c r="AQ26" i="48"/>
  <c r="AQ27" i="48"/>
  <c r="AP28" i="48"/>
  <c r="AQ28" i="48"/>
  <c r="AP27" i="48"/>
  <c r="AO27" i="48"/>
  <c r="AQ22" i="47"/>
  <c r="AO24" i="47"/>
  <c r="AS23" i="47"/>
  <c r="AS27" i="47" s="1"/>
  <c r="AS22" i="47"/>
  <c r="AS26" i="47" s="1"/>
  <c r="AP24" i="47"/>
  <c r="AQ23" i="47"/>
  <c r="AO23" i="47"/>
  <c r="AP22" i="47"/>
  <c r="AO22" i="47"/>
  <c r="AS24" i="47"/>
  <c r="AS28" i="47" s="1"/>
  <c r="AQ26" i="49"/>
  <c r="AO26" i="49"/>
  <c r="AQ28" i="49"/>
  <c r="AP26" i="49"/>
  <c r="AO27" i="49"/>
  <c r="AP28" i="49"/>
  <c r="AO28" i="49"/>
  <c r="AQ27" i="49"/>
  <c r="AP27" i="49"/>
  <c r="AC28" i="39"/>
  <c r="AD27" i="39"/>
  <c r="AE27" i="39" s="1"/>
  <c r="O39" i="44"/>
  <c r="P38" i="44" s="1"/>
  <c r="J41" i="42"/>
  <c r="Q40" i="42"/>
  <c r="K40" i="42"/>
  <c r="N40" i="42" s="1"/>
  <c r="M39" i="42"/>
  <c r="L39" i="42"/>
  <c r="Q41" i="44"/>
  <c r="K41" i="44"/>
  <c r="J42" i="44"/>
  <c r="N39" i="42"/>
  <c r="M40" i="44"/>
  <c r="L40" i="44"/>
  <c r="O38" i="42"/>
  <c r="P37" i="42" s="1"/>
  <c r="AO31" i="48" l="1"/>
  <c r="AO35" i="48" s="1"/>
  <c r="I52" i="48" s="1"/>
  <c r="AO30" i="48"/>
  <c r="AO34" i="48" s="1"/>
  <c r="I53" i="48" s="1"/>
  <c r="AO32" i="48"/>
  <c r="AO32" i="49"/>
  <c r="AQ28" i="47"/>
  <c r="AP26" i="47"/>
  <c r="AQ27" i="47"/>
  <c r="AP27" i="47"/>
  <c r="AQ26" i="47"/>
  <c r="AP28" i="47"/>
  <c r="AO27" i="47"/>
  <c r="AO28" i="47"/>
  <c r="AO26" i="47"/>
  <c r="I14" i="48"/>
  <c r="AO30" i="49"/>
  <c r="AO34" i="49" s="1"/>
  <c r="AO31" i="49"/>
  <c r="AO35" i="49" s="1"/>
  <c r="AC29" i="39"/>
  <c r="AD28" i="39"/>
  <c r="AE28" i="39" s="1"/>
  <c r="O40" i="44"/>
  <c r="P39" i="44" s="1"/>
  <c r="Q42" i="44"/>
  <c r="K42" i="44"/>
  <c r="N42" i="44" s="1"/>
  <c r="J43" i="44"/>
  <c r="O39" i="42"/>
  <c r="P38" i="42" s="1"/>
  <c r="J42" i="42"/>
  <c r="Q41" i="42"/>
  <c r="K41" i="42"/>
  <c r="N41" i="42" s="1"/>
  <c r="M41" i="44"/>
  <c r="L41" i="44"/>
  <c r="N41" i="44"/>
  <c r="M40" i="42"/>
  <c r="L40" i="42"/>
  <c r="I49" i="48" l="1"/>
  <c r="I31" i="48"/>
  <c r="I22" i="48"/>
  <c r="I46" i="48"/>
  <c r="I13" i="48"/>
  <c r="N46" i="48" s="1"/>
  <c r="I26" i="48"/>
  <c r="I17" i="48"/>
  <c r="I7" i="48"/>
  <c r="I43" i="48"/>
  <c r="I44" i="48"/>
  <c r="I20" i="48"/>
  <c r="I32" i="48"/>
  <c r="I35" i="48"/>
  <c r="I25" i="48"/>
  <c r="I19" i="48"/>
  <c r="I10" i="48"/>
  <c r="I40" i="48"/>
  <c r="I37" i="48"/>
  <c r="I16" i="48"/>
  <c r="I28" i="48"/>
  <c r="I34" i="48"/>
  <c r="N53" i="48" s="1"/>
  <c r="I23" i="48"/>
  <c r="AO36" i="48"/>
  <c r="AO37" i="48" s="1"/>
  <c r="I11" i="48"/>
  <c r="N45" i="48" s="1"/>
  <c r="I41" i="48"/>
  <c r="N55" i="48" s="1"/>
  <c r="I29" i="48"/>
  <c r="I8" i="48"/>
  <c r="I47" i="48"/>
  <c r="N57" i="48" s="1"/>
  <c r="I38" i="48"/>
  <c r="I50" i="48"/>
  <c r="AO30" i="47"/>
  <c r="AO34" i="47" s="1"/>
  <c r="I41" i="47" s="1"/>
  <c r="AO32" i="47"/>
  <c r="AO31" i="47"/>
  <c r="AO35" i="47" s="1"/>
  <c r="N59" i="48"/>
  <c r="I52" i="49"/>
  <c r="I16" i="49"/>
  <c r="I28" i="49"/>
  <c r="I40" i="49"/>
  <c r="I13" i="49"/>
  <c r="I43" i="49"/>
  <c r="I19" i="49"/>
  <c r="I31" i="49"/>
  <c r="I7" i="49"/>
  <c r="I46" i="49"/>
  <c r="I22" i="49"/>
  <c r="I34" i="49"/>
  <c r="I10" i="49"/>
  <c r="I49" i="49"/>
  <c r="I25" i="49"/>
  <c r="I37" i="49"/>
  <c r="I53" i="49"/>
  <c r="I23" i="49"/>
  <c r="I35" i="49"/>
  <c r="I8" i="49"/>
  <c r="AO36" i="49"/>
  <c r="AO37" i="49" s="1"/>
  <c r="I44" i="49"/>
  <c r="I14" i="49"/>
  <c r="I26" i="49"/>
  <c r="I38" i="49"/>
  <c r="I11" i="49"/>
  <c r="I47" i="49"/>
  <c r="I17" i="49"/>
  <c r="I29" i="49"/>
  <c r="I41" i="49"/>
  <c r="I50" i="49"/>
  <c r="I20" i="49"/>
  <c r="I32" i="49"/>
  <c r="AC30" i="39"/>
  <c r="AD29" i="39"/>
  <c r="AE29" i="39" s="1"/>
  <c r="O41" i="44"/>
  <c r="P40" i="44" s="1"/>
  <c r="O40" i="42"/>
  <c r="P39" i="42" s="1"/>
  <c r="Q43" i="44"/>
  <c r="K43" i="44"/>
  <c r="J44" i="44"/>
  <c r="J43" i="42"/>
  <c r="Q42" i="42"/>
  <c r="K42" i="42"/>
  <c r="N42" i="42" s="1"/>
  <c r="M42" i="44"/>
  <c r="L42" i="44"/>
  <c r="M41" i="42"/>
  <c r="L41" i="42"/>
  <c r="N47" i="48" l="1"/>
  <c r="N50" i="48"/>
  <c r="N48" i="48"/>
  <c r="N58" i="48"/>
  <c r="N56" i="48"/>
  <c r="N52" i="48"/>
  <c r="N49" i="48"/>
  <c r="N51" i="48"/>
  <c r="N44" i="48"/>
  <c r="N54" i="48"/>
  <c r="I53" i="47"/>
  <c r="I20" i="47"/>
  <c r="I23" i="47"/>
  <c r="I35" i="47"/>
  <c r="I38" i="47"/>
  <c r="I29" i="47"/>
  <c r="I44" i="47"/>
  <c r="I8" i="47"/>
  <c r="I11" i="47"/>
  <c r="I14" i="47"/>
  <c r="I17" i="47"/>
  <c r="I32" i="47"/>
  <c r="I47" i="47"/>
  <c r="I50" i="47"/>
  <c r="I26" i="47"/>
  <c r="N57" i="49"/>
  <c r="N44" i="49"/>
  <c r="N54" i="49"/>
  <c r="N55" i="49"/>
  <c r="N56" i="49"/>
  <c r="N53" i="49"/>
  <c r="N47" i="49"/>
  <c r="N46" i="49"/>
  <c r="N59" i="49"/>
  <c r="N58" i="49"/>
  <c r="I43" i="47"/>
  <c r="I25" i="47"/>
  <c r="I13" i="47"/>
  <c r="I16" i="47"/>
  <c r="I34" i="47"/>
  <c r="I46" i="47"/>
  <c r="I7" i="47"/>
  <c r="I22" i="47"/>
  <c r="AO36" i="47"/>
  <c r="AO37" i="47" s="1"/>
  <c r="I10" i="47"/>
  <c r="I28" i="47"/>
  <c r="I37" i="47"/>
  <c r="I49" i="47"/>
  <c r="I19" i="47"/>
  <c r="I40" i="47"/>
  <c r="I52" i="47"/>
  <c r="I31" i="47"/>
  <c r="N50" i="49"/>
  <c r="N51" i="49"/>
  <c r="N52" i="49"/>
  <c r="N49" i="49"/>
  <c r="N48" i="49"/>
  <c r="N45" i="49"/>
  <c r="AC31" i="39"/>
  <c r="AD30" i="39"/>
  <c r="AE30" i="39" s="1"/>
  <c r="M43" i="44"/>
  <c r="L43" i="44"/>
  <c r="O42" i="44"/>
  <c r="P41" i="44" s="1"/>
  <c r="N43" i="44"/>
  <c r="J44" i="42"/>
  <c r="Q43" i="42"/>
  <c r="K43" i="42"/>
  <c r="N43" i="42" s="1"/>
  <c r="O41" i="42"/>
  <c r="P40" i="42" s="1"/>
  <c r="M42" i="42"/>
  <c r="L42" i="42"/>
  <c r="Q44" i="44"/>
  <c r="K44" i="44"/>
  <c r="N44" i="44" s="1"/>
  <c r="J45" i="44"/>
  <c r="I22" i="39"/>
  <c r="J22" i="39" s="1"/>
  <c r="I21" i="39"/>
  <c r="J21" i="39" s="1"/>
  <c r="I20" i="39"/>
  <c r="J20" i="39" s="1"/>
  <c r="I19" i="39"/>
  <c r="J19" i="39" s="1"/>
  <c r="I18" i="39"/>
  <c r="J18" i="39" s="1"/>
  <c r="I17" i="39"/>
  <c r="J17" i="39" s="1"/>
  <c r="I16" i="39"/>
  <c r="J16" i="39" s="1"/>
  <c r="I15" i="39"/>
  <c r="J15" i="39" s="1"/>
  <c r="I14" i="39"/>
  <c r="J14" i="39" s="1"/>
  <c r="I13" i="39"/>
  <c r="J13" i="39" s="1"/>
  <c r="I12" i="39"/>
  <c r="J12" i="39" s="1"/>
  <c r="I11" i="39"/>
  <c r="J11" i="39" s="1"/>
  <c r="I10" i="39"/>
  <c r="J10" i="39" s="1"/>
  <c r="I9" i="39"/>
  <c r="J9" i="39" s="1"/>
  <c r="I8" i="39"/>
  <c r="J8" i="39" s="1"/>
  <c r="M7" i="39"/>
  <c r="L7" i="39"/>
  <c r="I7" i="39"/>
  <c r="J7" i="39" s="1"/>
  <c r="I6" i="39"/>
  <c r="I43" i="39" s="1"/>
  <c r="K25" i="38"/>
  <c r="K24" i="38"/>
  <c r="I22" i="38"/>
  <c r="J22" i="38" s="1"/>
  <c r="K22" i="38" s="1"/>
  <c r="I21" i="38"/>
  <c r="J21" i="38" s="1"/>
  <c r="K21" i="38" s="1"/>
  <c r="I20" i="38"/>
  <c r="J20" i="38" s="1"/>
  <c r="K20" i="38" s="1"/>
  <c r="I19" i="38"/>
  <c r="J19" i="38" s="1"/>
  <c r="K19" i="38" s="1"/>
  <c r="I18" i="38"/>
  <c r="J18" i="38" s="1"/>
  <c r="K18" i="38" s="1"/>
  <c r="I17" i="38"/>
  <c r="J17" i="38" s="1"/>
  <c r="K17" i="38" s="1"/>
  <c r="I16" i="38"/>
  <c r="J16" i="38" s="1"/>
  <c r="K16" i="38" s="1"/>
  <c r="I15" i="38"/>
  <c r="J15" i="38" s="1"/>
  <c r="K15" i="38" s="1"/>
  <c r="I14" i="38"/>
  <c r="J14" i="38" s="1"/>
  <c r="K14" i="38" s="1"/>
  <c r="I13" i="38"/>
  <c r="J13" i="38" s="1"/>
  <c r="K13" i="38" s="1"/>
  <c r="I12" i="38"/>
  <c r="J12" i="38" s="1"/>
  <c r="K12" i="38" s="1"/>
  <c r="I11" i="38"/>
  <c r="J11" i="38" s="1"/>
  <c r="K11" i="38" s="1"/>
  <c r="I10" i="38"/>
  <c r="J10" i="38" s="1"/>
  <c r="K10" i="38" s="1"/>
  <c r="I9" i="38"/>
  <c r="J9" i="38" s="1"/>
  <c r="K9" i="38" s="1"/>
  <c r="I8" i="38"/>
  <c r="J8" i="38" s="1"/>
  <c r="K8" i="38" s="1"/>
  <c r="M7" i="38"/>
  <c r="L7" i="38"/>
  <c r="I7" i="38"/>
  <c r="J7" i="38" s="1"/>
  <c r="K7" i="38" s="1"/>
  <c r="I6" i="38"/>
  <c r="K25" i="37"/>
  <c r="K24" i="37"/>
  <c r="I22" i="37"/>
  <c r="J22" i="37" s="1"/>
  <c r="K22" i="37" s="1"/>
  <c r="I21" i="37"/>
  <c r="J21" i="37" s="1"/>
  <c r="K21" i="37" s="1"/>
  <c r="I20" i="37"/>
  <c r="J20" i="37" s="1"/>
  <c r="K20" i="37" s="1"/>
  <c r="I19" i="37"/>
  <c r="J19" i="37" s="1"/>
  <c r="K19" i="37" s="1"/>
  <c r="I18" i="37"/>
  <c r="J18" i="37" s="1"/>
  <c r="K18" i="37" s="1"/>
  <c r="I17" i="37"/>
  <c r="J17" i="37" s="1"/>
  <c r="K17" i="37" s="1"/>
  <c r="I16" i="37"/>
  <c r="J16" i="37" s="1"/>
  <c r="K16" i="37" s="1"/>
  <c r="I15" i="37"/>
  <c r="J15" i="37" s="1"/>
  <c r="K15" i="37" s="1"/>
  <c r="I14" i="37"/>
  <c r="J14" i="37" s="1"/>
  <c r="K14" i="37" s="1"/>
  <c r="I13" i="37"/>
  <c r="J13" i="37" s="1"/>
  <c r="K13" i="37" s="1"/>
  <c r="I12" i="37"/>
  <c r="J12" i="37" s="1"/>
  <c r="K12" i="37" s="1"/>
  <c r="I11" i="37"/>
  <c r="J11" i="37" s="1"/>
  <c r="K11" i="37" s="1"/>
  <c r="I10" i="37"/>
  <c r="J10" i="37" s="1"/>
  <c r="K10" i="37" s="1"/>
  <c r="I9" i="37"/>
  <c r="J9" i="37" s="1"/>
  <c r="K9" i="37" s="1"/>
  <c r="I8" i="37"/>
  <c r="J8" i="37" s="1"/>
  <c r="K8" i="37" s="1"/>
  <c r="M7" i="37"/>
  <c r="L7" i="37"/>
  <c r="I7" i="37"/>
  <c r="J7" i="37" s="1"/>
  <c r="K7" i="37" s="1"/>
  <c r="I6" i="37"/>
  <c r="K80" i="36"/>
  <c r="K79" i="36"/>
  <c r="I77" i="36"/>
  <c r="J77" i="36" s="1"/>
  <c r="K77" i="36" s="1"/>
  <c r="W77" i="36" s="1"/>
  <c r="I76" i="36"/>
  <c r="J76" i="36" s="1"/>
  <c r="K76" i="36" s="1"/>
  <c r="W76" i="36" s="1"/>
  <c r="I75" i="36"/>
  <c r="J75" i="36" s="1"/>
  <c r="K75" i="36" s="1"/>
  <c r="W75" i="36" s="1"/>
  <c r="I74" i="36"/>
  <c r="J74" i="36" s="1"/>
  <c r="K74" i="36" s="1"/>
  <c r="W74" i="36" s="1"/>
  <c r="I73" i="36"/>
  <c r="J73" i="36" s="1"/>
  <c r="K73" i="36" s="1"/>
  <c r="W73" i="36" s="1"/>
  <c r="I72" i="36"/>
  <c r="J72" i="36" s="1"/>
  <c r="K72" i="36" s="1"/>
  <c r="W72" i="36" s="1"/>
  <c r="I71" i="36"/>
  <c r="J71" i="36" s="1"/>
  <c r="K71" i="36" s="1"/>
  <c r="W71" i="36" s="1"/>
  <c r="I70" i="36"/>
  <c r="J70" i="36" s="1"/>
  <c r="K70" i="36" s="1"/>
  <c r="W70" i="36" s="1"/>
  <c r="I69" i="36"/>
  <c r="J69" i="36" s="1"/>
  <c r="K69" i="36" s="1"/>
  <c r="W69" i="36" s="1"/>
  <c r="I68" i="36"/>
  <c r="J68" i="36" s="1"/>
  <c r="K68" i="36" s="1"/>
  <c r="W68" i="36" s="1"/>
  <c r="I67" i="36"/>
  <c r="J67" i="36" s="1"/>
  <c r="K67" i="36" s="1"/>
  <c r="W67" i="36" s="1"/>
  <c r="I66" i="36"/>
  <c r="J66" i="36" s="1"/>
  <c r="K66" i="36" s="1"/>
  <c r="W66" i="36" s="1"/>
  <c r="I65" i="36"/>
  <c r="J65" i="36" s="1"/>
  <c r="K65" i="36" s="1"/>
  <c r="W65" i="36" s="1"/>
  <c r="I64" i="36"/>
  <c r="J64" i="36" s="1"/>
  <c r="K64" i="36" s="1"/>
  <c r="W64" i="36" s="1"/>
  <c r="I63" i="36"/>
  <c r="J63" i="36" s="1"/>
  <c r="K63" i="36" s="1"/>
  <c r="W63" i="36" s="1"/>
  <c r="L63" i="36"/>
  <c r="L64" i="36" s="1"/>
  <c r="L65" i="36" s="1"/>
  <c r="L66" i="36" s="1"/>
  <c r="L67" i="36" s="1"/>
  <c r="L68" i="36" s="1"/>
  <c r="L69" i="36" s="1"/>
  <c r="L70" i="36" s="1"/>
  <c r="L71" i="36" s="1"/>
  <c r="L72" i="36" s="1"/>
  <c r="L73" i="36" s="1"/>
  <c r="L74" i="36" s="1"/>
  <c r="L75" i="36" s="1"/>
  <c r="L76" i="36" s="1"/>
  <c r="L77" i="36" s="1"/>
  <c r="K25" i="36"/>
  <c r="K24" i="36"/>
  <c r="I22" i="36"/>
  <c r="J22" i="36" s="1"/>
  <c r="I21" i="36"/>
  <c r="J21" i="36" s="1"/>
  <c r="I20" i="36"/>
  <c r="J20" i="36" s="1"/>
  <c r="I19" i="36"/>
  <c r="J19" i="36" s="1"/>
  <c r="I18" i="36"/>
  <c r="J18" i="36" s="1"/>
  <c r="I17" i="36"/>
  <c r="J17" i="36" s="1"/>
  <c r="I16" i="36"/>
  <c r="J16" i="36" s="1"/>
  <c r="I15" i="36"/>
  <c r="J15" i="36" s="1"/>
  <c r="I14" i="36"/>
  <c r="J14" i="36" s="1"/>
  <c r="I13" i="36"/>
  <c r="J13" i="36" s="1"/>
  <c r="I12" i="36"/>
  <c r="J12" i="36" s="1"/>
  <c r="I11" i="36"/>
  <c r="J11" i="36" s="1"/>
  <c r="I10" i="36"/>
  <c r="J10" i="36" s="1"/>
  <c r="I9" i="36"/>
  <c r="J9" i="36" s="1"/>
  <c r="I8" i="36"/>
  <c r="J8" i="36" s="1"/>
  <c r="M7" i="36"/>
  <c r="L7" i="36"/>
  <c r="I7" i="36"/>
  <c r="J7" i="36" s="1"/>
  <c r="I6" i="36"/>
  <c r="V6" i="36" s="1"/>
  <c r="K25" i="34"/>
  <c r="K24" i="34"/>
  <c r="I22" i="34"/>
  <c r="J22" i="34" s="1"/>
  <c r="K22" i="34" s="1"/>
  <c r="I21" i="34"/>
  <c r="J21" i="34" s="1"/>
  <c r="K21" i="34" s="1"/>
  <c r="I20" i="34"/>
  <c r="J20" i="34" s="1"/>
  <c r="K20" i="34" s="1"/>
  <c r="I19" i="34"/>
  <c r="J19" i="34" s="1"/>
  <c r="K19" i="34" s="1"/>
  <c r="I18" i="34"/>
  <c r="J18" i="34" s="1"/>
  <c r="K18" i="34" s="1"/>
  <c r="I17" i="34"/>
  <c r="J17" i="34" s="1"/>
  <c r="K17" i="34" s="1"/>
  <c r="I16" i="34"/>
  <c r="J16" i="34" s="1"/>
  <c r="K16" i="34" s="1"/>
  <c r="I15" i="34"/>
  <c r="J15" i="34" s="1"/>
  <c r="K15" i="34" s="1"/>
  <c r="I14" i="34"/>
  <c r="J14" i="34" s="1"/>
  <c r="K14" i="34" s="1"/>
  <c r="I13" i="34"/>
  <c r="J13" i="34" s="1"/>
  <c r="K13" i="34" s="1"/>
  <c r="I12" i="34"/>
  <c r="J12" i="34" s="1"/>
  <c r="K12" i="34" s="1"/>
  <c r="I11" i="34"/>
  <c r="J11" i="34" s="1"/>
  <c r="K11" i="34" s="1"/>
  <c r="I10" i="34"/>
  <c r="J10" i="34" s="1"/>
  <c r="K10" i="34" s="1"/>
  <c r="I9" i="34"/>
  <c r="J9" i="34" s="1"/>
  <c r="K9" i="34" s="1"/>
  <c r="I8" i="34"/>
  <c r="J8" i="34" s="1"/>
  <c r="K8" i="34" s="1"/>
  <c r="M7" i="34"/>
  <c r="L7" i="34"/>
  <c r="I7" i="34"/>
  <c r="J7" i="34" s="1"/>
  <c r="K7" i="34" s="1"/>
  <c r="I6" i="34"/>
  <c r="K25" i="33"/>
  <c r="K24" i="33"/>
  <c r="I22" i="33"/>
  <c r="J22" i="33" s="1"/>
  <c r="K22" i="33" s="1"/>
  <c r="I21" i="33"/>
  <c r="J21" i="33" s="1"/>
  <c r="K21" i="33" s="1"/>
  <c r="I20" i="33"/>
  <c r="J20" i="33" s="1"/>
  <c r="K20" i="33" s="1"/>
  <c r="I19" i="33"/>
  <c r="J19" i="33" s="1"/>
  <c r="K19" i="33" s="1"/>
  <c r="I18" i="33"/>
  <c r="J18" i="33" s="1"/>
  <c r="K18" i="33" s="1"/>
  <c r="I17" i="33"/>
  <c r="J17" i="33" s="1"/>
  <c r="K17" i="33" s="1"/>
  <c r="I16" i="33"/>
  <c r="J16" i="33" s="1"/>
  <c r="K16" i="33" s="1"/>
  <c r="I15" i="33"/>
  <c r="J15" i="33" s="1"/>
  <c r="K15" i="33" s="1"/>
  <c r="I14" i="33"/>
  <c r="J14" i="33" s="1"/>
  <c r="K14" i="33" s="1"/>
  <c r="I13" i="33"/>
  <c r="J13" i="33" s="1"/>
  <c r="K13" i="33" s="1"/>
  <c r="I12" i="33"/>
  <c r="J12" i="33" s="1"/>
  <c r="K12" i="33" s="1"/>
  <c r="I11" i="33"/>
  <c r="J11" i="33" s="1"/>
  <c r="K11" i="33" s="1"/>
  <c r="I10" i="33"/>
  <c r="J10" i="33" s="1"/>
  <c r="K10" i="33" s="1"/>
  <c r="I9" i="33"/>
  <c r="J9" i="33" s="1"/>
  <c r="K9" i="33" s="1"/>
  <c r="I8" i="33"/>
  <c r="J8" i="33" s="1"/>
  <c r="K8" i="33" s="1"/>
  <c r="M7" i="33"/>
  <c r="L7" i="33"/>
  <c r="I7" i="33"/>
  <c r="J7" i="33" s="1"/>
  <c r="K7" i="33" s="1"/>
  <c r="I6" i="33"/>
  <c r="K80" i="32"/>
  <c r="K79" i="32"/>
  <c r="I77" i="32"/>
  <c r="J77" i="32" s="1"/>
  <c r="K77" i="32" s="1"/>
  <c r="I76" i="32"/>
  <c r="J76" i="32" s="1"/>
  <c r="K76" i="32" s="1"/>
  <c r="I75" i="32"/>
  <c r="J75" i="32" s="1"/>
  <c r="K75" i="32" s="1"/>
  <c r="I74" i="32"/>
  <c r="J74" i="32" s="1"/>
  <c r="K74" i="32" s="1"/>
  <c r="I73" i="32"/>
  <c r="J73" i="32" s="1"/>
  <c r="K73" i="32" s="1"/>
  <c r="I72" i="32"/>
  <c r="J72" i="32" s="1"/>
  <c r="K72" i="32" s="1"/>
  <c r="I71" i="32"/>
  <c r="J71" i="32" s="1"/>
  <c r="K71" i="32" s="1"/>
  <c r="I70" i="32"/>
  <c r="J70" i="32" s="1"/>
  <c r="K70" i="32" s="1"/>
  <c r="I69" i="32"/>
  <c r="J69" i="32" s="1"/>
  <c r="K69" i="32" s="1"/>
  <c r="I68" i="32"/>
  <c r="J68" i="32" s="1"/>
  <c r="K68" i="32" s="1"/>
  <c r="I67" i="32"/>
  <c r="J67" i="32" s="1"/>
  <c r="K67" i="32" s="1"/>
  <c r="I66" i="32"/>
  <c r="J66" i="32" s="1"/>
  <c r="K66" i="32" s="1"/>
  <c r="J65" i="32"/>
  <c r="K65" i="32" s="1"/>
  <c r="I65" i="32"/>
  <c r="I64" i="32"/>
  <c r="J64" i="32" s="1"/>
  <c r="K64" i="32" s="1"/>
  <c r="I63" i="32"/>
  <c r="J63" i="32" s="1"/>
  <c r="K63" i="32" s="1"/>
  <c r="M62" i="32"/>
  <c r="M63" i="32" s="1"/>
  <c r="M64" i="32" s="1"/>
  <c r="M65" i="32" s="1"/>
  <c r="M66" i="32" s="1"/>
  <c r="M67" i="32" s="1"/>
  <c r="M68" i="32" s="1"/>
  <c r="M69" i="32" s="1"/>
  <c r="M70" i="32" s="1"/>
  <c r="M71" i="32" s="1"/>
  <c r="M72" i="32" s="1"/>
  <c r="M73" i="32" s="1"/>
  <c r="M74" i="32" s="1"/>
  <c r="M75" i="32" s="1"/>
  <c r="M76" i="32" s="1"/>
  <c r="M77" i="32" s="1"/>
  <c r="L62" i="32"/>
  <c r="L63" i="32" s="1"/>
  <c r="L64" i="32" s="1"/>
  <c r="L65" i="32" s="1"/>
  <c r="L66" i="32" s="1"/>
  <c r="L67" i="32" s="1"/>
  <c r="L68" i="32" s="1"/>
  <c r="L69" i="32" s="1"/>
  <c r="L70" i="32" s="1"/>
  <c r="L71" i="32" s="1"/>
  <c r="L72" i="32" s="1"/>
  <c r="L73" i="32" s="1"/>
  <c r="L74" i="32" s="1"/>
  <c r="L75" i="32" s="1"/>
  <c r="L76" i="32" s="1"/>
  <c r="L77" i="32" s="1"/>
  <c r="I62" i="32"/>
  <c r="J62" i="32" s="1"/>
  <c r="K62" i="32" s="1"/>
  <c r="I61" i="32"/>
  <c r="K25" i="32"/>
  <c r="K24" i="32"/>
  <c r="I22" i="32"/>
  <c r="J22" i="32" s="1"/>
  <c r="K22" i="32" s="1"/>
  <c r="I21" i="32"/>
  <c r="J21" i="32" s="1"/>
  <c r="K21" i="32" s="1"/>
  <c r="I20" i="32"/>
  <c r="J20" i="32" s="1"/>
  <c r="K20" i="32" s="1"/>
  <c r="I19" i="32"/>
  <c r="J19" i="32" s="1"/>
  <c r="K19" i="32" s="1"/>
  <c r="I18" i="32"/>
  <c r="J18" i="32" s="1"/>
  <c r="K18" i="32" s="1"/>
  <c r="I17" i="32"/>
  <c r="J17" i="32" s="1"/>
  <c r="K17" i="32" s="1"/>
  <c r="I16" i="32"/>
  <c r="J16" i="32" s="1"/>
  <c r="K16" i="32" s="1"/>
  <c r="I15" i="32"/>
  <c r="J15" i="32" s="1"/>
  <c r="K15" i="32" s="1"/>
  <c r="I14" i="32"/>
  <c r="J14" i="32" s="1"/>
  <c r="K14" i="32" s="1"/>
  <c r="I13" i="32"/>
  <c r="J13" i="32" s="1"/>
  <c r="K13" i="32" s="1"/>
  <c r="I12" i="32"/>
  <c r="J12" i="32" s="1"/>
  <c r="K12" i="32" s="1"/>
  <c r="I11" i="32"/>
  <c r="J11" i="32" s="1"/>
  <c r="K11" i="32" s="1"/>
  <c r="I10" i="32"/>
  <c r="J10" i="32" s="1"/>
  <c r="K10" i="32" s="1"/>
  <c r="I9" i="32"/>
  <c r="J9" i="32" s="1"/>
  <c r="K9" i="32" s="1"/>
  <c r="I8" i="32"/>
  <c r="J8" i="32" s="1"/>
  <c r="K8" i="32" s="1"/>
  <c r="M7" i="32"/>
  <c r="L7" i="32"/>
  <c r="I7" i="32"/>
  <c r="J7" i="32" s="1"/>
  <c r="K7" i="32" s="1"/>
  <c r="I6" i="32"/>
  <c r="K25" i="31"/>
  <c r="K24" i="31"/>
  <c r="I22" i="31"/>
  <c r="J22" i="31" s="1"/>
  <c r="K22" i="31" s="1"/>
  <c r="I21" i="31"/>
  <c r="J21" i="31" s="1"/>
  <c r="K21" i="31" s="1"/>
  <c r="I20" i="31"/>
  <c r="J20" i="31" s="1"/>
  <c r="K20" i="31" s="1"/>
  <c r="I19" i="31"/>
  <c r="J19" i="31" s="1"/>
  <c r="K19" i="31" s="1"/>
  <c r="I18" i="31"/>
  <c r="J18" i="31" s="1"/>
  <c r="K18" i="31" s="1"/>
  <c r="I17" i="31"/>
  <c r="J17" i="31" s="1"/>
  <c r="K17" i="31" s="1"/>
  <c r="I16" i="31"/>
  <c r="J16" i="31" s="1"/>
  <c r="K16" i="31" s="1"/>
  <c r="I15" i="31"/>
  <c r="J15" i="31" s="1"/>
  <c r="K15" i="31" s="1"/>
  <c r="I14" i="31"/>
  <c r="J14" i="31" s="1"/>
  <c r="K14" i="31" s="1"/>
  <c r="I13" i="31"/>
  <c r="J13" i="31" s="1"/>
  <c r="K13" i="31" s="1"/>
  <c r="I12" i="31"/>
  <c r="J12" i="31" s="1"/>
  <c r="K12" i="31" s="1"/>
  <c r="I11" i="31"/>
  <c r="J11" i="31" s="1"/>
  <c r="K11" i="31" s="1"/>
  <c r="I10" i="31"/>
  <c r="J10" i="31" s="1"/>
  <c r="K10" i="31" s="1"/>
  <c r="I9" i="31"/>
  <c r="J9" i="31" s="1"/>
  <c r="K9" i="31" s="1"/>
  <c r="J8" i="31"/>
  <c r="K8" i="31" s="1"/>
  <c r="I8" i="31"/>
  <c r="M7" i="31"/>
  <c r="L7" i="31"/>
  <c r="I7" i="31"/>
  <c r="J7" i="31" s="1"/>
  <c r="K7" i="31" s="1"/>
  <c r="I6" i="31"/>
  <c r="K25" i="30"/>
  <c r="K24" i="30"/>
  <c r="I22" i="30"/>
  <c r="J22" i="30" s="1"/>
  <c r="K22" i="30" s="1"/>
  <c r="I21" i="30"/>
  <c r="J21" i="30" s="1"/>
  <c r="K21" i="30" s="1"/>
  <c r="I20" i="30"/>
  <c r="J20" i="30" s="1"/>
  <c r="K20" i="30" s="1"/>
  <c r="I19" i="30"/>
  <c r="J19" i="30" s="1"/>
  <c r="K19" i="30" s="1"/>
  <c r="I18" i="30"/>
  <c r="J18" i="30" s="1"/>
  <c r="K18" i="30" s="1"/>
  <c r="I17" i="30"/>
  <c r="J17" i="30" s="1"/>
  <c r="K17" i="30" s="1"/>
  <c r="I16" i="30"/>
  <c r="J16" i="30" s="1"/>
  <c r="K16" i="30" s="1"/>
  <c r="I15" i="30"/>
  <c r="J15" i="30" s="1"/>
  <c r="K15" i="30" s="1"/>
  <c r="I14" i="30"/>
  <c r="J14" i="30" s="1"/>
  <c r="K14" i="30" s="1"/>
  <c r="I13" i="30"/>
  <c r="J13" i="30" s="1"/>
  <c r="K13" i="30" s="1"/>
  <c r="I12" i="30"/>
  <c r="J12" i="30" s="1"/>
  <c r="K12" i="30" s="1"/>
  <c r="I11" i="30"/>
  <c r="J11" i="30" s="1"/>
  <c r="K11" i="30" s="1"/>
  <c r="I10" i="30"/>
  <c r="J10" i="30" s="1"/>
  <c r="K10" i="30" s="1"/>
  <c r="I9" i="30"/>
  <c r="J9" i="30" s="1"/>
  <c r="K9" i="30" s="1"/>
  <c r="I8" i="30"/>
  <c r="J8" i="30" s="1"/>
  <c r="K8" i="30" s="1"/>
  <c r="M7" i="30"/>
  <c r="L7" i="30"/>
  <c r="I7" i="30"/>
  <c r="J7" i="30" s="1"/>
  <c r="K7" i="30" s="1"/>
  <c r="I6" i="30"/>
  <c r="K25" i="29"/>
  <c r="K24" i="29"/>
  <c r="I22" i="29"/>
  <c r="J22" i="29" s="1"/>
  <c r="K22" i="29" s="1"/>
  <c r="I21" i="29"/>
  <c r="J21" i="29" s="1"/>
  <c r="K21" i="29" s="1"/>
  <c r="I20" i="29"/>
  <c r="J20" i="29" s="1"/>
  <c r="K20" i="29" s="1"/>
  <c r="I19" i="29"/>
  <c r="J19" i="29" s="1"/>
  <c r="K19" i="29" s="1"/>
  <c r="I18" i="29"/>
  <c r="J18" i="29" s="1"/>
  <c r="K18" i="29" s="1"/>
  <c r="I17" i="29"/>
  <c r="J17" i="29" s="1"/>
  <c r="K17" i="29" s="1"/>
  <c r="I16" i="29"/>
  <c r="J16" i="29" s="1"/>
  <c r="K16" i="29" s="1"/>
  <c r="I15" i="29"/>
  <c r="J15" i="29" s="1"/>
  <c r="K15" i="29" s="1"/>
  <c r="I14" i="29"/>
  <c r="J14" i="29" s="1"/>
  <c r="K14" i="29" s="1"/>
  <c r="I13" i="29"/>
  <c r="J13" i="29" s="1"/>
  <c r="K13" i="29" s="1"/>
  <c r="I12" i="29"/>
  <c r="J12" i="29" s="1"/>
  <c r="K12" i="29" s="1"/>
  <c r="I11" i="29"/>
  <c r="J11" i="29" s="1"/>
  <c r="K11" i="29" s="1"/>
  <c r="I10" i="29"/>
  <c r="J10" i="29" s="1"/>
  <c r="K10" i="29" s="1"/>
  <c r="I9" i="29"/>
  <c r="J9" i="29" s="1"/>
  <c r="K9" i="29" s="1"/>
  <c r="I8" i="29"/>
  <c r="J8" i="29" s="1"/>
  <c r="K8" i="29" s="1"/>
  <c r="M7" i="29"/>
  <c r="L7" i="29"/>
  <c r="I7" i="29"/>
  <c r="J7" i="29" s="1"/>
  <c r="K7" i="29" s="1"/>
  <c r="I6" i="29"/>
  <c r="K80" i="28"/>
  <c r="K79" i="28"/>
  <c r="I77" i="28"/>
  <c r="J77" i="28" s="1"/>
  <c r="K77" i="28" s="1"/>
  <c r="I76" i="28"/>
  <c r="J76" i="28" s="1"/>
  <c r="K76" i="28" s="1"/>
  <c r="I75" i="28"/>
  <c r="J75" i="28" s="1"/>
  <c r="K75" i="28" s="1"/>
  <c r="I74" i="28"/>
  <c r="J74" i="28" s="1"/>
  <c r="K74" i="28" s="1"/>
  <c r="I73" i="28"/>
  <c r="J73" i="28" s="1"/>
  <c r="K73" i="28" s="1"/>
  <c r="I72" i="28"/>
  <c r="J72" i="28" s="1"/>
  <c r="K72" i="28" s="1"/>
  <c r="I71" i="28"/>
  <c r="J71" i="28" s="1"/>
  <c r="K71" i="28" s="1"/>
  <c r="I70" i="28"/>
  <c r="J70" i="28" s="1"/>
  <c r="K70" i="28" s="1"/>
  <c r="I69" i="28"/>
  <c r="J69" i="28" s="1"/>
  <c r="K69" i="28" s="1"/>
  <c r="I68" i="28"/>
  <c r="J68" i="28" s="1"/>
  <c r="K68" i="28" s="1"/>
  <c r="I67" i="28"/>
  <c r="J67" i="28" s="1"/>
  <c r="K67" i="28" s="1"/>
  <c r="I66" i="28"/>
  <c r="J66" i="28" s="1"/>
  <c r="K66" i="28" s="1"/>
  <c r="I65" i="28"/>
  <c r="J65" i="28" s="1"/>
  <c r="K65" i="28" s="1"/>
  <c r="I64" i="28"/>
  <c r="J64" i="28" s="1"/>
  <c r="K64" i="28" s="1"/>
  <c r="I63" i="28"/>
  <c r="J63" i="28" s="1"/>
  <c r="K63" i="28" s="1"/>
  <c r="M62" i="28"/>
  <c r="M63" i="28" s="1"/>
  <c r="M64" i="28" s="1"/>
  <c r="M65" i="28" s="1"/>
  <c r="M66" i="28" s="1"/>
  <c r="M67" i="28" s="1"/>
  <c r="M68" i="28" s="1"/>
  <c r="M69" i="28" s="1"/>
  <c r="M70" i="28" s="1"/>
  <c r="M71" i="28" s="1"/>
  <c r="M72" i="28" s="1"/>
  <c r="M73" i="28" s="1"/>
  <c r="M74" i="28" s="1"/>
  <c r="M75" i="28" s="1"/>
  <c r="M76" i="28" s="1"/>
  <c r="M77" i="28" s="1"/>
  <c r="L62" i="28"/>
  <c r="L63" i="28" s="1"/>
  <c r="L64" i="28" s="1"/>
  <c r="L65" i="28" s="1"/>
  <c r="L66" i="28" s="1"/>
  <c r="L67" i="28" s="1"/>
  <c r="L68" i="28" s="1"/>
  <c r="L69" i="28" s="1"/>
  <c r="L70" i="28" s="1"/>
  <c r="L71" i="28" s="1"/>
  <c r="L72" i="28" s="1"/>
  <c r="L73" i="28" s="1"/>
  <c r="L74" i="28" s="1"/>
  <c r="L75" i="28" s="1"/>
  <c r="L76" i="28" s="1"/>
  <c r="L77" i="28" s="1"/>
  <c r="I62" i="28"/>
  <c r="J62" i="28" s="1"/>
  <c r="K62" i="28" s="1"/>
  <c r="I61" i="28"/>
  <c r="K25" i="28"/>
  <c r="K24" i="28"/>
  <c r="I22" i="28"/>
  <c r="J22" i="28" s="1"/>
  <c r="K22" i="28" s="1"/>
  <c r="I21" i="28"/>
  <c r="J21" i="28" s="1"/>
  <c r="K21" i="28" s="1"/>
  <c r="I20" i="28"/>
  <c r="J20" i="28" s="1"/>
  <c r="K20" i="28" s="1"/>
  <c r="I19" i="28"/>
  <c r="J19" i="28" s="1"/>
  <c r="K19" i="28" s="1"/>
  <c r="I18" i="28"/>
  <c r="J18" i="28" s="1"/>
  <c r="K18" i="28" s="1"/>
  <c r="I17" i="28"/>
  <c r="J17" i="28" s="1"/>
  <c r="K17" i="28" s="1"/>
  <c r="I16" i="28"/>
  <c r="J16" i="28" s="1"/>
  <c r="K16" i="28" s="1"/>
  <c r="I15" i="28"/>
  <c r="J15" i="28" s="1"/>
  <c r="K15" i="28" s="1"/>
  <c r="I14" i="28"/>
  <c r="J14" i="28" s="1"/>
  <c r="K14" i="28" s="1"/>
  <c r="I13" i="28"/>
  <c r="J13" i="28" s="1"/>
  <c r="K13" i="28" s="1"/>
  <c r="I12" i="28"/>
  <c r="J12" i="28" s="1"/>
  <c r="K12" i="28" s="1"/>
  <c r="I11" i="28"/>
  <c r="J11" i="28" s="1"/>
  <c r="K11" i="28" s="1"/>
  <c r="I10" i="28"/>
  <c r="J10" i="28" s="1"/>
  <c r="K10" i="28" s="1"/>
  <c r="I9" i="28"/>
  <c r="J9" i="28" s="1"/>
  <c r="K9" i="28" s="1"/>
  <c r="I8" i="28"/>
  <c r="J8" i="28" s="1"/>
  <c r="K8" i="28" s="1"/>
  <c r="M7" i="28"/>
  <c r="L7" i="28"/>
  <c r="I7" i="28"/>
  <c r="J7" i="28" s="1"/>
  <c r="K7" i="28" s="1"/>
  <c r="I6" i="28"/>
  <c r="K25" i="27"/>
  <c r="K24" i="27"/>
  <c r="I22" i="27"/>
  <c r="J22" i="27" s="1"/>
  <c r="K22" i="27" s="1"/>
  <c r="I21" i="27"/>
  <c r="J21" i="27" s="1"/>
  <c r="K21" i="27" s="1"/>
  <c r="I20" i="27"/>
  <c r="J20" i="27" s="1"/>
  <c r="K20" i="27" s="1"/>
  <c r="I19" i="27"/>
  <c r="J19" i="27" s="1"/>
  <c r="K19" i="27" s="1"/>
  <c r="I18" i="27"/>
  <c r="J18" i="27" s="1"/>
  <c r="K18" i="27" s="1"/>
  <c r="I17" i="27"/>
  <c r="J17" i="27" s="1"/>
  <c r="K17" i="27" s="1"/>
  <c r="J16" i="27"/>
  <c r="K16" i="27" s="1"/>
  <c r="I16" i="27"/>
  <c r="I15" i="27"/>
  <c r="J15" i="27" s="1"/>
  <c r="K15" i="27" s="1"/>
  <c r="I14" i="27"/>
  <c r="J14" i="27" s="1"/>
  <c r="K14" i="27" s="1"/>
  <c r="I13" i="27"/>
  <c r="J13" i="27" s="1"/>
  <c r="K13" i="27" s="1"/>
  <c r="I12" i="27"/>
  <c r="J12" i="27" s="1"/>
  <c r="K12" i="27" s="1"/>
  <c r="I11" i="27"/>
  <c r="J11" i="27" s="1"/>
  <c r="K11" i="27" s="1"/>
  <c r="I10" i="27"/>
  <c r="J10" i="27" s="1"/>
  <c r="K10" i="27" s="1"/>
  <c r="I9" i="27"/>
  <c r="J9" i="27" s="1"/>
  <c r="K9" i="27" s="1"/>
  <c r="I8" i="27"/>
  <c r="J8" i="27" s="1"/>
  <c r="K8" i="27" s="1"/>
  <c r="M7" i="27"/>
  <c r="P33" i="27" s="1"/>
  <c r="P34" i="27" s="1"/>
  <c r="L7" i="27"/>
  <c r="I7" i="27"/>
  <c r="J7" i="27" s="1"/>
  <c r="K7" i="27" s="1"/>
  <c r="I6" i="27"/>
  <c r="K25" i="26"/>
  <c r="K24" i="26"/>
  <c r="I22" i="26"/>
  <c r="J22" i="26" s="1"/>
  <c r="K22" i="26" s="1"/>
  <c r="I21" i="26"/>
  <c r="J21" i="26" s="1"/>
  <c r="K21" i="26" s="1"/>
  <c r="I20" i="26"/>
  <c r="J20" i="26" s="1"/>
  <c r="K20" i="26" s="1"/>
  <c r="I19" i="26"/>
  <c r="J19" i="26" s="1"/>
  <c r="K19" i="26" s="1"/>
  <c r="I18" i="26"/>
  <c r="J18" i="26" s="1"/>
  <c r="K18" i="26" s="1"/>
  <c r="I17" i="26"/>
  <c r="J17" i="26" s="1"/>
  <c r="K17" i="26" s="1"/>
  <c r="I16" i="26"/>
  <c r="J16" i="26" s="1"/>
  <c r="K16" i="26" s="1"/>
  <c r="I15" i="26"/>
  <c r="J15" i="26" s="1"/>
  <c r="K15" i="26" s="1"/>
  <c r="I14" i="26"/>
  <c r="J14" i="26" s="1"/>
  <c r="K14" i="26" s="1"/>
  <c r="I13" i="26"/>
  <c r="J13" i="26" s="1"/>
  <c r="K13" i="26" s="1"/>
  <c r="I12" i="26"/>
  <c r="J12" i="26" s="1"/>
  <c r="K12" i="26" s="1"/>
  <c r="I11" i="26"/>
  <c r="J11" i="26" s="1"/>
  <c r="K11" i="26" s="1"/>
  <c r="I10" i="26"/>
  <c r="J10" i="26" s="1"/>
  <c r="K10" i="26" s="1"/>
  <c r="I9" i="26"/>
  <c r="J9" i="26" s="1"/>
  <c r="K9" i="26" s="1"/>
  <c r="I8" i="26"/>
  <c r="J8" i="26" s="1"/>
  <c r="K8" i="26" s="1"/>
  <c r="M7" i="26"/>
  <c r="L7" i="26"/>
  <c r="I7" i="26"/>
  <c r="J7" i="26" s="1"/>
  <c r="K7" i="26" s="1"/>
  <c r="I6" i="26"/>
  <c r="K80" i="25"/>
  <c r="K79" i="25"/>
  <c r="I77" i="25"/>
  <c r="J77" i="25" s="1"/>
  <c r="K77" i="25" s="1"/>
  <c r="D37" i="46" s="1"/>
  <c r="I76" i="25"/>
  <c r="J76" i="25" s="1"/>
  <c r="K76" i="25" s="1"/>
  <c r="D36" i="46" s="1"/>
  <c r="I75" i="25"/>
  <c r="J75" i="25" s="1"/>
  <c r="K75" i="25" s="1"/>
  <c r="D35" i="46" s="1"/>
  <c r="I74" i="25"/>
  <c r="J74" i="25" s="1"/>
  <c r="K74" i="25" s="1"/>
  <c r="D34" i="46" s="1"/>
  <c r="I73" i="25"/>
  <c r="J73" i="25" s="1"/>
  <c r="K73" i="25" s="1"/>
  <c r="D33" i="46" s="1"/>
  <c r="I72" i="25"/>
  <c r="J72" i="25" s="1"/>
  <c r="K72" i="25" s="1"/>
  <c r="D32" i="46" s="1"/>
  <c r="I71" i="25"/>
  <c r="J71" i="25" s="1"/>
  <c r="K71" i="25" s="1"/>
  <c r="D31" i="46" s="1"/>
  <c r="I70" i="25"/>
  <c r="J70" i="25" s="1"/>
  <c r="K70" i="25" s="1"/>
  <c r="D30" i="46" s="1"/>
  <c r="I69" i="25"/>
  <c r="J69" i="25" s="1"/>
  <c r="K69" i="25" s="1"/>
  <c r="D29" i="46" s="1"/>
  <c r="I68" i="25"/>
  <c r="J68" i="25" s="1"/>
  <c r="K68" i="25" s="1"/>
  <c r="D28" i="46" s="1"/>
  <c r="I67" i="25"/>
  <c r="J67" i="25" s="1"/>
  <c r="K67" i="25" s="1"/>
  <c r="D27" i="46" s="1"/>
  <c r="I66" i="25"/>
  <c r="J66" i="25" s="1"/>
  <c r="K66" i="25" s="1"/>
  <c r="D26" i="46" s="1"/>
  <c r="I65" i="25"/>
  <c r="J65" i="25" s="1"/>
  <c r="K65" i="25" s="1"/>
  <c r="D25" i="46" s="1"/>
  <c r="I64" i="25"/>
  <c r="J64" i="25" s="1"/>
  <c r="K64" i="25" s="1"/>
  <c r="D24" i="46" s="1"/>
  <c r="I63" i="25"/>
  <c r="J63" i="25" s="1"/>
  <c r="K63" i="25" s="1"/>
  <c r="D23" i="46" s="1"/>
  <c r="M62" i="25"/>
  <c r="M63" i="25" s="1"/>
  <c r="M64" i="25" s="1"/>
  <c r="M65" i="25" s="1"/>
  <c r="M66" i="25" s="1"/>
  <c r="M67" i="25" s="1"/>
  <c r="M68" i="25" s="1"/>
  <c r="M69" i="25" s="1"/>
  <c r="M70" i="25" s="1"/>
  <c r="M71" i="25" s="1"/>
  <c r="M72" i="25" s="1"/>
  <c r="M73" i="25" s="1"/>
  <c r="M74" i="25" s="1"/>
  <c r="M75" i="25" s="1"/>
  <c r="M76" i="25" s="1"/>
  <c r="M77" i="25" s="1"/>
  <c r="L62" i="25"/>
  <c r="L63" i="25" s="1"/>
  <c r="L64" i="25" s="1"/>
  <c r="L65" i="25" s="1"/>
  <c r="L66" i="25" s="1"/>
  <c r="L67" i="25" s="1"/>
  <c r="L68" i="25" s="1"/>
  <c r="L69" i="25" s="1"/>
  <c r="L70" i="25" s="1"/>
  <c r="L71" i="25" s="1"/>
  <c r="L72" i="25" s="1"/>
  <c r="L73" i="25" s="1"/>
  <c r="L74" i="25" s="1"/>
  <c r="L75" i="25" s="1"/>
  <c r="L76" i="25" s="1"/>
  <c r="L77" i="25" s="1"/>
  <c r="I62" i="25"/>
  <c r="J62" i="25" s="1"/>
  <c r="K62" i="25" s="1"/>
  <c r="I61" i="25"/>
  <c r="K25" i="25"/>
  <c r="K24" i="25"/>
  <c r="I22" i="25"/>
  <c r="J22" i="25" s="1"/>
  <c r="I21" i="25"/>
  <c r="J21" i="25" s="1"/>
  <c r="I20" i="25"/>
  <c r="J20" i="25" s="1"/>
  <c r="I19" i="25"/>
  <c r="J19" i="25" s="1"/>
  <c r="I18" i="25"/>
  <c r="J18" i="25" s="1"/>
  <c r="I17" i="25"/>
  <c r="J17" i="25" s="1"/>
  <c r="I16" i="25"/>
  <c r="J16" i="25" s="1"/>
  <c r="I15" i="25"/>
  <c r="J15" i="25" s="1"/>
  <c r="I14" i="25"/>
  <c r="J14" i="25" s="1"/>
  <c r="I13" i="25"/>
  <c r="J13" i="25" s="1"/>
  <c r="I12" i="25"/>
  <c r="J12" i="25" s="1"/>
  <c r="I11" i="25"/>
  <c r="J11" i="25" s="1"/>
  <c r="I10" i="25"/>
  <c r="J10" i="25" s="1"/>
  <c r="I9" i="25"/>
  <c r="J9" i="25" s="1"/>
  <c r="I8" i="25"/>
  <c r="J8" i="25" s="1"/>
  <c r="M7" i="25"/>
  <c r="L7" i="25"/>
  <c r="I7" i="25"/>
  <c r="J7" i="25" s="1"/>
  <c r="I6" i="25"/>
  <c r="N17" i="24"/>
  <c r="N16" i="24"/>
  <c r="L14" i="24"/>
  <c r="M14" i="24" s="1"/>
  <c r="L13" i="24"/>
  <c r="M13" i="24" s="1"/>
  <c r="L12" i="24"/>
  <c r="M12" i="24" s="1"/>
  <c r="L11" i="24"/>
  <c r="M11" i="24" s="1"/>
  <c r="L10" i="24"/>
  <c r="M10" i="24" s="1"/>
  <c r="L9" i="24"/>
  <c r="M9" i="24" s="1"/>
  <c r="L8" i="24"/>
  <c r="M8" i="24" s="1"/>
  <c r="P7" i="24"/>
  <c r="O7" i="24"/>
  <c r="L7" i="24"/>
  <c r="M7" i="24" s="1"/>
  <c r="L6" i="24"/>
  <c r="K25" i="23"/>
  <c r="K24" i="23"/>
  <c r="I22" i="23"/>
  <c r="J22" i="23" s="1"/>
  <c r="K22" i="23" s="1"/>
  <c r="I21" i="23"/>
  <c r="J21" i="23" s="1"/>
  <c r="K21" i="23" s="1"/>
  <c r="I20" i="23"/>
  <c r="J20" i="23" s="1"/>
  <c r="K20" i="23" s="1"/>
  <c r="I19" i="23"/>
  <c r="J19" i="23" s="1"/>
  <c r="K19" i="23" s="1"/>
  <c r="I18" i="23"/>
  <c r="J18" i="23" s="1"/>
  <c r="K18" i="23" s="1"/>
  <c r="I17" i="23"/>
  <c r="J17" i="23" s="1"/>
  <c r="K17" i="23" s="1"/>
  <c r="I16" i="23"/>
  <c r="J16" i="23" s="1"/>
  <c r="K16" i="23" s="1"/>
  <c r="I15" i="23"/>
  <c r="J15" i="23" s="1"/>
  <c r="K15" i="23" s="1"/>
  <c r="I14" i="23"/>
  <c r="J14" i="23" s="1"/>
  <c r="K14" i="23" s="1"/>
  <c r="I13" i="23"/>
  <c r="J13" i="23" s="1"/>
  <c r="K13" i="23" s="1"/>
  <c r="I12" i="23"/>
  <c r="J12" i="23" s="1"/>
  <c r="K12" i="23" s="1"/>
  <c r="I11" i="23"/>
  <c r="J11" i="23" s="1"/>
  <c r="K11" i="23" s="1"/>
  <c r="I10" i="23"/>
  <c r="J10" i="23" s="1"/>
  <c r="K10" i="23" s="1"/>
  <c r="I9" i="23"/>
  <c r="J9" i="23" s="1"/>
  <c r="K9" i="23" s="1"/>
  <c r="I8" i="23"/>
  <c r="J8" i="23" s="1"/>
  <c r="K8" i="23" s="1"/>
  <c r="M7" i="23"/>
  <c r="M8" i="23" s="1"/>
  <c r="M9" i="23" s="1"/>
  <c r="M10" i="23" s="1"/>
  <c r="M11" i="23" s="1"/>
  <c r="M12" i="23" s="1"/>
  <c r="M13" i="23" s="1"/>
  <c r="M14" i="23" s="1"/>
  <c r="M15" i="23" s="1"/>
  <c r="M16" i="23" s="1"/>
  <c r="M17" i="23" s="1"/>
  <c r="M18" i="23" s="1"/>
  <c r="M19" i="23" s="1"/>
  <c r="M20" i="23" s="1"/>
  <c r="M21" i="23" s="1"/>
  <c r="M22" i="23" s="1"/>
  <c r="L7" i="23"/>
  <c r="L8" i="23" s="1"/>
  <c r="L9" i="23" s="1"/>
  <c r="L10" i="23" s="1"/>
  <c r="L11" i="23" s="1"/>
  <c r="L12" i="23" s="1"/>
  <c r="L13" i="23" s="1"/>
  <c r="L14" i="23" s="1"/>
  <c r="L15" i="23" s="1"/>
  <c r="L16" i="23" s="1"/>
  <c r="L17" i="23" s="1"/>
  <c r="L18" i="23" s="1"/>
  <c r="L19" i="23" s="1"/>
  <c r="L20" i="23" s="1"/>
  <c r="L21" i="23" s="1"/>
  <c r="L22" i="23" s="1"/>
  <c r="I7" i="23"/>
  <c r="J7" i="23" s="1"/>
  <c r="K7" i="23" s="1"/>
  <c r="I6" i="23"/>
  <c r="I22" i="22"/>
  <c r="J22" i="22" s="1"/>
  <c r="K22" i="22" s="1"/>
  <c r="I21" i="22"/>
  <c r="J21" i="22" s="1"/>
  <c r="K21" i="22" s="1"/>
  <c r="I20" i="22"/>
  <c r="J20" i="22" s="1"/>
  <c r="K20" i="22" s="1"/>
  <c r="I19" i="22"/>
  <c r="J19" i="22" s="1"/>
  <c r="K19" i="22" s="1"/>
  <c r="I18" i="22"/>
  <c r="J18" i="22" s="1"/>
  <c r="K18" i="22" s="1"/>
  <c r="I17" i="22"/>
  <c r="J17" i="22" s="1"/>
  <c r="K17" i="22" s="1"/>
  <c r="I16" i="22"/>
  <c r="J16" i="22" s="1"/>
  <c r="K16" i="22" s="1"/>
  <c r="I15" i="22"/>
  <c r="J15" i="22" s="1"/>
  <c r="K15" i="22" s="1"/>
  <c r="I14" i="22"/>
  <c r="J14" i="22" s="1"/>
  <c r="K14" i="22" s="1"/>
  <c r="I13" i="22"/>
  <c r="J13" i="22" s="1"/>
  <c r="K13" i="22" s="1"/>
  <c r="I12" i="22"/>
  <c r="J12" i="22" s="1"/>
  <c r="K12" i="22" s="1"/>
  <c r="I11" i="22"/>
  <c r="J11" i="22" s="1"/>
  <c r="K11" i="22" s="1"/>
  <c r="I10" i="22"/>
  <c r="J10" i="22" s="1"/>
  <c r="K10" i="22" s="1"/>
  <c r="I9" i="22"/>
  <c r="J9" i="22" s="1"/>
  <c r="K9" i="22" s="1"/>
  <c r="I8" i="22"/>
  <c r="J8" i="22" s="1"/>
  <c r="K8" i="22" s="1"/>
  <c r="M7" i="22"/>
  <c r="L7" i="22"/>
  <c r="I7" i="22"/>
  <c r="J7" i="22" s="1"/>
  <c r="K7" i="22" s="1"/>
  <c r="I6" i="22"/>
  <c r="K17" i="21"/>
  <c r="K16" i="21"/>
  <c r="I14" i="21"/>
  <c r="J14" i="21" s="1"/>
  <c r="K14" i="21" s="1"/>
  <c r="I13" i="21"/>
  <c r="J13" i="21" s="1"/>
  <c r="K13" i="21" s="1"/>
  <c r="I12" i="21"/>
  <c r="J12" i="21" s="1"/>
  <c r="K12" i="21" s="1"/>
  <c r="I11" i="21"/>
  <c r="J11" i="21" s="1"/>
  <c r="K11" i="21" s="1"/>
  <c r="I10" i="21"/>
  <c r="J10" i="21" s="1"/>
  <c r="K10" i="21" s="1"/>
  <c r="I9" i="21"/>
  <c r="J9" i="21" s="1"/>
  <c r="K9" i="21" s="1"/>
  <c r="I8" i="21"/>
  <c r="M7" i="21"/>
  <c r="L7" i="21"/>
  <c r="I7" i="21"/>
  <c r="J7" i="21" s="1"/>
  <c r="K7" i="21" s="1"/>
  <c r="I6" i="21"/>
  <c r="K84" i="25" l="1"/>
  <c r="K35" i="22"/>
  <c r="D22" i="46"/>
  <c r="K82" i="25"/>
  <c r="K83" i="25" s="1"/>
  <c r="P35" i="27"/>
  <c r="P36" i="27" s="1"/>
  <c r="N52" i="47"/>
  <c r="N68" i="48"/>
  <c r="N69" i="48"/>
  <c r="N66" i="48"/>
  <c r="N67" i="48" s="1"/>
  <c r="N75" i="48"/>
  <c r="O75" i="48" s="1"/>
  <c r="N74" i="48"/>
  <c r="O74" i="48" s="1"/>
  <c r="N64" i="48"/>
  <c r="N72" i="48" s="1"/>
  <c r="N44" i="47"/>
  <c r="AF40" i="39"/>
  <c r="AF38" i="39"/>
  <c r="AF36" i="39"/>
  <c r="AF34" i="39"/>
  <c r="AF32" i="39"/>
  <c r="AF30" i="39"/>
  <c r="AF28" i="39"/>
  <c r="AF26" i="39"/>
  <c r="AF24" i="39"/>
  <c r="AF22" i="39"/>
  <c r="AF20" i="39"/>
  <c r="AF18" i="39"/>
  <c r="AF16" i="39"/>
  <c r="AF13" i="39"/>
  <c r="AF51" i="39"/>
  <c r="AF33" i="39"/>
  <c r="AF25" i="39"/>
  <c r="AF19" i="39"/>
  <c r="AF15" i="39"/>
  <c r="AF76" i="39"/>
  <c r="AF74" i="39"/>
  <c r="AF72" i="39"/>
  <c r="AF70" i="39"/>
  <c r="AF68" i="39"/>
  <c r="AF66" i="39"/>
  <c r="AF64" i="39"/>
  <c r="AF62" i="39"/>
  <c r="AF60" i="39"/>
  <c r="AF58" i="39"/>
  <c r="AF56" i="39"/>
  <c r="AF54" i="39"/>
  <c r="AF52" i="39"/>
  <c r="AF50" i="39"/>
  <c r="AF48" i="39"/>
  <c r="AF46" i="39"/>
  <c r="AF44" i="39"/>
  <c r="AF42" i="39"/>
  <c r="AF14" i="39"/>
  <c r="AF75" i="39"/>
  <c r="AF73" i="39"/>
  <c r="AF71" i="39"/>
  <c r="AF69" i="39"/>
  <c r="AF67" i="39"/>
  <c r="AF65" i="39"/>
  <c r="AF63" i="39"/>
  <c r="AF61" i="39"/>
  <c r="AF59" i="39"/>
  <c r="AF57" i="39"/>
  <c r="AF55" i="39"/>
  <c r="AF53" i="39"/>
  <c r="AF49" i="39"/>
  <c r="AF47" i="39"/>
  <c r="AF45" i="39"/>
  <c r="AF43" i="39"/>
  <c r="AF41" i="39"/>
  <c r="AF39" i="39"/>
  <c r="AF37" i="39"/>
  <c r="AF35" i="39"/>
  <c r="AF31" i="39"/>
  <c r="AF29" i="39"/>
  <c r="AF27" i="39"/>
  <c r="AF23" i="39"/>
  <c r="AF21" i="39"/>
  <c r="AF17" i="39"/>
  <c r="M8" i="39"/>
  <c r="M9" i="39" s="1"/>
  <c r="M10" i="39" s="1"/>
  <c r="M11" i="39" s="1"/>
  <c r="M12" i="39" s="1"/>
  <c r="M13" i="39" s="1"/>
  <c r="M14" i="39" s="1"/>
  <c r="M15" i="39" s="1"/>
  <c r="M16" i="39" s="1"/>
  <c r="M17" i="39" s="1"/>
  <c r="M18" i="39" s="1"/>
  <c r="M19" i="39" s="1"/>
  <c r="M20" i="39" s="1"/>
  <c r="M21" i="39" s="1"/>
  <c r="M22" i="39" s="1"/>
  <c r="AG76" i="39"/>
  <c r="AG74" i="39"/>
  <c r="AG72" i="39"/>
  <c r="AG70" i="39"/>
  <c r="AG68" i="39"/>
  <c r="AG66" i="39"/>
  <c r="AG64" i="39"/>
  <c r="AG62" i="39"/>
  <c r="AG60" i="39"/>
  <c r="AG58" i="39"/>
  <c r="AG56" i="39"/>
  <c r="AG54" i="39"/>
  <c r="AG52" i="39"/>
  <c r="AG50" i="39"/>
  <c r="AG48" i="39"/>
  <c r="AG46" i="39"/>
  <c r="AG44" i="39"/>
  <c r="AG42" i="39"/>
  <c r="AG40" i="39"/>
  <c r="AG38" i="39"/>
  <c r="AG36" i="39"/>
  <c r="AG34" i="39"/>
  <c r="AG32" i="39"/>
  <c r="AG30" i="39"/>
  <c r="AG28" i="39"/>
  <c r="AG26" i="39"/>
  <c r="AG24" i="39"/>
  <c r="AG22" i="39"/>
  <c r="AG20" i="39"/>
  <c r="AG18" i="39"/>
  <c r="AG16" i="39"/>
  <c r="AG13" i="39"/>
  <c r="AG14" i="39"/>
  <c r="AG75" i="39"/>
  <c r="AG73" i="39"/>
  <c r="AG71" i="39"/>
  <c r="AG69" i="39"/>
  <c r="AG67" i="39"/>
  <c r="AG65" i="39"/>
  <c r="AG63" i="39"/>
  <c r="AG61" i="39"/>
  <c r="AG59" i="39"/>
  <c r="AG57" i="39"/>
  <c r="AG55" i="39"/>
  <c r="AG53" i="39"/>
  <c r="AG51" i="39"/>
  <c r="AG49" i="39"/>
  <c r="AG47" i="39"/>
  <c r="AG45" i="39"/>
  <c r="AG43" i="39"/>
  <c r="AG41" i="39"/>
  <c r="AG39" i="39"/>
  <c r="AG37" i="39"/>
  <c r="AG35" i="39"/>
  <c r="AG33" i="39"/>
  <c r="AG31" i="39"/>
  <c r="AG29" i="39"/>
  <c r="AG27" i="39"/>
  <c r="AG25" i="39"/>
  <c r="AG23" i="39"/>
  <c r="AG21" i="39"/>
  <c r="AG19" i="39"/>
  <c r="AG17" i="39"/>
  <c r="AG15" i="39"/>
  <c r="N48" i="47"/>
  <c r="N45" i="47"/>
  <c r="N50" i="47"/>
  <c r="N57" i="47"/>
  <c r="N55" i="47"/>
  <c r="N46" i="47"/>
  <c r="N49" i="47"/>
  <c r="N53" i="47"/>
  <c r="N56" i="47"/>
  <c r="N59" i="47"/>
  <c r="N47" i="47"/>
  <c r="N54" i="47"/>
  <c r="N51" i="47"/>
  <c r="N58" i="47"/>
  <c r="N68" i="49"/>
  <c r="N75" i="49"/>
  <c r="O75" i="49" s="1"/>
  <c r="N74" i="49"/>
  <c r="O74" i="49" s="1"/>
  <c r="N69" i="49"/>
  <c r="N66" i="49"/>
  <c r="N67" i="49" s="1"/>
  <c r="N64" i="49"/>
  <c r="N8" i="24"/>
  <c r="C4" i="51" s="1"/>
  <c r="N37" i="24"/>
  <c r="N12" i="24"/>
  <c r="C12" i="51" s="1"/>
  <c r="N41" i="24"/>
  <c r="N7" i="24"/>
  <c r="C2" i="51" s="1"/>
  <c r="N36" i="24"/>
  <c r="N9" i="24"/>
  <c r="C6" i="51" s="1"/>
  <c r="N38" i="24"/>
  <c r="N13" i="24"/>
  <c r="C14" i="51" s="1"/>
  <c r="N42" i="24"/>
  <c r="N11" i="24"/>
  <c r="C10" i="51" s="1"/>
  <c r="N40" i="24"/>
  <c r="N10" i="24"/>
  <c r="C8" i="51" s="1"/>
  <c r="N39" i="24"/>
  <c r="N14" i="24"/>
  <c r="C16" i="51" s="1"/>
  <c r="N43" i="24"/>
  <c r="K27" i="28"/>
  <c r="K28" i="28" s="1"/>
  <c r="K17" i="25"/>
  <c r="K27" i="32"/>
  <c r="K28" i="32" s="1"/>
  <c r="K11" i="36"/>
  <c r="W11" i="36" s="1"/>
  <c r="K18" i="36"/>
  <c r="W18" i="36" s="1"/>
  <c r="K22" i="36"/>
  <c r="W22" i="36" s="1"/>
  <c r="K7" i="39"/>
  <c r="K9" i="39"/>
  <c r="K70" i="39" s="1"/>
  <c r="K13" i="39"/>
  <c r="K74" i="39" s="1"/>
  <c r="K17" i="39"/>
  <c r="K78" i="39" s="1"/>
  <c r="K21" i="39"/>
  <c r="K82" i="39" s="1"/>
  <c r="K10" i="25"/>
  <c r="D5" i="51" s="1"/>
  <c r="K21" i="25"/>
  <c r="K14" i="25"/>
  <c r="K22" i="25"/>
  <c r="K8" i="36"/>
  <c r="W8" i="36" s="1"/>
  <c r="K12" i="36"/>
  <c r="W12" i="36" s="1"/>
  <c r="K15" i="36"/>
  <c r="W15" i="36" s="1"/>
  <c r="K19" i="36"/>
  <c r="W19" i="36" s="1"/>
  <c r="K27" i="38"/>
  <c r="K28" i="38" s="1"/>
  <c r="K10" i="39"/>
  <c r="K71" i="39" s="1"/>
  <c r="K14" i="39"/>
  <c r="K18" i="39"/>
  <c r="K55" i="39" s="1"/>
  <c r="K22" i="39"/>
  <c r="K83" i="39" s="1"/>
  <c r="K13" i="25"/>
  <c r="K18" i="25"/>
  <c r="K27" i="27"/>
  <c r="K28" i="27" s="1"/>
  <c r="K7" i="36"/>
  <c r="W7" i="36" s="1"/>
  <c r="K9" i="36"/>
  <c r="K13" i="36"/>
  <c r="W13" i="36" s="1"/>
  <c r="K16" i="36"/>
  <c r="W16" i="36" s="1"/>
  <c r="K20" i="36"/>
  <c r="W20" i="36" s="1"/>
  <c r="K11" i="39"/>
  <c r="K72" i="39" s="1"/>
  <c r="K15" i="39"/>
  <c r="K76" i="39" s="1"/>
  <c r="K19" i="39"/>
  <c r="K80" i="39" s="1"/>
  <c r="K29" i="29"/>
  <c r="K30" i="29" s="1"/>
  <c r="K27" i="29"/>
  <c r="K28" i="29" s="1"/>
  <c r="K8" i="25"/>
  <c r="K11" i="25"/>
  <c r="K15" i="25"/>
  <c r="K19" i="25"/>
  <c r="K27" i="22"/>
  <c r="K28" i="22" s="1"/>
  <c r="K27" i="23"/>
  <c r="K28" i="23" s="1"/>
  <c r="K7" i="25"/>
  <c r="D2" i="51" s="1"/>
  <c r="K9" i="25"/>
  <c r="K12" i="25"/>
  <c r="K16" i="25"/>
  <c r="K20" i="25"/>
  <c r="K27" i="26"/>
  <c r="K28" i="26" s="1"/>
  <c r="K27" i="34"/>
  <c r="K28" i="34" s="1"/>
  <c r="K10" i="36"/>
  <c r="K14" i="36"/>
  <c r="W14" i="36" s="1"/>
  <c r="K17" i="36"/>
  <c r="W17" i="36" s="1"/>
  <c r="K21" i="36"/>
  <c r="W21" i="36" s="1"/>
  <c r="K27" i="37"/>
  <c r="K28" i="37" s="1"/>
  <c r="K8" i="39"/>
  <c r="K69" i="39" s="1"/>
  <c r="K12" i="39"/>
  <c r="K73" i="39" s="1"/>
  <c r="K16" i="39"/>
  <c r="K53" i="39" s="1"/>
  <c r="K20" i="39"/>
  <c r="K81" i="39" s="1"/>
  <c r="K36" i="30"/>
  <c r="AC32" i="39"/>
  <c r="AD31" i="39"/>
  <c r="AE31" i="39" s="1"/>
  <c r="C11" i="46"/>
  <c r="C31" i="46"/>
  <c r="C5" i="46"/>
  <c r="C25" i="46"/>
  <c r="C8" i="46"/>
  <c r="C28" i="46"/>
  <c r="C12" i="46"/>
  <c r="C32" i="46"/>
  <c r="C16" i="46"/>
  <c r="C36" i="46"/>
  <c r="C15" i="46"/>
  <c r="C35" i="46"/>
  <c r="C6" i="46"/>
  <c r="C26" i="46"/>
  <c r="C9" i="46"/>
  <c r="C29" i="46"/>
  <c r="C13" i="46"/>
  <c r="C33" i="46"/>
  <c r="C17" i="46"/>
  <c r="C37" i="46"/>
  <c r="C4" i="46"/>
  <c r="C24" i="46"/>
  <c r="C3" i="46"/>
  <c r="C23" i="46"/>
  <c r="C7" i="46"/>
  <c r="C27" i="46"/>
  <c r="C10" i="46"/>
  <c r="C30" i="46"/>
  <c r="C14" i="46"/>
  <c r="C34" i="46"/>
  <c r="C2" i="46"/>
  <c r="C22" i="46"/>
  <c r="J8" i="21"/>
  <c r="L8" i="39"/>
  <c r="L9" i="39" s="1"/>
  <c r="L10" i="39" s="1"/>
  <c r="L11" i="39" s="1"/>
  <c r="L12" i="39" s="1"/>
  <c r="L13" i="39" s="1"/>
  <c r="L14" i="39" s="1"/>
  <c r="L15" i="39" s="1"/>
  <c r="L16" i="39" s="1"/>
  <c r="L17" i="39" s="1"/>
  <c r="L18" i="39" s="1"/>
  <c r="L19" i="39" s="1"/>
  <c r="L20" i="39" s="1"/>
  <c r="L21" i="39" s="1"/>
  <c r="L22" i="39" s="1"/>
  <c r="K24" i="39"/>
  <c r="K25" i="39"/>
  <c r="M8" i="22"/>
  <c r="M9" i="22" s="1"/>
  <c r="M10" i="22" s="1"/>
  <c r="M11" i="22" s="1"/>
  <c r="M12" i="22" s="1"/>
  <c r="M13" i="22" s="1"/>
  <c r="M14" i="22" s="1"/>
  <c r="M15" i="22" s="1"/>
  <c r="M16" i="22" s="1"/>
  <c r="M17" i="22" s="1"/>
  <c r="M18" i="22" s="1"/>
  <c r="M19" i="22" s="1"/>
  <c r="M20" i="22" s="1"/>
  <c r="M21" i="22" s="1"/>
  <c r="M22" i="22" s="1"/>
  <c r="K24" i="22"/>
  <c r="K25" i="22"/>
  <c r="M8" i="26"/>
  <c r="M9" i="26" s="1"/>
  <c r="M10" i="26" s="1"/>
  <c r="M11" i="26" s="1"/>
  <c r="M12" i="26" s="1"/>
  <c r="M13" i="26" s="1"/>
  <c r="M14" i="26" s="1"/>
  <c r="M15" i="26" s="1"/>
  <c r="M16" i="26" s="1"/>
  <c r="M17" i="26" s="1"/>
  <c r="M18" i="26" s="1"/>
  <c r="M19" i="26" s="1"/>
  <c r="M20" i="26" s="1"/>
  <c r="M21" i="26" s="1"/>
  <c r="M22" i="26" s="1"/>
  <c r="M8" i="37"/>
  <c r="M9" i="37" s="1"/>
  <c r="M10" i="37" s="1"/>
  <c r="M11" i="37" s="1"/>
  <c r="M12" i="37" s="1"/>
  <c r="M13" i="37" s="1"/>
  <c r="M14" i="37" s="1"/>
  <c r="M15" i="37" s="1"/>
  <c r="M16" i="37" s="1"/>
  <c r="M17" i="37" s="1"/>
  <c r="M18" i="37" s="1"/>
  <c r="M19" i="37" s="1"/>
  <c r="M20" i="37" s="1"/>
  <c r="M21" i="37" s="1"/>
  <c r="M22" i="37" s="1"/>
  <c r="M8" i="38"/>
  <c r="M9" i="38" s="1"/>
  <c r="M10" i="38" s="1"/>
  <c r="M11" i="38" s="1"/>
  <c r="M12" i="38" s="1"/>
  <c r="M13" i="38" s="1"/>
  <c r="M14" i="38" s="1"/>
  <c r="M15" i="38" s="1"/>
  <c r="M16" i="38" s="1"/>
  <c r="M17" i="38" s="1"/>
  <c r="M18" i="38" s="1"/>
  <c r="M19" i="38" s="1"/>
  <c r="M20" i="38" s="1"/>
  <c r="M21" i="38" s="1"/>
  <c r="M22" i="38" s="1"/>
  <c r="L8" i="29"/>
  <c r="L9" i="29" s="1"/>
  <c r="L10" i="29" s="1"/>
  <c r="L11" i="29" s="1"/>
  <c r="L12" i="29" s="1"/>
  <c r="L13" i="29" s="1"/>
  <c r="L14" i="29" s="1"/>
  <c r="L15" i="29" s="1"/>
  <c r="L16" i="29" s="1"/>
  <c r="L17" i="29" s="1"/>
  <c r="L18" i="29" s="1"/>
  <c r="L19" i="29" s="1"/>
  <c r="L20" i="29" s="1"/>
  <c r="L21" i="29" s="1"/>
  <c r="L22" i="29" s="1"/>
  <c r="M8" i="21"/>
  <c r="M9" i="21" s="1"/>
  <c r="M10" i="21" s="1"/>
  <c r="M11" i="21" s="1"/>
  <c r="M12" i="21" s="1"/>
  <c r="M13" i="21" s="1"/>
  <c r="M14" i="21" s="1"/>
  <c r="L8" i="21"/>
  <c r="L9" i="21" s="1"/>
  <c r="L10" i="21" s="1"/>
  <c r="L11" i="21" s="1"/>
  <c r="L12" i="21" s="1"/>
  <c r="L13" i="21" s="1"/>
  <c r="L14" i="21" s="1"/>
  <c r="P8" i="24"/>
  <c r="P9" i="24" s="1"/>
  <c r="P10" i="24" s="1"/>
  <c r="P11" i="24" s="1"/>
  <c r="P12" i="24" s="1"/>
  <c r="P13" i="24" s="1"/>
  <c r="P14" i="24" s="1"/>
  <c r="M8" i="25"/>
  <c r="M9" i="25" s="1"/>
  <c r="M10" i="25" s="1"/>
  <c r="M11" i="25" s="1"/>
  <c r="M12" i="25" s="1"/>
  <c r="M13" i="25" s="1"/>
  <c r="M14" i="25" s="1"/>
  <c r="M15" i="25" s="1"/>
  <c r="M16" i="25" s="1"/>
  <c r="M17" i="25" s="1"/>
  <c r="M18" i="25" s="1"/>
  <c r="M19" i="25" s="1"/>
  <c r="M20" i="25" s="1"/>
  <c r="M21" i="25" s="1"/>
  <c r="M22" i="25" s="1"/>
  <c r="M8" i="27"/>
  <c r="M9" i="27" s="1"/>
  <c r="M10" i="27" s="1"/>
  <c r="M11" i="27" s="1"/>
  <c r="M12" i="27" s="1"/>
  <c r="M13" i="27" s="1"/>
  <c r="M14" i="27" s="1"/>
  <c r="M15" i="27" s="1"/>
  <c r="M16" i="27" s="1"/>
  <c r="M17" i="27" s="1"/>
  <c r="M18" i="27" s="1"/>
  <c r="M19" i="27" s="1"/>
  <c r="M20" i="27" s="1"/>
  <c r="M21" i="27" s="1"/>
  <c r="M22" i="27" s="1"/>
  <c r="L8" i="31"/>
  <c r="L9" i="31" s="1"/>
  <c r="L10" i="31" s="1"/>
  <c r="L11" i="31" s="1"/>
  <c r="L12" i="31" s="1"/>
  <c r="L13" i="31" s="1"/>
  <c r="L14" i="31" s="1"/>
  <c r="L15" i="31" s="1"/>
  <c r="L16" i="31" s="1"/>
  <c r="L17" i="31" s="1"/>
  <c r="L18" i="31" s="1"/>
  <c r="L19" i="31" s="1"/>
  <c r="L20" i="31" s="1"/>
  <c r="L21" i="31" s="1"/>
  <c r="L22" i="31" s="1"/>
  <c r="L8" i="32"/>
  <c r="L9" i="32" s="1"/>
  <c r="L10" i="32" s="1"/>
  <c r="L11" i="32" s="1"/>
  <c r="L12" i="32" s="1"/>
  <c r="L13" i="32" s="1"/>
  <c r="L14" i="32" s="1"/>
  <c r="L15" i="32" s="1"/>
  <c r="L16" i="32" s="1"/>
  <c r="L17" i="32" s="1"/>
  <c r="L18" i="32" s="1"/>
  <c r="L19" i="32" s="1"/>
  <c r="L20" i="32" s="1"/>
  <c r="L21" i="32" s="1"/>
  <c r="L22" i="32" s="1"/>
  <c r="L8" i="34"/>
  <c r="L9" i="34" s="1"/>
  <c r="L10" i="34" s="1"/>
  <c r="L11" i="34" s="1"/>
  <c r="L12" i="34" s="1"/>
  <c r="L13" i="34" s="1"/>
  <c r="L14" i="34" s="1"/>
  <c r="L15" i="34" s="1"/>
  <c r="L16" i="34" s="1"/>
  <c r="L17" i="34" s="1"/>
  <c r="L18" i="34" s="1"/>
  <c r="L19" i="34" s="1"/>
  <c r="L20" i="34" s="1"/>
  <c r="L21" i="34" s="1"/>
  <c r="L22" i="34" s="1"/>
  <c r="L8" i="36"/>
  <c r="L9" i="36" s="1"/>
  <c r="L10" i="36" s="1"/>
  <c r="L11" i="36" s="1"/>
  <c r="L12" i="36" s="1"/>
  <c r="L13" i="36" s="1"/>
  <c r="L14" i="36" s="1"/>
  <c r="L15" i="36" s="1"/>
  <c r="L16" i="36" s="1"/>
  <c r="L17" i="36" s="1"/>
  <c r="L18" i="36" s="1"/>
  <c r="L19" i="36" s="1"/>
  <c r="L20" i="36" s="1"/>
  <c r="L21" i="36" s="1"/>
  <c r="L22" i="36" s="1"/>
  <c r="L8" i="37"/>
  <c r="L9" i="37" s="1"/>
  <c r="L10" i="37" s="1"/>
  <c r="L11" i="37" s="1"/>
  <c r="L12" i="37" s="1"/>
  <c r="L13" i="37" s="1"/>
  <c r="L14" i="37" s="1"/>
  <c r="L15" i="37" s="1"/>
  <c r="L16" i="37" s="1"/>
  <c r="L17" i="37" s="1"/>
  <c r="L18" i="37" s="1"/>
  <c r="L19" i="37" s="1"/>
  <c r="L20" i="37" s="1"/>
  <c r="L21" i="37" s="1"/>
  <c r="L22" i="37" s="1"/>
  <c r="L8" i="25"/>
  <c r="L9" i="25" s="1"/>
  <c r="L10" i="25" s="1"/>
  <c r="L11" i="25" s="1"/>
  <c r="L12" i="25" s="1"/>
  <c r="L13" i="25" s="1"/>
  <c r="L14" i="25" s="1"/>
  <c r="L15" i="25" s="1"/>
  <c r="L16" i="25" s="1"/>
  <c r="L17" i="25" s="1"/>
  <c r="L18" i="25" s="1"/>
  <c r="L19" i="25" s="1"/>
  <c r="L20" i="25" s="1"/>
  <c r="L21" i="25" s="1"/>
  <c r="L22" i="25" s="1"/>
  <c r="L8" i="28"/>
  <c r="L9" i="28" s="1"/>
  <c r="L10" i="28" s="1"/>
  <c r="L11" i="28" s="1"/>
  <c r="L12" i="28" s="1"/>
  <c r="L13" i="28" s="1"/>
  <c r="L14" i="28" s="1"/>
  <c r="L15" i="28" s="1"/>
  <c r="L16" i="28" s="1"/>
  <c r="L17" i="28" s="1"/>
  <c r="L18" i="28" s="1"/>
  <c r="L19" i="28" s="1"/>
  <c r="L20" i="28" s="1"/>
  <c r="L21" i="28" s="1"/>
  <c r="L22" i="28" s="1"/>
  <c r="M8" i="29"/>
  <c r="M9" i="29" s="1"/>
  <c r="M10" i="29" s="1"/>
  <c r="M11" i="29" s="1"/>
  <c r="M12" i="29" s="1"/>
  <c r="M13" i="29" s="1"/>
  <c r="M14" i="29" s="1"/>
  <c r="M15" i="29" s="1"/>
  <c r="M16" i="29" s="1"/>
  <c r="M17" i="29" s="1"/>
  <c r="M18" i="29" s="1"/>
  <c r="M19" i="29" s="1"/>
  <c r="M20" i="29" s="1"/>
  <c r="M21" i="29" s="1"/>
  <c r="M22" i="29" s="1"/>
  <c r="M8" i="31"/>
  <c r="M9" i="31" s="1"/>
  <c r="M10" i="31" s="1"/>
  <c r="M11" i="31" s="1"/>
  <c r="M12" i="31" s="1"/>
  <c r="M13" i="31" s="1"/>
  <c r="M14" i="31" s="1"/>
  <c r="M15" i="31" s="1"/>
  <c r="M16" i="31" s="1"/>
  <c r="M17" i="31" s="1"/>
  <c r="M18" i="31" s="1"/>
  <c r="M19" i="31" s="1"/>
  <c r="M20" i="31" s="1"/>
  <c r="M21" i="31" s="1"/>
  <c r="M22" i="31" s="1"/>
  <c r="M8" i="32"/>
  <c r="M9" i="32" s="1"/>
  <c r="M10" i="32" s="1"/>
  <c r="M11" i="32" s="1"/>
  <c r="M12" i="32" s="1"/>
  <c r="M13" i="32" s="1"/>
  <c r="M14" i="32" s="1"/>
  <c r="M15" i="32" s="1"/>
  <c r="M16" i="32" s="1"/>
  <c r="M17" i="32" s="1"/>
  <c r="M18" i="32" s="1"/>
  <c r="M19" i="32" s="1"/>
  <c r="M20" i="32" s="1"/>
  <c r="M21" i="32" s="1"/>
  <c r="M22" i="32" s="1"/>
  <c r="M8" i="34"/>
  <c r="M9" i="34" s="1"/>
  <c r="M10" i="34" s="1"/>
  <c r="M11" i="34" s="1"/>
  <c r="M12" i="34" s="1"/>
  <c r="M13" i="34" s="1"/>
  <c r="M14" i="34" s="1"/>
  <c r="M15" i="34" s="1"/>
  <c r="M16" i="34" s="1"/>
  <c r="M17" i="34" s="1"/>
  <c r="M18" i="34" s="1"/>
  <c r="M19" i="34" s="1"/>
  <c r="M20" i="34" s="1"/>
  <c r="M21" i="34" s="1"/>
  <c r="M22" i="34" s="1"/>
  <c r="M8" i="36"/>
  <c r="M9" i="36" s="1"/>
  <c r="M10" i="36" s="1"/>
  <c r="M11" i="36" s="1"/>
  <c r="M12" i="36" s="1"/>
  <c r="M13" i="36" s="1"/>
  <c r="M14" i="36" s="1"/>
  <c r="M15" i="36" s="1"/>
  <c r="M16" i="36" s="1"/>
  <c r="M17" i="36" s="1"/>
  <c r="M18" i="36" s="1"/>
  <c r="M19" i="36" s="1"/>
  <c r="M20" i="36" s="1"/>
  <c r="M21" i="36" s="1"/>
  <c r="M22" i="36" s="1"/>
  <c r="M8" i="28"/>
  <c r="M9" i="28" s="1"/>
  <c r="M10" i="28" s="1"/>
  <c r="M11" i="28" s="1"/>
  <c r="M12" i="28" s="1"/>
  <c r="M13" i="28" s="1"/>
  <c r="M14" i="28" s="1"/>
  <c r="M15" i="28" s="1"/>
  <c r="M16" i="28" s="1"/>
  <c r="M17" i="28" s="1"/>
  <c r="M18" i="28" s="1"/>
  <c r="M19" i="28" s="1"/>
  <c r="M20" i="28" s="1"/>
  <c r="M21" i="28" s="1"/>
  <c r="M22" i="28" s="1"/>
  <c r="L8" i="30"/>
  <c r="L9" i="30" s="1"/>
  <c r="L10" i="30" s="1"/>
  <c r="L11" i="30" s="1"/>
  <c r="L12" i="30" s="1"/>
  <c r="L13" i="30" s="1"/>
  <c r="L14" i="30" s="1"/>
  <c r="L15" i="30" s="1"/>
  <c r="L16" i="30" s="1"/>
  <c r="L17" i="30" s="1"/>
  <c r="L18" i="30" s="1"/>
  <c r="L19" i="30" s="1"/>
  <c r="L20" i="30" s="1"/>
  <c r="L21" i="30" s="1"/>
  <c r="L22" i="30" s="1"/>
  <c r="L8" i="33"/>
  <c r="L9" i="33" s="1"/>
  <c r="L10" i="33" s="1"/>
  <c r="L11" i="33" s="1"/>
  <c r="L12" i="33" s="1"/>
  <c r="L13" i="33" s="1"/>
  <c r="L14" i="33" s="1"/>
  <c r="L15" i="33" s="1"/>
  <c r="L16" i="33" s="1"/>
  <c r="L17" i="33" s="1"/>
  <c r="L18" i="33" s="1"/>
  <c r="L19" i="33" s="1"/>
  <c r="L20" i="33" s="1"/>
  <c r="L21" i="33" s="1"/>
  <c r="L22" i="33" s="1"/>
  <c r="L8" i="38"/>
  <c r="L9" i="38" s="1"/>
  <c r="L10" i="38" s="1"/>
  <c r="L11" i="38" s="1"/>
  <c r="L12" i="38" s="1"/>
  <c r="L13" i="38" s="1"/>
  <c r="L14" i="38" s="1"/>
  <c r="L15" i="38" s="1"/>
  <c r="L16" i="38" s="1"/>
  <c r="L17" i="38" s="1"/>
  <c r="L18" i="38" s="1"/>
  <c r="L19" i="38" s="1"/>
  <c r="L20" i="38" s="1"/>
  <c r="L21" i="38" s="1"/>
  <c r="L22" i="38" s="1"/>
  <c r="O8" i="24"/>
  <c r="O9" i="24" s="1"/>
  <c r="O10" i="24" s="1"/>
  <c r="O11" i="24" s="1"/>
  <c r="O12" i="24" s="1"/>
  <c r="O13" i="24" s="1"/>
  <c r="O14" i="24" s="1"/>
  <c r="L8" i="26"/>
  <c r="L9" i="26" s="1"/>
  <c r="L10" i="26" s="1"/>
  <c r="L11" i="26" s="1"/>
  <c r="L12" i="26" s="1"/>
  <c r="L13" i="26" s="1"/>
  <c r="L14" i="26" s="1"/>
  <c r="L15" i="26" s="1"/>
  <c r="L16" i="26" s="1"/>
  <c r="L17" i="26" s="1"/>
  <c r="L18" i="26" s="1"/>
  <c r="L19" i="26" s="1"/>
  <c r="L20" i="26" s="1"/>
  <c r="L21" i="26" s="1"/>
  <c r="L22" i="26" s="1"/>
  <c r="L8" i="27"/>
  <c r="L9" i="27" s="1"/>
  <c r="L10" i="27" s="1"/>
  <c r="L11" i="27" s="1"/>
  <c r="L12" i="27" s="1"/>
  <c r="L13" i="27" s="1"/>
  <c r="L14" i="27" s="1"/>
  <c r="L15" i="27" s="1"/>
  <c r="L16" i="27" s="1"/>
  <c r="L17" i="27" s="1"/>
  <c r="L18" i="27" s="1"/>
  <c r="L19" i="27" s="1"/>
  <c r="L20" i="27" s="1"/>
  <c r="L21" i="27" s="1"/>
  <c r="L22" i="27" s="1"/>
  <c r="M8" i="30"/>
  <c r="M9" i="30" s="1"/>
  <c r="M10" i="30" s="1"/>
  <c r="M11" i="30" s="1"/>
  <c r="M12" i="30" s="1"/>
  <c r="M13" i="30" s="1"/>
  <c r="M14" i="30" s="1"/>
  <c r="M15" i="30" s="1"/>
  <c r="M16" i="30" s="1"/>
  <c r="M17" i="30" s="1"/>
  <c r="M18" i="30" s="1"/>
  <c r="M19" i="30" s="1"/>
  <c r="M20" i="30" s="1"/>
  <c r="M21" i="30" s="1"/>
  <c r="M22" i="30" s="1"/>
  <c r="M8" i="33"/>
  <c r="M9" i="33" s="1"/>
  <c r="M10" i="33" s="1"/>
  <c r="M11" i="33" s="1"/>
  <c r="M12" i="33" s="1"/>
  <c r="M13" i="33" s="1"/>
  <c r="M14" i="33" s="1"/>
  <c r="M15" i="33" s="1"/>
  <c r="M16" i="33" s="1"/>
  <c r="M17" i="33" s="1"/>
  <c r="M18" i="33" s="1"/>
  <c r="M19" i="33" s="1"/>
  <c r="M20" i="33" s="1"/>
  <c r="M21" i="33" s="1"/>
  <c r="M22" i="33" s="1"/>
  <c r="Q45" i="44"/>
  <c r="K45" i="44"/>
  <c r="J46" i="44"/>
  <c r="O42" i="42"/>
  <c r="P41" i="42" s="1"/>
  <c r="O43" i="44"/>
  <c r="P42" i="44" s="1"/>
  <c r="M43" i="42"/>
  <c r="L43" i="42"/>
  <c r="M44" i="44"/>
  <c r="L44" i="44"/>
  <c r="K44" i="42"/>
  <c r="N44" i="42" s="1"/>
  <c r="J45" i="42"/>
  <c r="Q44" i="42"/>
  <c r="Z80" i="36"/>
  <c r="AA80" i="36" s="1"/>
  <c r="Z79" i="36"/>
  <c r="AA79" i="36" s="1"/>
  <c r="M63" i="36"/>
  <c r="M64" i="36" s="1"/>
  <c r="M65" i="36" s="1"/>
  <c r="M66" i="36" s="1"/>
  <c r="M67" i="36" s="1"/>
  <c r="M68" i="36" s="1"/>
  <c r="M69" i="36" s="1"/>
  <c r="M70" i="36" s="1"/>
  <c r="M71" i="36" s="1"/>
  <c r="M72" i="36" s="1"/>
  <c r="M73" i="36" s="1"/>
  <c r="M74" i="36" s="1"/>
  <c r="M75" i="36" s="1"/>
  <c r="M76" i="36" s="1"/>
  <c r="M77" i="36" s="1"/>
  <c r="K90" i="28"/>
  <c r="K35" i="32"/>
  <c r="K90" i="32"/>
  <c r="K36" i="31"/>
  <c r="K35" i="27"/>
  <c r="K35" i="30"/>
  <c r="K35" i="29"/>
  <c r="K35" i="28"/>
  <c r="K90" i="25"/>
  <c r="K35" i="26"/>
  <c r="K35" i="37"/>
  <c r="K35" i="34"/>
  <c r="K90" i="36"/>
  <c r="K35" i="38"/>
  <c r="K36" i="38"/>
  <c r="K36" i="37"/>
  <c r="K91" i="36"/>
  <c r="K36" i="34"/>
  <c r="K36" i="33"/>
  <c r="K35" i="33"/>
  <c r="K91" i="32"/>
  <c r="K36" i="32"/>
  <c r="K35" i="31"/>
  <c r="K36" i="29"/>
  <c r="K91" i="28"/>
  <c r="K36" i="28"/>
  <c r="K36" i="27"/>
  <c r="K36" i="26"/>
  <c r="K91" i="25"/>
  <c r="K36" i="22"/>
  <c r="K87" i="36"/>
  <c r="K86" i="36"/>
  <c r="K32" i="32"/>
  <c r="K31" i="32"/>
  <c r="K32" i="31"/>
  <c r="K32" i="28"/>
  <c r="K31" i="28"/>
  <c r="K31" i="27"/>
  <c r="K31" i="26"/>
  <c r="K32" i="26"/>
  <c r="K86" i="25"/>
  <c r="K87" i="25"/>
  <c r="K32" i="23"/>
  <c r="K31" i="23"/>
  <c r="K32" i="22"/>
  <c r="K31" i="22"/>
  <c r="K87" i="28"/>
  <c r="K86" i="28"/>
  <c r="K29" i="22"/>
  <c r="K30" i="22" s="1"/>
  <c r="L8" i="22"/>
  <c r="L9" i="22" s="1"/>
  <c r="L10" i="22" s="1"/>
  <c r="L11" i="22" s="1"/>
  <c r="L12" i="22" s="1"/>
  <c r="L13" i="22" s="1"/>
  <c r="L14" i="22" s="1"/>
  <c r="L15" i="22" s="1"/>
  <c r="L16" i="22" s="1"/>
  <c r="L17" i="22" s="1"/>
  <c r="L18" i="22" s="1"/>
  <c r="L19" i="22" s="1"/>
  <c r="L20" i="22" s="1"/>
  <c r="L21" i="22" s="1"/>
  <c r="L22" i="22" s="1"/>
  <c r="K29" i="26"/>
  <c r="K30" i="26" s="1"/>
  <c r="K29" i="27"/>
  <c r="K30" i="27" s="1"/>
  <c r="K32" i="27"/>
  <c r="K31" i="29"/>
  <c r="K29" i="23"/>
  <c r="K30" i="23" s="1"/>
  <c r="K27" i="31"/>
  <c r="K28" i="31" s="1"/>
  <c r="K29" i="31"/>
  <c r="K30" i="31" s="1"/>
  <c r="K85" i="25"/>
  <c r="K29" i="28"/>
  <c r="K30" i="28" s="1"/>
  <c r="K31" i="30"/>
  <c r="K29" i="30"/>
  <c r="K30" i="30" s="1"/>
  <c r="K32" i="30"/>
  <c r="K27" i="30"/>
  <c r="K28" i="30" s="1"/>
  <c r="K84" i="28"/>
  <c r="K85" i="28" s="1"/>
  <c r="K86" i="32"/>
  <c r="K84" i="32"/>
  <c r="K85" i="32" s="1"/>
  <c r="K82" i="32"/>
  <c r="K83" i="32" s="1"/>
  <c r="K29" i="34"/>
  <c r="K30" i="34" s="1"/>
  <c r="K82" i="28"/>
  <c r="K83" i="28" s="1"/>
  <c r="K31" i="31"/>
  <c r="K29" i="32"/>
  <c r="K30" i="32" s="1"/>
  <c r="K31" i="33"/>
  <c r="K32" i="29"/>
  <c r="K32" i="33"/>
  <c r="K29" i="33"/>
  <c r="K30" i="33" s="1"/>
  <c r="K27" i="33"/>
  <c r="K28" i="33" s="1"/>
  <c r="K31" i="34"/>
  <c r="K32" i="34"/>
  <c r="K87" i="32"/>
  <c r="K82" i="36"/>
  <c r="K83" i="36" s="1"/>
  <c r="K84" i="36"/>
  <c r="K85" i="36" s="1"/>
  <c r="K31" i="38"/>
  <c r="K29" i="38"/>
  <c r="K30" i="38" s="1"/>
  <c r="K29" i="37"/>
  <c r="K30" i="37" s="1"/>
  <c r="K31" i="37"/>
  <c r="K32" i="37"/>
  <c r="K32" i="38"/>
  <c r="K88" i="25" l="1"/>
  <c r="L35" i="37"/>
  <c r="L36" i="26"/>
  <c r="L36" i="37"/>
  <c r="L35" i="26"/>
  <c r="K8" i="21"/>
  <c r="K19" i="21" s="1"/>
  <c r="K20" i="21" s="1"/>
  <c r="N70" i="48"/>
  <c r="N65" i="48"/>
  <c r="N68" i="47"/>
  <c r="N74" i="47"/>
  <c r="O74" i="47" s="1"/>
  <c r="N66" i="47"/>
  <c r="N67" i="47" s="1"/>
  <c r="N69" i="47"/>
  <c r="N64" i="47"/>
  <c r="N75" i="47"/>
  <c r="O75" i="47" s="1"/>
  <c r="N70" i="49"/>
  <c r="C3" i="51"/>
  <c r="E2" i="51"/>
  <c r="N65" i="49"/>
  <c r="N72" i="49"/>
  <c r="C11" i="51"/>
  <c r="C15" i="51"/>
  <c r="C5" i="51"/>
  <c r="E5" i="51" s="1"/>
  <c r="C13" i="51"/>
  <c r="C7" i="51"/>
  <c r="C17" i="51"/>
  <c r="N21" i="24"/>
  <c r="N22" i="24" s="1"/>
  <c r="N23" i="24"/>
  <c r="C9" i="51"/>
  <c r="N19" i="24"/>
  <c r="N20" i="24" s="1"/>
  <c r="N24" i="24"/>
  <c r="P46" i="24"/>
  <c r="N58" i="24"/>
  <c r="O58" i="24" s="1"/>
  <c r="N53" i="24"/>
  <c r="P45" i="24"/>
  <c r="N48" i="24"/>
  <c r="N52" i="24"/>
  <c r="N50" i="24"/>
  <c r="N51" i="24" s="1"/>
  <c r="N59" i="24"/>
  <c r="O59" i="24" s="1"/>
  <c r="K50" i="39"/>
  <c r="D15" i="46"/>
  <c r="D15" i="51"/>
  <c r="D10" i="46"/>
  <c r="D10" i="51"/>
  <c r="E10" i="51" s="1"/>
  <c r="D11" i="46"/>
  <c r="D11" i="51"/>
  <c r="D6" i="46"/>
  <c r="D6" i="51"/>
  <c r="E6" i="51" s="1"/>
  <c r="D17" i="46"/>
  <c r="D17" i="51"/>
  <c r="D7" i="46"/>
  <c r="D7" i="51"/>
  <c r="D3" i="46"/>
  <c r="D3" i="51"/>
  <c r="D13" i="46"/>
  <c r="E13" i="46" s="1"/>
  <c r="D13" i="51"/>
  <c r="D9" i="46"/>
  <c r="D9" i="51"/>
  <c r="D12" i="46"/>
  <c r="E12" i="46" s="1"/>
  <c r="D12" i="51"/>
  <c r="E12" i="51" s="1"/>
  <c r="D4" i="46"/>
  <c r="D4" i="51"/>
  <c r="E4" i="51" s="1"/>
  <c r="D14" i="46"/>
  <c r="D14" i="51"/>
  <c r="E14" i="51" s="1"/>
  <c r="D8" i="46"/>
  <c r="D8" i="51"/>
  <c r="E8" i="51" s="1"/>
  <c r="D16" i="46"/>
  <c r="D16" i="51"/>
  <c r="E16" i="51" s="1"/>
  <c r="K54" i="39"/>
  <c r="K56" i="39"/>
  <c r="K57" i="39"/>
  <c r="K47" i="39"/>
  <c r="K45" i="39"/>
  <c r="K36" i="36"/>
  <c r="K48" i="39"/>
  <c r="K77" i="39"/>
  <c r="K32" i="36"/>
  <c r="K31" i="25"/>
  <c r="K46" i="39"/>
  <c r="K35" i="39"/>
  <c r="K58" i="39"/>
  <c r="D5" i="46"/>
  <c r="K29" i="39"/>
  <c r="K30" i="39" s="1"/>
  <c r="K44" i="39"/>
  <c r="W9" i="36"/>
  <c r="K79" i="39"/>
  <c r="K52" i="39"/>
  <c r="K36" i="39"/>
  <c r="K49" i="39"/>
  <c r="K36" i="25"/>
  <c r="K32" i="39"/>
  <c r="K29" i="36"/>
  <c r="K30" i="36" s="1"/>
  <c r="K27" i="25"/>
  <c r="K28" i="25" s="1"/>
  <c r="K32" i="25"/>
  <c r="K35" i="25"/>
  <c r="K59" i="39"/>
  <c r="W10" i="36"/>
  <c r="D2" i="46"/>
  <c r="K75" i="39"/>
  <c r="K27" i="39"/>
  <c r="K28" i="39" s="1"/>
  <c r="K27" i="36"/>
  <c r="K28" i="36" s="1"/>
  <c r="K29" i="25"/>
  <c r="K30" i="25" s="1"/>
  <c r="K35" i="36"/>
  <c r="K51" i="39"/>
  <c r="K68" i="39"/>
  <c r="K31" i="36"/>
  <c r="K31" i="39"/>
  <c r="AC33" i="39"/>
  <c r="AD32" i="39"/>
  <c r="AE32" i="39" s="1"/>
  <c r="O43" i="42"/>
  <c r="P42" i="42" s="1"/>
  <c r="M44" i="42"/>
  <c r="L44" i="42"/>
  <c r="M45" i="44"/>
  <c r="L45" i="44"/>
  <c r="Q46" i="44"/>
  <c r="K46" i="44"/>
  <c r="N46" i="44"/>
  <c r="J47" i="44"/>
  <c r="O44" i="44"/>
  <c r="P43" i="44" s="1"/>
  <c r="N45" i="44"/>
  <c r="K45" i="42"/>
  <c r="J46" i="42"/>
  <c r="Q45" i="42"/>
  <c r="K88" i="36"/>
  <c r="K33" i="32"/>
  <c r="K88" i="28"/>
  <c r="K33" i="22"/>
  <c r="K33" i="31"/>
  <c r="K33" i="27"/>
  <c r="K33" i="37"/>
  <c r="K88" i="32"/>
  <c r="K33" i="23"/>
  <c r="K33" i="33"/>
  <c r="K33" i="38"/>
  <c r="K33" i="30"/>
  <c r="K33" i="26"/>
  <c r="K33" i="29"/>
  <c r="K33" i="28"/>
  <c r="K33" i="34"/>
  <c r="K23" i="21" l="1"/>
  <c r="K28" i="21"/>
  <c r="K24" i="21"/>
  <c r="K21" i="21"/>
  <c r="K22" i="21" s="1"/>
  <c r="K27" i="21"/>
  <c r="Z25" i="36"/>
  <c r="AA25" i="36" s="1"/>
  <c r="N70" i="47"/>
  <c r="N72" i="47"/>
  <c r="N65" i="47"/>
  <c r="E3" i="51"/>
  <c r="E13" i="51"/>
  <c r="E11" i="51"/>
  <c r="E17" i="51"/>
  <c r="E7" i="51"/>
  <c r="E15" i="51"/>
  <c r="N25" i="24"/>
  <c r="N54" i="24"/>
  <c r="E9" i="51"/>
  <c r="N56" i="24"/>
  <c r="N49" i="24"/>
  <c r="K33" i="25"/>
  <c r="K33" i="39"/>
  <c r="K33" i="36"/>
  <c r="M85" i="39"/>
  <c r="N85" i="39" s="1"/>
  <c r="M86" i="39"/>
  <c r="N86" i="39" s="1"/>
  <c r="M61" i="39"/>
  <c r="N61" i="39" s="1"/>
  <c r="M62" i="39"/>
  <c r="N62" i="39" s="1"/>
  <c r="Z24" i="36"/>
  <c r="AA24" i="36" s="1"/>
  <c r="AC34" i="39"/>
  <c r="AD33" i="39"/>
  <c r="AE33" i="39" s="1"/>
  <c r="O44" i="42"/>
  <c r="P43" i="42" s="1"/>
  <c r="O45" i="44"/>
  <c r="P44" i="44" s="1"/>
  <c r="K46" i="42"/>
  <c r="N46" i="42" s="1"/>
  <c r="J47" i="42"/>
  <c r="Q46" i="42"/>
  <c r="M45" i="42"/>
  <c r="L45" i="42"/>
  <c r="Q47" i="44"/>
  <c r="K47" i="44"/>
  <c r="N47" i="44" s="1"/>
  <c r="J48" i="44"/>
  <c r="N45" i="42"/>
  <c r="M46" i="44"/>
  <c r="L46" i="44"/>
  <c r="K25" i="21" l="1"/>
  <c r="E23" i="51"/>
  <c r="E20" i="51"/>
  <c r="E21" i="51"/>
  <c r="E24" i="51"/>
  <c r="AD34" i="39"/>
  <c r="AE34" i="39" s="1"/>
  <c r="AC35" i="39"/>
  <c r="K47" i="42"/>
  <c r="N47" i="42" s="1"/>
  <c r="J48" i="42"/>
  <c r="Q47" i="42"/>
  <c r="Q48" i="44"/>
  <c r="K48" i="44"/>
  <c r="N48" i="44" s="1"/>
  <c r="J49" i="44"/>
  <c r="O45" i="42"/>
  <c r="P44" i="42" s="1"/>
  <c r="O46" i="44"/>
  <c r="P45" i="44" s="1"/>
  <c r="M47" i="44"/>
  <c r="L47" i="44"/>
  <c r="M46" i="42"/>
  <c r="L46" i="42"/>
  <c r="AC36" i="39" l="1"/>
  <c r="AD35" i="39"/>
  <c r="AE35" i="39" s="1"/>
  <c r="O47" i="44"/>
  <c r="P46" i="44" s="1"/>
  <c r="Q49" i="44"/>
  <c r="K49" i="44"/>
  <c r="J50" i="44"/>
  <c r="O46" i="42"/>
  <c r="P45" i="42" s="1"/>
  <c r="M48" i="44"/>
  <c r="L48" i="44"/>
  <c r="K48" i="42"/>
  <c r="J49" i="42"/>
  <c r="Q48" i="42"/>
  <c r="M47" i="42"/>
  <c r="L47" i="42"/>
  <c r="AC37" i="39" l="1"/>
  <c r="AD36" i="39"/>
  <c r="AE36" i="39" s="1"/>
  <c r="O48" i="44"/>
  <c r="P47" i="44" s="1"/>
  <c r="M49" i="44"/>
  <c r="L49" i="44"/>
  <c r="Q50" i="44"/>
  <c r="K50" i="44"/>
  <c r="J51" i="44"/>
  <c r="N49" i="44"/>
  <c r="M48" i="42"/>
  <c r="L48" i="42"/>
  <c r="N48" i="42"/>
  <c r="O47" i="42"/>
  <c r="P46" i="42" s="1"/>
  <c r="K49" i="42"/>
  <c r="N49" i="42" s="1"/>
  <c r="J50" i="42"/>
  <c r="Q49" i="42"/>
  <c r="AC38" i="39" l="1"/>
  <c r="AD37" i="39"/>
  <c r="AE37" i="39" s="1"/>
  <c r="M49" i="42"/>
  <c r="L49" i="42"/>
  <c r="Q51" i="44"/>
  <c r="K51" i="44"/>
  <c r="N51" i="44" s="1"/>
  <c r="J52" i="44"/>
  <c r="O49" i="44"/>
  <c r="P48" i="44" s="1"/>
  <c r="M50" i="44"/>
  <c r="L50" i="44"/>
  <c r="K50" i="42"/>
  <c r="N50" i="42" s="1"/>
  <c r="J51" i="42"/>
  <c r="Q50" i="42"/>
  <c r="O48" i="42"/>
  <c r="P47" i="42" s="1"/>
  <c r="N50" i="44"/>
  <c r="AD38" i="39" l="1"/>
  <c r="AE38" i="39" s="1"/>
  <c r="AC39" i="39"/>
  <c r="M50" i="42"/>
  <c r="L50" i="42"/>
  <c r="Q52" i="44"/>
  <c r="K52" i="44"/>
  <c r="J53" i="44"/>
  <c r="O49" i="42"/>
  <c r="P48" i="42" s="1"/>
  <c r="K51" i="42"/>
  <c r="N51" i="42" s="1"/>
  <c r="J52" i="42"/>
  <c r="Q51" i="42"/>
  <c r="O50" i="44"/>
  <c r="P49" i="44" s="1"/>
  <c r="M51" i="44"/>
  <c r="L51" i="44"/>
  <c r="AC40" i="39" l="1"/>
  <c r="AD39" i="39"/>
  <c r="AE39" i="39" s="1"/>
  <c r="M51" i="42"/>
  <c r="L51" i="42"/>
  <c r="M52" i="44"/>
  <c r="L52" i="44"/>
  <c r="O51" i="44"/>
  <c r="P50" i="44" s="1"/>
  <c r="Q53" i="44"/>
  <c r="K53" i="44"/>
  <c r="N53" i="44" s="1"/>
  <c r="J54" i="44"/>
  <c r="O50" i="42"/>
  <c r="P49" i="42" s="1"/>
  <c r="K52" i="42"/>
  <c r="N52" i="42" s="1"/>
  <c r="Q52" i="42"/>
  <c r="N52" i="44"/>
  <c r="AC41" i="39" l="1"/>
  <c r="AD40" i="39"/>
  <c r="AE40" i="39" s="1"/>
  <c r="O52" i="44"/>
  <c r="P51" i="44" s="1"/>
  <c r="M52" i="42"/>
  <c r="L52" i="42"/>
  <c r="M53" i="44"/>
  <c r="L53" i="44"/>
  <c r="O51" i="42"/>
  <c r="P50" i="42" s="1"/>
  <c r="Q54" i="44"/>
  <c r="K54" i="44"/>
  <c r="N54" i="44" s="1"/>
  <c r="J55" i="44"/>
  <c r="AC42" i="39" l="1"/>
  <c r="AD41" i="39"/>
  <c r="AE41" i="39" s="1"/>
  <c r="O53" i="44"/>
  <c r="P52" i="44" s="1"/>
  <c r="M54" i="44"/>
  <c r="L54" i="44"/>
  <c r="O52" i="42"/>
  <c r="Q55" i="44"/>
  <c r="K55" i="44"/>
  <c r="J56" i="44"/>
  <c r="AD42" i="39" l="1"/>
  <c r="AE42" i="39" s="1"/>
  <c r="AC43" i="39"/>
  <c r="Q56" i="44"/>
  <c r="K56" i="44"/>
  <c r="N56" i="44" s="1"/>
  <c r="J57" i="44"/>
  <c r="P51" i="42"/>
  <c r="P52" i="42"/>
  <c r="M55" i="44"/>
  <c r="L55" i="44"/>
  <c r="O54" i="44"/>
  <c r="P53" i="44" s="1"/>
  <c r="N55" i="44"/>
  <c r="AC44" i="39" l="1"/>
  <c r="AD43" i="39"/>
  <c r="AE43" i="39" s="1"/>
  <c r="P54" i="42"/>
  <c r="S55" i="42" s="1"/>
  <c r="O55" i="44"/>
  <c r="P54" i="44" s="1"/>
  <c r="M56" i="44"/>
  <c r="L56" i="44"/>
  <c r="Q57" i="44"/>
  <c r="K57" i="44"/>
  <c r="N57" i="44" s="1"/>
  <c r="P55" i="42" l="1"/>
  <c r="S56" i="42" s="1"/>
  <c r="AC45" i="39"/>
  <c r="AD44" i="39"/>
  <c r="AE44" i="39" s="1"/>
  <c r="S37" i="42"/>
  <c r="T37" i="42" s="1"/>
  <c r="T36" i="42" s="1"/>
  <c r="O56" i="44"/>
  <c r="P55" i="44" s="1"/>
  <c r="S35" i="42"/>
  <c r="S36" i="42" s="1"/>
  <c r="M57" i="44"/>
  <c r="L57" i="44"/>
  <c r="AC46" i="39" l="1"/>
  <c r="AD45" i="39"/>
  <c r="AE45" i="39" s="1"/>
  <c r="T35" i="42"/>
  <c r="O57" i="44"/>
  <c r="AD46" i="39" l="1"/>
  <c r="AE46" i="39" s="1"/>
  <c r="AC47" i="39"/>
  <c r="P56" i="44"/>
  <c r="P57" i="44"/>
  <c r="AC48" i="39" l="1"/>
  <c r="AD47" i="39"/>
  <c r="AE47" i="39" s="1"/>
  <c r="P59" i="44"/>
  <c r="S60" i="44" s="1"/>
  <c r="P60" i="44" l="1"/>
  <c r="S61" i="44" s="1"/>
  <c r="AC49" i="39"/>
  <c r="AD48" i="39"/>
  <c r="AE48" i="39" s="1"/>
  <c r="S35" i="44"/>
  <c r="T35" i="44" s="1"/>
  <c r="S37" i="44"/>
  <c r="T37" i="44" s="1"/>
  <c r="T36" i="44" s="1"/>
  <c r="AC50" i="39" l="1"/>
  <c r="AD49" i="39"/>
  <c r="AE49" i="39" s="1"/>
  <c r="S36" i="44"/>
  <c r="AC51" i="39" l="1"/>
  <c r="AD50" i="39"/>
  <c r="AE50" i="39" s="1"/>
  <c r="E6" i="46"/>
  <c r="E14" i="46"/>
  <c r="E7" i="46"/>
  <c r="E15" i="46"/>
  <c r="AC52" i="39" l="1"/>
  <c r="AD51" i="39"/>
  <c r="AE51" i="39" s="1"/>
  <c r="E5" i="46"/>
  <c r="E34" i="46"/>
  <c r="E4" i="46"/>
  <c r="E35" i="46"/>
  <c r="E27" i="46"/>
  <c r="E26" i="46"/>
  <c r="E33" i="46"/>
  <c r="E25" i="46"/>
  <c r="E32" i="46"/>
  <c r="E24" i="46"/>
  <c r="E11" i="46"/>
  <c r="E3" i="46"/>
  <c r="E10" i="46"/>
  <c r="E17" i="46"/>
  <c r="E9" i="46"/>
  <c r="E16" i="46"/>
  <c r="E8" i="46"/>
  <c r="E22" i="46"/>
  <c r="E31" i="46"/>
  <c r="E23" i="46"/>
  <c r="E30" i="46"/>
  <c r="E37" i="46"/>
  <c r="E29" i="46"/>
  <c r="E36" i="46"/>
  <c r="E28" i="46"/>
  <c r="E2" i="46"/>
  <c r="E39" i="46" l="1"/>
  <c r="E38" i="46"/>
  <c r="E19" i="46"/>
  <c r="E18" i="46"/>
  <c r="AC53" i="39"/>
  <c r="AD52" i="39"/>
  <c r="AE52" i="39" s="1"/>
  <c r="AC54" i="39" l="1"/>
  <c r="AD53" i="39"/>
  <c r="AE53" i="39" s="1"/>
  <c r="AD54" i="39" l="1"/>
  <c r="AE54" i="39" s="1"/>
  <c r="AC55" i="39"/>
  <c r="AC56" i="39" l="1"/>
  <c r="AD55" i="39"/>
  <c r="AE55" i="39" s="1"/>
  <c r="AC57" i="39" l="1"/>
  <c r="AD56" i="39"/>
  <c r="AE56" i="39" s="1"/>
  <c r="AC58" i="39" l="1"/>
  <c r="AD57" i="39"/>
  <c r="AE57" i="39" s="1"/>
  <c r="AC59" i="39" l="1"/>
  <c r="AD58" i="39"/>
  <c r="AE58" i="39" s="1"/>
  <c r="AC60" i="39" l="1"/>
  <c r="AD59" i="39"/>
  <c r="AE59" i="39" s="1"/>
  <c r="AC61" i="39" l="1"/>
  <c r="AD60" i="39"/>
  <c r="AE60" i="39" s="1"/>
  <c r="AC62" i="39" l="1"/>
  <c r="AD61" i="39"/>
  <c r="AE61" i="39" s="1"/>
  <c r="AC63" i="39" l="1"/>
  <c r="AD62" i="39"/>
  <c r="AE62" i="39" s="1"/>
  <c r="AC64" i="39" l="1"/>
  <c r="AD63" i="39"/>
  <c r="AE63" i="39" s="1"/>
  <c r="AC65" i="39" l="1"/>
  <c r="AD64" i="39"/>
  <c r="AE64" i="39" s="1"/>
  <c r="AC66" i="39" l="1"/>
  <c r="AD65" i="39"/>
  <c r="AE65" i="39" s="1"/>
  <c r="AC67" i="39" l="1"/>
  <c r="AD66" i="39"/>
  <c r="AE66" i="39" s="1"/>
  <c r="AC68" i="39" l="1"/>
  <c r="AD67" i="39"/>
  <c r="AE67" i="39" s="1"/>
  <c r="AF9" i="39" s="1"/>
  <c r="AF10" i="39" s="1"/>
  <c r="AC69" i="39" l="1"/>
  <c r="AD68" i="39"/>
  <c r="AE68" i="39" s="1"/>
  <c r="AC70" i="39" l="1"/>
  <c r="AD69" i="39"/>
  <c r="AE69" i="39" s="1"/>
  <c r="AD70" i="39" l="1"/>
  <c r="AE70" i="39" s="1"/>
  <c r="AC71" i="39"/>
  <c r="AC72" i="39" l="1"/>
  <c r="AD71" i="39"/>
  <c r="AE71" i="39" s="1"/>
  <c r="AC73" i="39" l="1"/>
  <c r="AD72" i="39"/>
  <c r="AE72" i="39" s="1"/>
  <c r="AC74" i="39" l="1"/>
  <c r="AD73" i="39"/>
  <c r="AE73" i="39" s="1"/>
  <c r="AC75" i="39" l="1"/>
  <c r="AD74" i="39"/>
  <c r="AE74" i="39" s="1"/>
  <c r="AC76" i="39" l="1"/>
  <c r="AD76" i="39" s="1"/>
  <c r="AE76" i="39" s="1"/>
  <c r="AD75" i="39"/>
  <c r="AE75" i="39" s="1"/>
  <c r="AF7" i="39" l="1"/>
  <c r="AF8" i="39" s="1"/>
  <c r="AE79" i="39"/>
  <c r="AE78" i="39"/>
</calcChain>
</file>

<file path=xl/sharedStrings.xml><?xml version="1.0" encoding="utf-8"?>
<sst xmlns="http://schemas.openxmlformats.org/spreadsheetml/2006/main" count="4012" uniqueCount="1303">
  <si>
    <t>SONR</t>
    <phoneticPr fontId="1"/>
  </si>
  <si>
    <t>Dwg Rmin</t>
    <phoneticPr fontId="1"/>
  </si>
  <si>
    <t>Dwg Rmax</t>
    <phoneticPr fontId="1"/>
  </si>
  <si>
    <t>Dwg R Max</t>
    <phoneticPr fontId="1"/>
  </si>
  <si>
    <t>Dwg R Min</t>
    <phoneticPr fontId="1"/>
  </si>
  <si>
    <t>SONR</t>
    <phoneticPr fontId="1"/>
  </si>
  <si>
    <t>Avg. Dia.</t>
    <phoneticPr fontId="1"/>
  </si>
  <si>
    <t>Runout</t>
    <phoneticPr fontId="1"/>
  </si>
  <si>
    <t>R O/Max</t>
    <phoneticPr fontId="1"/>
  </si>
  <si>
    <t>R U/Min</t>
    <phoneticPr fontId="1"/>
  </si>
  <si>
    <t>SONR</t>
    <phoneticPr fontId="1"/>
  </si>
  <si>
    <t>Dwg Rmin</t>
    <phoneticPr fontId="1"/>
  </si>
  <si>
    <t>Dwg Rmax</t>
    <phoneticPr fontId="1"/>
  </si>
  <si>
    <t>Runout</t>
    <phoneticPr fontId="1"/>
  </si>
  <si>
    <t>R O/Max</t>
    <phoneticPr fontId="1"/>
  </si>
  <si>
    <t>工程寸法</t>
    <rPh sb="0" eb="2">
      <t>コウテイ</t>
    </rPh>
    <rPh sb="2" eb="4">
      <t>スンポウ</t>
    </rPh>
    <phoneticPr fontId="8"/>
  </si>
  <si>
    <t>SONR</t>
    <phoneticPr fontId="1"/>
  </si>
  <si>
    <t>Dwg R Min</t>
    <phoneticPr fontId="1"/>
  </si>
  <si>
    <t>SONR</t>
    <phoneticPr fontId="1"/>
  </si>
  <si>
    <t>SONR</t>
    <phoneticPr fontId="1"/>
  </si>
  <si>
    <t>Dwg Rmin</t>
    <phoneticPr fontId="1"/>
  </si>
  <si>
    <t>Dwg Rmax</t>
    <phoneticPr fontId="1"/>
  </si>
  <si>
    <t>Dwg R Max</t>
    <phoneticPr fontId="1"/>
  </si>
  <si>
    <t>SONR</t>
    <phoneticPr fontId="1"/>
  </si>
  <si>
    <t>Avg. Dia.</t>
    <phoneticPr fontId="1"/>
  </si>
  <si>
    <t>Dwg R Max</t>
    <phoneticPr fontId="1"/>
  </si>
  <si>
    <t>SONR</t>
    <phoneticPr fontId="1"/>
  </si>
  <si>
    <t>Runout</t>
    <phoneticPr fontId="1"/>
  </si>
  <si>
    <t>R O/Max</t>
    <phoneticPr fontId="1"/>
  </si>
  <si>
    <t>R U/Min</t>
    <phoneticPr fontId="1"/>
  </si>
  <si>
    <t>SONR</t>
    <phoneticPr fontId="1"/>
  </si>
  <si>
    <t>Dwg Rmin</t>
    <phoneticPr fontId="1"/>
  </si>
  <si>
    <t>Dwg Rmax</t>
    <phoneticPr fontId="1"/>
  </si>
  <si>
    <t>Avg. Dia.</t>
    <phoneticPr fontId="1"/>
  </si>
  <si>
    <t>Runout</t>
    <phoneticPr fontId="1"/>
  </si>
  <si>
    <t>R O/Max</t>
    <phoneticPr fontId="1"/>
  </si>
  <si>
    <t>R U/Min</t>
    <phoneticPr fontId="1"/>
  </si>
  <si>
    <t>Runout</t>
    <phoneticPr fontId="1"/>
  </si>
  <si>
    <t>R O/Max</t>
    <phoneticPr fontId="1"/>
  </si>
  <si>
    <t>R U/Min</t>
    <phoneticPr fontId="1"/>
  </si>
  <si>
    <t>SONR</t>
    <phoneticPr fontId="1"/>
  </si>
  <si>
    <t>Dwg Rmin</t>
    <phoneticPr fontId="1"/>
  </si>
  <si>
    <t>Dwg Rmax</t>
    <phoneticPr fontId="1"/>
  </si>
  <si>
    <t>Dwg R Min</t>
    <phoneticPr fontId="1"/>
  </si>
  <si>
    <t>Avg. Dia.</t>
    <phoneticPr fontId="1"/>
  </si>
  <si>
    <t>SONR</t>
    <phoneticPr fontId="1"/>
  </si>
  <si>
    <t>Dwg Rmin</t>
    <phoneticPr fontId="1"/>
  </si>
  <si>
    <t>Dwg Rmax</t>
    <phoneticPr fontId="1"/>
  </si>
  <si>
    <t>Dwg R Max</t>
    <phoneticPr fontId="1"/>
  </si>
  <si>
    <t>Dwg R Min</t>
    <phoneticPr fontId="1"/>
  </si>
  <si>
    <t>SONR</t>
    <phoneticPr fontId="1"/>
  </si>
  <si>
    <t>Runout</t>
    <phoneticPr fontId="1"/>
  </si>
  <si>
    <t>R O/Max</t>
    <phoneticPr fontId="1"/>
  </si>
  <si>
    <t>R U/Min</t>
    <phoneticPr fontId="1"/>
  </si>
  <si>
    <t>SONR</t>
    <phoneticPr fontId="1"/>
  </si>
  <si>
    <t>Dwg R Min</t>
    <phoneticPr fontId="1"/>
  </si>
  <si>
    <t>Runout</t>
    <phoneticPr fontId="1"/>
  </si>
  <si>
    <t>R O/Max</t>
    <phoneticPr fontId="1"/>
  </si>
  <si>
    <t>R U/Min</t>
    <phoneticPr fontId="1"/>
  </si>
  <si>
    <t>Dwg R Min</t>
    <phoneticPr fontId="1"/>
  </si>
  <si>
    <t>Runout</t>
    <phoneticPr fontId="1"/>
  </si>
  <si>
    <t>R O/Max</t>
    <phoneticPr fontId="1"/>
  </si>
  <si>
    <t>R U/Min</t>
    <phoneticPr fontId="1"/>
  </si>
  <si>
    <t>Dwg Rmin</t>
    <phoneticPr fontId="1"/>
  </si>
  <si>
    <t>Dwg Rmax</t>
    <phoneticPr fontId="1"/>
  </si>
  <si>
    <t>Runout</t>
    <phoneticPr fontId="1"/>
  </si>
  <si>
    <t>R O/Max</t>
    <phoneticPr fontId="1"/>
  </si>
  <si>
    <t>R U/Min</t>
    <phoneticPr fontId="1"/>
  </si>
  <si>
    <t>Dwg R Max</t>
    <phoneticPr fontId="1"/>
  </si>
  <si>
    <t>Dwg R Min</t>
    <phoneticPr fontId="1"/>
  </si>
  <si>
    <t>Dwg Rmax</t>
    <phoneticPr fontId="1"/>
  </si>
  <si>
    <t>Avg. Dia.</t>
    <phoneticPr fontId="1"/>
  </si>
  <si>
    <t>SONR</t>
    <phoneticPr fontId="1"/>
  </si>
  <si>
    <t>Runout</t>
    <phoneticPr fontId="1"/>
  </si>
  <si>
    <t>R O/Max</t>
    <phoneticPr fontId="1"/>
  </si>
  <si>
    <t>R U/Min</t>
    <phoneticPr fontId="1"/>
  </si>
  <si>
    <t>CMM計測不可のため，汎用計測にて評価。（測定具CF3J32042）</t>
    <rPh sb="3" eb="5">
      <t>ケイソク</t>
    </rPh>
    <rPh sb="5" eb="7">
      <t>フカ</t>
    </rPh>
    <rPh sb="11" eb="13">
      <t>ハンヨウ</t>
    </rPh>
    <rPh sb="13" eb="15">
      <t>ケイソク</t>
    </rPh>
    <rPh sb="17" eb="19">
      <t>ヒョウカ</t>
    </rPh>
    <rPh sb="21" eb="23">
      <t>ソクテイ</t>
    </rPh>
    <rPh sb="23" eb="24">
      <t>グ</t>
    </rPh>
    <phoneticPr fontId="8"/>
  </si>
  <si>
    <t>SONR</t>
    <phoneticPr fontId="1"/>
  </si>
  <si>
    <t>Dwg Rmin</t>
    <phoneticPr fontId="1"/>
  </si>
  <si>
    <t>Dwg Rmax</t>
    <phoneticPr fontId="1"/>
  </si>
  <si>
    <t>SONR</t>
    <phoneticPr fontId="1"/>
  </si>
  <si>
    <t>Dwg Rmin</t>
    <phoneticPr fontId="1"/>
  </si>
  <si>
    <t>Dwg Rmax</t>
    <phoneticPr fontId="1"/>
  </si>
  <si>
    <t>Dwg R Min</t>
    <phoneticPr fontId="1"/>
  </si>
  <si>
    <t>SONR</t>
    <phoneticPr fontId="1"/>
  </si>
  <si>
    <t>Runout</t>
    <phoneticPr fontId="1"/>
  </si>
  <si>
    <t>R O/Max</t>
    <phoneticPr fontId="1"/>
  </si>
  <si>
    <t>R U/Min</t>
    <phoneticPr fontId="1"/>
  </si>
  <si>
    <t>Dwg Rmin</t>
    <phoneticPr fontId="1"/>
  </si>
  <si>
    <t>Dwg Rmax</t>
    <phoneticPr fontId="1"/>
  </si>
  <si>
    <r>
      <t>Diameter</t>
    </r>
    <r>
      <rPr>
        <sz val="11"/>
        <color theme="1"/>
        <rFont val="ＭＳ Ｐゴシック"/>
        <family val="2"/>
      </rPr>
      <t>換算</t>
    </r>
    <r>
      <rPr>
        <sz val="11"/>
        <color theme="1"/>
        <rFont val="Arial"/>
        <family val="2"/>
      </rPr>
      <t>(P1TF3</t>
    </r>
    <r>
      <rPr>
        <sz val="11"/>
        <color theme="1"/>
        <rFont val="ＭＳ Ｐゴシック"/>
        <family val="2"/>
      </rPr>
      <t>同心円要求</t>
    </r>
    <r>
      <rPr>
        <sz val="11"/>
        <color theme="1"/>
        <rFont val="Arial"/>
        <family val="2"/>
      </rPr>
      <t>)</t>
    </r>
    <rPh sb="8" eb="10">
      <t>カンザン</t>
    </rPh>
    <rPh sb="16" eb="19">
      <t>ドウシンエン</t>
    </rPh>
    <rPh sb="19" eb="21">
      <t>ヨウキュウ</t>
    </rPh>
    <phoneticPr fontId="1"/>
  </si>
  <si>
    <t>Dia. Max</t>
    <phoneticPr fontId="1"/>
  </si>
  <si>
    <t>Dia. Min</t>
    <phoneticPr fontId="1"/>
  </si>
  <si>
    <t>Tol</t>
    <phoneticPr fontId="1"/>
  </si>
  <si>
    <t>Slot Height</t>
    <phoneticPr fontId="1"/>
  </si>
  <si>
    <t>Dwg Rmin</t>
    <phoneticPr fontId="1"/>
  </si>
  <si>
    <t>Dwg Rmax</t>
    <phoneticPr fontId="1"/>
  </si>
  <si>
    <t>Toll Max</t>
    <phoneticPr fontId="1"/>
  </si>
  <si>
    <t>Toll Min</t>
    <phoneticPr fontId="1"/>
  </si>
  <si>
    <t>SONR - (Tool Max)</t>
    <phoneticPr fontId="1"/>
  </si>
  <si>
    <t>SONR - (Tool Min)</t>
    <phoneticPr fontId="1"/>
  </si>
  <si>
    <t>Dwg. Tol</t>
    <phoneticPr fontId="1"/>
  </si>
  <si>
    <t>R O/Max</t>
    <phoneticPr fontId="1"/>
  </si>
  <si>
    <t>R U/Min</t>
    <phoneticPr fontId="1"/>
  </si>
  <si>
    <t>Slot Tool = 1.5+/-0.03</t>
    <phoneticPr fontId="1"/>
  </si>
  <si>
    <t>Dwg. Nom</t>
    <phoneticPr fontId="1"/>
  </si>
  <si>
    <t>Hook Thikness Avg. (JHV419BJ)</t>
    <phoneticPr fontId="1"/>
  </si>
  <si>
    <t>R O/Max</t>
    <phoneticPr fontId="1"/>
  </si>
  <si>
    <t>R U/Min</t>
    <phoneticPr fontId="1"/>
  </si>
  <si>
    <t>SONR - Avg. 2.03</t>
    <phoneticPr fontId="1"/>
  </si>
  <si>
    <t>Area#</t>
    <phoneticPr fontId="8"/>
  </si>
  <si>
    <r>
      <t>Shroud 1segment</t>
    </r>
    <r>
      <rPr>
        <sz val="11"/>
        <color theme="1"/>
        <rFont val="ＭＳ Ｐゴシック"/>
        <family val="3"/>
        <charset val="128"/>
      </rPr>
      <t>間の振れ変化を調べ、クリアランスよりも小さいことを確認する。</t>
    </r>
    <rPh sb="15" eb="16">
      <t>カン</t>
    </rPh>
    <rPh sb="17" eb="18">
      <t>フ</t>
    </rPh>
    <rPh sb="19" eb="21">
      <t>ヘンカ</t>
    </rPh>
    <rPh sb="22" eb="23">
      <t>シラ</t>
    </rPh>
    <rPh sb="34" eb="35">
      <t>チイ</t>
    </rPh>
    <rPh sb="40" eb="42">
      <t>カクニン</t>
    </rPh>
    <phoneticPr fontId="8"/>
  </si>
  <si>
    <t>Max</t>
    <phoneticPr fontId="8"/>
  </si>
  <si>
    <t>Min</t>
    <phoneticPr fontId="8"/>
  </si>
  <si>
    <t>Runout</t>
    <phoneticPr fontId="8"/>
  </si>
  <si>
    <t>Stg.2 Shroud Aft Hook</t>
    <phoneticPr fontId="8"/>
  </si>
  <si>
    <t>Segment</t>
    <phoneticPr fontId="8"/>
  </si>
  <si>
    <t>Start</t>
    <phoneticPr fontId="8"/>
  </si>
  <si>
    <t>[deg.]</t>
    <phoneticPr fontId="8"/>
  </si>
  <si>
    <t>Position</t>
    <phoneticPr fontId="8"/>
  </si>
  <si>
    <t>Base</t>
    <phoneticPr fontId="8"/>
  </si>
  <si>
    <t>Ratio</t>
    <phoneticPr fontId="8"/>
  </si>
  <si>
    <t>Delta</t>
    <phoneticPr fontId="8"/>
  </si>
  <si>
    <t>Edge Axial</t>
    <phoneticPr fontId="8"/>
  </si>
  <si>
    <t>|Delta|</t>
    <phoneticPr fontId="8"/>
  </si>
  <si>
    <t>#</t>
    <phoneticPr fontId="8"/>
  </si>
  <si>
    <t>[deg]</t>
    <phoneticPr fontId="8"/>
  </si>
  <si>
    <t>Area #</t>
    <phoneticPr fontId="8"/>
  </si>
  <si>
    <t>[mm]</t>
    <phoneticPr fontId="8"/>
  </si>
  <si>
    <t>[mm/deg]</t>
    <phoneticPr fontId="8"/>
  </si>
  <si>
    <t>Segment間の差分を計算して絶対値量からMax振れ変化を調べる。上記グラフより、例えば#2のShroud位置(12.45 - 32.45)の場合は途中でCMM計測位置が最大となるため振れ変化は小さく計算される。しかしその他の位置の変化が大きいためMaxを調べるだけであれば問題なし。</t>
    <rPh sb="7" eb="8">
      <t>カン</t>
    </rPh>
    <rPh sb="9" eb="11">
      <t>サブン</t>
    </rPh>
    <rPh sb="12" eb="14">
      <t>ケイサン</t>
    </rPh>
    <rPh sb="16" eb="19">
      <t>ゼッタイチ</t>
    </rPh>
    <rPh sb="19" eb="20">
      <t>リョウ</t>
    </rPh>
    <rPh sb="25" eb="26">
      <t>フ</t>
    </rPh>
    <rPh sb="27" eb="29">
      <t>ヘンカ</t>
    </rPh>
    <rPh sb="30" eb="31">
      <t>シラ</t>
    </rPh>
    <rPh sb="34" eb="36">
      <t>ジョウキ</t>
    </rPh>
    <rPh sb="42" eb="43">
      <t>タト</t>
    </rPh>
    <rPh sb="54" eb="56">
      <t>イチ</t>
    </rPh>
    <rPh sb="72" eb="74">
      <t>バアイ</t>
    </rPh>
    <rPh sb="75" eb="77">
      <t>トチュウ</t>
    </rPh>
    <rPh sb="81" eb="83">
      <t>ケイソク</t>
    </rPh>
    <rPh sb="83" eb="85">
      <t>イチ</t>
    </rPh>
    <rPh sb="86" eb="88">
      <t>サイダイ</t>
    </rPh>
    <rPh sb="93" eb="94">
      <t>フ</t>
    </rPh>
    <rPh sb="95" eb="97">
      <t>ヘンカ</t>
    </rPh>
    <rPh sb="98" eb="99">
      <t>チイ</t>
    </rPh>
    <rPh sb="101" eb="103">
      <t>ケイサン</t>
    </rPh>
    <rPh sb="112" eb="113">
      <t>タ</t>
    </rPh>
    <rPh sb="114" eb="116">
      <t>イチ</t>
    </rPh>
    <rPh sb="117" eb="119">
      <t>ヘンカ</t>
    </rPh>
    <rPh sb="120" eb="121">
      <t>オオ</t>
    </rPh>
    <rPh sb="129" eb="130">
      <t>シラ</t>
    </rPh>
    <rPh sb="138" eb="140">
      <t>モンダイ</t>
    </rPh>
    <phoneticPr fontId="8"/>
  </si>
  <si>
    <t>Nom</t>
    <phoneticPr fontId="8"/>
  </si>
  <si>
    <t>Tol</t>
    <phoneticPr fontId="8"/>
  </si>
  <si>
    <t>Hook</t>
    <phoneticPr fontId="8"/>
  </si>
  <si>
    <t>Shroud Groove</t>
    <phoneticPr fontId="8"/>
  </si>
  <si>
    <t>Clearance</t>
    <phoneticPr fontId="8"/>
  </si>
  <si>
    <t>Hook Max</t>
    <phoneticPr fontId="8"/>
  </si>
  <si>
    <t>Shroud Groove Min</t>
    <phoneticPr fontId="8"/>
  </si>
  <si>
    <t>Min Clearance</t>
    <phoneticPr fontId="8"/>
  </si>
  <si>
    <t>Area#</t>
    <phoneticPr fontId="8"/>
  </si>
  <si>
    <t>Max</t>
    <phoneticPr fontId="8"/>
  </si>
  <si>
    <t>Min</t>
    <phoneticPr fontId="8"/>
  </si>
  <si>
    <t>Runout</t>
    <phoneticPr fontId="8"/>
  </si>
  <si>
    <t>Stg.3 Shroud Aft Hook</t>
    <phoneticPr fontId="8"/>
  </si>
  <si>
    <t>Segment</t>
    <phoneticPr fontId="8"/>
  </si>
  <si>
    <t>Max</t>
    <phoneticPr fontId="8"/>
  </si>
  <si>
    <t>Nom</t>
    <phoneticPr fontId="8"/>
  </si>
  <si>
    <t>Tol</t>
    <phoneticPr fontId="8"/>
  </si>
  <si>
    <t>Hook</t>
    <phoneticPr fontId="8"/>
  </si>
  <si>
    <t>Shroud Groove</t>
    <phoneticPr fontId="8"/>
  </si>
  <si>
    <t>Clearance</t>
    <phoneticPr fontId="8"/>
  </si>
  <si>
    <t>Hook Max</t>
    <phoneticPr fontId="8"/>
  </si>
  <si>
    <t>Shroud Groove Min</t>
    <phoneticPr fontId="8"/>
  </si>
  <si>
    <t>Min Clearance</t>
    <phoneticPr fontId="8"/>
  </si>
  <si>
    <t>Max Arrorw Plot</t>
    <phoneticPr fontId="1"/>
  </si>
  <si>
    <t>[deg]</t>
    <phoneticPr fontId="1"/>
  </si>
  <si>
    <t>[mm]</t>
    <phoneticPr fontId="1"/>
  </si>
  <si>
    <t>Z=</t>
    <phoneticPr fontId="8"/>
  </si>
  <si>
    <t xml:space="preserve">   </t>
    <phoneticPr fontId="8"/>
  </si>
  <si>
    <t>点</t>
    <phoneticPr fontId="8"/>
  </si>
  <si>
    <t xml:space="preserve">直径                  </t>
    <phoneticPr fontId="8"/>
  </si>
  <si>
    <t>後上</t>
    <phoneticPr fontId="8"/>
  </si>
  <si>
    <t>DV=</t>
    <phoneticPr fontId="8"/>
  </si>
  <si>
    <t>UT=</t>
    <phoneticPr fontId="8"/>
  </si>
  <si>
    <t>AV=</t>
    <phoneticPr fontId="8"/>
  </si>
  <si>
    <t>Z=</t>
    <phoneticPr fontId="1"/>
  </si>
  <si>
    <t>----------101 内径 P.01</t>
    <phoneticPr fontId="8"/>
  </si>
  <si>
    <t xml:space="preserve">円A_101              </t>
    <phoneticPr fontId="8"/>
  </si>
  <si>
    <t xml:space="preserve">(1)                 </t>
    <phoneticPr fontId="8"/>
  </si>
  <si>
    <t>LT=</t>
    <phoneticPr fontId="8"/>
  </si>
  <si>
    <t>X=</t>
    <phoneticPr fontId="8"/>
  </si>
  <si>
    <t>Y=</t>
    <phoneticPr fontId="8"/>
  </si>
  <si>
    <t>(201)</t>
    <phoneticPr fontId="8"/>
  </si>
  <si>
    <t>(202)</t>
    <phoneticPr fontId="8"/>
  </si>
  <si>
    <t>(203)</t>
    <phoneticPr fontId="8"/>
  </si>
  <si>
    <t>(206)</t>
    <phoneticPr fontId="8"/>
  </si>
  <si>
    <t>(207)</t>
    <phoneticPr fontId="8"/>
  </si>
  <si>
    <t>(208)</t>
    <phoneticPr fontId="8"/>
  </si>
  <si>
    <t>----------105 振れ P.11</t>
    <phoneticPr fontId="8"/>
  </si>
  <si>
    <t xml:space="preserve">径方向振れ               </t>
    <phoneticPr fontId="8"/>
  </si>
  <si>
    <t>TO=</t>
    <phoneticPr fontId="8"/>
  </si>
  <si>
    <t>点C(1/16)</t>
    <phoneticPr fontId="8"/>
  </si>
  <si>
    <t>点C(2/16)</t>
    <phoneticPr fontId="8"/>
  </si>
  <si>
    <t>点C(4/16)</t>
    <phoneticPr fontId="8"/>
  </si>
  <si>
    <t>(204)</t>
    <phoneticPr fontId="8"/>
  </si>
  <si>
    <t>(205)</t>
    <phoneticPr fontId="8"/>
  </si>
  <si>
    <t>点C(6/16)</t>
    <phoneticPr fontId="8"/>
  </si>
  <si>
    <t>点C(7/16)</t>
    <phoneticPr fontId="8"/>
  </si>
  <si>
    <t>点C(8/16)</t>
    <phoneticPr fontId="8"/>
  </si>
  <si>
    <t>点C(9/16)</t>
    <phoneticPr fontId="8"/>
  </si>
  <si>
    <t>点C(11/16)</t>
    <phoneticPr fontId="8"/>
  </si>
  <si>
    <t>(211)</t>
    <phoneticPr fontId="8"/>
  </si>
  <si>
    <t>(212)</t>
    <phoneticPr fontId="8"/>
  </si>
  <si>
    <t>(214)</t>
    <phoneticPr fontId="8"/>
  </si>
  <si>
    <t>点C(15/16)</t>
    <phoneticPr fontId="8"/>
  </si>
  <si>
    <t>(215)</t>
    <phoneticPr fontId="8"/>
  </si>
  <si>
    <t>NV=</t>
    <phoneticPr fontId="8"/>
  </si>
  <si>
    <t>点239.108(1/16)</t>
    <phoneticPr fontId="8"/>
  </si>
  <si>
    <t>点239.108(2/16)</t>
    <phoneticPr fontId="8"/>
  </si>
  <si>
    <t>(1309)</t>
    <phoneticPr fontId="8"/>
  </si>
  <si>
    <t>点239.108(3/16)</t>
    <phoneticPr fontId="8"/>
  </si>
  <si>
    <t>(1302)</t>
    <phoneticPr fontId="8"/>
  </si>
  <si>
    <t>点239.108(4/16)</t>
    <phoneticPr fontId="8"/>
  </si>
  <si>
    <t>(1310)</t>
    <phoneticPr fontId="8"/>
  </si>
  <si>
    <t>(1303)</t>
    <phoneticPr fontId="8"/>
  </si>
  <si>
    <t>点239.108(6/16)</t>
    <phoneticPr fontId="8"/>
  </si>
  <si>
    <t>点239.108(7/16)</t>
    <phoneticPr fontId="8"/>
  </si>
  <si>
    <t>(1304)</t>
    <phoneticPr fontId="8"/>
  </si>
  <si>
    <t>点239.108(8/16)</t>
    <phoneticPr fontId="8"/>
  </si>
  <si>
    <t>(1305)</t>
    <phoneticPr fontId="8"/>
  </si>
  <si>
    <t>点239.108(10/16)</t>
    <phoneticPr fontId="8"/>
  </si>
  <si>
    <t>(1313)</t>
    <phoneticPr fontId="8"/>
  </si>
  <si>
    <t>点239.108(11/16)</t>
    <phoneticPr fontId="8"/>
  </si>
  <si>
    <t>(1306)</t>
    <phoneticPr fontId="8"/>
  </si>
  <si>
    <t>点239.108(12/16)</t>
    <phoneticPr fontId="8"/>
  </si>
  <si>
    <t>(1314)</t>
    <phoneticPr fontId="8"/>
  </si>
  <si>
    <t>点239.108(13/16)</t>
    <phoneticPr fontId="8"/>
  </si>
  <si>
    <t>(1315)</t>
    <phoneticPr fontId="8"/>
  </si>
  <si>
    <t>点239.108(15/16)</t>
    <phoneticPr fontId="8"/>
  </si>
  <si>
    <t>(1308)</t>
    <phoneticPr fontId="8"/>
  </si>
  <si>
    <t>(3001)</t>
    <phoneticPr fontId="8"/>
  </si>
  <si>
    <t>(3009)</t>
    <phoneticPr fontId="8"/>
  </si>
  <si>
    <t>(3002)</t>
    <phoneticPr fontId="8"/>
  </si>
  <si>
    <t>(3010)</t>
    <phoneticPr fontId="8"/>
  </si>
  <si>
    <t>点242.115_F(5/16)</t>
    <phoneticPr fontId="8"/>
  </si>
  <si>
    <t>(3003)</t>
    <phoneticPr fontId="8"/>
  </si>
  <si>
    <t>(3011)</t>
    <phoneticPr fontId="8"/>
  </si>
  <si>
    <t>(3004)</t>
    <phoneticPr fontId="8"/>
  </si>
  <si>
    <t>点242.115_F(8/16)</t>
    <phoneticPr fontId="8"/>
  </si>
  <si>
    <t>(3005)</t>
    <phoneticPr fontId="8"/>
  </si>
  <si>
    <t>(3013)</t>
    <phoneticPr fontId="8"/>
  </si>
  <si>
    <t>点242.115_F(11/16)</t>
    <phoneticPr fontId="8"/>
  </si>
  <si>
    <t>(3006)</t>
    <phoneticPr fontId="8"/>
  </si>
  <si>
    <t>(3014)</t>
    <phoneticPr fontId="8"/>
  </si>
  <si>
    <t>点242.115_F(13/16)</t>
    <phoneticPr fontId="8"/>
  </si>
  <si>
    <t>(3007)</t>
    <phoneticPr fontId="8"/>
  </si>
  <si>
    <t>点242.115_F(14/16)</t>
    <phoneticPr fontId="8"/>
  </si>
  <si>
    <t>(3015)</t>
    <phoneticPr fontId="8"/>
  </si>
  <si>
    <t>点242.115_F(15/16)</t>
    <phoneticPr fontId="8"/>
  </si>
  <si>
    <t>(3008)</t>
    <phoneticPr fontId="8"/>
  </si>
  <si>
    <t>点242.115_F(16/16)</t>
    <phoneticPr fontId="8"/>
  </si>
  <si>
    <t>(3016)</t>
    <phoneticPr fontId="8"/>
  </si>
  <si>
    <t>点244.117(1/16)</t>
    <phoneticPr fontId="8"/>
  </si>
  <si>
    <t>(3701)</t>
    <phoneticPr fontId="8"/>
  </si>
  <si>
    <t>(3709)</t>
    <phoneticPr fontId="8"/>
  </si>
  <si>
    <t>点244.117(3/16)</t>
    <phoneticPr fontId="8"/>
  </si>
  <si>
    <t>点244.117(4/16)</t>
    <phoneticPr fontId="8"/>
  </si>
  <si>
    <t>(3710)</t>
    <phoneticPr fontId="8"/>
  </si>
  <si>
    <t>点244.117(5/16)</t>
    <phoneticPr fontId="8"/>
  </si>
  <si>
    <t>点244.117(6/16)</t>
    <phoneticPr fontId="8"/>
  </si>
  <si>
    <t>(3711)</t>
    <phoneticPr fontId="8"/>
  </si>
  <si>
    <t>点244.117(7/16)</t>
    <phoneticPr fontId="8"/>
  </si>
  <si>
    <t>点244.117(8/16)</t>
    <phoneticPr fontId="8"/>
  </si>
  <si>
    <t>点244.117(9/16)</t>
    <phoneticPr fontId="8"/>
  </si>
  <si>
    <t>(3705)</t>
    <phoneticPr fontId="8"/>
  </si>
  <si>
    <t>点244.117(10/16)</t>
    <phoneticPr fontId="8"/>
  </si>
  <si>
    <t>(3713)</t>
    <phoneticPr fontId="8"/>
  </si>
  <si>
    <t>点244.117(11/16)</t>
    <phoneticPr fontId="8"/>
  </si>
  <si>
    <t>(3706)</t>
    <phoneticPr fontId="8"/>
  </si>
  <si>
    <t>点244.117(12/16)</t>
    <phoneticPr fontId="8"/>
  </si>
  <si>
    <t>点244.117(14/16)</t>
    <phoneticPr fontId="8"/>
  </si>
  <si>
    <t>(3715)</t>
    <phoneticPr fontId="8"/>
  </si>
  <si>
    <t>(3708)</t>
    <phoneticPr fontId="8"/>
  </si>
  <si>
    <t>(3716)</t>
    <phoneticPr fontId="8"/>
  </si>
  <si>
    <t>点247.120(1/16)</t>
    <phoneticPr fontId="8"/>
  </si>
  <si>
    <t>(4201)</t>
    <phoneticPr fontId="8"/>
  </si>
  <si>
    <t>(4209)</t>
    <phoneticPr fontId="8"/>
  </si>
  <si>
    <t>点247.120(3/16)</t>
    <phoneticPr fontId="8"/>
  </si>
  <si>
    <t>(4202)</t>
    <phoneticPr fontId="8"/>
  </si>
  <si>
    <t>(4210)</t>
    <phoneticPr fontId="8"/>
  </si>
  <si>
    <t>点247.120(5/16)</t>
    <phoneticPr fontId="8"/>
  </si>
  <si>
    <t>(4203)</t>
    <phoneticPr fontId="8"/>
  </si>
  <si>
    <t>点247.120(6/16)</t>
    <phoneticPr fontId="8"/>
  </si>
  <si>
    <t>(4211)</t>
    <phoneticPr fontId="8"/>
  </si>
  <si>
    <t>点247.120(7/16)</t>
    <phoneticPr fontId="8"/>
  </si>
  <si>
    <t>(4204)</t>
    <phoneticPr fontId="8"/>
  </si>
  <si>
    <t>点247.120(8/16)</t>
    <phoneticPr fontId="8"/>
  </si>
  <si>
    <t>(4212)</t>
    <phoneticPr fontId="8"/>
  </si>
  <si>
    <t>(4205)</t>
    <phoneticPr fontId="8"/>
  </si>
  <si>
    <t>点247.120(10/16)</t>
    <phoneticPr fontId="8"/>
  </si>
  <si>
    <t>点247.120(11/16)</t>
    <phoneticPr fontId="8"/>
  </si>
  <si>
    <t>(4206)</t>
    <phoneticPr fontId="8"/>
  </si>
  <si>
    <t>点247.120(12/16)</t>
    <phoneticPr fontId="8"/>
  </si>
  <si>
    <t>(4214)</t>
    <phoneticPr fontId="8"/>
  </si>
  <si>
    <t>点247.120(13/16)</t>
    <phoneticPr fontId="8"/>
  </si>
  <si>
    <t>(4207)</t>
    <phoneticPr fontId="8"/>
  </si>
  <si>
    <t>点247.120(14/16)</t>
    <phoneticPr fontId="8"/>
  </si>
  <si>
    <t>(4215)</t>
    <phoneticPr fontId="8"/>
  </si>
  <si>
    <t>(4208)</t>
    <phoneticPr fontId="8"/>
  </si>
  <si>
    <t>点247.120(16/16)</t>
    <phoneticPr fontId="8"/>
  </si>
  <si>
    <t>(4216)</t>
    <phoneticPr fontId="8"/>
  </si>
  <si>
    <t>(2409)</t>
    <phoneticPr fontId="1"/>
  </si>
  <si>
    <t>点256.112(10/16)</t>
    <phoneticPr fontId="1"/>
  </si>
  <si>
    <t>点256.112(12/16)</t>
    <phoneticPr fontId="1"/>
  </si>
  <si>
    <t>汎用計測値</t>
    <rPh sb="0" eb="2">
      <t>ハンヨウ</t>
    </rPh>
    <rPh sb="2" eb="4">
      <t>ケイソク</t>
    </rPh>
    <rPh sb="4" eb="5">
      <t>チ</t>
    </rPh>
    <phoneticPr fontId="8"/>
  </si>
  <si>
    <t>点A(1/8)</t>
    <phoneticPr fontId="8"/>
  </si>
  <si>
    <t>点A(2/8)</t>
    <phoneticPr fontId="8"/>
  </si>
  <si>
    <t>点A(3/8)</t>
    <phoneticPr fontId="8"/>
  </si>
  <si>
    <t>点A(4/8)</t>
    <phoneticPr fontId="8"/>
  </si>
  <si>
    <t>点A(5/8)</t>
    <phoneticPr fontId="8"/>
  </si>
  <si>
    <t>点A(6/8)</t>
    <phoneticPr fontId="8"/>
  </si>
  <si>
    <t>点A(7/8)</t>
    <phoneticPr fontId="8"/>
  </si>
  <si>
    <t>点A(8/8)</t>
    <phoneticPr fontId="8"/>
  </si>
  <si>
    <t>再計算</t>
    <phoneticPr fontId="1"/>
  </si>
  <si>
    <t>点</t>
    <phoneticPr fontId="1"/>
  </si>
  <si>
    <t>R=</t>
    <phoneticPr fontId="1"/>
  </si>
  <si>
    <t>点A再(1/8)</t>
    <phoneticPr fontId="1"/>
  </si>
  <si>
    <t xml:space="preserve">PH= </t>
    <phoneticPr fontId="1"/>
  </si>
  <si>
    <t>(251)</t>
    <phoneticPr fontId="1"/>
  </si>
  <si>
    <t>点A再(2/8)</t>
    <phoneticPr fontId="1"/>
  </si>
  <si>
    <t>(252)</t>
    <phoneticPr fontId="1"/>
  </si>
  <si>
    <t>点A再(3/8)</t>
    <phoneticPr fontId="1"/>
  </si>
  <si>
    <t>(253)</t>
    <phoneticPr fontId="1"/>
  </si>
  <si>
    <t>点A再(4/8)</t>
    <phoneticPr fontId="1"/>
  </si>
  <si>
    <t>(254)</t>
    <phoneticPr fontId="1"/>
  </si>
  <si>
    <t>点A再(5/8)</t>
    <phoneticPr fontId="1"/>
  </si>
  <si>
    <t>(255)</t>
    <phoneticPr fontId="1"/>
  </si>
  <si>
    <t>点A再(6/8)</t>
    <phoneticPr fontId="1"/>
  </si>
  <si>
    <t>(256)</t>
    <phoneticPr fontId="1"/>
  </si>
  <si>
    <t>点A再(7/8)</t>
    <phoneticPr fontId="1"/>
  </si>
  <si>
    <t>(257)</t>
    <phoneticPr fontId="1"/>
  </si>
  <si>
    <t>点A再(8/8)</t>
    <phoneticPr fontId="1"/>
  </si>
  <si>
    <t>(258)</t>
    <phoneticPr fontId="1"/>
  </si>
  <si>
    <t xml:space="preserve">(6) 円105            </t>
    <phoneticPr fontId="8"/>
  </si>
  <si>
    <t xml:space="preserve">(1) 線CL (面A.円B)     </t>
    <phoneticPr fontId="8"/>
  </si>
  <si>
    <t>点105(1/16)</t>
    <phoneticPr fontId="8"/>
  </si>
  <si>
    <t>(301)</t>
    <phoneticPr fontId="8"/>
  </si>
  <si>
    <t>点105(2/16)</t>
    <phoneticPr fontId="8"/>
  </si>
  <si>
    <t>(309)</t>
    <phoneticPr fontId="8"/>
  </si>
  <si>
    <t>点105(3/16)</t>
    <phoneticPr fontId="8"/>
  </si>
  <si>
    <t>(302)</t>
    <phoneticPr fontId="8"/>
  </si>
  <si>
    <t>点105(4/16)</t>
    <phoneticPr fontId="8"/>
  </si>
  <si>
    <t>(310)</t>
    <phoneticPr fontId="8"/>
  </si>
  <si>
    <t>点105(5/16)</t>
    <phoneticPr fontId="8"/>
  </si>
  <si>
    <t>(303)</t>
    <phoneticPr fontId="8"/>
  </si>
  <si>
    <t>点105(6/16)</t>
    <phoneticPr fontId="8"/>
  </si>
  <si>
    <t>(311)</t>
    <phoneticPr fontId="8"/>
  </si>
  <si>
    <t>点105(7/16)</t>
    <phoneticPr fontId="8"/>
  </si>
  <si>
    <t>(304)</t>
    <phoneticPr fontId="8"/>
  </si>
  <si>
    <t>点105(8/16)</t>
    <phoneticPr fontId="8"/>
  </si>
  <si>
    <t>(312)</t>
    <phoneticPr fontId="8"/>
  </si>
  <si>
    <t>点105(9/16)</t>
    <phoneticPr fontId="8"/>
  </si>
  <si>
    <t>(305)</t>
    <phoneticPr fontId="8"/>
  </si>
  <si>
    <t>点105(10/16)</t>
    <phoneticPr fontId="8"/>
  </si>
  <si>
    <t>(313)</t>
    <phoneticPr fontId="8"/>
  </si>
  <si>
    <t>点105(11/16)</t>
    <phoneticPr fontId="8"/>
  </si>
  <si>
    <t>(306)</t>
    <phoneticPr fontId="8"/>
  </si>
  <si>
    <t>点105(12/16)</t>
    <phoneticPr fontId="8"/>
  </si>
  <si>
    <t>(314)</t>
    <phoneticPr fontId="8"/>
  </si>
  <si>
    <t>点105(13/16)</t>
    <phoneticPr fontId="8"/>
  </si>
  <si>
    <t>(307)</t>
    <phoneticPr fontId="8"/>
  </si>
  <si>
    <t>点105(14/16)</t>
    <phoneticPr fontId="8"/>
  </si>
  <si>
    <t>(315)</t>
    <phoneticPr fontId="8"/>
  </si>
  <si>
    <t>点105(15/16)</t>
    <phoneticPr fontId="8"/>
  </si>
  <si>
    <t>(308)</t>
    <phoneticPr fontId="8"/>
  </si>
  <si>
    <t>点105(16/16)</t>
    <phoneticPr fontId="8"/>
  </si>
  <si>
    <t>(316)</t>
    <phoneticPr fontId="8"/>
  </si>
  <si>
    <t>----------206 外径 P.02</t>
    <phoneticPr fontId="8"/>
  </si>
  <si>
    <t xml:space="preserve">円C_206              </t>
    <phoneticPr fontId="8"/>
  </si>
  <si>
    <t xml:space="preserve">(3)                 </t>
    <phoneticPr fontId="8"/>
  </si>
  <si>
    <t>前上</t>
    <phoneticPr fontId="8"/>
  </si>
  <si>
    <t>点C(3/16)</t>
    <phoneticPr fontId="8"/>
  </si>
  <si>
    <t>点C(5/16)</t>
    <phoneticPr fontId="8"/>
  </si>
  <si>
    <t>(209)</t>
    <phoneticPr fontId="8"/>
  </si>
  <si>
    <t>点C(10/16)</t>
    <phoneticPr fontId="8"/>
  </si>
  <si>
    <t>(210)</t>
    <phoneticPr fontId="8"/>
  </si>
  <si>
    <t>点C(12/16)</t>
    <phoneticPr fontId="8"/>
  </si>
  <si>
    <t>点C(13/16)</t>
    <phoneticPr fontId="8"/>
  </si>
  <si>
    <t>(213)</t>
    <phoneticPr fontId="8"/>
  </si>
  <si>
    <t>点C(14/16)</t>
    <phoneticPr fontId="8"/>
  </si>
  <si>
    <t>点C(16/16)</t>
    <phoneticPr fontId="8"/>
  </si>
  <si>
    <t>(216)</t>
    <phoneticPr fontId="8"/>
  </si>
  <si>
    <t>----------225 ポイント径 P.04</t>
    <phoneticPr fontId="8"/>
  </si>
  <si>
    <t xml:space="preserve">円225                </t>
    <phoneticPr fontId="8"/>
  </si>
  <si>
    <t xml:space="preserve">(11)                </t>
    <phoneticPr fontId="8"/>
  </si>
  <si>
    <t>点 交叉要素</t>
    <phoneticPr fontId="8"/>
  </si>
  <si>
    <t>(901)</t>
    <phoneticPr fontId="8"/>
  </si>
  <si>
    <t>(902)</t>
    <phoneticPr fontId="8"/>
  </si>
  <si>
    <t>(903)</t>
    <phoneticPr fontId="8"/>
  </si>
  <si>
    <t>(904)</t>
    <phoneticPr fontId="8"/>
  </si>
  <si>
    <t>(905)</t>
    <phoneticPr fontId="8"/>
  </si>
  <si>
    <t>(906)</t>
    <phoneticPr fontId="8"/>
  </si>
  <si>
    <t>(907)</t>
    <phoneticPr fontId="8"/>
  </si>
  <si>
    <t>(908)</t>
    <phoneticPr fontId="8"/>
  </si>
  <si>
    <t>(909)</t>
    <phoneticPr fontId="8"/>
  </si>
  <si>
    <t>----------234 外径 P.06</t>
    <phoneticPr fontId="8"/>
  </si>
  <si>
    <t xml:space="preserve">円234                </t>
    <phoneticPr fontId="8"/>
  </si>
  <si>
    <t xml:space="preserve">(13)                </t>
    <phoneticPr fontId="8"/>
  </si>
  <si>
    <t>点234.269(1/8)</t>
    <phoneticPr fontId="8"/>
  </si>
  <si>
    <t>(2001)</t>
    <phoneticPr fontId="8"/>
  </si>
  <si>
    <t>点234.269(2/8)</t>
    <phoneticPr fontId="8"/>
  </si>
  <si>
    <t>(2002)</t>
    <phoneticPr fontId="8"/>
  </si>
  <si>
    <t>点234.269(3/8)</t>
    <phoneticPr fontId="8"/>
  </si>
  <si>
    <t>(2003)</t>
    <phoneticPr fontId="8"/>
  </si>
  <si>
    <t>点234.269(4/8)</t>
    <phoneticPr fontId="8"/>
  </si>
  <si>
    <t>(2004)</t>
    <phoneticPr fontId="8"/>
  </si>
  <si>
    <t>点234.269(5/8)</t>
    <phoneticPr fontId="8"/>
  </si>
  <si>
    <t>(2005)</t>
    <phoneticPr fontId="8"/>
  </si>
  <si>
    <t>点234.269(6/8)</t>
    <phoneticPr fontId="8"/>
  </si>
  <si>
    <t>(2006)</t>
    <phoneticPr fontId="8"/>
  </si>
  <si>
    <t>点234.269(7/8)</t>
    <phoneticPr fontId="8"/>
  </si>
  <si>
    <t>(2007)</t>
    <phoneticPr fontId="8"/>
  </si>
  <si>
    <t>点234.269(8/8)</t>
    <phoneticPr fontId="8"/>
  </si>
  <si>
    <t>(2008)</t>
    <phoneticPr fontId="8"/>
  </si>
  <si>
    <t>----------235_2001 内径(1/2箇所) P.06</t>
    <phoneticPr fontId="8"/>
  </si>
  <si>
    <t xml:space="preserve">円235_F              </t>
    <phoneticPr fontId="8"/>
  </si>
  <si>
    <t>点235_F(1/16)</t>
    <phoneticPr fontId="8"/>
  </si>
  <si>
    <t>(601)</t>
    <phoneticPr fontId="8"/>
  </si>
  <si>
    <t>点235_F(2/16)</t>
    <phoneticPr fontId="8"/>
  </si>
  <si>
    <t>(609)</t>
    <phoneticPr fontId="8"/>
  </si>
  <si>
    <t>点235_F(3/16)</t>
    <phoneticPr fontId="8"/>
  </si>
  <si>
    <t>(602)</t>
    <phoneticPr fontId="8"/>
  </si>
  <si>
    <t>点235_F(4/16)</t>
    <phoneticPr fontId="8"/>
  </si>
  <si>
    <t>(610)</t>
    <phoneticPr fontId="8"/>
  </si>
  <si>
    <t>点235_F(5/16)</t>
    <phoneticPr fontId="8"/>
  </si>
  <si>
    <t>(603)</t>
    <phoneticPr fontId="8"/>
  </si>
  <si>
    <t>点235_F(6/16)</t>
    <phoneticPr fontId="8"/>
  </si>
  <si>
    <t>(611)</t>
    <phoneticPr fontId="8"/>
  </si>
  <si>
    <t>点235_F(7/16)</t>
    <phoneticPr fontId="8"/>
  </si>
  <si>
    <t>(604)</t>
    <phoneticPr fontId="8"/>
  </si>
  <si>
    <t>点235_F(8/16)</t>
    <phoneticPr fontId="8"/>
  </si>
  <si>
    <t>(612)</t>
    <phoneticPr fontId="8"/>
  </si>
  <si>
    <t>点235_F(9/16)</t>
    <phoneticPr fontId="8"/>
  </si>
  <si>
    <t>(605)</t>
    <phoneticPr fontId="8"/>
  </si>
  <si>
    <t>点235_F(10/16)</t>
    <phoneticPr fontId="8"/>
  </si>
  <si>
    <t>(613)</t>
    <phoneticPr fontId="8"/>
  </si>
  <si>
    <t>点235_F(11/16)</t>
    <phoneticPr fontId="8"/>
  </si>
  <si>
    <t>(606)</t>
    <phoneticPr fontId="8"/>
  </si>
  <si>
    <t>点235_F(12/16)</t>
    <phoneticPr fontId="8"/>
  </si>
  <si>
    <t>(614)</t>
    <phoneticPr fontId="8"/>
  </si>
  <si>
    <t>点235_F(13/16)</t>
    <phoneticPr fontId="8"/>
  </si>
  <si>
    <t>(607)</t>
    <phoneticPr fontId="8"/>
  </si>
  <si>
    <t>点235_F(14/16)</t>
    <phoneticPr fontId="8"/>
  </si>
  <si>
    <t>(615)</t>
    <phoneticPr fontId="8"/>
  </si>
  <si>
    <t>点235_F(15/16)</t>
    <phoneticPr fontId="8"/>
  </si>
  <si>
    <t>(608)</t>
    <phoneticPr fontId="8"/>
  </si>
  <si>
    <t>点235_F(16/16)</t>
    <phoneticPr fontId="8"/>
  </si>
  <si>
    <t>(616)</t>
    <phoneticPr fontId="8"/>
  </si>
  <si>
    <t>----------235_2002 内径(2/2箇所) P.06</t>
    <phoneticPr fontId="8"/>
  </si>
  <si>
    <t xml:space="preserve">円235_A              </t>
    <phoneticPr fontId="8"/>
  </si>
  <si>
    <t xml:space="preserve">(4)                 </t>
    <phoneticPr fontId="8"/>
  </si>
  <si>
    <t>点235_A(1/16)</t>
    <phoneticPr fontId="8"/>
  </si>
  <si>
    <t>(701)</t>
    <phoneticPr fontId="8"/>
  </si>
  <si>
    <t>点235_A(2/16)</t>
    <phoneticPr fontId="8"/>
  </si>
  <si>
    <t>(709)</t>
    <phoneticPr fontId="8"/>
  </si>
  <si>
    <t>点235_A(3/16)</t>
    <phoneticPr fontId="8"/>
  </si>
  <si>
    <t>(702)</t>
    <phoneticPr fontId="8"/>
  </si>
  <si>
    <t>点235_A(4/16)</t>
    <phoneticPr fontId="8"/>
  </si>
  <si>
    <t>(710)</t>
    <phoneticPr fontId="8"/>
  </si>
  <si>
    <t>点235_A(5/16)</t>
    <phoneticPr fontId="8"/>
  </si>
  <si>
    <t>(703)</t>
    <phoneticPr fontId="8"/>
  </si>
  <si>
    <t>点235_A(6/16)</t>
    <phoneticPr fontId="8"/>
  </si>
  <si>
    <t>(711)</t>
    <phoneticPr fontId="8"/>
  </si>
  <si>
    <t>点235_A(7/16)</t>
    <phoneticPr fontId="8"/>
  </si>
  <si>
    <t>(704)</t>
    <phoneticPr fontId="8"/>
  </si>
  <si>
    <t>点235_A(8/16)</t>
    <phoneticPr fontId="8"/>
  </si>
  <si>
    <t>(712)</t>
    <phoneticPr fontId="8"/>
  </si>
  <si>
    <t>点235_A(9/16)</t>
    <phoneticPr fontId="8"/>
  </si>
  <si>
    <t>(705)</t>
    <phoneticPr fontId="8"/>
  </si>
  <si>
    <t>点235_A(10/16)</t>
    <phoneticPr fontId="8"/>
  </si>
  <si>
    <t>(713)</t>
    <phoneticPr fontId="8"/>
  </si>
  <si>
    <t>点235_A(11/16)</t>
    <phoneticPr fontId="8"/>
  </si>
  <si>
    <t>(706)</t>
    <phoneticPr fontId="8"/>
  </si>
  <si>
    <t>点235_A(12/16)</t>
    <phoneticPr fontId="8"/>
  </si>
  <si>
    <t>(714)</t>
    <phoneticPr fontId="8"/>
  </si>
  <si>
    <t>点235_A(13/16)</t>
    <phoneticPr fontId="8"/>
  </si>
  <si>
    <t>(707)</t>
    <phoneticPr fontId="8"/>
  </si>
  <si>
    <t>点235_A(14/16)</t>
    <phoneticPr fontId="8"/>
  </si>
  <si>
    <t>(715)</t>
    <phoneticPr fontId="8"/>
  </si>
  <si>
    <t>点235_A(15/16)</t>
    <phoneticPr fontId="8"/>
  </si>
  <si>
    <t>(708)</t>
    <phoneticPr fontId="8"/>
  </si>
  <si>
    <t>点235_A(16/16)</t>
    <phoneticPr fontId="8"/>
  </si>
  <si>
    <t>(716)</t>
    <phoneticPr fontId="8"/>
  </si>
  <si>
    <t>----------236 内径 P.06</t>
    <phoneticPr fontId="8"/>
  </si>
  <si>
    <t xml:space="preserve">円236.106            </t>
    <phoneticPr fontId="8"/>
  </si>
  <si>
    <t xml:space="preserve">(5)                 </t>
    <phoneticPr fontId="8"/>
  </si>
  <si>
    <t>点236.106(1/16)</t>
    <phoneticPr fontId="8"/>
  </si>
  <si>
    <t>点236.106(2/16)</t>
    <phoneticPr fontId="8"/>
  </si>
  <si>
    <t>点236.106(3/16)</t>
    <phoneticPr fontId="8"/>
  </si>
  <si>
    <t>点236.106(4/16)</t>
    <phoneticPr fontId="8"/>
  </si>
  <si>
    <t>(910)</t>
    <phoneticPr fontId="8"/>
  </si>
  <si>
    <t>点236.106(5/16)</t>
    <phoneticPr fontId="8"/>
  </si>
  <si>
    <t>点236.106(6/16)</t>
    <phoneticPr fontId="8"/>
  </si>
  <si>
    <t>(911)</t>
    <phoneticPr fontId="8"/>
  </si>
  <si>
    <t>点236.106(7/16)</t>
    <phoneticPr fontId="8"/>
  </si>
  <si>
    <t>点236.106(8/16)</t>
    <phoneticPr fontId="8"/>
  </si>
  <si>
    <t>(912)</t>
    <phoneticPr fontId="8"/>
  </si>
  <si>
    <t>点236.106(9/16)</t>
    <phoneticPr fontId="8"/>
  </si>
  <si>
    <t>点236.106(10/16)</t>
    <phoneticPr fontId="8"/>
  </si>
  <si>
    <t>(913)</t>
    <phoneticPr fontId="8"/>
  </si>
  <si>
    <t>点236.106(11/16)</t>
    <phoneticPr fontId="8"/>
  </si>
  <si>
    <t>点236.106(12/16)</t>
    <phoneticPr fontId="8"/>
  </si>
  <si>
    <t>(914)</t>
    <phoneticPr fontId="8"/>
  </si>
  <si>
    <t>点236.106(13/16)</t>
    <phoneticPr fontId="8"/>
  </si>
  <si>
    <t>点236.106(14/16)</t>
    <phoneticPr fontId="8"/>
  </si>
  <si>
    <t>(915)</t>
    <phoneticPr fontId="8"/>
  </si>
  <si>
    <t>点236.106(15/16)</t>
    <phoneticPr fontId="8"/>
  </si>
  <si>
    <t>点236.106(16/16)</t>
    <phoneticPr fontId="8"/>
  </si>
  <si>
    <t>(916)</t>
    <phoneticPr fontId="8"/>
  </si>
  <si>
    <t>----------237 内径 P.06</t>
    <phoneticPr fontId="8"/>
  </si>
  <si>
    <t xml:space="preserve">円237.107            </t>
    <phoneticPr fontId="8"/>
  </si>
  <si>
    <t xml:space="preserve">(20)                </t>
    <phoneticPr fontId="8"/>
  </si>
  <si>
    <t>点237.107(1/16)</t>
    <phoneticPr fontId="8"/>
  </si>
  <si>
    <t>(6001)</t>
    <phoneticPr fontId="8"/>
  </si>
  <si>
    <t>点237.107(2/16)</t>
    <phoneticPr fontId="8"/>
  </si>
  <si>
    <t>(6009)</t>
    <phoneticPr fontId="8"/>
  </si>
  <si>
    <t>点237.107(3/16)</t>
    <phoneticPr fontId="8"/>
  </si>
  <si>
    <t>(6002)</t>
    <phoneticPr fontId="8"/>
  </si>
  <si>
    <t>点237.107(4/16)</t>
    <phoneticPr fontId="8"/>
  </si>
  <si>
    <t>(6010)</t>
    <phoneticPr fontId="8"/>
  </si>
  <si>
    <t>点237.107(5/16)</t>
    <phoneticPr fontId="8"/>
  </si>
  <si>
    <t>(6003)</t>
    <phoneticPr fontId="8"/>
  </si>
  <si>
    <t>点237.107(6/16)</t>
    <phoneticPr fontId="8"/>
  </si>
  <si>
    <t>(6011)</t>
    <phoneticPr fontId="8"/>
  </si>
  <si>
    <t>点237.107(7/16)</t>
    <phoneticPr fontId="8"/>
  </si>
  <si>
    <t>(6004)</t>
    <phoneticPr fontId="8"/>
  </si>
  <si>
    <t>点237.107(8/16)</t>
    <phoneticPr fontId="8"/>
  </si>
  <si>
    <t>(6012)</t>
    <phoneticPr fontId="8"/>
  </si>
  <si>
    <t>点237.107(9/16)</t>
    <phoneticPr fontId="8"/>
  </si>
  <si>
    <t>(6005)</t>
    <phoneticPr fontId="8"/>
  </si>
  <si>
    <t>点237.107(10/16)</t>
    <phoneticPr fontId="8"/>
  </si>
  <si>
    <t>(6013)</t>
    <phoneticPr fontId="8"/>
  </si>
  <si>
    <t>点237.107(11/16)</t>
    <phoneticPr fontId="8"/>
  </si>
  <si>
    <t>(6006)</t>
    <phoneticPr fontId="8"/>
  </si>
  <si>
    <t>点237.107(12/16)</t>
    <phoneticPr fontId="8"/>
  </si>
  <si>
    <t>(6014)</t>
    <phoneticPr fontId="8"/>
  </si>
  <si>
    <t>点237.107(13/16)</t>
    <phoneticPr fontId="8"/>
  </si>
  <si>
    <t>(6007)</t>
    <phoneticPr fontId="8"/>
  </si>
  <si>
    <t>点237.107(14/16)</t>
    <phoneticPr fontId="8"/>
  </si>
  <si>
    <t>(6015)</t>
    <phoneticPr fontId="8"/>
  </si>
  <si>
    <t>点237.107(15/16)</t>
    <phoneticPr fontId="8"/>
  </si>
  <si>
    <t>(6008)</t>
    <phoneticPr fontId="8"/>
  </si>
  <si>
    <t>点237.107(16/16)</t>
    <phoneticPr fontId="8"/>
  </si>
  <si>
    <t>(6016)</t>
    <phoneticPr fontId="8"/>
  </si>
  <si>
    <t>----------238_2001 内径(1/2箇所) P.06</t>
    <phoneticPr fontId="8"/>
  </si>
  <si>
    <t xml:space="preserve">円238.109_F          </t>
    <phoneticPr fontId="8"/>
  </si>
  <si>
    <t xml:space="preserve">(6)                 </t>
    <phoneticPr fontId="8"/>
  </si>
  <si>
    <t>点238.109_F(1/16)</t>
    <phoneticPr fontId="8"/>
  </si>
  <si>
    <t>(1501)</t>
    <phoneticPr fontId="8"/>
  </si>
  <si>
    <t>点238.109_F(2/16)</t>
    <phoneticPr fontId="8"/>
  </si>
  <si>
    <t>(1509)</t>
    <phoneticPr fontId="8"/>
  </si>
  <si>
    <t>点238.109_F(3/16)</t>
    <phoneticPr fontId="8"/>
  </si>
  <si>
    <t>(1502)</t>
    <phoneticPr fontId="8"/>
  </si>
  <si>
    <t>点238.109_F(4/16)</t>
    <phoneticPr fontId="8"/>
  </si>
  <si>
    <t>(1510)</t>
    <phoneticPr fontId="8"/>
  </si>
  <si>
    <t>点238.109_F(5/16)</t>
    <phoneticPr fontId="8"/>
  </si>
  <si>
    <t>(1503)</t>
    <phoneticPr fontId="8"/>
  </si>
  <si>
    <t>点238.109_F(6/16)</t>
    <phoneticPr fontId="8"/>
  </si>
  <si>
    <t>(1511)</t>
    <phoneticPr fontId="8"/>
  </si>
  <si>
    <t>点238.109_F(7/16)</t>
    <phoneticPr fontId="8"/>
  </si>
  <si>
    <t>(1504)</t>
    <phoneticPr fontId="8"/>
  </si>
  <si>
    <t>点238.109_F(8/16)</t>
    <phoneticPr fontId="8"/>
  </si>
  <si>
    <t>(1512)</t>
    <phoneticPr fontId="8"/>
  </si>
  <si>
    <t>点238.109_F(9/16)</t>
    <phoneticPr fontId="8"/>
  </si>
  <si>
    <t>(1505)</t>
    <phoneticPr fontId="8"/>
  </si>
  <si>
    <t>点238.109_F(10/16)</t>
    <phoneticPr fontId="8"/>
  </si>
  <si>
    <t>(1513)</t>
    <phoneticPr fontId="8"/>
  </si>
  <si>
    <t>点238.109_F(11/16)</t>
    <phoneticPr fontId="8"/>
  </si>
  <si>
    <t>(1506)</t>
    <phoneticPr fontId="8"/>
  </si>
  <si>
    <t>点238.109_F(12/16)</t>
    <phoneticPr fontId="8"/>
  </si>
  <si>
    <t>(1514)</t>
    <phoneticPr fontId="8"/>
  </si>
  <si>
    <t>点238.109_F(13/16)</t>
    <phoneticPr fontId="8"/>
  </si>
  <si>
    <t>(1507)</t>
    <phoneticPr fontId="8"/>
  </si>
  <si>
    <t>点238.109_F(14/16)</t>
    <phoneticPr fontId="8"/>
  </si>
  <si>
    <t>(1515)</t>
    <phoneticPr fontId="8"/>
  </si>
  <si>
    <t>点238.109_F(15/16)</t>
    <phoneticPr fontId="8"/>
  </si>
  <si>
    <t>(1508)</t>
    <phoneticPr fontId="8"/>
  </si>
  <si>
    <t>点238.109_F(16/16)</t>
    <phoneticPr fontId="8"/>
  </si>
  <si>
    <t>(1516)</t>
    <phoneticPr fontId="8"/>
  </si>
  <si>
    <t>----------238_2002 内径(2/2箇所) P.06</t>
    <phoneticPr fontId="8"/>
  </si>
  <si>
    <t xml:space="preserve">円238.109_A          </t>
    <phoneticPr fontId="8"/>
  </si>
  <si>
    <t xml:space="preserve">(7)                 </t>
    <phoneticPr fontId="8"/>
  </si>
  <si>
    <t>点238.109_A(1/16)</t>
    <phoneticPr fontId="8"/>
  </si>
  <si>
    <t>(1801)</t>
    <phoneticPr fontId="8"/>
  </si>
  <si>
    <t>点238.109_A(2/16)</t>
    <phoneticPr fontId="8"/>
  </si>
  <si>
    <t>(1809)</t>
    <phoneticPr fontId="8"/>
  </si>
  <si>
    <t>点238.109_A(3/16)</t>
    <phoneticPr fontId="8"/>
  </si>
  <si>
    <t>(1802)</t>
    <phoneticPr fontId="8"/>
  </si>
  <si>
    <t>点238.109_A(4/16)</t>
    <phoneticPr fontId="8"/>
  </si>
  <si>
    <t>(1810)</t>
    <phoneticPr fontId="8"/>
  </si>
  <si>
    <t>点238.109_A(5/16)</t>
    <phoneticPr fontId="8"/>
  </si>
  <si>
    <t>(1803)</t>
    <phoneticPr fontId="8"/>
  </si>
  <si>
    <t>点238.109_A(6/16)</t>
    <phoneticPr fontId="8"/>
  </si>
  <si>
    <t>(1811)</t>
    <phoneticPr fontId="8"/>
  </si>
  <si>
    <t>点238.109_A(7/16)</t>
    <phoneticPr fontId="8"/>
  </si>
  <si>
    <t>(1804)</t>
    <phoneticPr fontId="8"/>
  </si>
  <si>
    <t>点238.109_A(8/16)</t>
    <phoneticPr fontId="8"/>
  </si>
  <si>
    <t>(1812)</t>
    <phoneticPr fontId="8"/>
  </si>
  <si>
    <t>点238.109_A(9/16)</t>
    <phoneticPr fontId="8"/>
  </si>
  <si>
    <t>(1805)</t>
    <phoneticPr fontId="8"/>
  </si>
  <si>
    <t>点238.109_A(10/16)</t>
    <phoneticPr fontId="8"/>
  </si>
  <si>
    <t>(1813)</t>
    <phoneticPr fontId="8"/>
  </si>
  <si>
    <t>点238.109_A(11/16)</t>
    <phoneticPr fontId="8"/>
  </si>
  <si>
    <t>(1806)</t>
    <phoneticPr fontId="8"/>
  </si>
  <si>
    <t>点238.109_A(12/16)</t>
    <phoneticPr fontId="8"/>
  </si>
  <si>
    <t>(1814)</t>
    <phoneticPr fontId="8"/>
  </si>
  <si>
    <t>点238.109_A(13/16)</t>
    <phoneticPr fontId="8"/>
  </si>
  <si>
    <t>(1807)</t>
    <phoneticPr fontId="8"/>
  </si>
  <si>
    <t>点238.109_A(14/16)</t>
    <phoneticPr fontId="8"/>
  </si>
  <si>
    <t>(1815)</t>
    <phoneticPr fontId="8"/>
  </si>
  <si>
    <t>点238.109_A(15/16)</t>
    <phoneticPr fontId="8"/>
  </si>
  <si>
    <t>(1808)</t>
    <phoneticPr fontId="8"/>
  </si>
  <si>
    <t>点238.109_A(16/16)</t>
    <phoneticPr fontId="8"/>
  </si>
  <si>
    <t>(1816)</t>
    <phoneticPr fontId="8"/>
  </si>
  <si>
    <t>----------239 内径 P.06</t>
    <phoneticPr fontId="8"/>
  </si>
  <si>
    <t xml:space="preserve">円239.108            </t>
    <phoneticPr fontId="8"/>
  </si>
  <si>
    <t xml:space="preserve">(8)                 </t>
    <phoneticPr fontId="8"/>
  </si>
  <si>
    <t>(1301)</t>
    <phoneticPr fontId="8"/>
  </si>
  <si>
    <t>点239.108(5/16)</t>
    <phoneticPr fontId="8"/>
  </si>
  <si>
    <t>(1311)</t>
    <phoneticPr fontId="8"/>
  </si>
  <si>
    <t>(1312)</t>
    <phoneticPr fontId="8"/>
  </si>
  <si>
    <t>点239.108(9/16)</t>
    <phoneticPr fontId="8"/>
  </si>
  <si>
    <t>(1307)</t>
    <phoneticPr fontId="8"/>
  </si>
  <si>
    <t>点239.108(14/16)</t>
    <phoneticPr fontId="8"/>
  </si>
  <si>
    <t>点239.108(16/16)</t>
    <phoneticPr fontId="8"/>
  </si>
  <si>
    <t>(1316)</t>
    <phoneticPr fontId="8"/>
  </si>
  <si>
    <t>----------240 内径 P.06</t>
    <phoneticPr fontId="8"/>
  </si>
  <si>
    <t xml:space="preserve">円240.111            </t>
    <phoneticPr fontId="8"/>
  </si>
  <si>
    <t xml:space="preserve">(9)                 </t>
    <phoneticPr fontId="8"/>
  </si>
  <si>
    <t>点240.111(1/16)</t>
    <phoneticPr fontId="8"/>
  </si>
  <si>
    <t>(2301)</t>
    <phoneticPr fontId="8"/>
  </si>
  <si>
    <t>点240.111(2/16)</t>
    <phoneticPr fontId="8"/>
  </si>
  <si>
    <t>(2309)</t>
    <phoneticPr fontId="8"/>
  </si>
  <si>
    <t>点240.111(3/16)</t>
    <phoneticPr fontId="8"/>
  </si>
  <si>
    <t>(2302)</t>
    <phoneticPr fontId="8"/>
  </si>
  <si>
    <t>点240.111(4/16)</t>
    <phoneticPr fontId="8"/>
  </si>
  <si>
    <t>(2310)</t>
    <phoneticPr fontId="8"/>
  </si>
  <si>
    <t>点240.111(5/16)</t>
    <phoneticPr fontId="8"/>
  </si>
  <si>
    <t>(2303)</t>
    <phoneticPr fontId="8"/>
  </si>
  <si>
    <t>点240.111(6/16)</t>
    <phoneticPr fontId="8"/>
  </si>
  <si>
    <t>(2311)</t>
    <phoneticPr fontId="8"/>
  </si>
  <si>
    <t>点240.111(7/16)</t>
    <phoneticPr fontId="8"/>
  </si>
  <si>
    <t>(2304)</t>
    <phoneticPr fontId="8"/>
  </si>
  <si>
    <t>点240.111(8/16)</t>
    <phoneticPr fontId="8"/>
  </si>
  <si>
    <t>(2312)</t>
    <phoneticPr fontId="8"/>
  </si>
  <si>
    <t>点240.111(9/16)</t>
    <phoneticPr fontId="8"/>
  </si>
  <si>
    <t>(2305)</t>
    <phoneticPr fontId="8"/>
  </si>
  <si>
    <t>点240.111(10/16)</t>
    <phoneticPr fontId="8"/>
  </si>
  <si>
    <t>(2313)</t>
    <phoneticPr fontId="8"/>
  </si>
  <si>
    <t>点240.111(11/16)</t>
    <phoneticPr fontId="8"/>
  </si>
  <si>
    <t>(2306)</t>
    <phoneticPr fontId="8"/>
  </si>
  <si>
    <t>点240.111(12/16)</t>
    <phoneticPr fontId="8"/>
  </si>
  <si>
    <t>(2314)</t>
    <phoneticPr fontId="8"/>
  </si>
  <si>
    <t>点240.111(13/16)</t>
    <phoneticPr fontId="8"/>
  </si>
  <si>
    <t>(2307)</t>
    <phoneticPr fontId="8"/>
  </si>
  <si>
    <t>点240.111(14/16)</t>
    <phoneticPr fontId="8"/>
  </si>
  <si>
    <t>(2315)</t>
    <phoneticPr fontId="8"/>
  </si>
  <si>
    <t>点240.111(15/16)</t>
    <phoneticPr fontId="8"/>
  </si>
  <si>
    <t>(2308)</t>
    <phoneticPr fontId="8"/>
  </si>
  <si>
    <t>点240.111(16/16)</t>
    <phoneticPr fontId="8"/>
  </si>
  <si>
    <t>(2316)</t>
    <phoneticPr fontId="8"/>
  </si>
  <si>
    <t>----------241 内径 P.06</t>
    <phoneticPr fontId="8"/>
  </si>
  <si>
    <t xml:space="preserve">円241.113            </t>
    <phoneticPr fontId="8"/>
  </si>
  <si>
    <t xml:space="preserve">(21)                </t>
    <phoneticPr fontId="8"/>
  </si>
  <si>
    <t>点241.113(1/16)</t>
    <phoneticPr fontId="8"/>
  </si>
  <si>
    <t>(6401)</t>
    <phoneticPr fontId="8"/>
  </si>
  <si>
    <t>点241.113(2/16)</t>
    <phoneticPr fontId="8"/>
  </si>
  <si>
    <t>(6409)</t>
    <phoneticPr fontId="8"/>
  </si>
  <si>
    <t>点241.113(3/16)</t>
    <phoneticPr fontId="8"/>
  </si>
  <si>
    <t>(6402)</t>
    <phoneticPr fontId="8"/>
  </si>
  <si>
    <t>点241.113(4/16)</t>
    <phoneticPr fontId="8"/>
  </si>
  <si>
    <t>(6410)</t>
    <phoneticPr fontId="8"/>
  </si>
  <si>
    <t>点241.113(5/16)</t>
    <phoneticPr fontId="8"/>
  </si>
  <si>
    <t>(6403)</t>
    <phoneticPr fontId="8"/>
  </si>
  <si>
    <t>点241.113(6/16)</t>
    <phoneticPr fontId="8"/>
  </si>
  <si>
    <t>(6411)</t>
    <phoneticPr fontId="8"/>
  </si>
  <si>
    <t>点241.113(7/16)</t>
    <phoneticPr fontId="8"/>
  </si>
  <si>
    <t>(6404)</t>
    <phoneticPr fontId="8"/>
  </si>
  <si>
    <t>点241.113(8/16)</t>
    <phoneticPr fontId="8"/>
  </si>
  <si>
    <t>(6412)</t>
    <phoneticPr fontId="8"/>
  </si>
  <si>
    <t>点241.113(9/16)</t>
    <phoneticPr fontId="8"/>
  </si>
  <si>
    <t>(6405)</t>
    <phoneticPr fontId="8"/>
  </si>
  <si>
    <t>点241.113(10/16)</t>
    <phoneticPr fontId="8"/>
  </si>
  <si>
    <t>(6413)</t>
    <phoneticPr fontId="8"/>
  </si>
  <si>
    <t>点241.113(11/16)</t>
    <phoneticPr fontId="8"/>
  </si>
  <si>
    <t>(6406)</t>
    <phoneticPr fontId="8"/>
  </si>
  <si>
    <t>点241.113(12/16)</t>
    <phoneticPr fontId="8"/>
  </si>
  <si>
    <t>(6414)</t>
    <phoneticPr fontId="8"/>
  </si>
  <si>
    <t>点241.113(13/16)</t>
    <phoneticPr fontId="8"/>
  </si>
  <si>
    <t>(6407)</t>
    <phoneticPr fontId="8"/>
  </si>
  <si>
    <t>点241.113(14/16)</t>
    <phoneticPr fontId="8"/>
  </si>
  <si>
    <t>(6415)</t>
    <phoneticPr fontId="8"/>
  </si>
  <si>
    <t>点241.113(15/16)</t>
    <phoneticPr fontId="8"/>
  </si>
  <si>
    <t>(6408)</t>
    <phoneticPr fontId="8"/>
  </si>
  <si>
    <t>点241.113(16/16)</t>
    <phoneticPr fontId="8"/>
  </si>
  <si>
    <t>(6416)</t>
    <phoneticPr fontId="8"/>
  </si>
  <si>
    <t>----------242_2001 内径(1/2箇所) P.06</t>
    <phoneticPr fontId="8"/>
  </si>
  <si>
    <t xml:space="preserve">円242.115_F          </t>
    <phoneticPr fontId="8"/>
  </si>
  <si>
    <t xml:space="preserve">(10)                </t>
    <phoneticPr fontId="8"/>
  </si>
  <si>
    <t>点242.115_F(1/16)</t>
    <phoneticPr fontId="8"/>
  </si>
  <si>
    <t>点242.115_F(2/16)</t>
    <phoneticPr fontId="8"/>
  </si>
  <si>
    <t>点242.115_F(3/16)</t>
    <phoneticPr fontId="8"/>
  </si>
  <si>
    <t>点242.115_F(4/16)</t>
    <phoneticPr fontId="8"/>
  </si>
  <si>
    <t>点242.115_F(6/16)</t>
    <phoneticPr fontId="8"/>
  </si>
  <si>
    <t>点242.115_F(7/16)</t>
    <phoneticPr fontId="8"/>
  </si>
  <si>
    <t>(3012)</t>
    <phoneticPr fontId="8"/>
  </si>
  <si>
    <t>点242.115_F(9/16)</t>
    <phoneticPr fontId="8"/>
  </si>
  <si>
    <t>点242.115_F(10/16)</t>
    <phoneticPr fontId="8"/>
  </si>
  <si>
    <t>点242.115_F(12/16)</t>
    <phoneticPr fontId="8"/>
  </si>
  <si>
    <t>----------242_2002 内径(2/2箇所) P.06</t>
    <phoneticPr fontId="8"/>
  </si>
  <si>
    <t xml:space="preserve">円242.115_A          </t>
    <phoneticPr fontId="8"/>
  </si>
  <si>
    <t>点242.115_A(1/16)</t>
    <phoneticPr fontId="8"/>
  </si>
  <si>
    <t>(3301)</t>
    <phoneticPr fontId="8"/>
  </si>
  <si>
    <t>点242.115_A(2/16)</t>
    <phoneticPr fontId="8"/>
  </si>
  <si>
    <t>(3309)</t>
    <phoneticPr fontId="8"/>
  </si>
  <si>
    <t>点242.115_A(3/16)</t>
    <phoneticPr fontId="8"/>
  </si>
  <si>
    <t>(3302)</t>
    <phoneticPr fontId="8"/>
  </si>
  <si>
    <t>点242.115_A(4/16)</t>
    <phoneticPr fontId="8"/>
  </si>
  <si>
    <t>(3310)</t>
    <phoneticPr fontId="8"/>
  </si>
  <si>
    <t>点242.115_A(5/16)</t>
    <phoneticPr fontId="8"/>
  </si>
  <si>
    <t>(3303)</t>
    <phoneticPr fontId="8"/>
  </si>
  <si>
    <t>点242.115_A(6/16)</t>
    <phoneticPr fontId="8"/>
  </si>
  <si>
    <t>(3311)</t>
    <phoneticPr fontId="8"/>
  </si>
  <si>
    <t>点242.115_A(7/16)</t>
    <phoneticPr fontId="8"/>
  </si>
  <si>
    <t>(3304)</t>
    <phoneticPr fontId="8"/>
  </si>
  <si>
    <t>点242.115_A(8/16)</t>
    <phoneticPr fontId="8"/>
  </si>
  <si>
    <t>(3312)</t>
    <phoneticPr fontId="8"/>
  </si>
  <si>
    <t>点242.115_A(9/16)</t>
    <phoneticPr fontId="8"/>
  </si>
  <si>
    <t>(3305)</t>
    <phoneticPr fontId="8"/>
  </si>
  <si>
    <t>点242.115_A(10/16)</t>
    <phoneticPr fontId="8"/>
  </si>
  <si>
    <t>(3313)</t>
    <phoneticPr fontId="8"/>
  </si>
  <si>
    <t>点242.115_A(11/16)</t>
    <phoneticPr fontId="8"/>
  </si>
  <si>
    <t>(3306)</t>
    <phoneticPr fontId="8"/>
  </si>
  <si>
    <t>点242.115_A(12/16)</t>
    <phoneticPr fontId="8"/>
  </si>
  <si>
    <t>(3314)</t>
    <phoneticPr fontId="8"/>
  </si>
  <si>
    <t>点242.115_A(13/16)</t>
    <phoneticPr fontId="8"/>
  </si>
  <si>
    <t>(3307)</t>
    <phoneticPr fontId="8"/>
  </si>
  <si>
    <t>点242.115_A(14/16)</t>
    <phoneticPr fontId="8"/>
  </si>
  <si>
    <t>(3315)</t>
    <phoneticPr fontId="8"/>
  </si>
  <si>
    <t>点242.115_A(15/16)</t>
    <phoneticPr fontId="8"/>
  </si>
  <si>
    <t>(3308)</t>
    <phoneticPr fontId="8"/>
  </si>
  <si>
    <t>点242.115_A(16/16)</t>
    <phoneticPr fontId="8"/>
  </si>
  <si>
    <t>(3316)</t>
    <phoneticPr fontId="8"/>
  </si>
  <si>
    <t>----------243 内径 P.07</t>
    <phoneticPr fontId="8"/>
  </si>
  <si>
    <t xml:space="preserve">円243.114            </t>
    <phoneticPr fontId="8"/>
  </si>
  <si>
    <t xml:space="preserve">(12)                </t>
    <phoneticPr fontId="8"/>
  </si>
  <si>
    <t>点243.114(1/16)</t>
    <phoneticPr fontId="8"/>
  </si>
  <si>
    <t>(2801)</t>
    <phoneticPr fontId="8"/>
  </si>
  <si>
    <t>点243.114(2/16)</t>
    <phoneticPr fontId="8"/>
  </si>
  <si>
    <t>(2809)</t>
    <phoneticPr fontId="8"/>
  </si>
  <si>
    <t>点243.114(3/16)</t>
    <phoneticPr fontId="8"/>
  </si>
  <si>
    <t>(2802)</t>
    <phoneticPr fontId="8"/>
  </si>
  <si>
    <t>点243.114(4/16)</t>
    <phoneticPr fontId="8"/>
  </si>
  <si>
    <t>(2810)</t>
    <phoneticPr fontId="8"/>
  </si>
  <si>
    <t>点243.114(5/16)</t>
    <phoneticPr fontId="8"/>
  </si>
  <si>
    <t>(2803)</t>
    <phoneticPr fontId="8"/>
  </si>
  <si>
    <t>点243.114(6/16)</t>
    <phoneticPr fontId="8"/>
  </si>
  <si>
    <t>(2811)</t>
    <phoneticPr fontId="8"/>
  </si>
  <si>
    <t>点243.114(7/16)</t>
    <phoneticPr fontId="8"/>
  </si>
  <si>
    <t>(2804)</t>
    <phoneticPr fontId="8"/>
  </si>
  <si>
    <t>点243.114(8/16)</t>
    <phoneticPr fontId="8"/>
  </si>
  <si>
    <t>(2812)</t>
    <phoneticPr fontId="8"/>
  </si>
  <si>
    <t>点243.114(9/16)</t>
    <phoneticPr fontId="8"/>
  </si>
  <si>
    <t>(2805)</t>
    <phoneticPr fontId="8"/>
  </si>
  <si>
    <t>点243.114(10/16)</t>
    <phoneticPr fontId="8"/>
  </si>
  <si>
    <t>(2813)</t>
    <phoneticPr fontId="8"/>
  </si>
  <si>
    <t>点243.114(11/16)</t>
    <phoneticPr fontId="8"/>
  </si>
  <si>
    <t>(2806)</t>
    <phoneticPr fontId="8"/>
  </si>
  <si>
    <t>点243.114(12/16)</t>
    <phoneticPr fontId="8"/>
  </si>
  <si>
    <t>(2814)</t>
    <phoneticPr fontId="8"/>
  </si>
  <si>
    <t>点243.114(13/16)</t>
    <phoneticPr fontId="8"/>
  </si>
  <si>
    <t>(2807)</t>
    <phoneticPr fontId="8"/>
  </si>
  <si>
    <t>点243.114(14/16)</t>
    <phoneticPr fontId="8"/>
  </si>
  <si>
    <t>(2815)</t>
    <phoneticPr fontId="8"/>
  </si>
  <si>
    <t>点243.114(15/16)</t>
    <phoneticPr fontId="8"/>
  </si>
  <si>
    <t>(2808)</t>
    <phoneticPr fontId="8"/>
  </si>
  <si>
    <t>点243.114(16/16)</t>
    <phoneticPr fontId="8"/>
  </si>
  <si>
    <t>(2816)</t>
    <phoneticPr fontId="8"/>
  </si>
  <si>
    <t>----------244 内径 P.07</t>
    <phoneticPr fontId="8"/>
  </si>
  <si>
    <t xml:space="preserve">円244.117            </t>
    <phoneticPr fontId="8"/>
  </si>
  <si>
    <t>点244.117(2/16)</t>
    <phoneticPr fontId="8"/>
  </si>
  <si>
    <t>(3702)</t>
    <phoneticPr fontId="8"/>
  </si>
  <si>
    <t>(3703)</t>
    <phoneticPr fontId="8"/>
  </si>
  <si>
    <t>(3704)</t>
    <phoneticPr fontId="8"/>
  </si>
  <si>
    <t>(3712)</t>
    <phoneticPr fontId="8"/>
  </si>
  <si>
    <t>(3714)</t>
    <phoneticPr fontId="8"/>
  </si>
  <si>
    <t>点244.117(13/16)</t>
    <phoneticPr fontId="8"/>
  </si>
  <si>
    <t>(3707)</t>
    <phoneticPr fontId="8"/>
  </si>
  <si>
    <t>点244.117(15/16)</t>
    <phoneticPr fontId="8"/>
  </si>
  <si>
    <t>点244.117(16/16)</t>
    <phoneticPr fontId="8"/>
  </si>
  <si>
    <t>----------246_2001 内径(1/2箇所) P.07</t>
    <phoneticPr fontId="8"/>
  </si>
  <si>
    <t xml:space="preserve">円246.121_F          </t>
    <phoneticPr fontId="8"/>
  </si>
  <si>
    <t xml:space="preserve">(14)                </t>
    <phoneticPr fontId="8"/>
  </si>
  <si>
    <t>点246.121_F(1/16)</t>
    <phoneticPr fontId="8"/>
  </si>
  <si>
    <t>(4401)</t>
    <phoneticPr fontId="8"/>
  </si>
  <si>
    <t>点246.121_F(2/16)</t>
    <phoneticPr fontId="8"/>
  </si>
  <si>
    <t>(4409)</t>
    <phoneticPr fontId="8"/>
  </si>
  <si>
    <t>点246.121_F(3/16)</t>
    <phoneticPr fontId="8"/>
  </si>
  <si>
    <t>(4402)</t>
    <phoneticPr fontId="8"/>
  </si>
  <si>
    <t>点246.121_F(4/16)</t>
    <phoneticPr fontId="8"/>
  </si>
  <si>
    <t>(4410)</t>
    <phoneticPr fontId="8"/>
  </si>
  <si>
    <t>点246.121_F(5/16)</t>
    <phoneticPr fontId="8"/>
  </si>
  <si>
    <t>(4403)</t>
    <phoneticPr fontId="8"/>
  </si>
  <si>
    <t>点246.121_F(6/16)</t>
    <phoneticPr fontId="8"/>
  </si>
  <si>
    <t>(4411)</t>
    <phoneticPr fontId="8"/>
  </si>
  <si>
    <t>点246.121_F(7/16)</t>
    <phoneticPr fontId="8"/>
  </si>
  <si>
    <t>(4404)</t>
    <phoneticPr fontId="8"/>
  </si>
  <si>
    <t>点246.121_F(8/16)</t>
    <phoneticPr fontId="8"/>
  </si>
  <si>
    <t>(4412)</t>
    <phoneticPr fontId="8"/>
  </si>
  <si>
    <t>点246.121_F(9/16)</t>
    <phoneticPr fontId="8"/>
  </si>
  <si>
    <t>(4405)</t>
    <phoneticPr fontId="8"/>
  </si>
  <si>
    <t>点246.121_F(10/16)</t>
    <phoneticPr fontId="8"/>
  </si>
  <si>
    <t>(4413)</t>
    <phoneticPr fontId="8"/>
  </si>
  <si>
    <t>点246.121_F(11/16)</t>
    <phoneticPr fontId="8"/>
  </si>
  <si>
    <t>(4406)</t>
    <phoneticPr fontId="8"/>
  </si>
  <si>
    <t>点246.121_F(12/16)</t>
    <phoneticPr fontId="8"/>
  </si>
  <si>
    <t>(4414)</t>
    <phoneticPr fontId="8"/>
  </si>
  <si>
    <t>点246.121_F(13/16)</t>
    <phoneticPr fontId="8"/>
  </si>
  <si>
    <t>(4407)</t>
    <phoneticPr fontId="8"/>
  </si>
  <si>
    <t>点246.121_F(14/16)</t>
    <phoneticPr fontId="8"/>
  </si>
  <si>
    <t>(4415)</t>
    <phoneticPr fontId="8"/>
  </si>
  <si>
    <t>点246.121_F(15/16)</t>
    <phoneticPr fontId="8"/>
  </si>
  <si>
    <t>(4408)</t>
    <phoneticPr fontId="8"/>
  </si>
  <si>
    <t>点246.121_F(16/16)</t>
    <phoneticPr fontId="8"/>
  </si>
  <si>
    <t>(4416)</t>
    <phoneticPr fontId="8"/>
  </si>
  <si>
    <t>----------246_2002 内径(2/2箇所) P.07</t>
    <phoneticPr fontId="8"/>
  </si>
  <si>
    <t xml:space="preserve">円246.121_A          </t>
    <phoneticPr fontId="8"/>
  </si>
  <si>
    <t xml:space="preserve">(15)                </t>
    <phoneticPr fontId="8"/>
  </si>
  <si>
    <t>点246.121_A(1/16)</t>
    <phoneticPr fontId="8"/>
  </si>
  <si>
    <t>(4701)</t>
    <phoneticPr fontId="8"/>
  </si>
  <si>
    <t>点246.121_A(2/16)</t>
    <phoneticPr fontId="8"/>
  </si>
  <si>
    <t>(4709)</t>
    <phoneticPr fontId="8"/>
  </si>
  <si>
    <t>点246.121_A(3/16)</t>
    <phoneticPr fontId="8"/>
  </si>
  <si>
    <t>(4702)</t>
    <phoneticPr fontId="8"/>
  </si>
  <si>
    <t>点246.121_A(4/16)</t>
    <phoneticPr fontId="8"/>
  </si>
  <si>
    <t>(4710)</t>
    <phoneticPr fontId="8"/>
  </si>
  <si>
    <t>点246.121_A(5/16)</t>
    <phoneticPr fontId="8"/>
  </si>
  <si>
    <t>(4703)</t>
    <phoneticPr fontId="8"/>
  </si>
  <si>
    <t>点246.121_A(6/16)</t>
    <phoneticPr fontId="8"/>
  </si>
  <si>
    <t>(4711)</t>
    <phoneticPr fontId="8"/>
  </si>
  <si>
    <t>点246.121_A(7/16)</t>
    <phoneticPr fontId="8"/>
  </si>
  <si>
    <t>(4704)</t>
    <phoneticPr fontId="8"/>
  </si>
  <si>
    <t>点246.121_A(8/16)</t>
    <phoneticPr fontId="8"/>
  </si>
  <si>
    <t>(4712)</t>
    <phoneticPr fontId="8"/>
  </si>
  <si>
    <t>点246.121_A(9/16)</t>
    <phoneticPr fontId="8"/>
  </si>
  <si>
    <t>(4705)</t>
    <phoneticPr fontId="8"/>
  </si>
  <si>
    <t>点246.121_A(10/16)</t>
    <phoneticPr fontId="8"/>
  </si>
  <si>
    <t>(4713)</t>
    <phoneticPr fontId="8"/>
  </si>
  <si>
    <t>点246.121_A(11/16)</t>
    <phoneticPr fontId="8"/>
  </si>
  <si>
    <t>(4706)</t>
    <phoneticPr fontId="8"/>
  </si>
  <si>
    <t>点246.121_A(12/16)</t>
    <phoneticPr fontId="8"/>
  </si>
  <si>
    <t>(4714)</t>
    <phoneticPr fontId="8"/>
  </si>
  <si>
    <t>点246.121_A(13/16)</t>
    <phoneticPr fontId="8"/>
  </si>
  <si>
    <t>(4707)</t>
    <phoneticPr fontId="8"/>
  </si>
  <si>
    <t>点246.121_A(14/16)</t>
    <phoneticPr fontId="8"/>
  </si>
  <si>
    <t>(4715)</t>
    <phoneticPr fontId="8"/>
  </si>
  <si>
    <t>点246.121_A(15/16)</t>
    <phoneticPr fontId="8"/>
  </si>
  <si>
    <t>(4708)</t>
    <phoneticPr fontId="8"/>
  </si>
  <si>
    <t>点246.121_A(16/16)</t>
    <phoneticPr fontId="8"/>
  </si>
  <si>
    <t>(4716)</t>
    <phoneticPr fontId="8"/>
  </si>
  <si>
    <t>----------247 内径 P.07</t>
    <phoneticPr fontId="8"/>
  </si>
  <si>
    <t xml:space="preserve">円247.120            </t>
    <phoneticPr fontId="8"/>
  </si>
  <si>
    <t xml:space="preserve">(16)                </t>
    <phoneticPr fontId="8"/>
  </si>
  <si>
    <t>点247.120(2/16)</t>
    <phoneticPr fontId="8"/>
  </si>
  <si>
    <t>点247.120(4/16)</t>
    <phoneticPr fontId="8"/>
  </si>
  <si>
    <t>点247.120(9/16)</t>
    <phoneticPr fontId="8"/>
  </si>
  <si>
    <t>(4213)</t>
    <phoneticPr fontId="8"/>
  </si>
  <si>
    <t>点247.120(15/16)</t>
    <phoneticPr fontId="8"/>
  </si>
  <si>
    <t>----------248 内径 P.07</t>
    <phoneticPr fontId="8"/>
  </si>
  <si>
    <t xml:space="preserve">円248                </t>
    <phoneticPr fontId="8"/>
  </si>
  <si>
    <t xml:space="preserve">(17)                </t>
    <phoneticPr fontId="8"/>
  </si>
  <si>
    <t>点248(1/16)</t>
    <phoneticPr fontId="8"/>
  </si>
  <si>
    <t>(4901)</t>
    <phoneticPr fontId="8"/>
  </si>
  <si>
    <t>点248(2/16)</t>
    <phoneticPr fontId="8"/>
  </si>
  <si>
    <t>(4909)</t>
    <phoneticPr fontId="8"/>
  </si>
  <si>
    <t>点248(3/16)</t>
    <phoneticPr fontId="8"/>
  </si>
  <si>
    <t>(4902)</t>
    <phoneticPr fontId="8"/>
  </si>
  <si>
    <t>点248(4/16)</t>
    <phoneticPr fontId="8"/>
  </si>
  <si>
    <t>(4910)</t>
    <phoneticPr fontId="8"/>
  </si>
  <si>
    <t>点248(5/16)</t>
    <phoneticPr fontId="8"/>
  </si>
  <si>
    <t>(4903)</t>
    <phoneticPr fontId="8"/>
  </si>
  <si>
    <t>点248(6/16)</t>
    <phoneticPr fontId="8"/>
  </si>
  <si>
    <t>(4911)</t>
    <phoneticPr fontId="8"/>
  </si>
  <si>
    <t>点248(7/16)</t>
    <phoneticPr fontId="8"/>
  </si>
  <si>
    <t>(4904)</t>
    <phoneticPr fontId="8"/>
  </si>
  <si>
    <t>点248(8/16)</t>
    <phoneticPr fontId="8"/>
  </si>
  <si>
    <t>(4912)</t>
    <phoneticPr fontId="8"/>
  </si>
  <si>
    <t>点248(9/16)</t>
    <phoneticPr fontId="8"/>
  </si>
  <si>
    <t>(4905)</t>
    <phoneticPr fontId="8"/>
  </si>
  <si>
    <t>点248(10/16)</t>
    <phoneticPr fontId="8"/>
  </si>
  <si>
    <t>(4913)</t>
    <phoneticPr fontId="8"/>
  </si>
  <si>
    <t>点248(11/16)</t>
    <phoneticPr fontId="8"/>
  </si>
  <si>
    <t>(4906)</t>
    <phoneticPr fontId="8"/>
  </si>
  <si>
    <t>点248(12/16)</t>
    <phoneticPr fontId="8"/>
  </si>
  <si>
    <t>(4914)</t>
    <phoneticPr fontId="8"/>
  </si>
  <si>
    <t>点248(13/16)</t>
    <phoneticPr fontId="8"/>
  </si>
  <si>
    <t>(4907)</t>
    <phoneticPr fontId="8"/>
  </si>
  <si>
    <t>点248(14/16)</t>
    <phoneticPr fontId="8"/>
  </si>
  <si>
    <t>(4915)</t>
    <phoneticPr fontId="8"/>
  </si>
  <si>
    <t>点248(15/16)</t>
    <phoneticPr fontId="8"/>
  </si>
  <si>
    <t>(4908)</t>
    <phoneticPr fontId="8"/>
  </si>
  <si>
    <t>点248(16/16)</t>
    <phoneticPr fontId="8"/>
  </si>
  <si>
    <t>(4916)</t>
    <phoneticPr fontId="8"/>
  </si>
  <si>
    <t>----------201 真円度 P.01</t>
    <phoneticPr fontId="1"/>
  </si>
  <si>
    <t xml:space="preserve">真円度                 </t>
    <phoneticPr fontId="1"/>
  </si>
  <si>
    <t xml:space="preserve">   </t>
    <phoneticPr fontId="1"/>
  </si>
  <si>
    <t xml:space="preserve">円A_201              </t>
    <phoneticPr fontId="1"/>
  </si>
  <si>
    <t>DV=</t>
    <phoneticPr fontId="1"/>
  </si>
  <si>
    <t>TO=</t>
    <phoneticPr fontId="1"/>
  </si>
  <si>
    <t xml:space="preserve">(31)                </t>
    <phoneticPr fontId="1"/>
  </si>
  <si>
    <t>後上</t>
    <phoneticPr fontId="1"/>
  </si>
  <si>
    <t>X=</t>
    <phoneticPr fontId="1"/>
  </si>
  <si>
    <t>点A(1/16)_F</t>
    <phoneticPr fontId="1"/>
  </si>
  <si>
    <t>Y=</t>
    <phoneticPr fontId="1"/>
  </si>
  <si>
    <t>(7201)</t>
    <phoneticPr fontId="1"/>
  </si>
  <si>
    <t>点A(2/16)_F</t>
    <phoneticPr fontId="1"/>
  </si>
  <si>
    <t>(7202)</t>
    <phoneticPr fontId="1"/>
  </si>
  <si>
    <t>点A(3/16)_F</t>
    <phoneticPr fontId="1"/>
  </si>
  <si>
    <t>(7203)</t>
    <phoneticPr fontId="1"/>
  </si>
  <si>
    <t>点A(4/16)_F</t>
    <phoneticPr fontId="1"/>
  </si>
  <si>
    <t>(7204)</t>
    <phoneticPr fontId="1"/>
  </si>
  <si>
    <t>点A(5/16)_F</t>
    <phoneticPr fontId="1"/>
  </si>
  <si>
    <t>(7205)</t>
    <phoneticPr fontId="1"/>
  </si>
  <si>
    <t>点A(6/16)_F</t>
    <phoneticPr fontId="1"/>
  </si>
  <si>
    <t>(7206)</t>
    <phoneticPr fontId="1"/>
  </si>
  <si>
    <t>点A(7/16)_F</t>
    <phoneticPr fontId="1"/>
  </si>
  <si>
    <t>(7207)</t>
    <phoneticPr fontId="1"/>
  </si>
  <si>
    <t>点A(8/16)_F</t>
    <phoneticPr fontId="1"/>
  </si>
  <si>
    <t>(7208)</t>
    <phoneticPr fontId="1"/>
  </si>
  <si>
    <t>点A(9/16)_F</t>
    <phoneticPr fontId="1"/>
  </si>
  <si>
    <t>(7209)</t>
    <phoneticPr fontId="1"/>
  </si>
  <si>
    <t>点A(10/16)_F</t>
    <phoneticPr fontId="1"/>
  </si>
  <si>
    <t>(7210)</t>
    <phoneticPr fontId="1"/>
  </si>
  <si>
    <t>点A(11/16)_F</t>
    <phoneticPr fontId="1"/>
  </si>
  <si>
    <t>(7211)</t>
    <phoneticPr fontId="1"/>
  </si>
  <si>
    <t>点A(12/16)_F</t>
    <phoneticPr fontId="1"/>
  </si>
  <si>
    <t>(7212)</t>
    <phoneticPr fontId="1"/>
  </si>
  <si>
    <t>点A(13/16)_F</t>
    <phoneticPr fontId="1"/>
  </si>
  <si>
    <t>(7213)</t>
    <phoneticPr fontId="1"/>
  </si>
  <si>
    <t>点A(14/16)_F</t>
    <phoneticPr fontId="1"/>
  </si>
  <si>
    <t>(7214)</t>
    <phoneticPr fontId="1"/>
  </si>
  <si>
    <t>点A(15/16)_F</t>
    <phoneticPr fontId="1"/>
  </si>
  <si>
    <t>(7215)</t>
    <phoneticPr fontId="1"/>
  </si>
  <si>
    <t>点A(16/16)_F</t>
    <phoneticPr fontId="1"/>
  </si>
  <si>
    <t>(7216)</t>
    <phoneticPr fontId="1"/>
  </si>
  <si>
    <t>----------112 振れ P.18</t>
    <phoneticPr fontId="1"/>
  </si>
  <si>
    <t xml:space="preserve">軸方向振れ               </t>
    <phoneticPr fontId="1"/>
  </si>
  <si>
    <t xml:space="preserve">(4) 面112            </t>
    <phoneticPr fontId="1"/>
  </si>
  <si>
    <t xml:space="preserve">(1) 線CL (面A.円B)     </t>
    <phoneticPr fontId="1"/>
  </si>
  <si>
    <t>点256.112(1/16)</t>
    <phoneticPr fontId="1"/>
  </si>
  <si>
    <t>(2401)</t>
    <phoneticPr fontId="1"/>
  </si>
  <si>
    <t>点256.112(2/16)</t>
    <phoneticPr fontId="1"/>
  </si>
  <si>
    <t>点256.112(3/16)</t>
    <phoneticPr fontId="1"/>
  </si>
  <si>
    <t>(2402)</t>
    <phoneticPr fontId="1"/>
  </si>
  <si>
    <t>点256.112(4/16)</t>
    <phoneticPr fontId="1"/>
  </si>
  <si>
    <t>(2410)</t>
    <phoneticPr fontId="1"/>
  </si>
  <si>
    <t>点256.112(5/16)</t>
    <phoneticPr fontId="1"/>
  </si>
  <si>
    <t>(2403)</t>
    <phoneticPr fontId="1"/>
  </si>
  <si>
    <t>点256.112(6/16)</t>
    <phoneticPr fontId="1"/>
  </si>
  <si>
    <t>(2411)</t>
    <phoneticPr fontId="1"/>
  </si>
  <si>
    <t>点256.112(7/16)</t>
    <phoneticPr fontId="1"/>
  </si>
  <si>
    <t>(2404)</t>
    <phoneticPr fontId="1"/>
  </si>
  <si>
    <t>点256.112(8/16)</t>
    <phoneticPr fontId="1"/>
  </si>
  <si>
    <t>(2412)</t>
    <phoneticPr fontId="1"/>
  </si>
  <si>
    <t>点256.112(9/16)</t>
    <phoneticPr fontId="1"/>
  </si>
  <si>
    <t>(2405)</t>
    <phoneticPr fontId="1"/>
  </si>
  <si>
    <t>(2413)</t>
    <phoneticPr fontId="1"/>
  </si>
  <si>
    <t>点256.112(11/16)</t>
    <phoneticPr fontId="1"/>
  </si>
  <si>
    <t>(2406)</t>
    <phoneticPr fontId="1"/>
  </si>
  <si>
    <t>(2414)</t>
    <phoneticPr fontId="1"/>
  </si>
  <si>
    <t>点256.112(13/16)</t>
    <phoneticPr fontId="1"/>
  </si>
  <si>
    <t>(2407)</t>
    <phoneticPr fontId="1"/>
  </si>
  <si>
    <t>点256.112(14/16)</t>
    <phoneticPr fontId="1"/>
  </si>
  <si>
    <t>(2415)</t>
    <phoneticPr fontId="1"/>
  </si>
  <si>
    <t>点256.112(15/16)</t>
    <phoneticPr fontId="1"/>
  </si>
  <si>
    <t>(2408)</t>
    <phoneticPr fontId="1"/>
  </si>
  <si>
    <t>点256.112(16/16)</t>
    <phoneticPr fontId="1"/>
  </si>
  <si>
    <t>(2416)</t>
    <phoneticPr fontId="1"/>
  </si>
  <si>
    <t>----------309_2001 幅(1/8箇所) P.18</t>
    <phoneticPr fontId="1"/>
  </si>
  <si>
    <t xml:space="preserve">距離 Z                </t>
    <phoneticPr fontId="1"/>
  </si>
  <si>
    <t>AV=</t>
    <phoneticPr fontId="1"/>
  </si>
  <si>
    <t>NV=</t>
    <phoneticPr fontId="1"/>
  </si>
  <si>
    <t xml:space="preserve">距離309(1/8)          </t>
    <phoneticPr fontId="1"/>
  </si>
  <si>
    <t xml:space="preserve">V= </t>
    <phoneticPr fontId="1"/>
  </si>
  <si>
    <t xml:space="preserve">T= </t>
    <phoneticPr fontId="1"/>
  </si>
  <si>
    <t xml:space="preserve">(1101)              </t>
    <phoneticPr fontId="1"/>
  </si>
  <si>
    <t>LT=</t>
    <phoneticPr fontId="1"/>
  </si>
  <si>
    <t>----------309_2002 幅(2/8箇所) P.18</t>
    <phoneticPr fontId="1"/>
  </si>
  <si>
    <t xml:space="preserve">距離309(2/8)          </t>
    <phoneticPr fontId="1"/>
  </si>
  <si>
    <t xml:space="preserve">(1102)              </t>
    <phoneticPr fontId="1"/>
  </si>
  <si>
    <t>----------309_2003 幅(3/8箇所) P.18</t>
    <phoneticPr fontId="1"/>
  </si>
  <si>
    <t xml:space="preserve">距離309(3/8)          </t>
    <phoneticPr fontId="1"/>
  </si>
  <si>
    <t xml:space="preserve">(1103)              </t>
    <phoneticPr fontId="1"/>
  </si>
  <si>
    <t>----------309_2004 幅(4/8箇所) P.18</t>
    <phoneticPr fontId="1"/>
  </si>
  <si>
    <t xml:space="preserve">距離309(4/8)          </t>
    <phoneticPr fontId="1"/>
  </si>
  <si>
    <t xml:space="preserve">(1104)              </t>
    <phoneticPr fontId="1"/>
  </si>
  <si>
    <t>----------309_2005 幅(5/8箇所) P.18</t>
    <phoneticPr fontId="1"/>
  </si>
  <si>
    <t xml:space="preserve">距離309(5/8)          </t>
    <phoneticPr fontId="1"/>
  </si>
  <si>
    <t xml:space="preserve">(1105)              </t>
    <phoneticPr fontId="1"/>
  </si>
  <si>
    <t>----------309_2006 幅(6/8箇所) P.18</t>
    <phoneticPr fontId="1"/>
  </si>
  <si>
    <t xml:space="preserve">距離309(6/8)          </t>
    <phoneticPr fontId="1"/>
  </si>
  <si>
    <t xml:space="preserve">(1106)              </t>
    <phoneticPr fontId="1"/>
  </si>
  <si>
    <t>----------309_2007 幅(7/8箇所) P.18</t>
    <phoneticPr fontId="1"/>
  </si>
  <si>
    <t xml:space="preserve">距離309(7/8)          </t>
    <phoneticPr fontId="1"/>
  </si>
  <si>
    <t xml:space="preserve">(1107)              </t>
    <phoneticPr fontId="1"/>
  </si>
  <si>
    <t>----------309_2008 幅(8/8箇所) P.18</t>
    <phoneticPr fontId="1"/>
  </si>
  <si>
    <t xml:space="preserve">距離309(8/8)          </t>
    <phoneticPr fontId="1"/>
  </si>
  <si>
    <t xml:space="preserve">(1108)              </t>
    <phoneticPr fontId="1"/>
  </si>
  <si>
    <t>----------118 振れ P.22</t>
    <phoneticPr fontId="1"/>
  </si>
  <si>
    <t xml:space="preserve">(6) 面118            </t>
    <phoneticPr fontId="1"/>
  </si>
  <si>
    <t>点260.118(1/16)</t>
    <phoneticPr fontId="1"/>
  </si>
  <si>
    <t>(3801)</t>
    <phoneticPr fontId="1"/>
  </si>
  <si>
    <t>点260.118(2/16)</t>
    <phoneticPr fontId="1"/>
  </si>
  <si>
    <t>(3809)</t>
    <phoneticPr fontId="1"/>
  </si>
  <si>
    <t>点260.118(3/16)</t>
    <phoneticPr fontId="1"/>
  </si>
  <si>
    <t>(3802)</t>
    <phoneticPr fontId="1"/>
  </si>
  <si>
    <t>点260.118(4/16)</t>
    <phoneticPr fontId="1"/>
  </si>
  <si>
    <t>(3810)</t>
    <phoneticPr fontId="1"/>
  </si>
  <si>
    <t>点260.118(5/16)</t>
    <phoneticPr fontId="1"/>
  </si>
  <si>
    <t>(3803)</t>
    <phoneticPr fontId="1"/>
  </si>
  <si>
    <t>点260.118(6/16)</t>
    <phoneticPr fontId="1"/>
  </si>
  <si>
    <t>(3811)</t>
    <phoneticPr fontId="1"/>
  </si>
  <si>
    <t>点260.118(7/16)</t>
    <phoneticPr fontId="1"/>
  </si>
  <si>
    <t>(3804)</t>
    <phoneticPr fontId="1"/>
  </si>
  <si>
    <t>点260.118(8/16)</t>
    <phoneticPr fontId="1"/>
  </si>
  <si>
    <t>(3812)</t>
    <phoneticPr fontId="1"/>
  </si>
  <si>
    <t>点260.118(9/16)</t>
    <phoneticPr fontId="1"/>
  </si>
  <si>
    <t>(3805)</t>
    <phoneticPr fontId="1"/>
  </si>
  <si>
    <t>点260.118(10/16)</t>
    <phoneticPr fontId="1"/>
  </si>
  <si>
    <t>(3813)</t>
    <phoneticPr fontId="1"/>
  </si>
  <si>
    <t>点260.118(11/16)</t>
    <phoneticPr fontId="1"/>
  </si>
  <si>
    <t>(3806)</t>
    <phoneticPr fontId="1"/>
  </si>
  <si>
    <t>点260.118(12/16)</t>
    <phoneticPr fontId="1"/>
  </si>
  <si>
    <t>(3814)</t>
    <phoneticPr fontId="1"/>
  </si>
  <si>
    <t>点260.118(13/16)</t>
    <phoneticPr fontId="1"/>
  </si>
  <si>
    <t>(3807)</t>
    <phoneticPr fontId="1"/>
  </si>
  <si>
    <t>点260.118(14/16)</t>
    <phoneticPr fontId="1"/>
  </si>
  <si>
    <t>(3815)</t>
    <phoneticPr fontId="1"/>
  </si>
  <si>
    <t>点260.118(15/16)</t>
    <phoneticPr fontId="1"/>
  </si>
  <si>
    <t>(3808)</t>
    <phoneticPr fontId="1"/>
  </si>
  <si>
    <t>点260.118(16/16)</t>
    <phoneticPr fontId="1"/>
  </si>
  <si>
    <t>(3816)</t>
    <phoneticPr fontId="1"/>
  </si>
  <si>
    <t>----------342_2001 幅(1/8箇所) P.22</t>
    <phoneticPr fontId="1"/>
  </si>
  <si>
    <t xml:space="preserve">距離342(1/8)          </t>
    <phoneticPr fontId="1"/>
  </si>
  <si>
    <t xml:space="preserve">(1901)              </t>
    <phoneticPr fontId="1"/>
  </si>
  <si>
    <t>----------342_2002 幅(2/8箇所) P.22</t>
    <phoneticPr fontId="1"/>
  </si>
  <si>
    <t xml:space="preserve">距離342(2/8)          </t>
    <phoneticPr fontId="1"/>
  </si>
  <si>
    <t xml:space="preserve">(1902)              </t>
    <phoneticPr fontId="1"/>
  </si>
  <si>
    <t>----------342_2003 幅(3/8箇所) P.22</t>
    <phoneticPr fontId="1"/>
  </si>
  <si>
    <t xml:space="preserve">距離342(3/8)          </t>
    <phoneticPr fontId="1"/>
  </si>
  <si>
    <t xml:space="preserve">(1903)              </t>
    <phoneticPr fontId="1"/>
  </si>
  <si>
    <t>----------342_2004 幅(4/8箇所) P.22</t>
    <phoneticPr fontId="1"/>
  </si>
  <si>
    <t xml:space="preserve">距離342(4/8)          </t>
    <phoneticPr fontId="1"/>
  </si>
  <si>
    <t xml:space="preserve">(1904)              </t>
    <phoneticPr fontId="1"/>
  </si>
  <si>
    <t>----------342_2005 幅(5/8箇所) P.22</t>
    <phoneticPr fontId="1"/>
  </si>
  <si>
    <t xml:space="preserve">距離342(5/8)          </t>
    <phoneticPr fontId="1"/>
  </si>
  <si>
    <t xml:space="preserve">(1905)              </t>
    <phoneticPr fontId="1"/>
  </si>
  <si>
    <t>----------342_2006 幅(6/8箇所) P.22</t>
    <phoneticPr fontId="1"/>
  </si>
  <si>
    <t xml:space="preserve">距離342(6/8)          </t>
    <phoneticPr fontId="1"/>
  </si>
  <si>
    <t xml:space="preserve">(1906)              </t>
    <phoneticPr fontId="1"/>
  </si>
  <si>
    <t>----------342_2007 幅(7/8箇所) P.22</t>
    <phoneticPr fontId="1"/>
  </si>
  <si>
    <t xml:space="preserve">距離342(7/8)          </t>
    <phoneticPr fontId="1"/>
  </si>
  <si>
    <t xml:space="preserve">(1907)              </t>
    <phoneticPr fontId="1"/>
  </si>
  <si>
    <t>----------342_2008 幅(8/8箇所) P.22</t>
    <phoneticPr fontId="1"/>
  </si>
  <si>
    <t xml:space="preserve">距離342(8/8)          </t>
    <phoneticPr fontId="1"/>
  </si>
  <si>
    <t xml:space="preserve">(1908)              </t>
    <phoneticPr fontId="1"/>
  </si>
  <si>
    <t>235_2001</t>
    <phoneticPr fontId="1"/>
  </si>
  <si>
    <t>105-235_2001</t>
    <phoneticPr fontId="1"/>
  </si>
  <si>
    <t>Dwg Min</t>
    <phoneticPr fontId="1"/>
  </si>
  <si>
    <t>Dwg Max</t>
    <phoneticPr fontId="1"/>
  </si>
  <si>
    <t>235_2002</t>
    <phoneticPr fontId="1"/>
  </si>
  <si>
    <t>105-235_2002</t>
    <phoneticPr fontId="1"/>
  </si>
  <si>
    <t>X</t>
  </si>
  <si>
    <t>Y</t>
  </si>
  <si>
    <t>Z</t>
  </si>
  <si>
    <t>XYZ備考</t>
  </si>
  <si>
    <t>点点A(1/64)_F(7301)</t>
  </si>
  <si>
    <t>点点A(2/64)_F(7302)</t>
  </si>
  <si>
    <t>点点A(3/64)_F(7303)</t>
  </si>
  <si>
    <t>点点A(4/64)_F(7304)</t>
  </si>
  <si>
    <t>点点A(5/64)_F(7305)</t>
  </si>
  <si>
    <t>点点A(6/64)_F(7306)</t>
  </si>
  <si>
    <t>点点A(7/64)_F(7307)</t>
  </si>
  <si>
    <t>点点A(8/64)_F(7308)</t>
  </si>
  <si>
    <t>点点A(9/64)_F(7309)</t>
  </si>
  <si>
    <t>点点A(10/64)_F(7310)</t>
  </si>
  <si>
    <t>点点A(11/64)_F(7311)</t>
  </si>
  <si>
    <t>点点A(12/64)_F(7312)</t>
  </si>
  <si>
    <t>点点A(13/64)_F(7313)</t>
  </si>
  <si>
    <t>点点A(14/64)_F(7314)</t>
  </si>
  <si>
    <t>点点A(15/64)_F(7315)</t>
  </si>
  <si>
    <t>点点A(16/64)_F(7316)</t>
  </si>
  <si>
    <t>点点A(17/64)_F(7317)</t>
  </si>
  <si>
    <t>点点A(18/64)_F(7318)</t>
  </si>
  <si>
    <t>点点A(19/64)_F(7319)</t>
  </si>
  <si>
    <t>点点A(20/64)_F(7320)</t>
  </si>
  <si>
    <t>点点A(21/64)_F(7321)</t>
  </si>
  <si>
    <t>点点A(22/64)_F(7322)</t>
  </si>
  <si>
    <t>点点A(23/64)_F(7323)</t>
  </si>
  <si>
    <t>点点A(24/64)_F(7324)</t>
  </si>
  <si>
    <t>点点A(25/64)_F(7325)</t>
  </si>
  <si>
    <t>点点A(26/64)_F(7326)</t>
  </si>
  <si>
    <t>点点A(27/64)_F(7327)</t>
  </si>
  <si>
    <t>点点A(28/64)_F(7328)</t>
  </si>
  <si>
    <t>点点A(29/64)_F(7329)</t>
  </si>
  <si>
    <t>点点A(30/64)_F(7330)</t>
  </si>
  <si>
    <t>点点A(31/64)_F(7331)</t>
  </si>
  <si>
    <t>点点A(32/64)_F(7332)</t>
  </si>
  <si>
    <t>点点A(33/64)_F(7333)</t>
  </si>
  <si>
    <t>点点A(34/64)_F(7334)</t>
  </si>
  <si>
    <t>点点A(35/64)_F(7335)</t>
  </si>
  <si>
    <t>点点A(36/64)_F(7336)</t>
  </si>
  <si>
    <t>点点A(37/64)_F(7337)</t>
  </si>
  <si>
    <t>点点A(38/64)_F(7338)</t>
  </si>
  <si>
    <t>点点A(39/64)_F(7339)</t>
  </si>
  <si>
    <t>点点A(40/64)_F(7340)</t>
  </si>
  <si>
    <t>点点A(41/64)_F(7341)</t>
  </si>
  <si>
    <t>点点A(42/64)_F(7342)</t>
  </si>
  <si>
    <t>点点A(43/64)_F(7343)</t>
  </si>
  <si>
    <t>点点A(44/64)_F(7344)</t>
  </si>
  <si>
    <t>点点A(45/64)_F(7345)</t>
  </si>
  <si>
    <t>点点A(46/64)_F(7346)</t>
  </si>
  <si>
    <t>点点A(47/64)_F(7347)</t>
  </si>
  <si>
    <t>点点A(48/64)_F(7348)</t>
  </si>
  <si>
    <t>点点A(49/64)_F(7349)</t>
  </si>
  <si>
    <t>点点A(50/64)_F(7350)</t>
  </si>
  <si>
    <t>点点A(51/64)_F(7351)</t>
  </si>
  <si>
    <t>点点A(52/64)_F(7352)</t>
  </si>
  <si>
    <t>点点A(53/64)_F(7353)</t>
  </si>
  <si>
    <t>点点A(54/64)_F(7354)</t>
  </si>
  <si>
    <t>点点A(55/64)_F(7355)</t>
  </si>
  <si>
    <t>点点A(56/64)_F(7356)</t>
  </si>
  <si>
    <t>点点A(57/64)_F(7357)</t>
  </si>
  <si>
    <t>点点A(58/64)_F(7358)</t>
  </si>
  <si>
    <t>点点A(59/64)_F(7359)</t>
  </si>
  <si>
    <t>点点A(60/64)_F(7360)</t>
  </si>
  <si>
    <t>点点A(61/64)_F(7361)</t>
  </si>
  <si>
    <t>点点A(62/64)_F(7362)</t>
  </si>
  <si>
    <t>点点A(63/64)_F(7363)</t>
  </si>
  <si>
    <t>点点A(64/64)_F(7364)</t>
  </si>
  <si>
    <t>64点</t>
    <rPh sb="2" eb="3">
      <t>テン</t>
    </rPh>
    <phoneticPr fontId="1"/>
  </si>
  <si>
    <t>Roundness</t>
    <phoneticPr fontId="1"/>
  </si>
  <si>
    <t>RSP.I</t>
    <phoneticPr fontId="1"/>
  </si>
  <si>
    <t>最小二乗法による円中心位置、半径計算</t>
    <rPh sb="0" eb="2">
      <t>サイショウ</t>
    </rPh>
    <rPh sb="2" eb="5">
      <t>ジジョウホウ</t>
    </rPh>
    <rPh sb="8" eb="9">
      <t>エン</t>
    </rPh>
    <rPh sb="9" eb="11">
      <t>チュウシン</t>
    </rPh>
    <rPh sb="11" eb="13">
      <t>イチ</t>
    </rPh>
    <rPh sb="14" eb="16">
      <t>ハンケイ</t>
    </rPh>
    <rPh sb="16" eb="18">
      <t>ケイサン</t>
    </rPh>
    <phoneticPr fontId="1"/>
  </si>
  <si>
    <t>中心点補正(最小二乗法)</t>
    <rPh sb="0" eb="2">
      <t>チュウシン</t>
    </rPh>
    <rPh sb="2" eb="3">
      <t>テン</t>
    </rPh>
    <rPh sb="3" eb="5">
      <t>ホセイ</t>
    </rPh>
    <rPh sb="6" eb="8">
      <t>サイショウ</t>
    </rPh>
    <rPh sb="8" eb="11">
      <t>ジジョウホウ</t>
    </rPh>
    <phoneticPr fontId="1"/>
  </si>
  <si>
    <t>x^3</t>
    <phoneticPr fontId="1"/>
  </si>
  <si>
    <t>x^2</t>
    <phoneticPr fontId="1"/>
  </si>
  <si>
    <t>x</t>
    <phoneticPr fontId="1"/>
  </si>
  <si>
    <t>y^3</t>
    <phoneticPr fontId="1"/>
  </si>
  <si>
    <t>y^2</t>
    <phoneticPr fontId="1"/>
  </si>
  <si>
    <t>y</t>
    <phoneticPr fontId="1"/>
  </si>
  <si>
    <t>x^2 * y</t>
    <phoneticPr fontId="1"/>
  </si>
  <si>
    <t>x * y</t>
    <phoneticPr fontId="1"/>
  </si>
  <si>
    <t>x * y^2</t>
    <phoneticPr fontId="1"/>
  </si>
  <si>
    <t>Y(Vertical)</t>
    <phoneticPr fontId="1"/>
  </si>
  <si>
    <t>X(Horizontal)</t>
    <phoneticPr fontId="1"/>
  </si>
  <si>
    <t>A</t>
    <phoneticPr fontId="1"/>
  </si>
  <si>
    <t>-1</t>
    <phoneticPr fontId="1"/>
  </si>
  <si>
    <t>B</t>
    <phoneticPr fontId="1"/>
  </si>
  <si>
    <t>＝</t>
    <phoneticPr fontId="1"/>
  </si>
  <si>
    <t>C</t>
    <phoneticPr fontId="1"/>
  </si>
  <si>
    <r>
      <t>中心</t>
    </r>
    <r>
      <rPr>
        <b/>
        <i/>
        <sz val="11"/>
        <color theme="1"/>
        <rFont val="Calibri"/>
        <family val="3"/>
        <charset val="128"/>
        <scheme val="minor"/>
      </rPr>
      <t>Xo</t>
    </r>
    <rPh sb="0" eb="2">
      <t>チュウシン</t>
    </rPh>
    <phoneticPr fontId="1"/>
  </si>
  <si>
    <t>207(中心補正）</t>
    <rPh sb="4" eb="6">
      <t>チュウシン</t>
    </rPh>
    <rPh sb="6" eb="8">
      <t>ホセイ</t>
    </rPh>
    <phoneticPr fontId="1"/>
  </si>
  <si>
    <r>
      <t>中心</t>
    </r>
    <r>
      <rPr>
        <b/>
        <i/>
        <sz val="11"/>
        <color theme="1"/>
        <rFont val="Calibri"/>
        <family val="3"/>
        <charset val="128"/>
        <scheme val="minor"/>
      </rPr>
      <t>Yo</t>
    </r>
    <rPh sb="0" eb="2">
      <t>チュウシン</t>
    </rPh>
    <phoneticPr fontId="1"/>
  </si>
  <si>
    <t>R</t>
    <phoneticPr fontId="1"/>
  </si>
  <si>
    <t>Diameter</t>
    <phoneticPr fontId="1"/>
  </si>
  <si>
    <r>
      <t>前後基準で</t>
    </r>
    <r>
      <rPr>
        <i/>
        <sz val="11"/>
        <color theme="1"/>
        <rFont val="Calibri"/>
        <family val="3"/>
        <charset val="128"/>
        <scheme val="minor"/>
      </rPr>
      <t>X(Horizontal)</t>
    </r>
    <r>
      <rPr>
        <sz val="11"/>
        <color theme="1"/>
        <rFont val="Calibri"/>
        <family val="2"/>
        <charset val="128"/>
        <scheme val="minor"/>
      </rPr>
      <t>の符号は逆転する(CMMのXはVertical, YはHorizontalであることに注意)</t>
    </r>
    <rPh sb="0" eb="2">
      <t>ゼンゴ</t>
    </rPh>
    <rPh sb="2" eb="4">
      <t>キジュン</t>
    </rPh>
    <rPh sb="19" eb="21">
      <t>フゴウ</t>
    </rPh>
    <rPh sb="22" eb="24">
      <t>ギャクテン</t>
    </rPh>
    <rPh sb="61" eb="63">
      <t>チュウイ</t>
    </rPh>
    <phoneticPr fontId="1"/>
  </si>
  <si>
    <t>外接円</t>
    <rPh sb="0" eb="2">
      <t>ガイセツ</t>
    </rPh>
    <rPh sb="2" eb="3">
      <t>エン</t>
    </rPh>
    <phoneticPr fontId="1"/>
  </si>
  <si>
    <t>内接円</t>
    <rPh sb="0" eb="2">
      <t>ナイセツ</t>
    </rPh>
    <rPh sb="2" eb="3">
      <t>エン</t>
    </rPh>
    <phoneticPr fontId="1"/>
  </si>
  <si>
    <t>板厚</t>
    <rPh sb="0" eb="2">
      <t>イタアツ</t>
    </rPh>
    <phoneticPr fontId="1"/>
  </si>
  <si>
    <t>225-207</t>
    <phoneticPr fontId="1"/>
  </si>
  <si>
    <t>226-207</t>
    <phoneticPr fontId="1"/>
  </si>
  <si>
    <t>----------226 外径 P.04</t>
    <phoneticPr fontId="1"/>
  </si>
  <si>
    <t xml:space="preserve">直径                  </t>
    <phoneticPr fontId="1"/>
  </si>
  <si>
    <t xml:space="preserve">円226                </t>
    <phoneticPr fontId="1"/>
  </si>
  <si>
    <t>UT=</t>
    <phoneticPr fontId="1"/>
  </si>
  <si>
    <t xml:space="preserve">(12)                </t>
    <phoneticPr fontId="1"/>
  </si>
  <si>
    <t>(801)</t>
    <phoneticPr fontId="1"/>
  </si>
  <si>
    <t>(802)</t>
    <phoneticPr fontId="1"/>
  </si>
  <si>
    <t>(803)</t>
    <phoneticPr fontId="1"/>
  </si>
  <si>
    <t>(804)</t>
    <phoneticPr fontId="1"/>
  </si>
  <si>
    <t>(805)</t>
    <phoneticPr fontId="1"/>
  </si>
  <si>
    <t>(806)</t>
    <phoneticPr fontId="1"/>
  </si>
  <si>
    <t>(807)</t>
    <phoneticPr fontId="1"/>
  </si>
  <si>
    <t>(808)</t>
    <phoneticPr fontId="1"/>
  </si>
  <si>
    <t>(809)</t>
    <phoneticPr fontId="1"/>
  </si>
  <si>
    <t>----------207 内径 P.02</t>
    <phoneticPr fontId="1"/>
  </si>
  <si>
    <t xml:space="preserve">円207                </t>
    <phoneticPr fontId="1"/>
  </si>
  <si>
    <t xml:space="preserve">(6)                 </t>
    <phoneticPr fontId="1"/>
  </si>
  <si>
    <t>(301)</t>
    <phoneticPr fontId="1"/>
  </si>
  <si>
    <t>(302)</t>
    <phoneticPr fontId="1"/>
  </si>
  <si>
    <t>(303)</t>
    <phoneticPr fontId="1"/>
  </si>
  <si>
    <t>(304)</t>
    <phoneticPr fontId="1"/>
  </si>
  <si>
    <t>(305)</t>
    <phoneticPr fontId="1"/>
  </si>
  <si>
    <t>(306)</t>
    <phoneticPr fontId="1"/>
  </si>
  <si>
    <t>(307)</t>
    <phoneticPr fontId="1"/>
  </si>
  <si>
    <t>(308)</t>
    <phoneticPr fontId="1"/>
  </si>
  <si>
    <t>再計測結果は黄色のセルに入力する</t>
    <rPh sb="0" eb="3">
      <t>サイケイソク</t>
    </rPh>
    <rPh sb="3" eb="5">
      <t>ケッカ</t>
    </rPh>
    <rPh sb="6" eb="8">
      <t>キイロ</t>
    </rPh>
    <rPh sb="12" eb="14">
      <t>ニュウリョク</t>
    </rPh>
    <phoneticPr fontId="1"/>
  </si>
  <si>
    <t>234-235_2001</t>
    <phoneticPr fontId="1"/>
  </si>
  <si>
    <t>Min Fit Condition : Interference 0.14</t>
    <phoneticPr fontId="1"/>
  </si>
  <si>
    <t>Max Fit Condition : Clearance 0.04</t>
    <phoneticPr fontId="1"/>
  </si>
  <si>
    <t>Stress Increment Factor for Nominal Thickness (#225)</t>
    <phoneticPr fontId="1"/>
  </si>
  <si>
    <t>Stress Increment Factor for Nominal Thickness (#226)</t>
    <phoneticPr fontId="1"/>
  </si>
  <si>
    <t>Kt for MRB HA24K190059(IHI-K-19-012) AESJ-5666-002a</t>
    <phoneticPr fontId="1"/>
  </si>
  <si>
    <t>インサイドマイクロを使用して計測</t>
    <rPh sb="10" eb="12">
      <t>シヨウ</t>
    </rPh>
    <rPh sb="14" eb="16">
      <t>ケイソク</t>
    </rPh>
    <phoneticPr fontId="8"/>
  </si>
  <si>
    <t>207(インサイドマイクロ）</t>
    <phoneticPr fontId="1"/>
  </si>
  <si>
    <t>点225(1/16)</t>
    <phoneticPr fontId="8"/>
  </si>
  <si>
    <t>点225(2/16)</t>
    <phoneticPr fontId="8"/>
  </si>
  <si>
    <t>点225(3/16)</t>
    <phoneticPr fontId="8"/>
  </si>
  <si>
    <t>点225(4/16)</t>
    <phoneticPr fontId="8"/>
  </si>
  <si>
    <t>点225(5/16)</t>
    <phoneticPr fontId="8"/>
  </si>
  <si>
    <t>点225(6/16)</t>
    <phoneticPr fontId="8"/>
  </si>
  <si>
    <t>点225(7/16)</t>
    <phoneticPr fontId="8"/>
  </si>
  <si>
    <t>点225(8/16)</t>
    <phoneticPr fontId="8"/>
  </si>
  <si>
    <t>点225(9/16)</t>
    <phoneticPr fontId="8"/>
  </si>
  <si>
    <t>点226(1/16)</t>
    <phoneticPr fontId="1"/>
  </si>
  <si>
    <t>点226(2/16)</t>
    <phoneticPr fontId="1"/>
  </si>
  <si>
    <t>点226(3/16)</t>
    <phoneticPr fontId="1"/>
  </si>
  <si>
    <t>点226(4/16)</t>
    <phoneticPr fontId="1"/>
  </si>
  <si>
    <t>点226(5/16)</t>
    <phoneticPr fontId="1"/>
  </si>
  <si>
    <t>点226(6/16)</t>
    <phoneticPr fontId="1"/>
  </si>
  <si>
    <t>点226(7/16)</t>
    <phoneticPr fontId="1"/>
  </si>
  <si>
    <t>点226(8/16)</t>
    <phoneticPr fontId="1"/>
  </si>
  <si>
    <t>点226(9/16)</t>
    <phoneticPr fontId="1"/>
  </si>
  <si>
    <t>点207(1/16)</t>
    <phoneticPr fontId="1"/>
  </si>
  <si>
    <t>点207(2/16)</t>
    <phoneticPr fontId="1"/>
  </si>
  <si>
    <t>点207(3/16)</t>
    <phoneticPr fontId="1"/>
  </si>
  <si>
    <t>点207(4/16)</t>
    <phoneticPr fontId="1"/>
  </si>
  <si>
    <t>点207(5/16)</t>
    <phoneticPr fontId="1"/>
  </si>
  <si>
    <t>点207(6/16)</t>
    <phoneticPr fontId="1"/>
  </si>
  <si>
    <t>点207(7/16)</t>
    <phoneticPr fontId="1"/>
  </si>
  <si>
    <t>点207(8/16)</t>
    <phoneticPr fontId="1"/>
  </si>
  <si>
    <t>点225(10/16)</t>
    <phoneticPr fontId="8"/>
  </si>
  <si>
    <t>点225(11/16)</t>
    <phoneticPr fontId="8"/>
  </si>
  <si>
    <t>点225(12/16)</t>
    <phoneticPr fontId="8"/>
  </si>
  <si>
    <t>点225(13/16)</t>
    <phoneticPr fontId="8"/>
  </si>
  <si>
    <t>点225(14/16)</t>
    <phoneticPr fontId="8"/>
  </si>
  <si>
    <t>点225(15/16)</t>
    <phoneticPr fontId="8"/>
  </si>
  <si>
    <t>点225(16/16)</t>
    <phoneticPr fontId="8"/>
  </si>
  <si>
    <t>点226(10/16)</t>
    <phoneticPr fontId="1"/>
  </si>
  <si>
    <t>(810)</t>
    <phoneticPr fontId="1"/>
  </si>
  <si>
    <t>点226(11/16)</t>
    <phoneticPr fontId="1"/>
  </si>
  <si>
    <t>(811)</t>
    <phoneticPr fontId="1"/>
  </si>
  <si>
    <t>点226(12/16)</t>
    <phoneticPr fontId="1"/>
  </si>
  <si>
    <t>(812)</t>
    <phoneticPr fontId="1"/>
  </si>
  <si>
    <t>点226(13/16)</t>
    <phoneticPr fontId="1"/>
  </si>
  <si>
    <t>(813)</t>
    <phoneticPr fontId="1"/>
  </si>
  <si>
    <t>点226(14/16)</t>
    <phoneticPr fontId="1"/>
  </si>
  <si>
    <t>(814)</t>
    <phoneticPr fontId="1"/>
  </si>
  <si>
    <t>点226(15/16)</t>
    <phoneticPr fontId="1"/>
  </si>
  <si>
    <t>(815)</t>
    <phoneticPr fontId="1"/>
  </si>
  <si>
    <t>点226(16/16)</t>
    <phoneticPr fontId="1"/>
  </si>
  <si>
    <t>(816)</t>
    <phoneticPr fontId="1"/>
  </si>
  <si>
    <t>点207(9/16)</t>
    <phoneticPr fontId="1"/>
  </si>
  <si>
    <t>(309)</t>
    <phoneticPr fontId="1"/>
  </si>
  <si>
    <t>点207(10/16)</t>
    <phoneticPr fontId="1"/>
  </si>
  <si>
    <t>(310)</t>
    <phoneticPr fontId="1"/>
  </si>
  <si>
    <t>点207(11/16)</t>
    <phoneticPr fontId="1"/>
  </si>
  <si>
    <t>(311)</t>
    <phoneticPr fontId="1"/>
  </si>
  <si>
    <t>点207(12/16)</t>
    <phoneticPr fontId="1"/>
  </si>
  <si>
    <t>(312)</t>
    <phoneticPr fontId="1"/>
  </si>
  <si>
    <t>点207(13/16)</t>
    <phoneticPr fontId="1"/>
  </si>
  <si>
    <t>(313)</t>
    <phoneticPr fontId="1"/>
  </si>
  <si>
    <t>点207(14/16)</t>
    <phoneticPr fontId="1"/>
  </si>
  <si>
    <t>(314)</t>
    <phoneticPr fontId="1"/>
  </si>
  <si>
    <t>点207(15/16)</t>
    <phoneticPr fontId="1"/>
  </si>
  <si>
    <t>(315)</t>
    <phoneticPr fontId="1"/>
  </si>
  <si>
    <t>点207(16/16)</t>
    <phoneticPr fontId="1"/>
  </si>
  <si>
    <t>(316)</t>
    <phoneticPr fontId="1"/>
  </si>
  <si>
    <t>226(中心補正）</t>
    <rPh sb="4" eb="6">
      <t>チュウシン</t>
    </rPh>
    <rPh sb="6" eb="8">
      <t>ホセイ</t>
    </rPh>
    <phoneticPr fontId="1"/>
  </si>
  <si>
    <t>225(中心補正）</t>
    <rPh sb="4" eb="6">
      <t>チュウシン</t>
    </rPh>
    <rPh sb="6" eb="8">
      <t>ホセイ</t>
    </rPh>
    <phoneticPr fontId="1"/>
  </si>
  <si>
    <t>Max</t>
    <phoneticPr fontId="1"/>
  </si>
  <si>
    <t>Min</t>
    <phoneticPr fontId="1"/>
  </si>
  <si>
    <t>REAR側データに再計測結果あり</t>
    <rPh sb="4" eb="5">
      <t>ガワ</t>
    </rPh>
    <rPh sb="9" eb="12">
      <t>サイケイソク</t>
    </rPh>
    <rPh sb="12" eb="14">
      <t>ケッカ</t>
    </rPh>
    <phoneticPr fontId="1"/>
  </si>
  <si>
    <t>真円度(再計測)</t>
  </si>
  <si>
    <t>P.01</t>
  </si>
  <si>
    <t>1 Block</t>
    <phoneticPr fontId="1"/>
  </si>
  <si>
    <t>----------418_1001 中心からの距離(1/9) P.36</t>
    <phoneticPr fontId="1"/>
  </si>
  <si>
    <t xml:space="preserve">位置 X                </t>
    <phoneticPr fontId="1"/>
  </si>
  <si>
    <t xml:space="preserve">点418(1/9)           </t>
    <phoneticPr fontId="1"/>
  </si>
  <si>
    <t xml:space="preserve">(1401)              </t>
    <phoneticPr fontId="1"/>
  </si>
  <si>
    <t>前上</t>
    <phoneticPr fontId="1"/>
  </si>
  <si>
    <t>----------418_1002 中心からの距離(2/9) P.36</t>
    <phoneticPr fontId="1"/>
  </si>
  <si>
    <t xml:space="preserve">点418(2/9)           </t>
    <phoneticPr fontId="1"/>
  </si>
  <si>
    <t xml:space="preserve">(1402)              </t>
    <phoneticPr fontId="1"/>
  </si>
  <si>
    <t>----------418_1003 中心からの距離(3/9) P.36</t>
    <phoneticPr fontId="1"/>
  </si>
  <si>
    <t xml:space="preserve">点418(3/9)           </t>
    <phoneticPr fontId="1"/>
  </si>
  <si>
    <t xml:space="preserve">(1403)              </t>
    <phoneticPr fontId="1"/>
  </si>
  <si>
    <t>----------418_1004 中心からの距離(4/9) P.36</t>
    <phoneticPr fontId="1"/>
  </si>
  <si>
    <t xml:space="preserve">点418(4/9)           </t>
    <phoneticPr fontId="1"/>
  </si>
  <si>
    <t xml:space="preserve">(1404)              </t>
    <phoneticPr fontId="1"/>
  </si>
  <si>
    <t>----------418_1005 中心からの距離(5/9) P.36</t>
    <phoneticPr fontId="1"/>
  </si>
  <si>
    <t xml:space="preserve">点418(5/9)           </t>
    <phoneticPr fontId="1"/>
  </si>
  <si>
    <t xml:space="preserve">(1405)              </t>
    <phoneticPr fontId="1"/>
  </si>
  <si>
    <t>----------418_1006 中心からの距離(6/9) P.36</t>
    <phoneticPr fontId="1"/>
  </si>
  <si>
    <t xml:space="preserve">点418(6/9)           </t>
    <phoneticPr fontId="1"/>
  </si>
  <si>
    <t xml:space="preserve">(1406)              </t>
    <phoneticPr fontId="1"/>
  </si>
  <si>
    <t>----------418_1007 中心からの距離(7/9) P.36</t>
    <phoneticPr fontId="1"/>
  </si>
  <si>
    <t xml:space="preserve">点418(7/9)           </t>
    <phoneticPr fontId="1"/>
  </si>
  <si>
    <t xml:space="preserve">(1407)              </t>
    <phoneticPr fontId="1"/>
  </si>
  <si>
    <t>----------418_1008 中心からの距離(8/9) P.36</t>
    <phoneticPr fontId="1"/>
  </si>
  <si>
    <t xml:space="preserve">点418(8/9)           </t>
    <phoneticPr fontId="1"/>
  </si>
  <si>
    <t xml:space="preserve">(1408)              </t>
    <phoneticPr fontId="1"/>
  </si>
  <si>
    <t>----------418_1009 中心からの距離(9/9) P.36</t>
    <phoneticPr fontId="1"/>
  </si>
  <si>
    <t xml:space="preserve">点418(9/9)           </t>
    <phoneticPr fontId="1"/>
  </si>
  <si>
    <t xml:space="preserve">(1409)              </t>
    <phoneticPr fontId="1"/>
  </si>
  <si>
    <t>----------201_1003</t>
  </si>
  <si>
    <t>----------101_1103</t>
  </si>
  <si>
    <t>内径(再計測) P</t>
  </si>
  <si>
    <t>ER=</t>
    <phoneticPr fontId="8"/>
  </si>
  <si>
    <t xml:space="preserve">R= </t>
    <phoneticPr fontId="1"/>
  </si>
  <si>
    <t>JHV723EJ</t>
    <phoneticPr fontId="8"/>
  </si>
  <si>
    <t>JHV723EJ</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</si>
</sst>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
    <numFmt numFmtId="165" formatCode="0.000_ "/>
    <numFmt numFmtId="166" formatCode="0.00_);[Red]\(0.00\)"/>
    <numFmt numFmtId="167" formatCode="0_);[Red]\(0\)"/>
    <numFmt numFmtId="168" formatCode="0.0000_ ;[Red]\-0.0000\ "/>
    <numFmt numFmtId="169" formatCode="0.000E+00"/>
    <numFmt numFmtId="170" formatCode="0.0000_ "/>
  </numFmts>
  <fonts count="22">
    <font>
      <sz val="11"/>
      <color theme="1"/>
      <name val="Calibri"/>
      <family val="2"/>
      <charset val="128"/>
      <scheme val="minor"/>
    </font>
    <font>
      <sz val="6"/>
      <name val="Calibri"/>
      <family val="2"/>
      <charset val="128"/>
      <scheme val="minor"/>
    </font>
    <font>
      <sz val="11"/>
      <color theme="1"/>
      <name val="Arial"/>
      <family val="2"/>
    </font>
    <font>
      <sz val="9"/>
      <color theme="1"/>
      <name val="Arial"/>
      <family val="2"/>
    </font>
    <font>
      <sz val="9"/>
      <color theme="1"/>
      <name val="Calibri"/>
      <family val="2"/>
      <charset val="128"/>
      <scheme val="minor"/>
    </font>
    <font>
      <sz val="9"/>
      <color theme="1"/>
      <name val="Calibri"/>
      <family val="3"/>
      <charset val="128"/>
      <scheme val="minor"/>
    </font>
    <font>
      <sz val="8"/>
      <color theme="1"/>
      <name val="Calibri"/>
      <family val="2"/>
      <charset val="128"/>
      <scheme val="minor"/>
    </font>
    <font>
      <sz val="11"/>
      <color theme="1"/>
      <name val="Calibri"/>
      <family val="2"/>
      <scheme val="minor"/>
    </font>
    <font>
      <sz val="6"/>
      <name val="Calibri"/>
      <family val="3"/>
      <charset val="128"/>
      <scheme val="minor"/>
    </font>
    <font>
      <sz val="11"/>
      <color theme="1"/>
      <name val="ＭＳ Ｐゴシック"/>
      <family val="2"/>
    </font>
    <font>
      <sz val="6"/>
      <color theme="1"/>
      <name val="Arial"/>
      <family val="2"/>
    </font>
    <font>
      <sz val="11"/>
      <color theme="1"/>
      <name val="Arial Unicode MS"/>
      <family val="3"/>
      <charset val="128"/>
    </font>
    <font>
      <sz val="11"/>
      <color theme="1"/>
      <name val="ＭＳ Ｐゴシック"/>
      <family val="3"/>
      <charset val="128"/>
    </font>
    <font>
      <sz val="11"/>
      <color theme="1"/>
      <name val="Calibri"/>
      <family val="3"/>
      <charset val="128"/>
      <scheme val="minor"/>
    </font>
    <font>
      <sz val="11"/>
      <color rgb="FFFF0000"/>
      <name val="Calibri"/>
      <family val="2"/>
      <charset val="128"/>
      <scheme val="minor"/>
    </font>
    <font>
      <sz val="11"/>
      <color theme="0"/>
      <name val="Calibri"/>
      <family val="2"/>
      <scheme val="minor"/>
    </font>
    <font>
      <sz val="11"/>
      <color rgb="FFFF0000"/>
      <name val="Calibri"/>
      <family val="2"/>
      <scheme val="minor"/>
    </font>
    <font>
      <b/>
      <sz val="11"/>
      <color rgb="FFFF0000"/>
      <name val="Calibri"/>
      <family val="3"/>
      <charset val="128"/>
      <scheme val="minor"/>
    </font>
    <font>
      <b/>
      <i/>
      <sz val="11"/>
      <color theme="1"/>
      <name val="Calibri"/>
      <family val="3"/>
      <charset val="128"/>
      <scheme val="minor"/>
    </font>
    <font>
      <i/>
      <sz val="11"/>
      <color theme="1"/>
      <name val="Calibri"/>
      <family val="3"/>
      <charset val="128"/>
      <scheme val="minor"/>
    </font>
    <font>
      <i/>
      <sz val="11"/>
      <color theme="1"/>
      <name val="Arial"/>
      <family val="2"/>
    </font>
    <font>
      <sz val="11"/>
      <color rgb="FF0000FF"/>
      <name val="Calibri"/>
      <family val="2"/>
      <scheme val="minor"/>
    </font>
  </fonts>
  <fills count="7">
    <fill>
      <patternFill patternType="none"/>
    </fill>
    <fill>
      <patternFill patternType="gray125"/>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7" fillId="0" borderId="0"/>
  </cellStyleXfs>
  <cellXfs count="85">
    <xf numFmtId="0" fontId="0" fillId="0" borderId="0" xfId="0">
      <alignment vertical="center"/>
    </xf>
    <xf numFmtId="0" fontId="7" fillId="0" borderId="0" xfId="1"/>
    <xf numFmtId="0" fontId="7" fillId="0" borderId="0" xfId="1" quotePrefix="1"/>
    <xf numFmtId="0" fontId="7" fillId="0" borderId="0" xfId="1" applyAlignment="1">
      <alignment vertical="center"/>
    </xf>
    <xf numFmtId="0" fontId="7" fillId="0" borderId="0" xfId="1" applyNumberFormat="1" applyAlignment="1">
      <alignment vertical="center"/>
    </xf>
    <xf numFmtId="0" fontId="4" fillId="0" borderId="0" xfId="1" applyFont="1" applyAlignment="1">
      <alignment vertical="center"/>
    </xf>
    <xf numFmtId="0" fontId="5" fillId="0" borderId="0" xfId="1" applyFont="1" applyAlignment="1">
      <alignment vertical="center"/>
    </xf>
    <xf numFmtId="0" fontId="7" fillId="0" borderId="1" xfId="1" applyBorder="1" applyAlignment="1">
      <alignment vertical="center"/>
    </xf>
    <xf numFmtId="0" fontId="6" fillId="0" borderId="1" xfId="1" applyFont="1" applyBorder="1" applyAlignment="1">
      <alignment horizontal="center" vertical="center"/>
    </xf>
    <xf numFmtId="0" fontId="2" fillId="0" borderId="1" xfId="1" applyFont="1" applyBorder="1" applyAlignment="1">
      <alignment horizontal="center" vertical="center"/>
    </xf>
    <xf numFmtId="164" fontId="2" fillId="0" borderId="1" xfId="1" applyNumberFormat="1" applyFont="1" applyBorder="1" applyAlignment="1">
      <alignment vertical="center"/>
    </xf>
    <xf numFmtId="0" fontId="3" fillId="0" borderId="1" xfId="1" applyFont="1" applyBorder="1" applyAlignment="1">
      <alignment horizontal="center" vertical="center"/>
    </xf>
    <xf numFmtId="0" fontId="2" fillId="0" borderId="1" xfId="1" applyFont="1" applyBorder="1" applyAlignment="1">
      <alignment vertical="center"/>
    </xf>
    <xf numFmtId="0" fontId="2" fillId="0" borderId="1" xfId="1" applyFont="1" applyFill="1" applyBorder="1" applyAlignment="1">
      <alignment horizontal="center" vertical="center"/>
    </xf>
    <xf numFmtId="0" fontId="2" fillId="0" borderId="1" xfId="1" applyFont="1" applyBorder="1" applyAlignment="1">
      <alignment horizontal="right" vertical="center"/>
    </xf>
    <xf numFmtId="0" fontId="2" fillId="0" borderId="0" xfId="1" applyFont="1"/>
    <xf numFmtId="0" fontId="2" fillId="0" borderId="0" xfId="1" applyFont="1" applyAlignment="1">
      <alignment horizontal="center"/>
    </xf>
    <xf numFmtId="0" fontId="2" fillId="0" borderId="0" xfId="1" applyFont="1" applyAlignment="1">
      <alignment horizontal="right"/>
    </xf>
    <xf numFmtId="0" fontId="10" fillId="0" borderId="0" xfId="1" applyFont="1" applyAlignment="1">
      <alignment horizontal="center" vertical="center"/>
    </xf>
    <xf numFmtId="0" fontId="2" fillId="0" borderId="0" xfId="1" applyFont="1" applyAlignment="1">
      <alignment horizontal="center" vertical="center"/>
    </xf>
    <xf numFmtId="0" fontId="7" fillId="0" borderId="0" xfId="1" quotePrefix="1" applyAlignment="1">
      <alignment vertical="center"/>
    </xf>
    <xf numFmtId="0" fontId="2" fillId="0" borderId="0" xfId="1" applyFont="1" applyAlignment="1">
      <alignment vertical="center"/>
    </xf>
    <xf numFmtId="0" fontId="2" fillId="0" borderId="0" xfId="1" applyFont="1" applyAlignment="1">
      <alignment horizontal="right" vertical="center"/>
    </xf>
    <xf numFmtId="0" fontId="3" fillId="0" borderId="0" xfId="1" applyFont="1" applyAlignment="1">
      <alignment vertical="center"/>
    </xf>
    <xf numFmtId="0" fontId="11" fillId="0" borderId="0" xfId="1" applyFont="1"/>
    <xf numFmtId="0" fontId="7" fillId="0" borderId="0" xfId="1" applyFill="1"/>
    <xf numFmtId="166" fontId="2" fillId="0" borderId="0" xfId="1" applyNumberFormat="1" applyFont="1" applyAlignment="1">
      <alignment vertical="center"/>
    </xf>
    <xf numFmtId="167" fontId="2" fillId="0" borderId="0" xfId="1" applyNumberFormat="1" applyFont="1" applyAlignment="1">
      <alignment vertical="center"/>
    </xf>
    <xf numFmtId="168" fontId="2" fillId="0" borderId="0" xfId="1" applyNumberFormat="1" applyFont="1"/>
    <xf numFmtId="166" fontId="2" fillId="0" borderId="0" xfId="1" applyNumberFormat="1" applyFont="1"/>
    <xf numFmtId="164" fontId="2" fillId="0" borderId="0" xfId="1" applyNumberFormat="1" applyFont="1"/>
    <xf numFmtId="165" fontId="2" fillId="0" borderId="0" xfId="1" applyNumberFormat="1" applyFont="1"/>
    <xf numFmtId="167" fontId="2" fillId="0" borderId="0" xfId="1" applyNumberFormat="1" applyFont="1"/>
    <xf numFmtId="0" fontId="7" fillId="0" borderId="0" xfId="1" applyAlignment="1">
      <alignment horizontal="left" vertical="center"/>
    </xf>
    <xf numFmtId="0" fontId="2" fillId="0" borderId="0" xfId="1" applyFont="1" applyFill="1" applyAlignment="1">
      <alignment horizontal="center" vertical="center"/>
    </xf>
    <xf numFmtId="0" fontId="13" fillId="0" borderId="0" xfId="1" applyFont="1"/>
    <xf numFmtId="0" fontId="0" fillId="0" borderId="0" xfId="0" applyAlignment="1"/>
    <xf numFmtId="0" fontId="14" fillId="0" borderId="0" xfId="0" applyFont="1" applyAlignment="1"/>
    <xf numFmtId="0" fontId="16" fillId="0" borderId="0" xfId="0" applyFont="1" applyAlignment="1"/>
    <xf numFmtId="0" fontId="0" fillId="0" borderId="0" xfId="0" applyAlignment="1">
      <alignment horizontal="right"/>
    </xf>
    <xf numFmtId="0" fontId="15" fillId="0" borderId="0" xfId="0" applyFont="1" applyAlignment="1"/>
    <xf numFmtId="49" fontId="7" fillId="0" borderId="0" xfId="1" applyNumberFormat="1"/>
    <xf numFmtId="49" fontId="7" fillId="0" borderId="0" xfId="1" quotePrefix="1" applyNumberFormat="1"/>
    <xf numFmtId="49" fontId="0" fillId="0" borderId="0" xfId="0" applyNumberFormat="1" applyAlignment="1"/>
    <xf numFmtId="0" fontId="17" fillId="0" borderId="0" xfId="1" applyFont="1" applyAlignment="1">
      <alignment vertical="center"/>
    </xf>
    <xf numFmtId="169" fontId="0" fillId="0" borderId="0" xfId="0" applyNumberFormat="1">
      <alignment vertical="center"/>
    </xf>
    <xf numFmtId="0" fontId="17" fillId="0" borderId="0" xfId="1" applyFont="1"/>
    <xf numFmtId="0" fontId="18" fillId="0" borderId="0" xfId="0" applyFont="1">
      <alignment vertical="center"/>
    </xf>
    <xf numFmtId="169" fontId="0" fillId="0" borderId="0" xfId="0" applyNumberFormat="1" applyAlignment="1">
      <alignment horizontal="center" vertical="center"/>
    </xf>
    <xf numFmtId="0" fontId="0" fillId="0" borderId="0" xfId="0" applyAlignment="1">
      <alignment horizontal="center" vertical="center"/>
    </xf>
    <xf numFmtId="164" fontId="0" fillId="0" borderId="0" xfId="0" applyNumberFormat="1">
      <alignment vertical="center"/>
    </xf>
    <xf numFmtId="165" fontId="0" fillId="0" borderId="0" xfId="0" applyNumberFormat="1">
      <alignment vertical="center"/>
    </xf>
    <xf numFmtId="0" fontId="19" fillId="0" borderId="0" xfId="0" applyFont="1">
      <alignment vertical="center"/>
    </xf>
    <xf numFmtId="169" fontId="5" fillId="0" borderId="0" xfId="0" applyNumberFormat="1" applyFont="1">
      <alignment vertical="center"/>
    </xf>
    <xf numFmtId="0" fontId="5" fillId="0" borderId="0" xfId="0" quotePrefix="1" applyFont="1">
      <alignment vertical="center"/>
    </xf>
    <xf numFmtId="0" fontId="0" fillId="0" borderId="0" xfId="0" quotePrefix="1" applyAlignment="1">
      <alignment horizontal="center" vertical="center"/>
    </xf>
    <xf numFmtId="0" fontId="5" fillId="0" borderId="0" xfId="0" applyFont="1">
      <alignment vertical="center"/>
    </xf>
    <xf numFmtId="170" fontId="0" fillId="2" borderId="0" xfId="0" applyNumberFormat="1" applyFill="1">
      <alignment vertical="center"/>
    </xf>
    <xf numFmtId="46" fontId="7" fillId="0" borderId="0" xfId="1" applyNumberFormat="1"/>
    <xf numFmtId="170" fontId="0" fillId="3" borderId="0" xfId="0" applyNumberFormat="1" applyFill="1">
      <alignment vertical="center"/>
    </xf>
    <xf numFmtId="0" fontId="0" fillId="4" borderId="0" xfId="0" applyFill="1">
      <alignment vertical="center"/>
    </xf>
    <xf numFmtId="0" fontId="2" fillId="5" borderId="0" xfId="1" applyFont="1" applyFill="1" applyAlignment="1">
      <alignment vertical="center"/>
    </xf>
    <xf numFmtId="0" fontId="7" fillId="5" borderId="0" xfId="1" applyFill="1"/>
    <xf numFmtId="170" fontId="0" fillId="0" borderId="0" xfId="0" applyNumberFormat="1">
      <alignment vertical="center"/>
    </xf>
    <xf numFmtId="49" fontId="0" fillId="0" borderId="0" xfId="0" applyNumberFormat="1">
      <alignment vertical="center"/>
    </xf>
    <xf numFmtId="0" fontId="2" fillId="5" borderId="0" xfId="1" applyFont="1" applyFill="1" applyAlignment="1">
      <alignment horizontal="center"/>
    </xf>
    <xf numFmtId="0" fontId="0" fillId="5" borderId="0" xfId="0" applyFill="1">
      <alignment vertical="center"/>
    </xf>
    <xf numFmtId="0" fontId="2" fillId="5" borderId="0" xfId="1" applyFont="1" applyFill="1"/>
    <xf numFmtId="0" fontId="2" fillId="5" borderId="0" xfId="1" applyFont="1" applyFill="1" applyAlignment="1">
      <alignment horizontal="left"/>
    </xf>
    <xf numFmtId="0" fontId="17" fillId="0" borderId="0" xfId="0" applyFont="1">
      <alignment vertical="center"/>
    </xf>
    <xf numFmtId="0" fontId="14" fillId="0" borderId="0" xfId="0" applyFont="1">
      <alignment vertical="center"/>
    </xf>
    <xf numFmtId="164" fontId="2" fillId="5" borderId="0" xfId="1" applyNumberFormat="1" applyFont="1" applyFill="1" applyAlignment="1">
      <alignment horizontal="center"/>
    </xf>
    <xf numFmtId="0" fontId="3" fillId="0" borderId="0" xfId="1" applyFont="1" applyAlignment="1">
      <alignment horizontal="center" vertical="center"/>
    </xf>
    <xf numFmtId="46" fontId="0" fillId="0" borderId="0" xfId="0" applyNumberFormat="1">
      <alignment vertical="center"/>
    </xf>
    <xf numFmtId="21" fontId="0" fillId="0" borderId="0" xfId="0" applyNumberFormat="1">
      <alignment vertical="center"/>
    </xf>
    <xf numFmtId="0" fontId="0" fillId="6" borderId="0" xfId="0" applyFill="1">
      <alignment vertical="center"/>
    </xf>
    <xf numFmtId="49" fontId="0" fillId="0" borderId="0" xfId="0" quotePrefix="1" applyNumberFormat="1">
      <alignment vertical="center"/>
    </xf>
    <xf numFmtId="0" fontId="2" fillId="0" borderId="0" xfId="0" applyFont="1">
      <alignment vertical="center"/>
    </xf>
    <xf numFmtId="0" fontId="2" fillId="5" borderId="0" xfId="0" applyFont="1" applyFill="1">
      <alignment vertical="center"/>
    </xf>
    <xf numFmtId="0" fontId="20" fillId="5" borderId="0" xfId="0" applyFont="1" applyFill="1">
      <alignment vertical="center"/>
    </xf>
    <xf numFmtId="0" fontId="0" fillId="0" borderId="0" xfId="0" quotePrefix="1">
      <alignment vertical="center"/>
    </xf>
    <xf numFmtId="0" fontId="11" fillId="5" borderId="0" xfId="0" applyFont="1" applyFill="1" applyAlignment="1">
      <alignment horizontal="right" vertical="center"/>
    </xf>
    <xf numFmtId="0" fontId="16" fillId="0" borderId="0" xfId="1" applyFont="1"/>
    <xf numFmtId="0" fontId="21" fillId="0" borderId="0" xfId="0" applyFont="1" applyAlignment="1"/>
    <xf numFmtId="49" fontId="7" fillId="0" borderId="0" xfId="1" applyNumberFormat="1" applyAlignment="1">
      <alignment vertical="center"/>
    </xf>
  </cellXfs>
  <cellStyles count="2">
    <cellStyle name="Normal" xfId="0" builtinId="0"/>
    <cellStyle name="標準 2" xfId="1" xr:uid="{00000000-0005-0000-0000-000001000000}"/>
  </cellStyles>
  <dxfs count="0"/>
  <tableStyles count="0" defaultTableStyle="TableStyleMedium2" defaultPivotStyle="PivotStyleLight16"/>
  <colors>
    <mruColors>
      <color rgb="FF00FF00"/>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'101'!$I$6</c:f>
          <c:strCache>
            <c:ptCount val="1"/>
            <c:pt idx="0">
              <c:v>JHV723EJ : 101</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'101'!$K$6</c:f>
              <c:strCache>
                <c:ptCount val="1"/>
                <c:pt idx="0">
                  <c:v>SONR</c:v>
                </c:pt>
              </c:strCache>
            </c:strRef>
          </c:tx>
          <c:spPr>
            <a:ln w="19050">
              <a:solidFill>
                <a:srgbClr val="00FF00"/>
              </a:solidFill>
            </a:ln>
          </c:spPr>
          <c:marker>
            <c:symbol val="square"/>
            <c:size val="5"/>
            <c:spPr>
              <a:noFill/>
              <a:ln>
                <a:solidFill>
                  <a:srgbClr val="00FF00"/>
                </a:solidFill>
              </a:ln>
            </c:spPr>
          </c:marker>
          <c:cat>
            <c:numRef>
              <c:f>'101'!$H$7:$H$14</c:f>
              <c:numCache>
                <c:formatCode>General</c:formatCode>
                <c:ptCount val="8"/>
                <c:pt idx="0">
                  <c:v>1</c:v>
                </c:pt>
                <c:pt idx="1">
                  <c:v>8</c:v>
                </c:pt>
                <c:pt idx="2">
                  <c:v>7</c:v>
                </c:pt>
                <c:pt idx="3">
                  <c:v>6</c:v>
                </c:pt>
                <c:pt idx="4">
                  <c:v>5</c:v>
                </c:pt>
                <c:pt idx="5">
                  <c:v>4</c:v>
                </c:pt>
                <c:pt idx="6">
                  <c:v>3</c:v>
                </c:pt>
                <c:pt idx="7">
                  <c:v>2</c:v>
                </c:pt>
              </c:numCache>
            </c:numRef>
          </c:cat>
          <c:val>
            <c:numRef>
              <c:f>'101'!$K$7:$K$14</c:f>
              <c:numCache>
                <c:formatCode>General</c:formatCode>
                <c:ptCount val="8"/>
                <c:pt idx="0">
                  <c:v>422.40300000000002</c:v>
                </c:pt>
                <c:pt idx="1">
                  <c:v>422.41899999999998</c:v>
                </c:pt>
                <c:pt idx="2">
                  <c:v>422.387</c:v>
                </c:pt>
                <c:pt idx="3">
                  <c:v>422.47800000000001</c:v>
                </c:pt>
                <c:pt idx="4">
                  <c:v>422.51600000000002</c:v>
                </c:pt>
                <c:pt idx="5">
                  <c:v>422.58300000000003</c:v>
                </c:pt>
                <c:pt idx="6">
                  <c:v>422.66800000000001</c:v>
                </c:pt>
                <c:pt idx="7">
                  <c:v>422.40499999999997</c:v>
                </c:pt>
              </c:numCache>
            </c:numRef>
          </c:val>
          <c:extLst>
            <c:ext xmlns:c16="http://schemas.microsoft.com/office/drawing/2014/chart" uri="{C3380CC4-5D6E-409C-BE32-E72D297353CC}">
              <c16:uniqueId val="{00000000-3B52-44F3-BEEF-63FE1F62DBD6}"/>
            </c:ext>
          </c:extLst>
        </c:ser>
        <c:ser>
          <c:idx val="2"/>
          <c:order val="1"/>
          <c:tx>
            <c:strRef>
              <c:f>'101'!$M$6</c:f>
              <c:strCache>
                <c:ptCount val="1"/>
                <c:pt idx="0">
                  <c:v>Dwg Rmax</c:v>
                </c:pt>
              </c:strCache>
            </c:strRef>
          </c:tx>
          <c:spPr>
            <a:ln>
              <a:solidFill>
                <a:srgbClr val="FF0000"/>
              </a:solidFill>
              <a:prstDash val="dash"/>
            </a:ln>
          </c:spPr>
          <c:marker>
            <c:symbol val="none"/>
          </c:marker>
          <c:cat>
            <c:numRef>
              <c:f>'101'!$H$7:$H$14</c:f>
              <c:numCache>
                <c:formatCode>General</c:formatCode>
                <c:ptCount val="8"/>
                <c:pt idx="0">
                  <c:v>1</c:v>
                </c:pt>
                <c:pt idx="1">
                  <c:v>8</c:v>
                </c:pt>
                <c:pt idx="2">
                  <c:v>7</c:v>
                </c:pt>
                <c:pt idx="3">
                  <c:v>6</c:v>
                </c:pt>
                <c:pt idx="4">
                  <c:v>5</c:v>
                </c:pt>
                <c:pt idx="5">
                  <c:v>4</c:v>
                </c:pt>
                <c:pt idx="6">
                  <c:v>3</c:v>
                </c:pt>
                <c:pt idx="7">
                  <c:v>2</c:v>
                </c:pt>
              </c:numCache>
            </c:numRef>
          </c:cat>
          <c:val>
            <c:numRef>
              <c:f>'101'!$M$7:$M$14</c:f>
              <c:numCache>
                <c:formatCode>General</c:formatCode>
                <c:ptCount val="8"/>
                <c:pt idx="0">
                  <c:v>422.49350000000004</c:v>
                </c:pt>
                <c:pt idx="1">
                  <c:v>422.49350000000004</c:v>
                </c:pt>
                <c:pt idx="2">
                  <c:v>422.49350000000004</c:v>
                </c:pt>
                <c:pt idx="3">
                  <c:v>422.49350000000004</c:v>
                </c:pt>
                <c:pt idx="4">
                  <c:v>422.49350000000004</c:v>
                </c:pt>
                <c:pt idx="5">
                  <c:v>422.49350000000004</c:v>
                </c:pt>
                <c:pt idx="6">
                  <c:v>422.49350000000004</c:v>
                </c:pt>
                <c:pt idx="7">
                  <c:v>422.49350000000004</c:v>
                </c:pt>
              </c:numCache>
            </c:numRef>
          </c:val>
          <c:extLst>
            <c:ext xmlns:c16="http://schemas.microsoft.com/office/drawing/2014/chart" uri="{C3380CC4-5D6E-409C-BE32-E72D297353CC}">
              <c16:uniqueId val="{00000001-3B52-44F3-BEEF-63FE1F62DBD6}"/>
            </c:ext>
          </c:extLst>
        </c:ser>
        <c:ser>
          <c:idx val="1"/>
          <c:order val="2"/>
          <c:tx>
            <c:strRef>
              <c:f>'101'!$L$6</c:f>
              <c:strCache>
                <c:ptCount val="1"/>
                <c:pt idx="0">
                  <c:v>Dwg Rmin</c:v>
                </c:pt>
              </c:strCache>
            </c:strRef>
          </c:tx>
          <c:spPr>
            <a:ln>
              <a:solidFill>
                <a:srgbClr val="0000FF"/>
              </a:solidFill>
              <a:prstDash val="dash"/>
            </a:ln>
          </c:spPr>
          <c:marker>
            <c:symbol val="none"/>
          </c:marker>
          <c:cat>
            <c:numRef>
              <c:f>'101'!$H$7:$H$14</c:f>
              <c:numCache>
                <c:formatCode>General</c:formatCode>
                <c:ptCount val="8"/>
                <c:pt idx="0">
                  <c:v>1</c:v>
                </c:pt>
                <c:pt idx="1">
                  <c:v>8</c:v>
                </c:pt>
                <c:pt idx="2">
                  <c:v>7</c:v>
                </c:pt>
                <c:pt idx="3">
                  <c:v>6</c:v>
                </c:pt>
                <c:pt idx="4">
                  <c:v>5</c:v>
                </c:pt>
                <c:pt idx="5">
                  <c:v>4</c:v>
                </c:pt>
                <c:pt idx="6">
                  <c:v>3</c:v>
                </c:pt>
                <c:pt idx="7">
                  <c:v>2</c:v>
                </c:pt>
              </c:numCache>
            </c:numRef>
          </c:cat>
          <c:val>
            <c:numRef>
              <c:f>'101'!$L$7:$L$14</c:f>
              <c:numCache>
                <c:formatCode>General</c:formatCode>
                <c:ptCount val="8"/>
                <c:pt idx="0">
                  <c:v>422.4425</c:v>
                </c:pt>
                <c:pt idx="1">
                  <c:v>422.4425</c:v>
                </c:pt>
                <c:pt idx="2">
                  <c:v>422.4425</c:v>
                </c:pt>
                <c:pt idx="3">
                  <c:v>422.4425</c:v>
                </c:pt>
                <c:pt idx="4">
                  <c:v>422.4425</c:v>
                </c:pt>
                <c:pt idx="5">
                  <c:v>422.4425</c:v>
                </c:pt>
                <c:pt idx="6">
                  <c:v>422.4425</c:v>
                </c:pt>
                <c:pt idx="7">
                  <c:v>422.4425</c:v>
                </c:pt>
              </c:numCache>
            </c:numRef>
          </c:val>
          <c:extLst>
            <c:ext xmlns:c16="http://schemas.microsoft.com/office/drawing/2014/chart" uri="{C3380CC4-5D6E-409C-BE32-E72D297353CC}">
              <c16:uniqueId val="{00000002-3B52-44F3-BEEF-63FE1F62DBD6}"/>
            </c:ext>
          </c:extLst>
        </c:ser>
        <c:dLbls>
          <c:showLegendKey val="0"/>
          <c:showVal val="0"/>
          <c:showCatName val="0"/>
          <c:showSerName val="0"/>
          <c:showPercent val="0"/>
          <c:showBubbleSize val="0"/>
        </c:dLbls>
        <c:axId val="218444160"/>
        <c:axId val="218562560"/>
      </c:radarChart>
      <c:catAx>
        <c:axId val="21844416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218562560"/>
        <c:crosses val="autoZero"/>
        <c:auto val="1"/>
        <c:lblAlgn val="ctr"/>
        <c:lblOffset val="100"/>
        <c:noMultiLvlLbl val="0"/>
      </c:catAx>
      <c:valAx>
        <c:axId val="218562560"/>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218444160"/>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'101'!$I$35</c:f>
          <c:strCache>
            <c:ptCount val="1"/>
            <c:pt idx="0">
              <c:v>JHV723EJ : 101再計算</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'101'!$K$6</c:f>
              <c:strCache>
                <c:ptCount val="1"/>
                <c:pt idx="0">
                  <c:v>SONR</c:v>
                </c:pt>
              </c:strCache>
            </c:strRef>
          </c:tx>
          <c:spPr>
            <a:ln w="19050">
              <a:solidFill>
                <a:srgbClr val="00FF00"/>
              </a:solidFill>
            </a:ln>
          </c:spPr>
          <c:marker>
            <c:symbol val="square"/>
            <c:size val="5"/>
            <c:spPr>
              <a:noFill/>
              <a:ln>
                <a:solidFill>
                  <a:srgbClr val="00FF00"/>
                </a:solidFill>
              </a:ln>
            </c:spPr>
          </c:marker>
          <c:cat>
            <c:numRef>
              <c:f>'101'!$H$7:$H$14</c:f>
              <c:numCache>
                <c:formatCode>General</c:formatCode>
                <c:ptCount val="8"/>
                <c:pt idx="0">
                  <c:v>1</c:v>
                </c:pt>
                <c:pt idx="1">
                  <c:v>8</c:v>
                </c:pt>
                <c:pt idx="2">
                  <c:v>7</c:v>
                </c:pt>
                <c:pt idx="3">
                  <c:v>6</c:v>
                </c:pt>
                <c:pt idx="4">
                  <c:v>5</c:v>
                </c:pt>
                <c:pt idx="5">
                  <c:v>4</c:v>
                </c:pt>
                <c:pt idx="6">
                  <c:v>3</c:v>
                </c:pt>
                <c:pt idx="7">
                  <c:v>2</c:v>
                </c:pt>
              </c:numCache>
            </c:numRef>
          </c:cat>
          <c:val>
            <c:numRef>
              <c:f>'101'!$K$36:$K$43</c:f>
              <c:numCache>
                <c:formatCode>General</c:formatCode>
                <c:ptCount val="8"/>
                <c:pt idx="0">
                  <c:v>422.47300000000001</c:v>
                </c:pt>
                <c:pt idx="1">
                  <c:v>422.529</c:v>
                </c:pt>
                <c:pt idx="2">
                  <c:v>422.47399999999999</c:v>
                </c:pt>
                <c:pt idx="3">
                  <c:v>422.49</c:v>
                </c:pt>
                <c:pt idx="4">
                  <c:v>422.44600000000003</c:v>
                </c:pt>
                <c:pt idx="5">
                  <c:v>422.47199999999998</c:v>
                </c:pt>
                <c:pt idx="6">
                  <c:v>422.58199999999999</c:v>
                </c:pt>
                <c:pt idx="7">
                  <c:v>422.39400000000001</c:v>
                </c:pt>
              </c:numCache>
            </c:numRef>
          </c:val>
          <c:extLst>
            <c:ext xmlns:c16="http://schemas.microsoft.com/office/drawing/2014/chart" uri="{C3380CC4-5D6E-409C-BE32-E72D297353CC}">
              <c16:uniqueId val="{00000000-3B52-44F3-BEEF-63FE1F62DBD6}"/>
            </c:ext>
          </c:extLst>
        </c:ser>
        <c:ser>
          <c:idx val="2"/>
          <c:order val="1"/>
          <c:tx>
            <c:strRef>
              <c:f>'101'!$M$35</c:f>
              <c:strCache>
                <c:ptCount val="1"/>
                <c:pt idx="0">
                  <c:v>Dwg Rmax</c:v>
                </c:pt>
              </c:strCache>
            </c:strRef>
          </c:tx>
          <c:spPr>
            <a:ln>
              <a:solidFill>
                <a:srgbClr val="FF0000"/>
              </a:solidFill>
              <a:prstDash val="dash"/>
            </a:ln>
          </c:spPr>
          <c:marker>
            <c:symbol val="none"/>
          </c:marker>
          <c:cat>
            <c:numRef>
              <c:f>'101'!$H$7:$H$14</c:f>
              <c:numCache>
                <c:formatCode>General</c:formatCode>
                <c:ptCount val="8"/>
                <c:pt idx="0">
                  <c:v>1</c:v>
                </c:pt>
                <c:pt idx="1">
                  <c:v>8</c:v>
                </c:pt>
                <c:pt idx="2">
                  <c:v>7</c:v>
                </c:pt>
                <c:pt idx="3">
                  <c:v>6</c:v>
                </c:pt>
                <c:pt idx="4">
                  <c:v>5</c:v>
                </c:pt>
                <c:pt idx="5">
                  <c:v>4</c:v>
                </c:pt>
                <c:pt idx="6">
                  <c:v>3</c:v>
                </c:pt>
                <c:pt idx="7">
                  <c:v>2</c:v>
                </c:pt>
              </c:numCache>
            </c:numRef>
          </c:cat>
          <c:val>
            <c:numRef>
              <c:f>'101'!$M$36:$M$43</c:f>
              <c:numCache>
                <c:formatCode>General</c:formatCode>
                <c:ptCount val="8"/>
                <c:pt idx="0">
                  <c:v>422.49350000000004</c:v>
                </c:pt>
                <c:pt idx="1">
                  <c:v>422.49350000000004</c:v>
                </c:pt>
                <c:pt idx="2">
                  <c:v>422.49350000000004</c:v>
                </c:pt>
                <c:pt idx="3">
                  <c:v>422.49350000000004</c:v>
                </c:pt>
                <c:pt idx="4">
                  <c:v>422.49350000000004</c:v>
                </c:pt>
                <c:pt idx="5">
                  <c:v>422.49350000000004</c:v>
                </c:pt>
                <c:pt idx="6">
                  <c:v>422.49350000000004</c:v>
                </c:pt>
                <c:pt idx="7">
                  <c:v>422.49350000000004</c:v>
                </c:pt>
              </c:numCache>
            </c:numRef>
          </c:val>
          <c:extLst>
            <c:ext xmlns:c16="http://schemas.microsoft.com/office/drawing/2014/chart" uri="{C3380CC4-5D6E-409C-BE32-E72D297353CC}">
              <c16:uniqueId val="{00000001-3B52-44F3-BEEF-63FE1F62DBD6}"/>
            </c:ext>
          </c:extLst>
        </c:ser>
        <c:ser>
          <c:idx val="1"/>
          <c:order val="2"/>
          <c:tx>
            <c:strRef>
              <c:f>'101'!$L$35</c:f>
              <c:strCache>
                <c:ptCount val="1"/>
                <c:pt idx="0">
                  <c:v>Dwg Rmin</c:v>
                </c:pt>
              </c:strCache>
            </c:strRef>
          </c:tx>
          <c:spPr>
            <a:ln>
              <a:solidFill>
                <a:srgbClr val="0000FF"/>
              </a:solidFill>
              <a:prstDash val="dash"/>
            </a:ln>
          </c:spPr>
          <c:marker>
            <c:symbol val="none"/>
          </c:marker>
          <c:cat>
            <c:numRef>
              <c:f>'101'!$H$7:$H$14</c:f>
              <c:numCache>
                <c:formatCode>General</c:formatCode>
                <c:ptCount val="8"/>
                <c:pt idx="0">
                  <c:v>1</c:v>
                </c:pt>
                <c:pt idx="1">
                  <c:v>8</c:v>
                </c:pt>
                <c:pt idx="2">
                  <c:v>7</c:v>
                </c:pt>
                <c:pt idx="3">
                  <c:v>6</c:v>
                </c:pt>
                <c:pt idx="4">
                  <c:v>5</c:v>
                </c:pt>
                <c:pt idx="5">
                  <c:v>4</c:v>
                </c:pt>
                <c:pt idx="6">
                  <c:v>3</c:v>
                </c:pt>
                <c:pt idx="7">
                  <c:v>2</c:v>
                </c:pt>
              </c:numCache>
            </c:numRef>
          </c:cat>
          <c:val>
            <c:numRef>
              <c:f>'101'!$L$36:$L$43</c:f>
              <c:numCache>
                <c:formatCode>General</c:formatCode>
                <c:ptCount val="8"/>
                <c:pt idx="0">
                  <c:v>422.4425</c:v>
                </c:pt>
                <c:pt idx="1">
                  <c:v>422.4425</c:v>
                </c:pt>
                <c:pt idx="2">
                  <c:v>422.4425</c:v>
                </c:pt>
                <c:pt idx="3">
                  <c:v>422.4425</c:v>
                </c:pt>
                <c:pt idx="4">
                  <c:v>422.4425</c:v>
                </c:pt>
                <c:pt idx="5">
                  <c:v>422.4425</c:v>
                </c:pt>
                <c:pt idx="6">
                  <c:v>422.4425</c:v>
                </c:pt>
                <c:pt idx="7">
                  <c:v>422.4425</c:v>
                </c:pt>
              </c:numCache>
            </c:numRef>
          </c:val>
          <c:extLst>
            <c:ext xmlns:c16="http://schemas.microsoft.com/office/drawing/2014/chart" uri="{C3380CC4-5D6E-409C-BE32-E72D297353CC}">
              <c16:uniqueId val="{00000002-3B52-44F3-BEEF-63FE1F62DBD6}"/>
            </c:ext>
          </c:extLst>
        </c:ser>
        <c:dLbls>
          <c:showLegendKey val="0"/>
          <c:showVal val="0"/>
          <c:showCatName val="0"/>
          <c:showSerName val="0"/>
          <c:showPercent val="0"/>
          <c:showBubbleSize val="0"/>
        </c:dLbls>
        <c:axId val="218977408"/>
        <c:axId val="218978944"/>
      </c:radarChart>
      <c:catAx>
        <c:axId val="21897740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218978944"/>
        <c:crosses val="autoZero"/>
        <c:auto val="1"/>
        <c:lblAlgn val="ctr"/>
        <c:lblOffset val="100"/>
        <c:noMultiLvlLbl val="0"/>
      </c:catAx>
      <c:valAx>
        <c:axId val="21897894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218977408"/>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'105'!$I$6</c:f>
          <c:strCache>
            <c:ptCount val="1"/>
            <c:pt idx="0">
              <c:v>JHV723EJ : 105</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'105'!$K$6</c:f>
              <c:strCache>
                <c:ptCount val="1"/>
                <c:pt idx="0">
                  <c:v>SONR</c:v>
                </c:pt>
              </c:strCache>
            </c:strRef>
          </c:tx>
          <c:spPr>
            <a:ln w="19050">
              <a:solidFill>
                <a:srgbClr val="00FF00"/>
              </a:solidFill>
            </a:ln>
          </c:spPr>
          <c:marker>
            <c:symbol val="square"/>
            <c:size val="5"/>
            <c:spPr>
              <a:noFill/>
              <a:ln>
                <a:solidFill>
                  <a:srgbClr val="00FF00"/>
                </a:solidFill>
              </a:ln>
            </c:spPr>
          </c:marker>
          <c:cat>
            <c:numRef>
              <c:f>'105'!$H$7:$H$22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'105'!$K$7:$K$22</c:f>
              <c:numCache>
                <c:formatCode>General</c:formatCode>
                <c:ptCount val="16"/>
                <c:pt idx="0">
                  <c:v>356.15899999999999</c:v>
                </c:pt>
                <c:pt idx="1">
                  <c:v>356.17500000000001</c:v>
                </c:pt>
                <c:pt idx="2">
                  <c:v>356.26499999999999</c:v>
                </c:pt>
                <c:pt idx="3">
                  <c:v>356.35599999999999</c:v>
                </c:pt>
                <c:pt idx="4">
                  <c:v>356.375</c:v>
                </c:pt>
                <c:pt idx="5">
                  <c:v>356.34199999999998</c:v>
                </c:pt>
                <c:pt idx="6">
                  <c:v>356.27800000000002</c:v>
                </c:pt>
                <c:pt idx="7">
                  <c:v>356.24</c:v>
                </c:pt>
                <c:pt idx="8">
                  <c:v>356.24900000000002</c:v>
                </c:pt>
                <c:pt idx="9">
                  <c:v>356.298</c:v>
                </c:pt>
                <c:pt idx="10">
                  <c:v>356.32100000000003</c:v>
                </c:pt>
                <c:pt idx="11">
                  <c:v>356.30599999999998</c:v>
                </c:pt>
                <c:pt idx="12">
                  <c:v>356.30500000000001</c:v>
                </c:pt>
                <c:pt idx="13">
                  <c:v>356.32799999999997</c:v>
                </c:pt>
                <c:pt idx="14">
                  <c:v>356.31</c:v>
                </c:pt>
                <c:pt idx="15">
                  <c:v>356.23500000000001</c:v>
                </c:pt>
              </c:numCache>
            </c:numRef>
          </c:val>
          <c:extLst>
            <c:ext xmlns:c16="http://schemas.microsoft.com/office/drawing/2014/chart" uri="{C3380CC4-5D6E-409C-BE32-E72D297353CC}">
              <c16:uniqueId val="{00000000-5F44-45BF-905A-A07D05FD39B8}"/>
            </c:ext>
          </c:extLst>
        </c:ser>
        <c:ser>
          <c:idx val="2"/>
          <c:order val="1"/>
          <c:tx>
            <c:strRef>
              <c:f>'105'!$M$6</c:f>
              <c:strCache>
                <c:ptCount val="1"/>
                <c:pt idx="0">
                  <c:v>Dwg Rmax</c:v>
                </c:pt>
              </c:strCache>
            </c:strRef>
          </c:tx>
          <c:spPr>
            <a:ln>
              <a:solidFill>
                <a:srgbClr val="FF0000"/>
              </a:solidFill>
              <a:prstDash val="dash"/>
            </a:ln>
          </c:spPr>
          <c:marker>
            <c:symbol val="none"/>
          </c:marker>
          <c:cat>
            <c:numRef>
              <c:f>'105'!$H$7:$H$22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'105'!$M$7:$M$22</c:f>
              <c:numCache>
                <c:formatCode>General</c:formatCode>
                <c:ptCount val="16"/>
                <c:pt idx="0">
                  <c:v>356.34999999999997</c:v>
                </c:pt>
                <c:pt idx="1">
                  <c:v>356.34999999999997</c:v>
                </c:pt>
                <c:pt idx="2">
                  <c:v>356.34999999999997</c:v>
                </c:pt>
                <c:pt idx="3">
                  <c:v>356.34999999999997</c:v>
                </c:pt>
                <c:pt idx="4">
                  <c:v>356.34999999999997</c:v>
                </c:pt>
                <c:pt idx="5">
                  <c:v>356.34999999999997</c:v>
                </c:pt>
                <c:pt idx="6">
                  <c:v>356.34999999999997</c:v>
                </c:pt>
                <c:pt idx="7">
                  <c:v>356.34999999999997</c:v>
                </c:pt>
                <c:pt idx="8">
                  <c:v>356.34999999999997</c:v>
                </c:pt>
                <c:pt idx="9">
                  <c:v>356.34999999999997</c:v>
                </c:pt>
                <c:pt idx="10">
                  <c:v>356.34999999999997</c:v>
                </c:pt>
                <c:pt idx="11">
                  <c:v>356.34999999999997</c:v>
                </c:pt>
                <c:pt idx="12">
                  <c:v>356.34999999999997</c:v>
                </c:pt>
                <c:pt idx="13">
                  <c:v>356.34999999999997</c:v>
                </c:pt>
                <c:pt idx="14">
                  <c:v>356.34999999999997</c:v>
                </c:pt>
                <c:pt idx="15">
                  <c:v>356.34999999999997</c:v>
                </c:pt>
              </c:numCache>
            </c:numRef>
          </c:val>
          <c:extLst>
            <c:ext xmlns:c16="http://schemas.microsoft.com/office/drawing/2014/chart" uri="{C3380CC4-5D6E-409C-BE32-E72D297353CC}">
              <c16:uniqueId val="{00000001-5F44-45BF-905A-A07D05FD39B8}"/>
            </c:ext>
          </c:extLst>
        </c:ser>
        <c:ser>
          <c:idx val="1"/>
          <c:order val="2"/>
          <c:tx>
            <c:strRef>
              <c:f>'105'!$L$6</c:f>
              <c:strCache>
                <c:ptCount val="1"/>
                <c:pt idx="0">
                  <c:v>Dwg Rmin</c:v>
                </c:pt>
              </c:strCache>
            </c:strRef>
          </c:tx>
          <c:spPr>
            <a:ln>
              <a:solidFill>
                <a:srgbClr val="0000FF"/>
              </a:solidFill>
              <a:prstDash val="dash"/>
            </a:ln>
          </c:spPr>
          <c:marker>
            <c:symbol val="none"/>
          </c:marker>
          <c:cat>
            <c:numRef>
              <c:f>'105'!$H$7:$H$22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'105'!$L$7:$L$22</c:f>
              <c:numCache>
                <c:formatCode>General</c:formatCode>
                <c:ptCount val="16"/>
                <c:pt idx="0">
                  <c:v>356.25</c:v>
                </c:pt>
                <c:pt idx="1">
                  <c:v>356.25</c:v>
                </c:pt>
                <c:pt idx="2">
                  <c:v>356.25</c:v>
                </c:pt>
                <c:pt idx="3">
                  <c:v>356.25</c:v>
                </c:pt>
                <c:pt idx="4">
                  <c:v>356.25</c:v>
                </c:pt>
                <c:pt idx="5">
                  <c:v>356.25</c:v>
                </c:pt>
                <c:pt idx="6">
                  <c:v>356.25</c:v>
                </c:pt>
                <c:pt idx="7">
                  <c:v>356.25</c:v>
                </c:pt>
                <c:pt idx="8">
                  <c:v>356.25</c:v>
                </c:pt>
                <c:pt idx="9">
                  <c:v>356.25</c:v>
                </c:pt>
                <c:pt idx="10">
                  <c:v>356.25</c:v>
                </c:pt>
                <c:pt idx="11">
                  <c:v>356.25</c:v>
                </c:pt>
                <c:pt idx="12">
                  <c:v>356.25</c:v>
                </c:pt>
                <c:pt idx="13">
                  <c:v>356.25</c:v>
                </c:pt>
                <c:pt idx="14">
                  <c:v>356.25</c:v>
                </c:pt>
                <c:pt idx="15">
                  <c:v>356.25</c:v>
                </c:pt>
              </c:numCache>
            </c:numRef>
          </c:val>
          <c:extLst>
            <c:ext xmlns:c16="http://schemas.microsoft.com/office/drawing/2014/chart" uri="{C3380CC4-5D6E-409C-BE32-E72D297353CC}">
              <c16:uniqueId val="{00000002-5F44-45BF-905A-A07D05FD39B8}"/>
            </c:ext>
          </c:extLst>
        </c:ser>
        <c:dLbls>
          <c:showLegendKey val="0"/>
          <c:showVal val="0"/>
          <c:showCatName val="0"/>
          <c:showSerName val="0"/>
          <c:showPercent val="0"/>
          <c:showBubbleSize val="0"/>
        </c:dLbls>
        <c:axId val="349945856"/>
        <c:axId val="349948928"/>
      </c:radarChart>
      <c:catAx>
        <c:axId val="34994585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349948928"/>
        <c:crosses val="autoZero"/>
        <c:auto val="1"/>
        <c:lblAlgn val="ctr"/>
        <c:lblOffset val="100"/>
        <c:noMultiLvlLbl val="0"/>
      </c:catAx>
      <c:valAx>
        <c:axId val="349948928"/>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349945856"/>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'206'!$I$6</c:f>
          <c:strCache>
            <c:ptCount val="1"/>
            <c:pt idx="0">
              <c:v>JHV723EJ : 206</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'206'!$K$6</c:f>
              <c:strCache>
                <c:ptCount val="1"/>
                <c:pt idx="0">
                  <c:v>SONR</c:v>
                </c:pt>
              </c:strCache>
            </c:strRef>
          </c:tx>
          <c:spPr>
            <a:ln w="19050">
              <a:solidFill>
                <a:srgbClr val="00FF00"/>
              </a:solidFill>
            </a:ln>
          </c:spPr>
          <c:marker>
            <c:symbol val="square"/>
            <c:size val="5"/>
            <c:spPr>
              <a:noFill/>
              <a:ln>
                <a:solidFill>
                  <a:srgbClr val="00FF00"/>
                </a:solidFill>
              </a:ln>
            </c:spPr>
          </c:marker>
          <c:cat>
            <c:numRef>
              <c:f>'206'!$H$7:$H$22</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'206'!$K$7:$K$22</c:f>
              <c:numCache>
                <c:formatCode>General</c:formatCode>
                <c:ptCount val="16"/>
                <c:pt idx="0">
                  <c:v>380.791</c:v>
                </c:pt>
                <c:pt idx="1">
                  <c:v>380.80500000000001</c:v>
                </c:pt>
                <c:pt idx="2">
                  <c:v>380.85899999999998</c:v>
                </c:pt>
                <c:pt idx="3">
                  <c:v>380.892</c:v>
                </c:pt>
                <c:pt idx="4">
                  <c:v>380.86399999999998</c:v>
                </c:pt>
                <c:pt idx="5">
                  <c:v>380.79599999999999</c:v>
                </c:pt>
                <c:pt idx="6">
                  <c:v>380.72300000000001</c:v>
                </c:pt>
                <c:pt idx="7">
                  <c:v>380.69</c:v>
                </c:pt>
                <c:pt idx="8">
                  <c:v>380.70400000000001</c:v>
                </c:pt>
                <c:pt idx="9">
                  <c:v>380.75</c:v>
                </c:pt>
                <c:pt idx="10">
                  <c:v>380.78199999999998</c:v>
                </c:pt>
                <c:pt idx="11">
                  <c:v>380.79500000000002</c:v>
                </c:pt>
                <c:pt idx="12">
                  <c:v>380.82299999999998</c:v>
                </c:pt>
                <c:pt idx="13">
                  <c:v>380.87599999999998</c:v>
                </c:pt>
                <c:pt idx="14">
                  <c:v>380.89600000000002</c:v>
                </c:pt>
                <c:pt idx="15">
                  <c:v>380.851</c:v>
                </c:pt>
              </c:numCache>
            </c:numRef>
          </c:val>
          <c:extLst>
            <c:ext xmlns:c16="http://schemas.microsoft.com/office/drawing/2014/chart" uri="{C3380CC4-5D6E-409C-BE32-E72D297353CC}">
              <c16:uniqueId val="{00000000-AB33-48FF-A297-E0B8A36DF419}"/>
            </c:ext>
          </c:extLst>
        </c:ser>
        <c:ser>
          <c:idx val="2"/>
          <c:order val="1"/>
          <c:tx>
            <c:strRef>
              <c:f>'206'!$M$6</c:f>
              <c:strCache>
                <c:ptCount val="1"/>
                <c:pt idx="0">
                  <c:v>Dwg Rmax</c:v>
                </c:pt>
              </c:strCache>
            </c:strRef>
          </c:tx>
          <c:spPr>
            <a:ln>
              <a:solidFill>
                <a:srgbClr val="FF0000"/>
              </a:solidFill>
              <a:prstDash val="dash"/>
            </a:ln>
          </c:spPr>
          <c:marker>
            <c:symbol val="none"/>
          </c:marker>
          <c:cat>
            <c:numRef>
              <c:f>'206'!$H$7:$H$22</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'206'!$M$7:$M$22</c:f>
              <c:numCache>
                <c:formatCode>General</c:formatCode>
                <c:ptCount val="16"/>
                <c:pt idx="0">
                  <c:v>380.80899999999997</c:v>
                </c:pt>
                <c:pt idx="1">
                  <c:v>380.80899999999997</c:v>
                </c:pt>
                <c:pt idx="2">
                  <c:v>380.80899999999997</c:v>
                </c:pt>
                <c:pt idx="3">
                  <c:v>380.80899999999997</c:v>
                </c:pt>
                <c:pt idx="4">
                  <c:v>380.80899999999997</c:v>
                </c:pt>
                <c:pt idx="5">
                  <c:v>380.80899999999997</c:v>
                </c:pt>
                <c:pt idx="6">
                  <c:v>380.80899999999997</c:v>
                </c:pt>
                <c:pt idx="7">
                  <c:v>380.80899999999997</c:v>
                </c:pt>
                <c:pt idx="8">
                  <c:v>380.80899999999997</c:v>
                </c:pt>
                <c:pt idx="9">
                  <c:v>380.80899999999997</c:v>
                </c:pt>
                <c:pt idx="10">
                  <c:v>380.80899999999997</c:v>
                </c:pt>
                <c:pt idx="11">
                  <c:v>380.80899999999997</c:v>
                </c:pt>
                <c:pt idx="12">
                  <c:v>380.80899999999997</c:v>
                </c:pt>
                <c:pt idx="13">
                  <c:v>380.80899999999997</c:v>
                </c:pt>
                <c:pt idx="14">
                  <c:v>380.80899999999997</c:v>
                </c:pt>
                <c:pt idx="15">
                  <c:v>380.80899999999997</c:v>
                </c:pt>
              </c:numCache>
            </c:numRef>
          </c:val>
          <c:extLst>
            <c:ext xmlns:c16="http://schemas.microsoft.com/office/drawing/2014/chart" uri="{C3380CC4-5D6E-409C-BE32-E72D297353CC}">
              <c16:uniqueId val="{00000001-AB33-48FF-A297-E0B8A36DF419}"/>
            </c:ext>
          </c:extLst>
        </c:ser>
        <c:ser>
          <c:idx val="1"/>
          <c:order val="2"/>
          <c:tx>
            <c:strRef>
              <c:f>'206'!$L$6</c:f>
              <c:strCache>
                <c:ptCount val="1"/>
                <c:pt idx="0">
                  <c:v>Dwg Rmin</c:v>
                </c:pt>
              </c:strCache>
            </c:strRef>
          </c:tx>
          <c:spPr>
            <a:ln>
              <a:solidFill>
                <a:srgbClr val="0000FF"/>
              </a:solidFill>
              <a:prstDash val="dash"/>
            </a:ln>
          </c:spPr>
          <c:marker>
            <c:symbol val="none"/>
          </c:marker>
          <c:cat>
            <c:numRef>
              <c:f>'206'!$H$7:$H$22</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'206'!$L$7:$L$22</c:f>
              <c:numCache>
                <c:formatCode>General</c:formatCode>
                <c:ptCount val="16"/>
                <c:pt idx="0">
                  <c:v>380.75900000000001</c:v>
                </c:pt>
                <c:pt idx="1">
                  <c:v>380.75900000000001</c:v>
                </c:pt>
                <c:pt idx="2">
                  <c:v>380.75900000000001</c:v>
                </c:pt>
                <c:pt idx="3">
                  <c:v>380.75900000000001</c:v>
                </c:pt>
                <c:pt idx="4">
                  <c:v>380.75900000000001</c:v>
                </c:pt>
                <c:pt idx="5">
                  <c:v>380.75900000000001</c:v>
                </c:pt>
                <c:pt idx="6">
                  <c:v>380.75900000000001</c:v>
                </c:pt>
                <c:pt idx="7">
                  <c:v>380.75900000000001</c:v>
                </c:pt>
                <c:pt idx="8">
                  <c:v>380.75900000000001</c:v>
                </c:pt>
                <c:pt idx="9">
                  <c:v>380.75900000000001</c:v>
                </c:pt>
                <c:pt idx="10">
                  <c:v>380.75900000000001</c:v>
                </c:pt>
                <c:pt idx="11">
                  <c:v>380.75900000000001</c:v>
                </c:pt>
                <c:pt idx="12">
                  <c:v>380.75900000000001</c:v>
                </c:pt>
                <c:pt idx="13">
                  <c:v>380.75900000000001</c:v>
                </c:pt>
                <c:pt idx="14">
                  <c:v>380.75900000000001</c:v>
                </c:pt>
                <c:pt idx="15">
                  <c:v>380.75900000000001</c:v>
                </c:pt>
              </c:numCache>
            </c:numRef>
          </c:val>
          <c:extLst>
            <c:ext xmlns:c16="http://schemas.microsoft.com/office/drawing/2014/chart" uri="{C3380CC4-5D6E-409C-BE32-E72D297353CC}">
              <c16:uniqueId val="{00000002-AB33-48FF-A297-E0B8A36DF419}"/>
            </c:ext>
          </c:extLst>
        </c:ser>
        <c:dLbls>
          <c:showLegendKey val="0"/>
          <c:showVal val="0"/>
          <c:showCatName val="0"/>
          <c:showSerName val="0"/>
          <c:showPercent val="0"/>
          <c:showBubbleSize val="0"/>
        </c:dLbls>
        <c:axId val="366887296"/>
        <c:axId val="366888832"/>
      </c:radarChart>
      <c:catAx>
        <c:axId val="36688729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366888832"/>
        <c:crosses val="autoZero"/>
        <c:auto val="1"/>
        <c:lblAlgn val="ctr"/>
        <c:lblOffset val="100"/>
        <c:noMultiLvlLbl val="0"/>
      </c:catAx>
      <c:valAx>
        <c:axId val="36688883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366887296"/>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'225'!$L$6</c:f>
          <c:strCache>
            <c:ptCount val="1"/>
            <c:pt idx="0">
              <c:v>JHV723EJ : 225-RSP.I</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'225'!$N$43</c:f>
              <c:strCache>
                <c:ptCount val="1"/>
                <c:pt idx="0">
                  <c:v>225(中心補正）</c:v>
                </c:pt>
              </c:strCache>
            </c:strRef>
          </c:tx>
          <c:spPr>
            <a:ln w="19050">
              <a:solidFill>
                <a:srgbClr val="00FF00"/>
              </a:solidFill>
            </a:ln>
          </c:spPr>
          <c:marker>
            <c:symbol val="square"/>
            <c:size val="5"/>
            <c:spPr>
              <a:noFill/>
              <a:ln>
                <a:solidFill>
                  <a:srgbClr val="00FF00"/>
                </a:solidFill>
              </a:ln>
            </c:spPr>
          </c:marker>
          <c:cat>
            <c:numRef>
              <c:f>'225'!$K$7:$K$22</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'225'!$N$44:$N$59</c:f>
              <c:numCache>
                <c:formatCode>General</c:formatCode>
                <c:ptCount val="16"/>
                <c:pt idx="0">
                  <c:v>362.64880935274221</c:v>
                </c:pt>
                <c:pt idx="1">
                  <c:v>362.66239256673202</c:v>
                </c:pt>
                <c:pt idx="2">
                  <c:v>362.73637273958013</c:v>
                </c:pt>
                <c:pt idx="3">
                  <c:v>362.79090513452849</c:v>
                </c:pt>
                <c:pt idx="4">
                  <c:v>362.790060942362</c:v>
                </c:pt>
                <c:pt idx="5">
                  <c:v>362.74781644200294</c:v>
                </c:pt>
                <c:pt idx="6">
                  <c:v>362.69905661226585</c:v>
                </c:pt>
                <c:pt idx="7">
                  <c:v>362.67559264466837</c:v>
                </c:pt>
                <c:pt idx="8">
                  <c:v>362.69519069004076</c:v>
                </c:pt>
                <c:pt idx="9">
                  <c:v>362.7296074612118</c:v>
                </c:pt>
                <c:pt idx="10">
                  <c:v>362.74662727083177</c:v>
                </c:pt>
                <c:pt idx="11">
                  <c:v>362.72809486592905</c:v>
                </c:pt>
                <c:pt idx="12">
                  <c:v>362.73293906154601</c:v>
                </c:pt>
                <c:pt idx="13">
                  <c:v>362.76618357673897</c:v>
                </c:pt>
                <c:pt idx="14">
                  <c:v>362.77194342400594</c:v>
                </c:pt>
                <c:pt idx="15">
                  <c:v>362.71140740156329</c:v>
                </c:pt>
              </c:numCache>
            </c:numRef>
          </c:val>
          <c:extLst>
            <c:ext xmlns:c16="http://schemas.microsoft.com/office/drawing/2014/chart" uri="{C3380CC4-5D6E-409C-BE32-E72D297353CC}">
              <c16:uniqueId val="{00000000-753F-4E4A-8FFC-1D08067BD0F1}"/>
            </c:ext>
          </c:extLst>
        </c:ser>
        <c:ser>
          <c:idx val="2"/>
          <c:order val="1"/>
          <c:tx>
            <c:strRef>
              <c:f>'225'!$P$6</c:f>
              <c:strCache>
                <c:ptCount val="1"/>
                <c:pt idx="0">
                  <c:v>Dwg Rmax</c:v>
                </c:pt>
              </c:strCache>
            </c:strRef>
          </c:tx>
          <c:spPr>
            <a:ln>
              <a:solidFill>
                <a:srgbClr val="FF0000"/>
              </a:solidFill>
              <a:prstDash val="dash"/>
            </a:ln>
          </c:spPr>
          <c:marker>
            <c:symbol val="none"/>
          </c:marker>
          <c:cat>
            <c:numRef>
              <c:f>'225'!$K$7:$K$22</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'225'!$P$7:$P$22</c:f>
              <c:numCache>
                <c:formatCode>General</c:formatCode>
                <c:ptCount val="16"/>
                <c:pt idx="0">
                  <c:v>362.76499999999999</c:v>
                </c:pt>
                <c:pt idx="1">
                  <c:v>362.76499999999999</c:v>
                </c:pt>
                <c:pt idx="2">
                  <c:v>362.76499999999999</c:v>
                </c:pt>
                <c:pt idx="3">
                  <c:v>362.76499999999999</c:v>
                </c:pt>
                <c:pt idx="4">
                  <c:v>362.76499999999999</c:v>
                </c:pt>
                <c:pt idx="5">
                  <c:v>362.76499999999999</c:v>
                </c:pt>
                <c:pt idx="6">
                  <c:v>362.76499999999999</c:v>
                </c:pt>
                <c:pt idx="7">
                  <c:v>362.76499999999999</c:v>
                </c:pt>
                <c:pt idx="8">
                  <c:v>362.76499999999999</c:v>
                </c:pt>
                <c:pt idx="9">
                  <c:v>362.76499999999999</c:v>
                </c:pt>
                <c:pt idx="10">
                  <c:v>362.76499999999999</c:v>
                </c:pt>
                <c:pt idx="11">
                  <c:v>362.76499999999999</c:v>
                </c:pt>
                <c:pt idx="12">
                  <c:v>362.76499999999999</c:v>
                </c:pt>
                <c:pt idx="13">
                  <c:v>362.76499999999999</c:v>
                </c:pt>
                <c:pt idx="14">
                  <c:v>362.76499999999999</c:v>
                </c:pt>
                <c:pt idx="15">
                  <c:v>362.76499999999999</c:v>
                </c:pt>
              </c:numCache>
            </c:numRef>
          </c:val>
          <c:extLst>
            <c:ext xmlns:c16="http://schemas.microsoft.com/office/drawing/2014/chart" uri="{C3380CC4-5D6E-409C-BE32-E72D297353CC}">
              <c16:uniqueId val="{00000001-753F-4E4A-8FFC-1D08067BD0F1}"/>
            </c:ext>
          </c:extLst>
        </c:ser>
        <c:ser>
          <c:idx val="1"/>
          <c:order val="2"/>
          <c:tx>
            <c:strRef>
              <c:f>'225'!$O$6</c:f>
              <c:strCache>
                <c:ptCount val="1"/>
                <c:pt idx="0">
                  <c:v>Dwg Rmin</c:v>
                </c:pt>
              </c:strCache>
            </c:strRef>
          </c:tx>
          <c:spPr>
            <a:ln>
              <a:solidFill>
                <a:srgbClr val="0000FF"/>
              </a:solidFill>
              <a:prstDash val="dash"/>
            </a:ln>
          </c:spPr>
          <c:marker>
            <c:symbol val="none"/>
          </c:marker>
          <c:cat>
            <c:numRef>
              <c:f>'225'!$K$7:$K$22</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'225'!$O$7:$O$22</c:f>
              <c:numCache>
                <c:formatCode>General</c:formatCode>
                <c:ptCount val="16"/>
                <c:pt idx="0">
                  <c:v>362.63499999999999</c:v>
                </c:pt>
                <c:pt idx="1">
                  <c:v>362.63499999999999</c:v>
                </c:pt>
                <c:pt idx="2">
                  <c:v>362.63499999999999</c:v>
                </c:pt>
                <c:pt idx="3">
                  <c:v>362.63499999999999</c:v>
                </c:pt>
                <c:pt idx="4">
                  <c:v>362.63499999999999</c:v>
                </c:pt>
                <c:pt idx="5">
                  <c:v>362.63499999999999</c:v>
                </c:pt>
                <c:pt idx="6">
                  <c:v>362.63499999999999</c:v>
                </c:pt>
                <c:pt idx="7">
                  <c:v>362.63499999999999</c:v>
                </c:pt>
                <c:pt idx="8">
                  <c:v>362.63499999999999</c:v>
                </c:pt>
                <c:pt idx="9">
                  <c:v>362.63499999999999</c:v>
                </c:pt>
                <c:pt idx="10">
                  <c:v>362.63499999999999</c:v>
                </c:pt>
                <c:pt idx="11">
                  <c:v>362.63499999999999</c:v>
                </c:pt>
                <c:pt idx="12">
                  <c:v>362.63499999999999</c:v>
                </c:pt>
                <c:pt idx="13">
                  <c:v>362.63499999999999</c:v>
                </c:pt>
                <c:pt idx="14">
                  <c:v>362.63499999999999</c:v>
                </c:pt>
                <c:pt idx="15">
                  <c:v>362.63499999999999</c:v>
                </c:pt>
              </c:numCache>
            </c:numRef>
          </c:val>
          <c:extLst>
            <c:ext xmlns:c16="http://schemas.microsoft.com/office/drawing/2014/chart" uri="{C3380CC4-5D6E-409C-BE32-E72D297353CC}">
              <c16:uniqueId val="{00000002-753F-4E4A-8FFC-1D08067BD0F1}"/>
            </c:ext>
          </c:extLst>
        </c:ser>
        <c:dLbls>
          <c:showLegendKey val="0"/>
          <c:showVal val="0"/>
          <c:showCatName val="0"/>
          <c:showSerName val="0"/>
          <c:showPercent val="0"/>
          <c:showBubbleSize val="0"/>
        </c:dLbls>
        <c:axId val="150176128"/>
        <c:axId val="150177664"/>
      </c:radarChart>
      <c:catAx>
        <c:axId val="15017612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50177664"/>
        <c:crosses val="autoZero"/>
        <c:auto val="1"/>
        <c:lblAlgn val="ctr"/>
        <c:lblOffset val="100"/>
        <c:noMultiLvlLbl val="0"/>
      </c:catAx>
      <c:valAx>
        <c:axId val="15017766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50176128"/>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'225'!$L$6</c:f>
          <c:strCache>
            <c:ptCount val="1"/>
            <c:pt idx="0">
              <c:v>JHV723EJ : 225-RSP.I</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'225'!$N$6</c:f>
              <c:strCache>
                <c:ptCount val="1"/>
                <c:pt idx="0">
                  <c:v>SONR</c:v>
                </c:pt>
              </c:strCache>
            </c:strRef>
          </c:tx>
          <c:spPr>
            <a:ln w="19050">
              <a:solidFill>
                <a:srgbClr val="00FF00"/>
              </a:solidFill>
            </a:ln>
          </c:spPr>
          <c:marker>
            <c:symbol val="square"/>
            <c:size val="5"/>
            <c:spPr>
              <a:noFill/>
              <a:ln>
                <a:solidFill>
                  <a:srgbClr val="00FF00"/>
                </a:solidFill>
              </a:ln>
            </c:spPr>
          </c:marker>
          <c:cat>
            <c:numRef>
              <c:f>'225'!$K$7:$K$22</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'225'!$N$7:$N$22</c:f>
              <c:numCache>
                <c:formatCode>General</c:formatCode>
                <c:ptCount val="16"/>
                <c:pt idx="0">
                  <c:v>362.65</c:v>
                </c:pt>
                <c:pt idx="1">
                  <c:v>362.66500000000002</c:v>
                </c:pt>
                <c:pt idx="2">
                  <c:v>362.74</c:v>
                </c:pt>
                <c:pt idx="3">
                  <c:v>362.79500000000002</c:v>
                </c:pt>
                <c:pt idx="4">
                  <c:v>362.79399999999998</c:v>
                </c:pt>
                <c:pt idx="5">
                  <c:v>362.75099999999998</c:v>
                </c:pt>
                <c:pt idx="6">
                  <c:v>362.70100000000002</c:v>
                </c:pt>
                <c:pt idx="7">
                  <c:v>362.67599999999999</c:v>
                </c:pt>
                <c:pt idx="8">
                  <c:v>362.69400000000002</c:v>
                </c:pt>
                <c:pt idx="9">
                  <c:v>362.72699999999998</c:v>
                </c:pt>
                <c:pt idx="10">
                  <c:v>362.74299999999999</c:v>
                </c:pt>
                <c:pt idx="11">
                  <c:v>362.72399999999999</c:v>
                </c:pt>
                <c:pt idx="12">
                  <c:v>362.72899999999998</c:v>
                </c:pt>
                <c:pt idx="13">
                  <c:v>362.76299999999998</c:v>
                </c:pt>
                <c:pt idx="14">
                  <c:v>362.77</c:v>
                </c:pt>
                <c:pt idx="15">
                  <c:v>362.71100000000001</c:v>
                </c:pt>
              </c:numCache>
            </c:numRef>
          </c:val>
          <c:extLst>
            <c:ext xmlns:c16="http://schemas.microsoft.com/office/drawing/2014/chart" uri="{C3380CC4-5D6E-409C-BE32-E72D297353CC}">
              <c16:uniqueId val="{00000000-5B5C-45B1-8962-EDA7A0380EF2}"/>
            </c:ext>
          </c:extLst>
        </c:ser>
        <c:ser>
          <c:idx val="2"/>
          <c:order val="1"/>
          <c:tx>
            <c:strRef>
              <c:f>'225'!$P$6</c:f>
              <c:strCache>
                <c:ptCount val="1"/>
                <c:pt idx="0">
                  <c:v>Dwg Rmax</c:v>
                </c:pt>
              </c:strCache>
            </c:strRef>
          </c:tx>
          <c:spPr>
            <a:ln>
              <a:solidFill>
                <a:srgbClr val="FF0000"/>
              </a:solidFill>
              <a:prstDash val="dash"/>
            </a:ln>
          </c:spPr>
          <c:marker>
            <c:symbol val="none"/>
          </c:marker>
          <c:cat>
            <c:numRef>
              <c:f>'225'!$K$7:$K$22</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'225'!$P$7:$P$22</c:f>
              <c:numCache>
                <c:formatCode>General</c:formatCode>
                <c:ptCount val="16"/>
                <c:pt idx="0">
                  <c:v>362.76499999999999</c:v>
                </c:pt>
                <c:pt idx="1">
                  <c:v>362.76499999999999</c:v>
                </c:pt>
                <c:pt idx="2">
                  <c:v>362.76499999999999</c:v>
                </c:pt>
                <c:pt idx="3">
                  <c:v>362.76499999999999</c:v>
                </c:pt>
                <c:pt idx="4">
                  <c:v>362.76499999999999</c:v>
                </c:pt>
                <c:pt idx="5">
                  <c:v>362.76499999999999</c:v>
                </c:pt>
                <c:pt idx="6">
                  <c:v>362.76499999999999</c:v>
                </c:pt>
                <c:pt idx="7">
                  <c:v>362.76499999999999</c:v>
                </c:pt>
                <c:pt idx="8">
                  <c:v>362.76499999999999</c:v>
                </c:pt>
                <c:pt idx="9">
                  <c:v>362.76499999999999</c:v>
                </c:pt>
                <c:pt idx="10">
                  <c:v>362.76499999999999</c:v>
                </c:pt>
                <c:pt idx="11">
                  <c:v>362.76499999999999</c:v>
                </c:pt>
                <c:pt idx="12">
                  <c:v>362.76499999999999</c:v>
                </c:pt>
                <c:pt idx="13">
                  <c:v>362.76499999999999</c:v>
                </c:pt>
                <c:pt idx="14">
                  <c:v>362.76499999999999</c:v>
                </c:pt>
                <c:pt idx="15">
                  <c:v>362.76499999999999</c:v>
                </c:pt>
              </c:numCache>
            </c:numRef>
          </c:val>
          <c:extLst>
            <c:ext xmlns:c16="http://schemas.microsoft.com/office/drawing/2014/chart" uri="{C3380CC4-5D6E-409C-BE32-E72D297353CC}">
              <c16:uniqueId val="{00000001-5B5C-45B1-8962-EDA7A0380EF2}"/>
            </c:ext>
          </c:extLst>
        </c:ser>
        <c:ser>
          <c:idx val="1"/>
          <c:order val="2"/>
          <c:tx>
            <c:strRef>
              <c:f>'225'!$O$6</c:f>
              <c:strCache>
                <c:ptCount val="1"/>
                <c:pt idx="0">
                  <c:v>Dwg Rmin</c:v>
                </c:pt>
              </c:strCache>
            </c:strRef>
          </c:tx>
          <c:spPr>
            <a:ln>
              <a:solidFill>
                <a:srgbClr val="0000FF"/>
              </a:solidFill>
              <a:prstDash val="dash"/>
            </a:ln>
          </c:spPr>
          <c:marker>
            <c:symbol val="none"/>
          </c:marker>
          <c:cat>
            <c:numRef>
              <c:f>'225'!$K$7:$K$22</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'225'!$O$7:$O$22</c:f>
              <c:numCache>
                <c:formatCode>General</c:formatCode>
                <c:ptCount val="16"/>
                <c:pt idx="0">
                  <c:v>362.63499999999999</c:v>
                </c:pt>
                <c:pt idx="1">
                  <c:v>362.63499999999999</c:v>
                </c:pt>
                <c:pt idx="2">
                  <c:v>362.63499999999999</c:v>
                </c:pt>
                <c:pt idx="3">
                  <c:v>362.63499999999999</c:v>
                </c:pt>
                <c:pt idx="4">
                  <c:v>362.63499999999999</c:v>
                </c:pt>
                <c:pt idx="5">
                  <c:v>362.63499999999999</c:v>
                </c:pt>
                <c:pt idx="6">
                  <c:v>362.63499999999999</c:v>
                </c:pt>
                <c:pt idx="7">
                  <c:v>362.63499999999999</c:v>
                </c:pt>
                <c:pt idx="8">
                  <c:v>362.63499999999999</c:v>
                </c:pt>
                <c:pt idx="9">
                  <c:v>362.63499999999999</c:v>
                </c:pt>
                <c:pt idx="10">
                  <c:v>362.63499999999999</c:v>
                </c:pt>
                <c:pt idx="11">
                  <c:v>362.63499999999999</c:v>
                </c:pt>
                <c:pt idx="12">
                  <c:v>362.63499999999999</c:v>
                </c:pt>
                <c:pt idx="13">
                  <c:v>362.63499999999999</c:v>
                </c:pt>
                <c:pt idx="14">
                  <c:v>362.63499999999999</c:v>
                </c:pt>
                <c:pt idx="15">
                  <c:v>362.63499999999999</c:v>
                </c:pt>
              </c:numCache>
            </c:numRef>
          </c:val>
          <c:extLst>
            <c:ext xmlns:c16="http://schemas.microsoft.com/office/drawing/2014/chart" uri="{C3380CC4-5D6E-409C-BE32-E72D297353CC}">
              <c16:uniqueId val="{00000002-5B5C-45B1-8962-EDA7A0380EF2}"/>
            </c:ext>
          </c:extLst>
        </c:ser>
        <c:dLbls>
          <c:showLegendKey val="0"/>
          <c:showVal val="0"/>
          <c:showCatName val="0"/>
          <c:showSerName val="0"/>
          <c:showPercent val="0"/>
          <c:showBubbleSize val="0"/>
        </c:dLbls>
        <c:axId val="150176128"/>
        <c:axId val="150177664"/>
      </c:radarChart>
      <c:catAx>
        <c:axId val="15017612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50177664"/>
        <c:crosses val="autoZero"/>
        <c:auto val="1"/>
        <c:lblAlgn val="ctr"/>
        <c:lblOffset val="100"/>
        <c:noMultiLvlLbl val="0"/>
      </c:catAx>
      <c:valAx>
        <c:axId val="15017766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50176128"/>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'226'!$L$6</c:f>
          <c:strCache>
            <c:ptCount val="1"/>
            <c:pt idx="0">
              <c:v>JHV723EJ : 226</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'226'!$N$43</c:f>
              <c:strCache>
                <c:ptCount val="1"/>
                <c:pt idx="0">
                  <c:v>226(中心補正）</c:v>
                </c:pt>
              </c:strCache>
            </c:strRef>
          </c:tx>
          <c:spPr>
            <a:ln w="19050">
              <a:solidFill>
                <a:srgbClr val="00FF00"/>
              </a:solidFill>
            </a:ln>
          </c:spPr>
          <c:marker>
            <c:symbol val="square"/>
            <c:size val="5"/>
            <c:spPr>
              <a:noFill/>
              <a:ln>
                <a:solidFill>
                  <a:srgbClr val="00FF00"/>
                </a:solidFill>
              </a:ln>
            </c:spPr>
          </c:marker>
          <c:cat>
            <c:numRef>
              <c:f>'226'!$K$7:$K$22</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'226'!$N$44:$N$59</c:f>
              <c:numCache>
                <c:formatCode>General</c:formatCode>
                <c:ptCount val="16"/>
                <c:pt idx="0">
                  <c:v>362.38605369263752</c:v>
                </c:pt>
                <c:pt idx="1">
                  <c:v>362.39217350777108</c:v>
                </c:pt>
                <c:pt idx="2">
                  <c:v>362.46772393960464</c:v>
                </c:pt>
                <c:pt idx="3">
                  <c:v>362.5306210798451</c:v>
                </c:pt>
                <c:pt idx="4">
                  <c:v>362.52772752365081</c:v>
                </c:pt>
                <c:pt idx="5">
                  <c:v>362.48287561970261</c:v>
                </c:pt>
                <c:pt idx="6">
                  <c:v>362.43489068279439</c:v>
                </c:pt>
                <c:pt idx="7">
                  <c:v>362.40261785530436</c:v>
                </c:pt>
                <c:pt idx="8">
                  <c:v>362.42694630756733</c:v>
                </c:pt>
                <c:pt idx="9">
                  <c:v>362.46082652488923</c:v>
                </c:pt>
                <c:pt idx="10">
                  <c:v>362.48027607025676</c:v>
                </c:pt>
                <c:pt idx="11">
                  <c:v>362.46537907613305</c:v>
                </c:pt>
                <c:pt idx="12">
                  <c:v>362.475272500296</c:v>
                </c:pt>
                <c:pt idx="13">
                  <c:v>362.49912440233459</c:v>
                </c:pt>
                <c:pt idx="14">
                  <c:v>362.50410933149738</c:v>
                </c:pt>
                <c:pt idx="15">
                  <c:v>362.43838227030022</c:v>
                </c:pt>
              </c:numCache>
            </c:numRef>
          </c:val>
          <c:extLst>
            <c:ext xmlns:c16="http://schemas.microsoft.com/office/drawing/2014/chart" uri="{C3380CC4-5D6E-409C-BE32-E72D297353CC}">
              <c16:uniqueId val="{00000000-8436-4AF1-BF1B-AA93191C572C}"/>
            </c:ext>
          </c:extLst>
        </c:ser>
        <c:ser>
          <c:idx val="2"/>
          <c:order val="1"/>
          <c:tx>
            <c:strRef>
              <c:f>'226'!$P$6</c:f>
              <c:strCache>
                <c:ptCount val="1"/>
                <c:pt idx="0">
                  <c:v>Dwg Rmax</c:v>
                </c:pt>
              </c:strCache>
            </c:strRef>
          </c:tx>
          <c:spPr>
            <a:ln>
              <a:solidFill>
                <a:srgbClr val="FF0000"/>
              </a:solidFill>
              <a:prstDash val="dash"/>
            </a:ln>
          </c:spPr>
          <c:marker>
            <c:symbol val="none"/>
          </c:marker>
          <c:cat>
            <c:numRef>
              <c:f>'226'!$K$7:$K$22</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'226'!$P$7:$P$22</c:f>
              <c:numCache>
                <c:formatCode>General</c:formatCode>
                <c:ptCount val="16"/>
                <c:pt idx="0">
                  <c:v>362.49</c:v>
                </c:pt>
                <c:pt idx="1">
                  <c:v>362.49</c:v>
                </c:pt>
                <c:pt idx="2">
                  <c:v>362.49</c:v>
                </c:pt>
                <c:pt idx="3">
                  <c:v>362.49</c:v>
                </c:pt>
                <c:pt idx="4">
                  <c:v>362.49</c:v>
                </c:pt>
                <c:pt idx="5">
                  <c:v>362.49</c:v>
                </c:pt>
                <c:pt idx="6">
                  <c:v>362.49</c:v>
                </c:pt>
                <c:pt idx="7">
                  <c:v>362.49</c:v>
                </c:pt>
                <c:pt idx="8">
                  <c:v>362.49</c:v>
                </c:pt>
                <c:pt idx="9">
                  <c:v>362.49</c:v>
                </c:pt>
                <c:pt idx="10">
                  <c:v>362.49</c:v>
                </c:pt>
                <c:pt idx="11">
                  <c:v>362.49</c:v>
                </c:pt>
                <c:pt idx="12">
                  <c:v>362.49</c:v>
                </c:pt>
                <c:pt idx="13">
                  <c:v>362.49</c:v>
                </c:pt>
                <c:pt idx="14">
                  <c:v>362.49</c:v>
                </c:pt>
                <c:pt idx="15">
                  <c:v>362.49</c:v>
                </c:pt>
              </c:numCache>
            </c:numRef>
          </c:val>
          <c:extLst>
            <c:ext xmlns:c16="http://schemas.microsoft.com/office/drawing/2014/chart" uri="{C3380CC4-5D6E-409C-BE32-E72D297353CC}">
              <c16:uniqueId val="{00000001-8436-4AF1-BF1B-AA93191C572C}"/>
            </c:ext>
          </c:extLst>
        </c:ser>
        <c:ser>
          <c:idx val="1"/>
          <c:order val="2"/>
          <c:tx>
            <c:strRef>
              <c:f>'226'!$O$6</c:f>
              <c:strCache>
                <c:ptCount val="1"/>
                <c:pt idx="0">
                  <c:v>Dwg Rmin</c:v>
                </c:pt>
              </c:strCache>
            </c:strRef>
          </c:tx>
          <c:spPr>
            <a:ln>
              <a:solidFill>
                <a:srgbClr val="0000FF"/>
              </a:solidFill>
              <a:prstDash val="dash"/>
            </a:ln>
          </c:spPr>
          <c:marker>
            <c:symbol val="none"/>
          </c:marker>
          <c:cat>
            <c:numRef>
              <c:f>'226'!$K$7:$K$22</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'226'!$O$7:$O$22</c:f>
              <c:numCache>
                <c:formatCode>General</c:formatCode>
                <c:ptCount val="16"/>
                <c:pt idx="0">
                  <c:v>362.36</c:v>
                </c:pt>
                <c:pt idx="1">
                  <c:v>362.36</c:v>
                </c:pt>
                <c:pt idx="2">
                  <c:v>362.36</c:v>
                </c:pt>
                <c:pt idx="3">
                  <c:v>362.36</c:v>
                </c:pt>
                <c:pt idx="4">
                  <c:v>362.36</c:v>
                </c:pt>
                <c:pt idx="5">
                  <c:v>362.36</c:v>
                </c:pt>
                <c:pt idx="6">
                  <c:v>362.36</c:v>
                </c:pt>
                <c:pt idx="7">
                  <c:v>362.36</c:v>
                </c:pt>
                <c:pt idx="8">
                  <c:v>362.36</c:v>
                </c:pt>
                <c:pt idx="9">
                  <c:v>362.36</c:v>
                </c:pt>
                <c:pt idx="10">
                  <c:v>362.36</c:v>
                </c:pt>
                <c:pt idx="11">
                  <c:v>362.36</c:v>
                </c:pt>
                <c:pt idx="12">
                  <c:v>362.36</c:v>
                </c:pt>
                <c:pt idx="13">
                  <c:v>362.36</c:v>
                </c:pt>
                <c:pt idx="14">
                  <c:v>362.36</c:v>
                </c:pt>
                <c:pt idx="15">
                  <c:v>362.36</c:v>
                </c:pt>
              </c:numCache>
            </c:numRef>
          </c:val>
          <c:extLst>
            <c:ext xmlns:c16="http://schemas.microsoft.com/office/drawing/2014/chart" uri="{C3380CC4-5D6E-409C-BE32-E72D297353CC}">
              <c16:uniqueId val="{00000002-8436-4AF1-BF1B-AA93191C572C}"/>
            </c:ext>
          </c:extLst>
        </c:ser>
        <c:dLbls>
          <c:showLegendKey val="0"/>
          <c:showVal val="0"/>
          <c:showCatName val="0"/>
          <c:showSerName val="0"/>
          <c:showPercent val="0"/>
          <c:showBubbleSize val="0"/>
        </c:dLbls>
        <c:axId val="373856128"/>
        <c:axId val="373857664"/>
      </c:radarChart>
      <c:catAx>
        <c:axId val="37385612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373857664"/>
        <c:crosses val="autoZero"/>
        <c:auto val="1"/>
        <c:lblAlgn val="ctr"/>
        <c:lblOffset val="100"/>
        <c:noMultiLvlLbl val="0"/>
      </c:catAx>
      <c:valAx>
        <c:axId val="37385766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373856128"/>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'226'!$L$6</c:f>
          <c:strCache>
            <c:ptCount val="1"/>
            <c:pt idx="0">
              <c:v>JHV723EJ : 226</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'226'!$N$6</c:f>
              <c:strCache>
                <c:ptCount val="1"/>
                <c:pt idx="0">
                  <c:v>SONR</c:v>
                </c:pt>
              </c:strCache>
            </c:strRef>
          </c:tx>
          <c:spPr>
            <a:ln w="19050">
              <a:solidFill>
                <a:srgbClr val="00FF00"/>
              </a:solidFill>
            </a:ln>
          </c:spPr>
          <c:marker>
            <c:symbol val="square"/>
            <c:size val="5"/>
            <c:spPr>
              <a:noFill/>
              <a:ln>
                <a:solidFill>
                  <a:srgbClr val="00FF00"/>
                </a:solidFill>
              </a:ln>
            </c:spPr>
          </c:marker>
          <c:cat>
            <c:numRef>
              <c:f>'226'!$K$7:$K$22</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'226'!$N$7:$N$22</c:f>
              <c:numCache>
                <c:formatCode>General</c:formatCode>
                <c:ptCount val="16"/>
                <c:pt idx="0">
                  <c:v>362.38900000000001</c:v>
                </c:pt>
                <c:pt idx="1">
                  <c:v>362.39499999999998</c:v>
                </c:pt>
                <c:pt idx="2">
                  <c:v>362.47</c:v>
                </c:pt>
                <c:pt idx="3">
                  <c:v>362.53199999999998</c:v>
                </c:pt>
                <c:pt idx="4">
                  <c:v>362.52800000000002</c:v>
                </c:pt>
                <c:pt idx="5">
                  <c:v>362.48200000000003</c:v>
                </c:pt>
                <c:pt idx="6">
                  <c:v>362.43299999999999</c:v>
                </c:pt>
                <c:pt idx="7">
                  <c:v>362.4</c:v>
                </c:pt>
                <c:pt idx="8">
                  <c:v>362.42399999999998</c:v>
                </c:pt>
                <c:pt idx="9">
                  <c:v>362.45800000000003</c:v>
                </c:pt>
                <c:pt idx="10">
                  <c:v>362.47800000000001</c:v>
                </c:pt>
                <c:pt idx="11">
                  <c:v>362.464</c:v>
                </c:pt>
                <c:pt idx="12">
                  <c:v>362.47500000000002</c:v>
                </c:pt>
                <c:pt idx="13">
                  <c:v>362.5</c:v>
                </c:pt>
                <c:pt idx="14">
                  <c:v>362.50599999999997</c:v>
                </c:pt>
                <c:pt idx="15">
                  <c:v>362.44099999999997</c:v>
                </c:pt>
              </c:numCache>
            </c:numRef>
          </c:val>
          <c:extLst>
            <c:ext xmlns:c16="http://schemas.microsoft.com/office/drawing/2014/chart" uri="{C3380CC4-5D6E-409C-BE32-E72D297353CC}">
              <c16:uniqueId val="{00000000-CBD0-4F3D-ADB4-6F50396EC3D6}"/>
            </c:ext>
          </c:extLst>
        </c:ser>
        <c:ser>
          <c:idx val="2"/>
          <c:order val="1"/>
          <c:tx>
            <c:strRef>
              <c:f>'226'!$P$6</c:f>
              <c:strCache>
                <c:ptCount val="1"/>
                <c:pt idx="0">
                  <c:v>Dwg Rmax</c:v>
                </c:pt>
              </c:strCache>
            </c:strRef>
          </c:tx>
          <c:spPr>
            <a:ln>
              <a:solidFill>
                <a:srgbClr val="FF0000"/>
              </a:solidFill>
              <a:prstDash val="dash"/>
            </a:ln>
          </c:spPr>
          <c:marker>
            <c:symbol val="none"/>
          </c:marker>
          <c:cat>
            <c:numRef>
              <c:f>'226'!$K$7:$K$22</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'226'!$P$7:$P$22</c:f>
              <c:numCache>
                <c:formatCode>General</c:formatCode>
                <c:ptCount val="16"/>
                <c:pt idx="0">
                  <c:v>362.49</c:v>
                </c:pt>
                <c:pt idx="1">
                  <c:v>362.49</c:v>
                </c:pt>
                <c:pt idx="2">
                  <c:v>362.49</c:v>
                </c:pt>
                <c:pt idx="3">
                  <c:v>362.49</c:v>
                </c:pt>
                <c:pt idx="4">
                  <c:v>362.49</c:v>
                </c:pt>
                <c:pt idx="5">
                  <c:v>362.49</c:v>
                </c:pt>
                <c:pt idx="6">
                  <c:v>362.49</c:v>
                </c:pt>
                <c:pt idx="7">
                  <c:v>362.49</c:v>
                </c:pt>
                <c:pt idx="8">
                  <c:v>362.49</c:v>
                </c:pt>
                <c:pt idx="9">
                  <c:v>362.49</c:v>
                </c:pt>
                <c:pt idx="10">
                  <c:v>362.49</c:v>
                </c:pt>
                <c:pt idx="11">
                  <c:v>362.49</c:v>
                </c:pt>
                <c:pt idx="12">
                  <c:v>362.49</c:v>
                </c:pt>
                <c:pt idx="13">
                  <c:v>362.49</c:v>
                </c:pt>
                <c:pt idx="14">
                  <c:v>362.49</c:v>
                </c:pt>
                <c:pt idx="15">
                  <c:v>362.49</c:v>
                </c:pt>
              </c:numCache>
            </c:numRef>
          </c:val>
          <c:extLst>
            <c:ext xmlns:c16="http://schemas.microsoft.com/office/drawing/2014/chart" uri="{C3380CC4-5D6E-409C-BE32-E72D297353CC}">
              <c16:uniqueId val="{00000001-CBD0-4F3D-ADB4-6F50396EC3D6}"/>
            </c:ext>
          </c:extLst>
        </c:ser>
        <c:ser>
          <c:idx val="1"/>
          <c:order val="2"/>
          <c:tx>
            <c:strRef>
              <c:f>'226'!$O$6</c:f>
              <c:strCache>
                <c:ptCount val="1"/>
                <c:pt idx="0">
                  <c:v>Dwg Rmin</c:v>
                </c:pt>
              </c:strCache>
            </c:strRef>
          </c:tx>
          <c:spPr>
            <a:ln>
              <a:solidFill>
                <a:srgbClr val="0000FF"/>
              </a:solidFill>
              <a:prstDash val="dash"/>
            </a:ln>
          </c:spPr>
          <c:marker>
            <c:symbol val="none"/>
          </c:marker>
          <c:cat>
            <c:numRef>
              <c:f>'226'!$K$7:$K$22</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'226'!$O$7:$O$22</c:f>
              <c:numCache>
                <c:formatCode>General</c:formatCode>
                <c:ptCount val="16"/>
                <c:pt idx="0">
                  <c:v>362.36</c:v>
                </c:pt>
                <c:pt idx="1">
                  <c:v>362.36</c:v>
                </c:pt>
                <c:pt idx="2">
                  <c:v>362.36</c:v>
                </c:pt>
                <c:pt idx="3">
                  <c:v>362.36</c:v>
                </c:pt>
                <c:pt idx="4">
                  <c:v>362.36</c:v>
                </c:pt>
                <c:pt idx="5">
                  <c:v>362.36</c:v>
                </c:pt>
                <c:pt idx="6">
                  <c:v>362.36</c:v>
                </c:pt>
                <c:pt idx="7">
                  <c:v>362.36</c:v>
                </c:pt>
                <c:pt idx="8">
                  <c:v>362.36</c:v>
                </c:pt>
                <c:pt idx="9">
                  <c:v>362.36</c:v>
                </c:pt>
                <c:pt idx="10">
                  <c:v>362.36</c:v>
                </c:pt>
                <c:pt idx="11">
                  <c:v>362.36</c:v>
                </c:pt>
                <c:pt idx="12">
                  <c:v>362.36</c:v>
                </c:pt>
                <c:pt idx="13">
                  <c:v>362.36</c:v>
                </c:pt>
                <c:pt idx="14">
                  <c:v>362.36</c:v>
                </c:pt>
                <c:pt idx="15">
                  <c:v>362.36</c:v>
                </c:pt>
              </c:numCache>
            </c:numRef>
          </c:val>
          <c:extLst>
            <c:ext xmlns:c16="http://schemas.microsoft.com/office/drawing/2014/chart" uri="{C3380CC4-5D6E-409C-BE32-E72D297353CC}">
              <c16:uniqueId val="{00000002-CBD0-4F3D-ADB4-6F50396EC3D6}"/>
            </c:ext>
          </c:extLst>
        </c:ser>
        <c:dLbls>
          <c:showLegendKey val="0"/>
          <c:showVal val="0"/>
          <c:showCatName val="0"/>
          <c:showSerName val="0"/>
          <c:showPercent val="0"/>
          <c:showBubbleSize val="0"/>
        </c:dLbls>
        <c:axId val="373856128"/>
        <c:axId val="373857664"/>
      </c:radarChart>
      <c:catAx>
        <c:axId val="37385612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373857664"/>
        <c:crosses val="autoZero"/>
        <c:auto val="1"/>
        <c:lblAlgn val="ctr"/>
        <c:lblOffset val="100"/>
        <c:noMultiLvlLbl val="0"/>
      </c:catAx>
      <c:valAx>
        <c:axId val="37385766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373856128"/>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'207'!$L$6</c:f>
          <c:strCache>
            <c:ptCount val="1"/>
            <c:pt idx="0">
              <c:v>JHV723EJ : 207-RSP.I</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'207'!$N$43</c:f>
              <c:strCache>
                <c:ptCount val="1"/>
                <c:pt idx="0">
                  <c:v>207(中心補正）</c:v>
                </c:pt>
              </c:strCache>
            </c:strRef>
          </c:tx>
          <c:spPr>
            <a:ln w="19050">
              <a:solidFill>
                <a:srgbClr val="00FF00"/>
              </a:solidFill>
            </a:ln>
          </c:spPr>
          <c:marker>
            <c:symbol val="square"/>
            <c:size val="5"/>
            <c:spPr>
              <a:noFill/>
              <a:ln>
                <a:solidFill>
                  <a:srgbClr val="00FF00"/>
                </a:solidFill>
              </a:ln>
            </c:spPr>
          </c:marker>
          <c:cat>
            <c:numRef>
              <c:f>'207'!$K$7:$K$22</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'207'!$N$44:$N$59</c:f>
              <c:numCache>
                <c:formatCode>General</c:formatCode>
                <c:ptCount val="16"/>
                <c:pt idx="0">
                  <c:v>360.33348969223505</c:v>
                </c:pt>
                <c:pt idx="1">
                  <c:v>360.35072483884818</c:v>
                </c:pt>
                <c:pt idx="2">
                  <c:v>360.4156973714783</c:v>
                </c:pt>
                <c:pt idx="3">
                  <c:v>360.47056377513439</c:v>
                </c:pt>
                <c:pt idx="4">
                  <c:v>360.47349663199054</c:v>
                </c:pt>
                <c:pt idx="5">
                  <c:v>360.43065828241737</c:v>
                </c:pt>
                <c:pt idx="6">
                  <c:v>360.38217650756235</c:v>
                </c:pt>
                <c:pt idx="7">
                  <c:v>360.35812451915996</c:v>
                </c:pt>
                <c:pt idx="8">
                  <c:v>360.37451034027526</c:v>
                </c:pt>
                <c:pt idx="9">
                  <c:v>360.41627517636755</c:v>
                </c:pt>
                <c:pt idx="10">
                  <c:v>360.42530265064102</c:v>
                </c:pt>
                <c:pt idx="11">
                  <c:v>360.41443634817688</c:v>
                </c:pt>
                <c:pt idx="12">
                  <c:v>360.41750329829983</c:v>
                </c:pt>
                <c:pt idx="13">
                  <c:v>360.44634160541824</c:v>
                </c:pt>
                <c:pt idx="14">
                  <c:v>360.44982349378733</c:v>
                </c:pt>
                <c:pt idx="15">
                  <c:v>360.39387548897838</c:v>
                </c:pt>
              </c:numCache>
            </c:numRef>
          </c:val>
          <c:extLst>
            <c:ext xmlns:c16="http://schemas.microsoft.com/office/drawing/2014/chart" uri="{C3380CC4-5D6E-409C-BE32-E72D297353CC}">
              <c16:uniqueId val="{00000000-63C5-4F1B-9C01-376911221B94}"/>
            </c:ext>
          </c:extLst>
        </c:ser>
        <c:ser>
          <c:idx val="2"/>
          <c:order val="1"/>
          <c:tx>
            <c:strRef>
              <c:f>'207'!$P$6</c:f>
              <c:strCache>
                <c:ptCount val="1"/>
                <c:pt idx="0">
                  <c:v>Dwg Rmax</c:v>
                </c:pt>
              </c:strCache>
            </c:strRef>
          </c:tx>
          <c:spPr>
            <a:ln>
              <a:solidFill>
                <a:srgbClr val="FF0000"/>
              </a:solidFill>
              <a:prstDash val="dash"/>
            </a:ln>
          </c:spPr>
          <c:marker>
            <c:symbol val="none"/>
          </c:marker>
          <c:cat>
            <c:numRef>
              <c:f>'207'!$K$7:$K$22</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'207'!$P$7:$P$22</c:f>
              <c:numCache>
                <c:formatCode>General</c:formatCode>
                <c:ptCount val="16"/>
                <c:pt idx="0">
                  <c:v>360.49</c:v>
                </c:pt>
                <c:pt idx="1">
                  <c:v>360.49</c:v>
                </c:pt>
                <c:pt idx="2">
                  <c:v>360.49</c:v>
                </c:pt>
                <c:pt idx="3">
                  <c:v>360.49</c:v>
                </c:pt>
                <c:pt idx="4">
                  <c:v>360.49</c:v>
                </c:pt>
                <c:pt idx="5">
                  <c:v>360.49</c:v>
                </c:pt>
                <c:pt idx="6">
                  <c:v>360.49</c:v>
                </c:pt>
                <c:pt idx="7">
                  <c:v>360.49</c:v>
                </c:pt>
                <c:pt idx="8">
                  <c:v>360.49</c:v>
                </c:pt>
                <c:pt idx="9">
                  <c:v>360.49</c:v>
                </c:pt>
                <c:pt idx="10">
                  <c:v>360.49</c:v>
                </c:pt>
                <c:pt idx="11">
                  <c:v>360.49</c:v>
                </c:pt>
                <c:pt idx="12">
                  <c:v>360.49</c:v>
                </c:pt>
                <c:pt idx="13">
                  <c:v>360.49</c:v>
                </c:pt>
                <c:pt idx="14">
                  <c:v>360.49</c:v>
                </c:pt>
                <c:pt idx="15">
                  <c:v>360.49</c:v>
                </c:pt>
              </c:numCache>
            </c:numRef>
          </c:val>
          <c:extLst>
            <c:ext xmlns:c16="http://schemas.microsoft.com/office/drawing/2014/chart" uri="{C3380CC4-5D6E-409C-BE32-E72D297353CC}">
              <c16:uniqueId val="{00000001-63C5-4F1B-9C01-376911221B94}"/>
            </c:ext>
          </c:extLst>
        </c:ser>
        <c:ser>
          <c:idx val="1"/>
          <c:order val="2"/>
          <c:tx>
            <c:strRef>
              <c:f>'207'!$O$6</c:f>
              <c:strCache>
                <c:ptCount val="1"/>
                <c:pt idx="0">
                  <c:v>Dwg Rmin</c:v>
                </c:pt>
              </c:strCache>
            </c:strRef>
          </c:tx>
          <c:spPr>
            <a:ln>
              <a:solidFill>
                <a:srgbClr val="0000FF"/>
              </a:solidFill>
              <a:prstDash val="dash"/>
            </a:ln>
          </c:spPr>
          <c:marker>
            <c:symbol val="none"/>
          </c:marker>
          <c:cat>
            <c:numRef>
              <c:f>'207'!$K$7:$K$22</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'207'!$O$7:$O$22</c:f>
              <c:numCache>
                <c:formatCode>General</c:formatCode>
                <c:ptCount val="16"/>
                <c:pt idx="0">
                  <c:v>360.36</c:v>
                </c:pt>
                <c:pt idx="1">
                  <c:v>360.36</c:v>
                </c:pt>
                <c:pt idx="2">
                  <c:v>360.36</c:v>
                </c:pt>
                <c:pt idx="3">
                  <c:v>360.36</c:v>
                </c:pt>
                <c:pt idx="4">
                  <c:v>360.36</c:v>
                </c:pt>
                <c:pt idx="5">
                  <c:v>360.36</c:v>
                </c:pt>
                <c:pt idx="6">
                  <c:v>360.36</c:v>
                </c:pt>
                <c:pt idx="7">
                  <c:v>360.36</c:v>
                </c:pt>
                <c:pt idx="8">
                  <c:v>360.36</c:v>
                </c:pt>
                <c:pt idx="9">
                  <c:v>360.36</c:v>
                </c:pt>
                <c:pt idx="10">
                  <c:v>360.36</c:v>
                </c:pt>
                <c:pt idx="11">
                  <c:v>360.36</c:v>
                </c:pt>
                <c:pt idx="12">
                  <c:v>360.36</c:v>
                </c:pt>
                <c:pt idx="13">
                  <c:v>360.36</c:v>
                </c:pt>
                <c:pt idx="14">
                  <c:v>360.36</c:v>
                </c:pt>
                <c:pt idx="15">
                  <c:v>360.36</c:v>
                </c:pt>
              </c:numCache>
            </c:numRef>
          </c:val>
          <c:extLst>
            <c:ext xmlns:c16="http://schemas.microsoft.com/office/drawing/2014/chart" uri="{C3380CC4-5D6E-409C-BE32-E72D297353CC}">
              <c16:uniqueId val="{00000002-63C5-4F1B-9C01-376911221B94}"/>
            </c:ext>
          </c:extLst>
        </c:ser>
        <c:dLbls>
          <c:showLegendKey val="0"/>
          <c:showVal val="0"/>
          <c:showCatName val="0"/>
          <c:showSerName val="0"/>
          <c:showPercent val="0"/>
          <c:showBubbleSize val="0"/>
        </c:dLbls>
        <c:axId val="373856128"/>
        <c:axId val="373857664"/>
      </c:radarChart>
      <c:catAx>
        <c:axId val="37385612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373857664"/>
        <c:crosses val="autoZero"/>
        <c:auto val="1"/>
        <c:lblAlgn val="ctr"/>
        <c:lblOffset val="100"/>
        <c:noMultiLvlLbl val="0"/>
      </c:catAx>
      <c:valAx>
        <c:axId val="37385766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373856128"/>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'207'!$L$6</c:f>
          <c:strCache>
            <c:ptCount val="1"/>
            <c:pt idx="0">
              <c:v>JHV723EJ : 207-RSP.I</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'207'!$N$6</c:f>
              <c:strCache>
                <c:ptCount val="1"/>
                <c:pt idx="0">
                  <c:v>SONR</c:v>
                </c:pt>
              </c:strCache>
            </c:strRef>
          </c:tx>
          <c:spPr>
            <a:ln w="19050">
              <a:solidFill>
                <a:srgbClr val="00FF00"/>
              </a:solidFill>
            </a:ln>
          </c:spPr>
          <c:marker>
            <c:symbol val="square"/>
            <c:size val="5"/>
            <c:spPr>
              <a:noFill/>
              <a:ln>
                <a:solidFill>
                  <a:srgbClr val="00FF00"/>
                </a:solidFill>
              </a:ln>
            </c:spPr>
          </c:marker>
          <c:cat>
            <c:numRef>
              <c:f>'207'!$K$7:$K$22</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'207'!$N$7:$N$22</c:f>
              <c:numCache>
                <c:formatCode>General</c:formatCode>
                <c:ptCount val="16"/>
                <c:pt idx="0">
                  <c:v>360.33100000000002</c:v>
                </c:pt>
                <c:pt idx="1">
                  <c:v>360.34899999999999</c:v>
                </c:pt>
                <c:pt idx="2">
                  <c:v>360.41500000000002</c:v>
                </c:pt>
                <c:pt idx="3">
                  <c:v>360.471</c:v>
                </c:pt>
                <c:pt idx="4">
                  <c:v>360.47500000000002</c:v>
                </c:pt>
                <c:pt idx="5">
                  <c:v>360.43299999999999</c:v>
                </c:pt>
                <c:pt idx="6">
                  <c:v>360.38499999999999</c:v>
                </c:pt>
                <c:pt idx="7">
                  <c:v>360.36099999999999</c:v>
                </c:pt>
                <c:pt idx="8">
                  <c:v>360.37700000000001</c:v>
                </c:pt>
                <c:pt idx="9">
                  <c:v>360.41800000000001</c:v>
                </c:pt>
                <c:pt idx="10">
                  <c:v>360.42599999999999</c:v>
                </c:pt>
                <c:pt idx="11">
                  <c:v>360.41399999999999</c:v>
                </c:pt>
                <c:pt idx="12">
                  <c:v>360.416</c:v>
                </c:pt>
                <c:pt idx="13">
                  <c:v>360.44400000000002</c:v>
                </c:pt>
                <c:pt idx="14">
                  <c:v>360.447</c:v>
                </c:pt>
                <c:pt idx="15">
                  <c:v>360.39100000000002</c:v>
                </c:pt>
              </c:numCache>
            </c:numRef>
          </c:val>
          <c:extLst>
            <c:ext xmlns:c16="http://schemas.microsoft.com/office/drawing/2014/chart" uri="{C3380CC4-5D6E-409C-BE32-E72D297353CC}">
              <c16:uniqueId val="{00000000-360A-47AF-BFCE-6DFB8F7FDA7F}"/>
            </c:ext>
          </c:extLst>
        </c:ser>
        <c:ser>
          <c:idx val="2"/>
          <c:order val="1"/>
          <c:tx>
            <c:strRef>
              <c:f>'207'!$P$6</c:f>
              <c:strCache>
                <c:ptCount val="1"/>
                <c:pt idx="0">
                  <c:v>Dwg Rmax</c:v>
                </c:pt>
              </c:strCache>
            </c:strRef>
          </c:tx>
          <c:spPr>
            <a:ln>
              <a:solidFill>
                <a:srgbClr val="FF0000"/>
              </a:solidFill>
              <a:prstDash val="dash"/>
            </a:ln>
          </c:spPr>
          <c:marker>
            <c:symbol val="none"/>
          </c:marker>
          <c:cat>
            <c:numRef>
              <c:f>'207'!$K$7:$K$22</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'207'!$P$7:$P$22</c:f>
              <c:numCache>
                <c:formatCode>General</c:formatCode>
                <c:ptCount val="16"/>
                <c:pt idx="0">
                  <c:v>360.49</c:v>
                </c:pt>
                <c:pt idx="1">
                  <c:v>360.49</c:v>
                </c:pt>
                <c:pt idx="2">
                  <c:v>360.49</c:v>
                </c:pt>
                <c:pt idx="3">
                  <c:v>360.49</c:v>
                </c:pt>
                <c:pt idx="4">
                  <c:v>360.49</c:v>
                </c:pt>
                <c:pt idx="5">
                  <c:v>360.49</c:v>
                </c:pt>
                <c:pt idx="6">
                  <c:v>360.49</c:v>
                </c:pt>
                <c:pt idx="7">
                  <c:v>360.49</c:v>
                </c:pt>
                <c:pt idx="8">
                  <c:v>360.49</c:v>
                </c:pt>
                <c:pt idx="9">
                  <c:v>360.49</c:v>
                </c:pt>
                <c:pt idx="10">
                  <c:v>360.49</c:v>
                </c:pt>
                <c:pt idx="11">
                  <c:v>360.49</c:v>
                </c:pt>
                <c:pt idx="12">
                  <c:v>360.49</c:v>
                </c:pt>
                <c:pt idx="13">
                  <c:v>360.49</c:v>
                </c:pt>
                <c:pt idx="14">
                  <c:v>360.49</c:v>
                </c:pt>
                <c:pt idx="15">
                  <c:v>360.49</c:v>
                </c:pt>
              </c:numCache>
            </c:numRef>
          </c:val>
          <c:extLst>
            <c:ext xmlns:c16="http://schemas.microsoft.com/office/drawing/2014/chart" uri="{C3380CC4-5D6E-409C-BE32-E72D297353CC}">
              <c16:uniqueId val="{00000001-360A-47AF-BFCE-6DFB8F7FDA7F}"/>
            </c:ext>
          </c:extLst>
        </c:ser>
        <c:ser>
          <c:idx val="1"/>
          <c:order val="2"/>
          <c:tx>
            <c:strRef>
              <c:f>'207'!$O$6</c:f>
              <c:strCache>
                <c:ptCount val="1"/>
                <c:pt idx="0">
                  <c:v>Dwg Rmin</c:v>
                </c:pt>
              </c:strCache>
            </c:strRef>
          </c:tx>
          <c:spPr>
            <a:ln>
              <a:solidFill>
                <a:srgbClr val="0000FF"/>
              </a:solidFill>
              <a:prstDash val="dash"/>
            </a:ln>
          </c:spPr>
          <c:marker>
            <c:symbol val="none"/>
          </c:marker>
          <c:cat>
            <c:numRef>
              <c:f>'207'!$K$7:$K$22</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'207'!$O$7:$O$22</c:f>
              <c:numCache>
                <c:formatCode>General</c:formatCode>
                <c:ptCount val="16"/>
                <c:pt idx="0">
                  <c:v>360.36</c:v>
                </c:pt>
                <c:pt idx="1">
                  <c:v>360.36</c:v>
                </c:pt>
                <c:pt idx="2">
                  <c:v>360.36</c:v>
                </c:pt>
                <c:pt idx="3">
                  <c:v>360.36</c:v>
                </c:pt>
                <c:pt idx="4">
                  <c:v>360.36</c:v>
                </c:pt>
                <c:pt idx="5">
                  <c:v>360.36</c:v>
                </c:pt>
                <c:pt idx="6">
                  <c:v>360.36</c:v>
                </c:pt>
                <c:pt idx="7">
                  <c:v>360.36</c:v>
                </c:pt>
                <c:pt idx="8">
                  <c:v>360.36</c:v>
                </c:pt>
                <c:pt idx="9">
                  <c:v>360.36</c:v>
                </c:pt>
                <c:pt idx="10">
                  <c:v>360.36</c:v>
                </c:pt>
                <c:pt idx="11">
                  <c:v>360.36</c:v>
                </c:pt>
                <c:pt idx="12">
                  <c:v>360.36</c:v>
                </c:pt>
                <c:pt idx="13">
                  <c:v>360.36</c:v>
                </c:pt>
                <c:pt idx="14">
                  <c:v>360.36</c:v>
                </c:pt>
                <c:pt idx="15">
                  <c:v>360.36</c:v>
                </c:pt>
              </c:numCache>
            </c:numRef>
          </c:val>
          <c:extLst>
            <c:ext xmlns:c16="http://schemas.microsoft.com/office/drawing/2014/chart" uri="{C3380CC4-5D6E-409C-BE32-E72D297353CC}">
              <c16:uniqueId val="{00000002-360A-47AF-BFCE-6DFB8F7FDA7F}"/>
            </c:ext>
          </c:extLst>
        </c:ser>
        <c:dLbls>
          <c:showLegendKey val="0"/>
          <c:showVal val="0"/>
          <c:showCatName val="0"/>
          <c:showSerName val="0"/>
          <c:showPercent val="0"/>
          <c:showBubbleSize val="0"/>
        </c:dLbls>
        <c:axId val="373856128"/>
        <c:axId val="373857664"/>
      </c:radarChart>
      <c:catAx>
        <c:axId val="37385612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373857664"/>
        <c:crosses val="autoZero"/>
        <c:auto val="1"/>
        <c:lblAlgn val="ctr"/>
        <c:lblOffset val="100"/>
        <c:noMultiLvlLbl val="0"/>
      </c:catAx>
      <c:valAx>
        <c:axId val="37385766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373856128"/>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'207再計測'!$L$3</c:f>
          <c:strCache>
            <c:ptCount val="1"/>
            <c:pt idx="0">
              <c:v> 再計測207-RSP.I</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'207再計測'!$M$3</c:f>
              <c:strCache>
                <c:ptCount val="1"/>
                <c:pt idx="0">
                  <c:v>207(インサイドマイクロ）</c:v>
                </c:pt>
              </c:strCache>
            </c:strRef>
          </c:tx>
          <c:spPr>
            <a:ln w="19050">
              <a:solidFill>
                <a:srgbClr val="00FF00"/>
              </a:solidFill>
            </a:ln>
          </c:spPr>
          <c:marker>
            <c:symbol val="square"/>
            <c:size val="5"/>
            <c:spPr>
              <a:noFill/>
              <a:ln>
                <a:solidFill>
                  <a:srgbClr val="00FF00"/>
                </a:solidFill>
              </a:ln>
            </c:spPr>
          </c:marker>
          <c:cat>
            <c:numRef>
              <c:f>'207再計測'!$L$4:$L$19</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'207再計測'!$M$4:$M$19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2E24-41A9-9800-9368E9EC4EF2}"/>
            </c:ext>
          </c:extLst>
        </c:ser>
        <c:ser>
          <c:idx val="2"/>
          <c:order val="1"/>
          <c:tx>
            <c:strRef>
              <c:f>'207再計測'!$O$3</c:f>
              <c:strCache>
                <c:ptCount val="1"/>
                <c:pt idx="0">
                  <c:v>Dwg Rmax</c:v>
                </c:pt>
              </c:strCache>
            </c:strRef>
          </c:tx>
          <c:spPr>
            <a:ln>
              <a:solidFill>
                <a:srgbClr val="FF0000"/>
              </a:solidFill>
              <a:prstDash val="dash"/>
            </a:ln>
          </c:spPr>
          <c:marker>
            <c:symbol val="none"/>
          </c:marker>
          <c:cat>
            <c:numRef>
              <c:f>'207再計測'!$L$4:$L$19</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'207再計測'!$O$4:$O$19</c:f>
              <c:numCache>
                <c:formatCode>General</c:formatCode>
                <c:ptCount val="16"/>
                <c:pt idx="0">
                  <c:v>360.49</c:v>
                </c:pt>
                <c:pt idx="1">
                  <c:v>360.49</c:v>
                </c:pt>
                <c:pt idx="2">
                  <c:v>360.49</c:v>
                </c:pt>
                <c:pt idx="3">
                  <c:v>360.49</c:v>
                </c:pt>
                <c:pt idx="4">
                  <c:v>360.49</c:v>
                </c:pt>
                <c:pt idx="5">
                  <c:v>360.49</c:v>
                </c:pt>
                <c:pt idx="6">
                  <c:v>360.49</c:v>
                </c:pt>
                <c:pt idx="7">
                  <c:v>360.49</c:v>
                </c:pt>
                <c:pt idx="8">
                  <c:v>360.49</c:v>
                </c:pt>
                <c:pt idx="9">
                  <c:v>360.49</c:v>
                </c:pt>
                <c:pt idx="10">
                  <c:v>360.49</c:v>
                </c:pt>
                <c:pt idx="11">
                  <c:v>360.49</c:v>
                </c:pt>
                <c:pt idx="12">
                  <c:v>360.49</c:v>
                </c:pt>
                <c:pt idx="13">
                  <c:v>360.49</c:v>
                </c:pt>
                <c:pt idx="14">
                  <c:v>360.49</c:v>
                </c:pt>
                <c:pt idx="15">
                  <c:v>360.49</c:v>
                </c:pt>
              </c:numCache>
            </c:numRef>
          </c:val>
          <c:extLst>
            <c:ext xmlns:c16="http://schemas.microsoft.com/office/drawing/2014/chart" uri="{C3380CC4-5D6E-409C-BE32-E72D297353CC}">
              <c16:uniqueId val="{00000001-2E24-41A9-9800-9368E9EC4EF2}"/>
            </c:ext>
          </c:extLst>
        </c:ser>
        <c:ser>
          <c:idx val="1"/>
          <c:order val="2"/>
          <c:tx>
            <c:strRef>
              <c:f>'207再計測'!$N$3</c:f>
              <c:strCache>
                <c:ptCount val="1"/>
                <c:pt idx="0">
                  <c:v>Dwg Rmin</c:v>
                </c:pt>
              </c:strCache>
            </c:strRef>
          </c:tx>
          <c:spPr>
            <a:ln>
              <a:solidFill>
                <a:srgbClr val="0000FF"/>
              </a:solidFill>
              <a:prstDash val="dash"/>
            </a:ln>
          </c:spPr>
          <c:marker>
            <c:symbol val="none"/>
          </c:marker>
          <c:cat>
            <c:numRef>
              <c:f>'207再計測'!$L$4:$L$19</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'207再計測'!$N$4:$N$19</c:f>
              <c:numCache>
                <c:formatCode>General</c:formatCode>
                <c:ptCount val="16"/>
                <c:pt idx="0">
                  <c:v>360.36</c:v>
                </c:pt>
                <c:pt idx="1">
                  <c:v>360.36</c:v>
                </c:pt>
                <c:pt idx="2">
                  <c:v>360.36</c:v>
                </c:pt>
                <c:pt idx="3">
                  <c:v>360.36</c:v>
                </c:pt>
                <c:pt idx="4">
                  <c:v>360.36</c:v>
                </c:pt>
                <c:pt idx="5">
                  <c:v>360.36</c:v>
                </c:pt>
                <c:pt idx="6">
                  <c:v>360.36</c:v>
                </c:pt>
                <c:pt idx="7">
                  <c:v>360.36</c:v>
                </c:pt>
                <c:pt idx="8">
                  <c:v>360.36</c:v>
                </c:pt>
                <c:pt idx="9">
                  <c:v>360.36</c:v>
                </c:pt>
                <c:pt idx="10">
                  <c:v>360.36</c:v>
                </c:pt>
                <c:pt idx="11">
                  <c:v>360.36</c:v>
                </c:pt>
                <c:pt idx="12">
                  <c:v>360.36</c:v>
                </c:pt>
                <c:pt idx="13">
                  <c:v>360.36</c:v>
                </c:pt>
                <c:pt idx="14">
                  <c:v>360.36</c:v>
                </c:pt>
                <c:pt idx="15">
                  <c:v>360.36</c:v>
                </c:pt>
              </c:numCache>
            </c:numRef>
          </c:val>
          <c:extLst>
            <c:ext xmlns:c16="http://schemas.microsoft.com/office/drawing/2014/chart" uri="{C3380CC4-5D6E-409C-BE32-E72D297353CC}">
              <c16:uniqueId val="{00000002-2E24-41A9-9800-9368E9EC4EF2}"/>
            </c:ext>
          </c:extLst>
        </c:ser>
        <c:dLbls>
          <c:showLegendKey val="0"/>
          <c:showVal val="0"/>
          <c:showCatName val="0"/>
          <c:showSerName val="0"/>
          <c:showPercent val="0"/>
          <c:showBubbleSize val="0"/>
        </c:dLbls>
        <c:axId val="373856128"/>
        <c:axId val="373857664"/>
      </c:radarChart>
      <c:catAx>
        <c:axId val="37385612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373857664"/>
        <c:crosses val="autoZero"/>
        <c:auto val="1"/>
        <c:lblAlgn val="ctr"/>
        <c:lblOffset val="100"/>
        <c:noMultiLvlLbl val="0"/>
      </c:catAx>
      <c:valAx>
        <c:axId val="37385766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373856128"/>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'225 226 Case Thickness'!$A$2</c:f>
              <c:strCache>
                <c:ptCount val="1"/>
                <c:pt idx="0">
                  <c:v>225-207</c:v>
                </c:pt>
              </c:strCache>
            </c:strRef>
          </c:tx>
          <c:spPr>
            <a:ln w="19050" cap="rnd">
              <a:solidFill>
                <a:srgbClr val="00FF00"/>
              </a:solidFill>
              <a:round/>
            </a:ln>
            <a:effectLst/>
          </c:spPr>
          <c:marker>
            <c:symbol val="none"/>
          </c:marker>
          <c:val>
            <c:numRef>
              <c:f>'225 226 Case Thickness'!$A$3:$A$18</c:f>
              <c:numCache>
                <c:formatCode>General</c:formatCode>
                <c:ptCount val="16"/>
                <c:pt idx="0">
                  <c:v>2.31899999999996</c:v>
                </c:pt>
                <c:pt idx="1">
                  <c:v>2.3160000000000309</c:v>
                </c:pt>
                <c:pt idx="2">
                  <c:v>2.3249999999999886</c:v>
                </c:pt>
                <c:pt idx="3">
                  <c:v>2.3240000000000123</c:v>
                </c:pt>
                <c:pt idx="4">
                  <c:v>2.31899999999996</c:v>
                </c:pt>
                <c:pt idx="5">
                  <c:v>2.3179999999999836</c:v>
                </c:pt>
                <c:pt idx="6">
                  <c:v>2.3160000000000309</c:v>
                </c:pt>
                <c:pt idx="7">
                  <c:v>2.3149999999999977</c:v>
                </c:pt>
                <c:pt idx="8">
                  <c:v>2.3170000000000073</c:v>
                </c:pt>
                <c:pt idx="9">
                  <c:v>2.3089999999999691</c:v>
                </c:pt>
                <c:pt idx="10">
                  <c:v>2.3170000000000073</c:v>
                </c:pt>
                <c:pt idx="11">
                  <c:v>2.3100000000000023</c:v>
                </c:pt>
                <c:pt idx="12">
                  <c:v>2.3129999999999882</c:v>
                </c:pt>
                <c:pt idx="13">
                  <c:v>2.31899999999996</c:v>
                </c:pt>
                <c:pt idx="14">
                  <c:v>2.3229999999999791</c:v>
                </c:pt>
                <c:pt idx="15">
                  <c:v>2.3199999999999932</c:v>
                </c:pt>
              </c:numCache>
            </c:numRef>
          </c:val>
          <c:extLst>
            <c:ext xmlns:c16="http://schemas.microsoft.com/office/drawing/2014/chart" uri="{C3380CC4-5D6E-409C-BE32-E72D297353CC}">
              <c16:uniqueId val="{00000000-0274-4101-9377-8F702CDDA246}"/>
            </c:ext>
          </c:extLst>
        </c:ser>
        <c:ser>
          <c:idx val="1"/>
          <c:order val="1"/>
          <c:tx>
            <c:strRef>
              <c:f>'225 226 Case Thickness'!$B$2</c:f>
              <c:strCache>
                <c:ptCount val="1"/>
                <c:pt idx="0">
                  <c:v>Dwg Min</c:v>
                </c:pt>
              </c:strCache>
            </c:strRef>
          </c:tx>
          <c:spPr>
            <a:ln w="28575" cap="rnd">
              <a:solidFill>
                <a:srgbClr val="0000FF"/>
              </a:solidFill>
              <a:prstDash val="dash"/>
              <a:round/>
            </a:ln>
            <a:effectLst/>
          </c:spPr>
          <c:marker>
            <c:symbol val="none"/>
          </c:marker>
          <c:val>
            <c:numRef>
              <c:f>'225 226 Case Thickness'!$B$3:$B$18</c:f>
              <c:numCache>
                <c:formatCode>General</c:formatCode>
                <c:ptCount val="16"/>
                <c:pt idx="0">
                  <c:v>2.1449999999999774</c:v>
                </c:pt>
                <c:pt idx="1">
                  <c:v>2.1449999999999774</c:v>
                </c:pt>
                <c:pt idx="2">
                  <c:v>2.1449999999999774</c:v>
                </c:pt>
                <c:pt idx="3">
                  <c:v>2.1449999999999774</c:v>
                </c:pt>
                <c:pt idx="4">
                  <c:v>2.1449999999999774</c:v>
                </c:pt>
                <c:pt idx="5">
                  <c:v>2.1449999999999774</c:v>
                </c:pt>
                <c:pt idx="6">
                  <c:v>2.1449999999999774</c:v>
                </c:pt>
                <c:pt idx="7">
                  <c:v>2.1449999999999774</c:v>
                </c:pt>
                <c:pt idx="8">
                  <c:v>2.1449999999999774</c:v>
                </c:pt>
                <c:pt idx="9">
                  <c:v>2.1449999999999774</c:v>
                </c:pt>
                <c:pt idx="10">
                  <c:v>2.1449999999999774</c:v>
                </c:pt>
                <c:pt idx="11">
                  <c:v>2.1449999999999774</c:v>
                </c:pt>
                <c:pt idx="12">
                  <c:v>2.1449999999999774</c:v>
                </c:pt>
                <c:pt idx="13">
                  <c:v>2.1449999999999774</c:v>
                </c:pt>
                <c:pt idx="14">
                  <c:v>2.1449999999999774</c:v>
                </c:pt>
                <c:pt idx="15">
                  <c:v>2.1449999999999774</c:v>
                </c:pt>
              </c:numCache>
            </c:numRef>
          </c:val>
          <c:extLst>
            <c:ext xmlns:c16="http://schemas.microsoft.com/office/drawing/2014/chart" uri="{C3380CC4-5D6E-409C-BE32-E72D297353CC}">
              <c16:uniqueId val="{00000001-0274-4101-9377-8F702CDDA246}"/>
            </c:ext>
          </c:extLst>
        </c:ser>
        <c:ser>
          <c:idx val="2"/>
          <c:order val="2"/>
          <c:tx>
            <c:strRef>
              <c:f>'225 226 Case Thickness'!$C$2</c:f>
              <c:strCache>
                <c:ptCount val="1"/>
                <c:pt idx="0">
                  <c:v>Dwg Max</c:v>
                </c:pt>
              </c:strCache>
            </c:strRef>
          </c:tx>
          <c:spPr>
            <a:ln w="28575" cap="rnd">
              <a:solidFill>
                <a:srgbClr val="FF0000"/>
              </a:solidFill>
              <a:prstDash val="dash"/>
              <a:round/>
            </a:ln>
            <a:effectLst/>
          </c:spPr>
          <c:marker>
            <c:symbol val="none"/>
          </c:marker>
          <c:val>
            <c:numRef>
              <c:f>'225 226 Case Thickness'!$C$3:$C$18</c:f>
              <c:numCache>
                <c:formatCode>General</c:formatCode>
                <c:ptCount val="16"/>
                <c:pt idx="0">
                  <c:v>2.4049999999999772</c:v>
                </c:pt>
                <c:pt idx="1">
                  <c:v>2.4049999999999772</c:v>
                </c:pt>
                <c:pt idx="2">
                  <c:v>2.4049999999999772</c:v>
                </c:pt>
                <c:pt idx="3">
                  <c:v>2.4049999999999772</c:v>
                </c:pt>
                <c:pt idx="4">
                  <c:v>2.4049999999999772</c:v>
                </c:pt>
                <c:pt idx="5">
                  <c:v>2.4049999999999772</c:v>
                </c:pt>
                <c:pt idx="6">
                  <c:v>2.4049999999999772</c:v>
                </c:pt>
                <c:pt idx="7">
                  <c:v>2.4049999999999772</c:v>
                </c:pt>
                <c:pt idx="8">
                  <c:v>2.4049999999999772</c:v>
                </c:pt>
                <c:pt idx="9">
                  <c:v>2.4049999999999772</c:v>
                </c:pt>
                <c:pt idx="10">
                  <c:v>2.4049999999999772</c:v>
                </c:pt>
                <c:pt idx="11">
                  <c:v>2.4049999999999772</c:v>
                </c:pt>
                <c:pt idx="12">
                  <c:v>2.4049999999999772</c:v>
                </c:pt>
                <c:pt idx="13">
                  <c:v>2.4049999999999772</c:v>
                </c:pt>
                <c:pt idx="14">
                  <c:v>2.4049999999999772</c:v>
                </c:pt>
                <c:pt idx="15">
                  <c:v>2.4049999999999772</c:v>
                </c:pt>
              </c:numCache>
            </c:numRef>
          </c:val>
          <c:extLst>
            <c:ext xmlns:c16="http://schemas.microsoft.com/office/drawing/2014/chart" uri="{C3380CC4-5D6E-409C-BE32-E72D297353CC}">
              <c16:uniqueId val="{00000002-0274-4101-9377-8F702CDDA246}"/>
            </c:ext>
          </c:extLst>
        </c:ser>
        <c:dLbls>
          <c:showLegendKey val="0"/>
          <c:showVal val="0"/>
          <c:showCatName val="0"/>
          <c:showSerName val="0"/>
          <c:showPercent val="0"/>
          <c:showBubbleSize val="0"/>
        </c:dLbls>
        <c:axId val="379672559"/>
        <c:axId val="159451551"/>
      </c:radarChart>
      <c:catAx>
        <c:axId val="379672559"/>
        <c:scaling>
          <c:orientation val="minMax"/>
        </c:scaling>
        <c:delete val="1"/>
        <c:axPos val="b"/>
        <c:numFmt formatCode="General" sourceLinked="1"/>
        <c:majorTickMark val="none"/>
        <c:minorTickMark val="none"/>
        <c:tickLblPos val="nextTo"/>
        <c:crossAx val="159451551"/>
        <c:crosses val="autoZero"/>
        <c:auto val="1"/>
        <c:lblAlgn val="ctr"/>
        <c:lblOffset val="100"/>
        <c:noMultiLvlLbl val="0"/>
      </c:catAx>
      <c:valAx>
        <c:axId val="1594515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crossAx val="37967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'225 226 Case Thickness'!$D$2</c:f>
              <c:strCache>
                <c:ptCount val="1"/>
                <c:pt idx="0">
                  <c:v>226-207</c:v>
                </c:pt>
              </c:strCache>
            </c:strRef>
          </c:tx>
          <c:spPr>
            <a:ln w="19050" cap="rnd">
              <a:solidFill>
                <a:srgbClr val="00FF00"/>
              </a:solidFill>
              <a:round/>
            </a:ln>
            <a:effectLst/>
          </c:spPr>
          <c:marker>
            <c:symbol val="none"/>
          </c:marker>
          <c:val>
            <c:numRef>
              <c:f>'225 226 Case Thickness'!$D$3:$D$18</c:f>
              <c:numCache>
                <c:formatCode>General</c:formatCode>
                <c:ptCount val="16"/>
                <c:pt idx="0">
                  <c:v>2.0579999999999927</c:v>
                </c:pt>
                <c:pt idx="1">
                  <c:v>2.0400000000000205</c:v>
                </c:pt>
                <c:pt idx="2">
                  <c:v>1.9739999999999895</c:v>
                </c:pt>
                <c:pt idx="3">
                  <c:v>1.9180000000000064</c:v>
                </c:pt>
                <c:pt idx="4">
                  <c:v>1.9139999999999873</c:v>
                </c:pt>
                <c:pt idx="5">
                  <c:v>1.9560000000000173</c:v>
                </c:pt>
                <c:pt idx="6">
                  <c:v>2.0040000000000191</c:v>
                </c:pt>
                <c:pt idx="7">
                  <c:v>2.02800000000002</c:v>
                </c:pt>
                <c:pt idx="8">
                  <c:v>2.0120000000000005</c:v>
                </c:pt>
                <c:pt idx="9">
                  <c:v>1.9710000000000036</c:v>
                </c:pt>
                <c:pt idx="10">
                  <c:v>1.9630000000000223</c:v>
                </c:pt>
                <c:pt idx="11">
                  <c:v>1.9750000000000227</c:v>
                </c:pt>
                <c:pt idx="12">
                  <c:v>1.9730000000000132</c:v>
                </c:pt>
                <c:pt idx="13">
                  <c:v>1.9449999999999932</c:v>
                </c:pt>
                <c:pt idx="14">
                  <c:v>1.9420000000000073</c:v>
                </c:pt>
                <c:pt idx="15">
                  <c:v>1.9979999999999905</c:v>
                </c:pt>
              </c:numCache>
            </c:numRef>
          </c:val>
          <c:extLst>
            <c:ext xmlns:c16="http://schemas.microsoft.com/office/drawing/2014/chart" uri="{C3380CC4-5D6E-409C-BE32-E72D297353CC}">
              <c16:uniqueId val="{00000000-10BE-42CC-807A-5AB38B9C5C05}"/>
            </c:ext>
          </c:extLst>
        </c:ser>
        <c:ser>
          <c:idx val="1"/>
          <c:order val="1"/>
          <c:tx>
            <c:strRef>
              <c:f>'225 226 Case Thickness'!$E$2</c:f>
              <c:strCache>
                <c:ptCount val="1"/>
                <c:pt idx="0">
                  <c:v>Dwg Min</c:v>
                </c:pt>
              </c:strCache>
            </c:strRef>
          </c:tx>
          <c:spPr>
            <a:ln w="28575" cap="rnd">
              <a:solidFill>
                <a:srgbClr val="0000FF"/>
              </a:solidFill>
              <a:prstDash val="dash"/>
              <a:round/>
            </a:ln>
            <a:effectLst/>
          </c:spPr>
          <c:marker>
            <c:symbol val="none"/>
          </c:marker>
          <c:val>
            <c:numRef>
              <c:f>'225 226 Case Thickness'!$E$3:$E$18</c:f>
              <c:numCache>
                <c:formatCode>General</c:formatCode>
                <c:ptCount val="16"/>
                <c:pt idx="0">
                  <c:v>1.87</c:v>
                </c:pt>
                <c:pt idx="1">
                  <c:v>1.87</c:v>
                </c:pt>
                <c:pt idx="2">
                  <c:v>1.87</c:v>
                </c:pt>
                <c:pt idx="3">
                  <c:v>1.87</c:v>
                </c:pt>
                <c:pt idx="4">
                  <c:v>1.87</c:v>
                </c:pt>
                <c:pt idx="5">
                  <c:v>1.87</c:v>
                </c:pt>
                <c:pt idx="6">
                  <c:v>1.87</c:v>
                </c:pt>
                <c:pt idx="7">
                  <c:v>1.87</c:v>
                </c:pt>
                <c:pt idx="8">
                  <c:v>1.87</c:v>
                </c:pt>
                <c:pt idx="9">
                  <c:v>1.87</c:v>
                </c:pt>
                <c:pt idx="10">
                  <c:v>1.87</c:v>
                </c:pt>
                <c:pt idx="11">
                  <c:v>1.87</c:v>
                </c:pt>
                <c:pt idx="12">
                  <c:v>1.87</c:v>
                </c:pt>
                <c:pt idx="13">
                  <c:v>1.87</c:v>
                </c:pt>
                <c:pt idx="14">
                  <c:v>1.87</c:v>
                </c:pt>
                <c:pt idx="15">
                  <c:v>1.87</c:v>
                </c:pt>
              </c:numCache>
            </c:numRef>
          </c:val>
          <c:extLst>
            <c:ext xmlns:c16="http://schemas.microsoft.com/office/drawing/2014/chart" uri="{C3380CC4-5D6E-409C-BE32-E72D297353CC}">
              <c16:uniqueId val="{00000001-10BE-42CC-807A-5AB38B9C5C05}"/>
            </c:ext>
          </c:extLst>
        </c:ser>
        <c:ser>
          <c:idx val="2"/>
          <c:order val="2"/>
          <c:tx>
            <c:strRef>
              <c:f>'225 226 Case Thickness'!$F$2</c:f>
              <c:strCache>
                <c:ptCount val="1"/>
                <c:pt idx="0">
                  <c:v>Dwg Max</c:v>
                </c:pt>
              </c:strCache>
            </c:strRef>
          </c:tx>
          <c:spPr>
            <a:ln w="28575" cap="rnd">
              <a:solidFill>
                <a:srgbClr val="FF0000"/>
              </a:solidFill>
              <a:prstDash val="dash"/>
              <a:round/>
            </a:ln>
            <a:effectLst/>
          </c:spPr>
          <c:marker>
            <c:symbol val="none"/>
          </c:marker>
          <c:val>
            <c:numRef>
              <c:f>'225 226 Case Thickness'!$F$3:$F$18</c:f>
              <c:numCache>
                <c:formatCode>General</c:formatCode>
                <c:ptCount val="16"/>
                <c:pt idx="0">
                  <c:v>2.13</c:v>
                </c:pt>
                <c:pt idx="1">
                  <c:v>2.13</c:v>
                </c:pt>
                <c:pt idx="2">
                  <c:v>2.13</c:v>
                </c:pt>
                <c:pt idx="3">
                  <c:v>2.13</c:v>
                </c:pt>
                <c:pt idx="4">
                  <c:v>2.13</c:v>
                </c:pt>
                <c:pt idx="5">
                  <c:v>2.13</c:v>
                </c:pt>
                <c:pt idx="6">
                  <c:v>2.13</c:v>
                </c:pt>
                <c:pt idx="7">
                  <c:v>2.13</c:v>
                </c:pt>
                <c:pt idx="8">
                  <c:v>2.13</c:v>
                </c:pt>
                <c:pt idx="9">
                  <c:v>2.13</c:v>
                </c:pt>
                <c:pt idx="10">
                  <c:v>2.13</c:v>
                </c:pt>
                <c:pt idx="11">
                  <c:v>2.13</c:v>
                </c:pt>
                <c:pt idx="12">
                  <c:v>2.13</c:v>
                </c:pt>
                <c:pt idx="13">
                  <c:v>2.13</c:v>
                </c:pt>
                <c:pt idx="14">
                  <c:v>2.13</c:v>
                </c:pt>
                <c:pt idx="15">
                  <c:v>2.13</c:v>
                </c:pt>
              </c:numCache>
            </c:numRef>
          </c:val>
          <c:extLst>
            <c:ext xmlns:c16="http://schemas.microsoft.com/office/drawing/2014/chart" uri="{C3380CC4-5D6E-409C-BE32-E72D297353CC}">
              <c16:uniqueId val="{00000002-10BE-42CC-807A-5AB38B9C5C05}"/>
            </c:ext>
          </c:extLst>
        </c:ser>
        <c:dLbls>
          <c:showLegendKey val="0"/>
          <c:showVal val="0"/>
          <c:showCatName val="0"/>
          <c:showSerName val="0"/>
          <c:showPercent val="0"/>
          <c:showBubbleSize val="0"/>
        </c:dLbls>
        <c:axId val="379672559"/>
        <c:axId val="159451551"/>
      </c:radarChart>
      <c:catAx>
        <c:axId val="379672559"/>
        <c:scaling>
          <c:orientation val="minMax"/>
        </c:scaling>
        <c:delete val="1"/>
        <c:axPos val="b"/>
        <c:numFmt formatCode="General" sourceLinked="1"/>
        <c:majorTickMark val="none"/>
        <c:minorTickMark val="none"/>
        <c:tickLblPos val="nextTo"/>
        <c:crossAx val="159451551"/>
        <c:crosses val="autoZero"/>
        <c:auto val="1"/>
        <c:lblAlgn val="ctr"/>
        <c:lblOffset val="100"/>
        <c:noMultiLvlLbl val="0"/>
      </c:catAx>
      <c:valAx>
        <c:axId val="1594515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crossAx val="37967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'234'!$L$6</c:f>
          <c:strCache>
            <c:ptCount val="1"/>
            <c:pt idx="0">
              <c:v>JHV723EJ : 234</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'234'!$N$6</c:f>
              <c:strCache>
                <c:ptCount val="1"/>
                <c:pt idx="0">
                  <c:v>SONR</c:v>
                </c:pt>
              </c:strCache>
            </c:strRef>
          </c:tx>
          <c:spPr>
            <a:ln w="19050">
              <a:solidFill>
                <a:srgbClr val="00FF00"/>
              </a:solidFill>
            </a:ln>
          </c:spPr>
          <c:marker>
            <c:symbol val="square"/>
            <c:size val="5"/>
            <c:spPr>
              <a:noFill/>
              <a:ln>
                <a:solidFill>
                  <a:srgbClr val="00FF00"/>
                </a:solidFill>
              </a:ln>
            </c:spPr>
          </c:marker>
          <c:cat>
            <c:numRef>
              <c:f>'234'!$K$7:$K$14</c:f>
              <c:numCache>
                <c:formatCode>General</c:formatCode>
                <c:ptCount val="8"/>
                <c:pt idx="0">
                  <c:v>1</c:v>
                </c:pt>
                <c:pt idx="1">
                  <c:v>2</c:v>
                </c:pt>
                <c:pt idx="2">
                  <c:v>3</c:v>
                </c:pt>
                <c:pt idx="3">
                  <c:v>4</c:v>
                </c:pt>
                <c:pt idx="4">
                  <c:v>5</c:v>
                </c:pt>
                <c:pt idx="5">
                  <c:v>6</c:v>
                </c:pt>
                <c:pt idx="6">
                  <c:v>7</c:v>
                </c:pt>
                <c:pt idx="7">
                  <c:v>8</c:v>
                </c:pt>
              </c:numCache>
            </c:numRef>
          </c:cat>
          <c:val>
            <c:numRef>
              <c:f>'234'!$N$7:$N$14</c:f>
              <c:numCache>
                <c:formatCode>General</c:formatCode>
                <c:ptCount val="8"/>
                <c:pt idx="0">
                  <c:v>358.25799999999998</c:v>
                </c:pt>
                <c:pt idx="1">
                  <c:v>358.34100000000001</c:v>
                </c:pt>
                <c:pt idx="2">
                  <c:v>358.39800000000002</c:v>
                </c:pt>
                <c:pt idx="3">
                  <c:v>358.29899999999998</c:v>
                </c:pt>
                <c:pt idx="4">
                  <c:v>358.28500000000003</c:v>
                </c:pt>
                <c:pt idx="5">
                  <c:v>358.33800000000002</c:v>
                </c:pt>
                <c:pt idx="6">
                  <c:v>358.33100000000002</c:v>
                </c:pt>
                <c:pt idx="7">
                  <c:v>358.36599999999999</c:v>
                </c:pt>
              </c:numCache>
            </c:numRef>
          </c:val>
          <c:extLst>
            <c:ext xmlns:c16="http://schemas.microsoft.com/office/drawing/2014/chart" uri="{C3380CC4-5D6E-409C-BE32-E72D297353CC}">
              <c16:uniqueId val="{00000000-11EF-485F-A7BB-C1D1FDEC9856}"/>
            </c:ext>
          </c:extLst>
        </c:ser>
        <c:ser>
          <c:idx val="2"/>
          <c:order val="1"/>
          <c:tx>
            <c:strRef>
              <c:f>'234'!$P$6</c:f>
              <c:strCache>
                <c:ptCount val="1"/>
                <c:pt idx="0">
                  <c:v>Dwg Rmax</c:v>
                </c:pt>
              </c:strCache>
            </c:strRef>
          </c:tx>
          <c:spPr>
            <a:ln>
              <a:solidFill>
                <a:srgbClr val="FF0000"/>
              </a:solidFill>
              <a:prstDash val="dash"/>
            </a:ln>
          </c:spPr>
          <c:marker>
            <c:symbol val="none"/>
          </c:marker>
          <c:cat>
            <c:numRef>
              <c:f>'234'!$K$7:$K$14</c:f>
              <c:numCache>
                <c:formatCode>General</c:formatCode>
                <c:ptCount val="8"/>
                <c:pt idx="0">
                  <c:v>1</c:v>
                </c:pt>
                <c:pt idx="1">
                  <c:v>2</c:v>
                </c:pt>
                <c:pt idx="2">
                  <c:v>3</c:v>
                </c:pt>
                <c:pt idx="3">
                  <c:v>4</c:v>
                </c:pt>
                <c:pt idx="4">
                  <c:v>5</c:v>
                </c:pt>
                <c:pt idx="5">
                  <c:v>6</c:v>
                </c:pt>
                <c:pt idx="6">
                  <c:v>7</c:v>
                </c:pt>
                <c:pt idx="7">
                  <c:v>8</c:v>
                </c:pt>
              </c:numCache>
            </c:numRef>
          </c:cat>
          <c:val>
            <c:numRef>
              <c:f>'234'!$P$7:$P$14</c:f>
              <c:numCache>
                <c:formatCode>General</c:formatCode>
                <c:ptCount val="8"/>
                <c:pt idx="0">
                  <c:v>358.34499999999997</c:v>
                </c:pt>
                <c:pt idx="1">
                  <c:v>358.34499999999997</c:v>
                </c:pt>
                <c:pt idx="2">
                  <c:v>358.34499999999997</c:v>
                </c:pt>
                <c:pt idx="3">
                  <c:v>358.34499999999997</c:v>
                </c:pt>
                <c:pt idx="4">
                  <c:v>358.34499999999997</c:v>
                </c:pt>
                <c:pt idx="5">
                  <c:v>358.34499999999997</c:v>
                </c:pt>
                <c:pt idx="6">
                  <c:v>358.34499999999997</c:v>
                </c:pt>
                <c:pt idx="7">
                  <c:v>358.34499999999997</c:v>
                </c:pt>
              </c:numCache>
            </c:numRef>
          </c:val>
          <c:extLst>
            <c:ext xmlns:c16="http://schemas.microsoft.com/office/drawing/2014/chart" uri="{C3380CC4-5D6E-409C-BE32-E72D297353CC}">
              <c16:uniqueId val="{00000001-11EF-485F-A7BB-C1D1FDEC9856}"/>
            </c:ext>
          </c:extLst>
        </c:ser>
        <c:ser>
          <c:idx val="1"/>
          <c:order val="2"/>
          <c:tx>
            <c:strRef>
              <c:f>'234'!$O$6</c:f>
              <c:strCache>
                <c:ptCount val="1"/>
                <c:pt idx="0">
                  <c:v>Dwg Rmin</c:v>
                </c:pt>
              </c:strCache>
            </c:strRef>
          </c:tx>
          <c:spPr>
            <a:ln>
              <a:solidFill>
                <a:srgbClr val="0000FF"/>
              </a:solidFill>
              <a:prstDash val="dash"/>
            </a:ln>
          </c:spPr>
          <c:marker>
            <c:symbol val="none"/>
          </c:marker>
          <c:cat>
            <c:numRef>
              <c:f>'234'!$K$7:$K$14</c:f>
              <c:numCache>
                <c:formatCode>General</c:formatCode>
                <c:ptCount val="8"/>
                <c:pt idx="0">
                  <c:v>1</c:v>
                </c:pt>
                <c:pt idx="1">
                  <c:v>2</c:v>
                </c:pt>
                <c:pt idx="2">
                  <c:v>3</c:v>
                </c:pt>
                <c:pt idx="3">
                  <c:v>4</c:v>
                </c:pt>
                <c:pt idx="4">
                  <c:v>5</c:v>
                </c:pt>
                <c:pt idx="5">
                  <c:v>6</c:v>
                </c:pt>
                <c:pt idx="6">
                  <c:v>7</c:v>
                </c:pt>
                <c:pt idx="7">
                  <c:v>8</c:v>
                </c:pt>
              </c:numCache>
            </c:numRef>
          </c:cat>
          <c:val>
            <c:numRef>
              <c:f>'234'!$O$7:$O$14</c:f>
              <c:numCache>
                <c:formatCode>General</c:formatCode>
                <c:ptCount val="8"/>
                <c:pt idx="0">
                  <c:v>358.29500000000002</c:v>
                </c:pt>
                <c:pt idx="1">
                  <c:v>358.29500000000002</c:v>
                </c:pt>
                <c:pt idx="2">
                  <c:v>358.29500000000002</c:v>
                </c:pt>
                <c:pt idx="3">
                  <c:v>358.29500000000002</c:v>
                </c:pt>
                <c:pt idx="4">
                  <c:v>358.29500000000002</c:v>
                </c:pt>
                <c:pt idx="5">
                  <c:v>358.29500000000002</c:v>
                </c:pt>
                <c:pt idx="6">
                  <c:v>358.29500000000002</c:v>
                </c:pt>
                <c:pt idx="7">
                  <c:v>358.29500000000002</c:v>
                </c:pt>
              </c:numCache>
            </c:numRef>
          </c:val>
          <c:extLst>
            <c:ext xmlns:c16="http://schemas.microsoft.com/office/drawing/2014/chart" uri="{C3380CC4-5D6E-409C-BE32-E72D297353CC}">
              <c16:uniqueId val="{00000002-11EF-485F-A7BB-C1D1FDEC9856}"/>
            </c:ext>
          </c:extLst>
        </c:ser>
        <c:dLbls>
          <c:showLegendKey val="0"/>
          <c:showVal val="0"/>
          <c:showCatName val="0"/>
          <c:showSerName val="0"/>
          <c:showPercent val="0"/>
          <c:showBubbleSize val="0"/>
        </c:dLbls>
        <c:axId val="188818560"/>
        <c:axId val="188819712"/>
      </c:radarChart>
      <c:catAx>
        <c:axId val="18881856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8819712"/>
        <c:crosses val="autoZero"/>
        <c:auto val="1"/>
        <c:lblAlgn val="ctr"/>
        <c:lblOffset val="100"/>
        <c:noMultiLvlLbl val="0"/>
      </c:catAx>
      <c:valAx>
        <c:axId val="18881971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8818560"/>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'234'!$L$6</c:f>
          <c:strCache>
            <c:ptCount val="1"/>
            <c:pt idx="0">
              <c:v>JHV723EJ : 234</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'234'!$N$35</c:f>
              <c:strCache>
                <c:ptCount val="1"/>
                <c:pt idx="0">
                  <c:v>207(中心補正）</c:v>
                </c:pt>
              </c:strCache>
            </c:strRef>
          </c:tx>
          <c:spPr>
            <a:ln w="19050">
              <a:solidFill>
                <a:srgbClr val="00FF00"/>
              </a:solidFill>
            </a:ln>
          </c:spPr>
          <c:marker>
            <c:symbol val="square"/>
            <c:size val="5"/>
            <c:spPr>
              <a:noFill/>
              <a:ln>
                <a:solidFill>
                  <a:srgbClr val="00FF00"/>
                </a:solidFill>
              </a:ln>
            </c:spPr>
          </c:marker>
          <c:cat>
            <c:numRef>
              <c:f>'234'!$K$7:$K$14</c:f>
              <c:numCache>
                <c:formatCode>General</c:formatCode>
                <c:ptCount val="8"/>
                <c:pt idx="0">
                  <c:v>1</c:v>
                </c:pt>
                <c:pt idx="1">
                  <c:v>2</c:v>
                </c:pt>
                <c:pt idx="2">
                  <c:v>3</c:v>
                </c:pt>
                <c:pt idx="3">
                  <c:v>4</c:v>
                </c:pt>
                <c:pt idx="4">
                  <c:v>5</c:v>
                </c:pt>
                <c:pt idx="5">
                  <c:v>6</c:v>
                </c:pt>
                <c:pt idx="6">
                  <c:v>7</c:v>
                </c:pt>
                <c:pt idx="7">
                  <c:v>8</c:v>
                </c:pt>
              </c:numCache>
            </c:numRef>
          </c:cat>
          <c:val>
            <c:numRef>
              <c:f>'234'!$N$36:$N$43</c:f>
              <c:numCache>
                <c:formatCode>General</c:formatCode>
                <c:ptCount val="8"/>
                <c:pt idx="0">
                  <c:v>358.25237111799623</c:v>
                </c:pt>
                <c:pt idx="1">
                  <c:v>358.33317263952301</c:v>
                </c:pt>
                <c:pt idx="2">
                  <c:v>358.39255940814093</c:v>
                </c:pt>
                <c:pt idx="3">
                  <c:v>358.29913336130437</c:v>
                </c:pt>
                <c:pt idx="4">
                  <c:v>358.29062896462409</c:v>
                </c:pt>
                <c:pt idx="5">
                  <c:v>358.34582736284898</c:v>
                </c:pt>
                <c:pt idx="6">
                  <c:v>358.33644058203146</c:v>
                </c:pt>
                <c:pt idx="7">
                  <c:v>358.3658668096752</c:v>
                </c:pt>
              </c:numCache>
            </c:numRef>
          </c:val>
          <c:extLst>
            <c:ext xmlns:c16="http://schemas.microsoft.com/office/drawing/2014/chart" uri="{C3380CC4-5D6E-409C-BE32-E72D297353CC}">
              <c16:uniqueId val="{00000000-FC2D-435D-8219-A595486CB8B8}"/>
            </c:ext>
          </c:extLst>
        </c:ser>
        <c:ser>
          <c:idx val="2"/>
          <c:order val="1"/>
          <c:tx>
            <c:strRef>
              <c:f>'234'!$P$6</c:f>
              <c:strCache>
                <c:ptCount val="1"/>
                <c:pt idx="0">
                  <c:v>Dwg Rmax</c:v>
                </c:pt>
              </c:strCache>
            </c:strRef>
          </c:tx>
          <c:spPr>
            <a:ln>
              <a:solidFill>
                <a:srgbClr val="FF0000"/>
              </a:solidFill>
              <a:prstDash val="dash"/>
            </a:ln>
          </c:spPr>
          <c:marker>
            <c:symbol val="none"/>
          </c:marker>
          <c:cat>
            <c:numRef>
              <c:f>'234'!$K$7:$K$14</c:f>
              <c:numCache>
                <c:formatCode>General</c:formatCode>
                <c:ptCount val="8"/>
                <c:pt idx="0">
                  <c:v>1</c:v>
                </c:pt>
                <c:pt idx="1">
                  <c:v>2</c:v>
                </c:pt>
                <c:pt idx="2">
                  <c:v>3</c:v>
                </c:pt>
                <c:pt idx="3">
                  <c:v>4</c:v>
                </c:pt>
                <c:pt idx="4">
                  <c:v>5</c:v>
                </c:pt>
                <c:pt idx="5">
                  <c:v>6</c:v>
                </c:pt>
                <c:pt idx="6">
                  <c:v>7</c:v>
                </c:pt>
                <c:pt idx="7">
                  <c:v>8</c:v>
                </c:pt>
              </c:numCache>
            </c:numRef>
          </c:cat>
          <c:val>
            <c:numRef>
              <c:f>'234'!$P$7:$P$14</c:f>
              <c:numCache>
                <c:formatCode>General</c:formatCode>
                <c:ptCount val="8"/>
                <c:pt idx="0">
                  <c:v>358.34499999999997</c:v>
                </c:pt>
                <c:pt idx="1">
                  <c:v>358.34499999999997</c:v>
                </c:pt>
                <c:pt idx="2">
                  <c:v>358.34499999999997</c:v>
                </c:pt>
                <c:pt idx="3">
                  <c:v>358.34499999999997</c:v>
                </c:pt>
                <c:pt idx="4">
                  <c:v>358.34499999999997</c:v>
                </c:pt>
                <c:pt idx="5">
                  <c:v>358.34499999999997</c:v>
                </c:pt>
                <c:pt idx="6">
                  <c:v>358.34499999999997</c:v>
                </c:pt>
                <c:pt idx="7">
                  <c:v>358.34499999999997</c:v>
                </c:pt>
              </c:numCache>
            </c:numRef>
          </c:val>
          <c:extLst>
            <c:ext xmlns:c16="http://schemas.microsoft.com/office/drawing/2014/chart" uri="{C3380CC4-5D6E-409C-BE32-E72D297353CC}">
              <c16:uniqueId val="{00000001-FC2D-435D-8219-A595486CB8B8}"/>
            </c:ext>
          </c:extLst>
        </c:ser>
        <c:ser>
          <c:idx val="1"/>
          <c:order val="2"/>
          <c:tx>
            <c:strRef>
              <c:f>'234'!$O$6</c:f>
              <c:strCache>
                <c:ptCount val="1"/>
                <c:pt idx="0">
                  <c:v>Dwg Rmin</c:v>
                </c:pt>
              </c:strCache>
            </c:strRef>
          </c:tx>
          <c:spPr>
            <a:ln>
              <a:solidFill>
                <a:srgbClr val="0000FF"/>
              </a:solidFill>
              <a:prstDash val="dash"/>
            </a:ln>
          </c:spPr>
          <c:marker>
            <c:symbol val="none"/>
          </c:marker>
          <c:cat>
            <c:numRef>
              <c:f>'234'!$K$7:$K$14</c:f>
              <c:numCache>
                <c:formatCode>General</c:formatCode>
                <c:ptCount val="8"/>
                <c:pt idx="0">
                  <c:v>1</c:v>
                </c:pt>
                <c:pt idx="1">
                  <c:v>2</c:v>
                </c:pt>
                <c:pt idx="2">
                  <c:v>3</c:v>
                </c:pt>
                <c:pt idx="3">
                  <c:v>4</c:v>
                </c:pt>
                <c:pt idx="4">
                  <c:v>5</c:v>
                </c:pt>
                <c:pt idx="5">
                  <c:v>6</c:v>
                </c:pt>
                <c:pt idx="6">
                  <c:v>7</c:v>
                </c:pt>
                <c:pt idx="7">
                  <c:v>8</c:v>
                </c:pt>
              </c:numCache>
            </c:numRef>
          </c:cat>
          <c:val>
            <c:numRef>
              <c:f>'234'!$O$7:$O$14</c:f>
              <c:numCache>
                <c:formatCode>General</c:formatCode>
                <c:ptCount val="8"/>
                <c:pt idx="0">
                  <c:v>358.29500000000002</c:v>
                </c:pt>
                <c:pt idx="1">
                  <c:v>358.29500000000002</c:v>
                </c:pt>
                <c:pt idx="2">
                  <c:v>358.29500000000002</c:v>
                </c:pt>
                <c:pt idx="3">
                  <c:v>358.29500000000002</c:v>
                </c:pt>
                <c:pt idx="4">
                  <c:v>358.29500000000002</c:v>
                </c:pt>
                <c:pt idx="5">
                  <c:v>358.29500000000002</c:v>
                </c:pt>
                <c:pt idx="6">
                  <c:v>358.29500000000002</c:v>
                </c:pt>
                <c:pt idx="7">
                  <c:v>358.29500000000002</c:v>
                </c:pt>
              </c:numCache>
            </c:numRef>
          </c:val>
          <c:extLst>
            <c:ext xmlns:c16="http://schemas.microsoft.com/office/drawing/2014/chart" uri="{C3380CC4-5D6E-409C-BE32-E72D297353CC}">
              <c16:uniqueId val="{00000002-FC2D-435D-8219-A595486CB8B8}"/>
            </c:ext>
          </c:extLst>
        </c:ser>
        <c:dLbls>
          <c:showLegendKey val="0"/>
          <c:showVal val="0"/>
          <c:showCatName val="0"/>
          <c:showSerName val="0"/>
          <c:showPercent val="0"/>
          <c:showBubbleSize val="0"/>
        </c:dLbls>
        <c:axId val="188818560"/>
        <c:axId val="188819712"/>
      </c:radarChart>
      <c:catAx>
        <c:axId val="18881856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8819712"/>
        <c:crosses val="autoZero"/>
        <c:auto val="1"/>
        <c:lblAlgn val="ctr"/>
        <c:lblOffset val="100"/>
        <c:noMultiLvlLbl val="0"/>
      </c:catAx>
      <c:valAx>
        <c:axId val="18881971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8818560"/>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'235'!$I$6</c:f>
          <c:strCache>
            <c:ptCount val="1"/>
            <c:pt idx="0">
              <c:v>JHV723EJ : 235_2001</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'235'!$K$6</c:f>
              <c:strCache>
                <c:ptCount val="1"/>
                <c:pt idx="0">
                  <c:v>SONR</c:v>
                </c:pt>
              </c:strCache>
            </c:strRef>
          </c:tx>
          <c:spPr>
            <a:ln w="19050">
              <a:solidFill>
                <a:srgbClr val="00FF00"/>
              </a:solidFill>
            </a:ln>
          </c:spPr>
          <c:marker>
            <c:symbol val="square"/>
            <c:size val="5"/>
            <c:spPr>
              <a:noFill/>
              <a:ln>
                <a:solidFill>
                  <a:srgbClr val="00FF00"/>
                </a:solidFill>
              </a:ln>
            </c:spPr>
          </c:marker>
          <c:cat>
            <c:numRef>
              <c:f>'235'!$H$7:$H$22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'235'!$K$7:$K$22</c:f>
              <c:numCache>
                <c:formatCode>General</c:formatCode>
                <c:ptCount val="16"/>
                <c:pt idx="0">
                  <c:v>354.60399999999998</c:v>
                </c:pt>
                <c:pt idx="1">
                  <c:v>354.62299999999999</c:v>
                </c:pt>
                <c:pt idx="2">
                  <c:v>354.71499999999997</c:v>
                </c:pt>
                <c:pt idx="3">
                  <c:v>354.79899999999998</c:v>
                </c:pt>
                <c:pt idx="4">
                  <c:v>354.82100000000003</c:v>
                </c:pt>
                <c:pt idx="5">
                  <c:v>354.779</c:v>
                </c:pt>
                <c:pt idx="6">
                  <c:v>354.72199999999998</c:v>
                </c:pt>
                <c:pt idx="7">
                  <c:v>354.68099999999998</c:v>
                </c:pt>
                <c:pt idx="8">
                  <c:v>354.69400000000002</c:v>
                </c:pt>
                <c:pt idx="9">
                  <c:v>354.74200000000002</c:v>
                </c:pt>
                <c:pt idx="10">
                  <c:v>354.762</c:v>
                </c:pt>
                <c:pt idx="11">
                  <c:v>354.74799999999999</c:v>
                </c:pt>
                <c:pt idx="12">
                  <c:v>354.75099999999998</c:v>
                </c:pt>
                <c:pt idx="13">
                  <c:v>354.76799999999997</c:v>
                </c:pt>
                <c:pt idx="14">
                  <c:v>354.755</c:v>
                </c:pt>
                <c:pt idx="15">
                  <c:v>354.68099999999998</c:v>
                </c:pt>
              </c:numCache>
            </c:numRef>
          </c:val>
          <c:extLst>
            <c:ext xmlns:c16="http://schemas.microsoft.com/office/drawing/2014/chart" uri="{C3380CC4-5D6E-409C-BE32-E72D297353CC}">
              <c16:uniqueId val="{00000000-3C7A-410A-841F-4BDE8926CA7D}"/>
            </c:ext>
          </c:extLst>
        </c:ser>
        <c:ser>
          <c:idx val="2"/>
          <c:order val="1"/>
          <c:tx>
            <c:strRef>
              <c:f>'235'!$M$6</c:f>
              <c:strCache>
                <c:ptCount val="1"/>
                <c:pt idx="0">
                  <c:v>Dwg Rmax</c:v>
                </c:pt>
              </c:strCache>
            </c:strRef>
          </c:tx>
          <c:spPr>
            <a:ln>
              <a:solidFill>
                <a:srgbClr val="FF0000"/>
              </a:solidFill>
              <a:prstDash val="dash"/>
            </a:ln>
          </c:spPr>
          <c:marker>
            <c:symbol val="none"/>
          </c:marker>
          <c:cat>
            <c:numRef>
              <c:f>'235'!$H$7:$H$22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'235'!$M$7:$M$22</c:f>
              <c:numCache>
                <c:formatCode>General</c:formatCode>
                <c:ptCount val="16"/>
                <c:pt idx="0">
                  <c:v>354.78199999999998</c:v>
                </c:pt>
                <c:pt idx="1">
                  <c:v>354.78199999999998</c:v>
                </c:pt>
                <c:pt idx="2">
                  <c:v>354.78199999999998</c:v>
                </c:pt>
                <c:pt idx="3">
                  <c:v>354.78199999999998</c:v>
                </c:pt>
                <c:pt idx="4">
                  <c:v>354.78199999999998</c:v>
                </c:pt>
                <c:pt idx="5">
                  <c:v>354.78199999999998</c:v>
                </c:pt>
                <c:pt idx="6">
                  <c:v>354.78199999999998</c:v>
                </c:pt>
                <c:pt idx="7">
                  <c:v>354.78199999999998</c:v>
                </c:pt>
                <c:pt idx="8">
                  <c:v>354.78199999999998</c:v>
                </c:pt>
                <c:pt idx="9">
                  <c:v>354.78199999999998</c:v>
                </c:pt>
                <c:pt idx="10">
                  <c:v>354.78199999999998</c:v>
                </c:pt>
                <c:pt idx="11">
                  <c:v>354.78199999999998</c:v>
                </c:pt>
                <c:pt idx="12">
                  <c:v>354.78199999999998</c:v>
                </c:pt>
                <c:pt idx="13">
                  <c:v>354.78199999999998</c:v>
                </c:pt>
                <c:pt idx="14">
                  <c:v>354.78199999999998</c:v>
                </c:pt>
                <c:pt idx="15">
                  <c:v>354.78199999999998</c:v>
                </c:pt>
              </c:numCache>
            </c:numRef>
          </c:val>
          <c:extLst>
            <c:ext xmlns:c16="http://schemas.microsoft.com/office/drawing/2014/chart" uri="{C3380CC4-5D6E-409C-BE32-E72D297353CC}">
              <c16:uniqueId val="{00000001-3C7A-410A-841F-4BDE8926CA7D}"/>
            </c:ext>
          </c:extLst>
        </c:ser>
        <c:ser>
          <c:idx val="1"/>
          <c:order val="2"/>
          <c:tx>
            <c:strRef>
              <c:f>'235'!$L$6</c:f>
              <c:strCache>
                <c:ptCount val="1"/>
                <c:pt idx="0">
                  <c:v>Dwg Rmin</c:v>
                </c:pt>
              </c:strCache>
            </c:strRef>
          </c:tx>
          <c:spPr>
            <a:ln>
              <a:solidFill>
                <a:srgbClr val="0000FF"/>
              </a:solidFill>
              <a:prstDash val="dash"/>
            </a:ln>
          </c:spPr>
          <c:marker>
            <c:symbol val="none"/>
          </c:marker>
          <c:cat>
            <c:numRef>
              <c:f>'235'!$H$7:$H$22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'235'!$L$7:$L$22</c:f>
              <c:numCache>
                <c:formatCode>General</c:formatCode>
                <c:ptCount val="16"/>
                <c:pt idx="0">
                  <c:v>354.71800000000002</c:v>
                </c:pt>
                <c:pt idx="1">
                  <c:v>354.71800000000002</c:v>
                </c:pt>
                <c:pt idx="2">
                  <c:v>354.71800000000002</c:v>
                </c:pt>
                <c:pt idx="3">
                  <c:v>354.71800000000002</c:v>
                </c:pt>
                <c:pt idx="4">
                  <c:v>354.71800000000002</c:v>
                </c:pt>
                <c:pt idx="5">
                  <c:v>354.71800000000002</c:v>
                </c:pt>
                <c:pt idx="6">
                  <c:v>354.71800000000002</c:v>
                </c:pt>
                <c:pt idx="7">
                  <c:v>354.71800000000002</c:v>
                </c:pt>
                <c:pt idx="8">
                  <c:v>354.71800000000002</c:v>
                </c:pt>
                <c:pt idx="9">
                  <c:v>354.71800000000002</c:v>
                </c:pt>
                <c:pt idx="10">
                  <c:v>354.71800000000002</c:v>
                </c:pt>
                <c:pt idx="11">
                  <c:v>354.71800000000002</c:v>
                </c:pt>
                <c:pt idx="12">
                  <c:v>354.71800000000002</c:v>
                </c:pt>
                <c:pt idx="13">
                  <c:v>354.71800000000002</c:v>
                </c:pt>
                <c:pt idx="14">
                  <c:v>354.71800000000002</c:v>
                </c:pt>
                <c:pt idx="15">
                  <c:v>354.71800000000002</c:v>
                </c:pt>
              </c:numCache>
            </c:numRef>
          </c:val>
          <c:extLst>
            <c:ext xmlns:c16="http://schemas.microsoft.com/office/drawing/2014/chart" uri="{C3380CC4-5D6E-409C-BE32-E72D297353CC}">
              <c16:uniqueId val="{00000002-3C7A-410A-841F-4BDE8926CA7D}"/>
            </c:ext>
          </c:extLst>
        </c:ser>
        <c:dLbls>
          <c:showLegendKey val="0"/>
          <c:showVal val="0"/>
          <c:showCatName val="0"/>
          <c:showSerName val="0"/>
          <c:showPercent val="0"/>
          <c:showBubbleSize val="0"/>
        </c:dLbls>
        <c:axId val="189085568"/>
        <c:axId val="189087104"/>
      </c:radarChart>
      <c:catAx>
        <c:axId val="18908556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9087104"/>
        <c:crosses val="autoZero"/>
        <c:auto val="1"/>
        <c:lblAlgn val="ctr"/>
        <c:lblOffset val="100"/>
        <c:noMultiLvlLbl val="0"/>
      </c:catAx>
      <c:valAx>
        <c:axId val="18908710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9085568"/>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'235'!$I$61</c:f>
          <c:strCache>
            <c:ptCount val="1"/>
            <c:pt idx="0">
              <c:v>JHV723EJ : 235_2002</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'235'!$K$61</c:f>
              <c:strCache>
                <c:ptCount val="1"/>
                <c:pt idx="0">
                  <c:v>SONR</c:v>
                </c:pt>
              </c:strCache>
            </c:strRef>
          </c:tx>
          <c:spPr>
            <a:ln w="19050">
              <a:solidFill>
                <a:srgbClr val="00FF00"/>
              </a:solidFill>
            </a:ln>
          </c:spPr>
          <c:marker>
            <c:symbol val="square"/>
            <c:size val="5"/>
            <c:spPr>
              <a:noFill/>
              <a:ln>
                <a:solidFill>
                  <a:srgbClr val="00FF00"/>
                </a:solidFill>
              </a:ln>
            </c:spPr>
          </c:marker>
          <c:cat>
            <c:numRef>
              <c:f>'235'!$H$62:$H$77</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'235'!$K$62:$K$77</c:f>
              <c:numCache>
                <c:formatCode>General</c:formatCode>
                <c:ptCount val="16"/>
                <c:pt idx="0">
                  <c:v>354.61000000141001</c:v>
                </c:pt>
                <c:pt idx="1">
                  <c:v>354.62100001268959</c:v>
                </c:pt>
                <c:pt idx="2">
                  <c:v>354.71300000000002</c:v>
                </c:pt>
                <c:pt idx="3">
                  <c:v>354.79800000140926</c:v>
                </c:pt>
                <c:pt idx="4">
                  <c:v>354.82200000140915</c:v>
                </c:pt>
                <c:pt idx="5">
                  <c:v>354.78400000140931</c:v>
                </c:pt>
                <c:pt idx="6">
                  <c:v>354.72399999999999</c:v>
                </c:pt>
                <c:pt idx="7">
                  <c:v>354.68400000140974</c:v>
                </c:pt>
                <c:pt idx="8">
                  <c:v>354.69900000140967</c:v>
                </c:pt>
                <c:pt idx="9">
                  <c:v>354.74599999999998</c:v>
                </c:pt>
                <c:pt idx="10">
                  <c:v>354.76800000563748</c:v>
                </c:pt>
                <c:pt idx="11">
                  <c:v>354.75299999999999</c:v>
                </c:pt>
                <c:pt idx="12">
                  <c:v>354.75500000140943</c:v>
                </c:pt>
                <c:pt idx="13">
                  <c:v>354.76900000000001</c:v>
                </c:pt>
                <c:pt idx="14">
                  <c:v>354.75800000140936</c:v>
                </c:pt>
                <c:pt idx="15">
                  <c:v>354.68200000140973</c:v>
                </c:pt>
              </c:numCache>
            </c:numRef>
          </c:val>
          <c:extLst>
            <c:ext xmlns:c16="http://schemas.microsoft.com/office/drawing/2014/chart" uri="{C3380CC4-5D6E-409C-BE32-E72D297353CC}">
              <c16:uniqueId val="{00000000-C056-437A-AF02-59CA4BDC0AE4}"/>
            </c:ext>
          </c:extLst>
        </c:ser>
        <c:ser>
          <c:idx val="2"/>
          <c:order val="1"/>
          <c:tx>
            <c:strRef>
              <c:f>'235'!$M$61</c:f>
              <c:strCache>
                <c:ptCount val="1"/>
                <c:pt idx="0">
                  <c:v>Dwg Rmax</c:v>
                </c:pt>
              </c:strCache>
            </c:strRef>
          </c:tx>
          <c:spPr>
            <a:ln>
              <a:solidFill>
                <a:srgbClr val="FF0000"/>
              </a:solidFill>
              <a:prstDash val="dash"/>
            </a:ln>
          </c:spPr>
          <c:marker>
            <c:symbol val="none"/>
          </c:marker>
          <c:cat>
            <c:numRef>
              <c:f>'235'!$H$62:$H$77</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'235'!$M$62:$M$77</c:f>
              <c:numCache>
                <c:formatCode>General</c:formatCode>
                <c:ptCount val="16"/>
                <c:pt idx="0">
                  <c:v>354.78199999999998</c:v>
                </c:pt>
                <c:pt idx="1">
                  <c:v>354.78199999999998</c:v>
                </c:pt>
                <c:pt idx="2">
                  <c:v>354.78199999999998</c:v>
                </c:pt>
                <c:pt idx="3">
                  <c:v>354.78199999999998</c:v>
                </c:pt>
                <c:pt idx="4">
                  <c:v>354.78199999999998</c:v>
                </c:pt>
                <c:pt idx="5">
                  <c:v>354.78199999999998</c:v>
                </c:pt>
                <c:pt idx="6">
                  <c:v>354.78199999999998</c:v>
                </c:pt>
                <c:pt idx="7">
                  <c:v>354.78199999999998</c:v>
                </c:pt>
                <c:pt idx="8">
                  <c:v>354.78199999999998</c:v>
                </c:pt>
                <c:pt idx="9">
                  <c:v>354.78199999999998</c:v>
                </c:pt>
                <c:pt idx="10">
                  <c:v>354.78199999999998</c:v>
                </c:pt>
                <c:pt idx="11">
                  <c:v>354.78199999999998</c:v>
                </c:pt>
                <c:pt idx="12">
                  <c:v>354.78199999999998</c:v>
                </c:pt>
                <c:pt idx="13">
                  <c:v>354.78199999999998</c:v>
                </c:pt>
                <c:pt idx="14">
                  <c:v>354.78199999999998</c:v>
                </c:pt>
                <c:pt idx="15">
                  <c:v>354.78199999999998</c:v>
                </c:pt>
              </c:numCache>
            </c:numRef>
          </c:val>
          <c:extLst>
            <c:ext xmlns:c16="http://schemas.microsoft.com/office/drawing/2014/chart" uri="{C3380CC4-5D6E-409C-BE32-E72D297353CC}">
              <c16:uniqueId val="{00000001-C056-437A-AF02-59CA4BDC0AE4}"/>
            </c:ext>
          </c:extLst>
        </c:ser>
        <c:ser>
          <c:idx val="1"/>
          <c:order val="2"/>
          <c:tx>
            <c:strRef>
              <c:f>'235'!$L$61</c:f>
              <c:strCache>
                <c:ptCount val="1"/>
                <c:pt idx="0">
                  <c:v>Dwg Rmin</c:v>
                </c:pt>
              </c:strCache>
            </c:strRef>
          </c:tx>
          <c:spPr>
            <a:ln>
              <a:solidFill>
                <a:srgbClr val="0000FF"/>
              </a:solidFill>
              <a:prstDash val="dash"/>
            </a:ln>
          </c:spPr>
          <c:marker>
            <c:symbol val="none"/>
          </c:marker>
          <c:cat>
            <c:numRef>
              <c:f>'235'!$H$62:$H$77</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'235'!$L$62:$L$77</c:f>
              <c:numCache>
                <c:formatCode>General</c:formatCode>
                <c:ptCount val="16"/>
                <c:pt idx="0">
                  <c:v>354.71800000000002</c:v>
                </c:pt>
                <c:pt idx="1">
                  <c:v>354.71800000000002</c:v>
                </c:pt>
                <c:pt idx="2">
                  <c:v>354.71800000000002</c:v>
                </c:pt>
                <c:pt idx="3">
                  <c:v>354.71800000000002</c:v>
                </c:pt>
                <c:pt idx="4">
                  <c:v>354.71800000000002</c:v>
                </c:pt>
                <c:pt idx="5">
                  <c:v>354.71800000000002</c:v>
                </c:pt>
                <c:pt idx="6">
                  <c:v>354.71800000000002</c:v>
                </c:pt>
                <c:pt idx="7">
                  <c:v>354.71800000000002</c:v>
                </c:pt>
                <c:pt idx="8">
                  <c:v>354.71800000000002</c:v>
                </c:pt>
                <c:pt idx="9">
                  <c:v>354.71800000000002</c:v>
                </c:pt>
                <c:pt idx="10">
                  <c:v>354.71800000000002</c:v>
                </c:pt>
                <c:pt idx="11">
                  <c:v>354.71800000000002</c:v>
                </c:pt>
                <c:pt idx="12">
                  <c:v>354.71800000000002</c:v>
                </c:pt>
                <c:pt idx="13">
                  <c:v>354.71800000000002</c:v>
                </c:pt>
                <c:pt idx="14">
                  <c:v>354.71800000000002</c:v>
                </c:pt>
                <c:pt idx="15">
                  <c:v>354.71800000000002</c:v>
                </c:pt>
              </c:numCache>
            </c:numRef>
          </c:val>
          <c:extLst>
            <c:ext xmlns:c16="http://schemas.microsoft.com/office/drawing/2014/chart" uri="{C3380CC4-5D6E-409C-BE32-E72D297353CC}">
              <c16:uniqueId val="{00000002-C056-437A-AF02-59CA4BDC0AE4}"/>
            </c:ext>
          </c:extLst>
        </c:ser>
        <c:dLbls>
          <c:showLegendKey val="0"/>
          <c:showVal val="0"/>
          <c:showCatName val="0"/>
          <c:showSerName val="0"/>
          <c:showPercent val="0"/>
          <c:showBubbleSize val="0"/>
        </c:dLbls>
        <c:axId val="189098240"/>
        <c:axId val="189104128"/>
      </c:radarChart>
      <c:catAx>
        <c:axId val="18909824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9104128"/>
        <c:crosses val="autoZero"/>
        <c:auto val="1"/>
        <c:lblAlgn val="ctr"/>
        <c:lblOffset val="100"/>
        <c:noMultiLvlLbl val="0"/>
      </c:catAx>
      <c:valAx>
        <c:axId val="189104128"/>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9098240"/>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'235'!$A$6</c:f>
          <c:strCache>
            <c:ptCount val="1"/>
            <c:pt idx="0">
              <c:v>JHV723EJ</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'234-235 Stg.1 S Hook T'!$E$1</c:f>
              <c:strCache>
                <c:ptCount val="1"/>
                <c:pt idx="0">
                  <c:v>234-235_2001</c:v>
                </c:pt>
              </c:strCache>
            </c:strRef>
          </c:tx>
          <c:spPr>
            <a:ln w="19050">
              <a:solidFill>
                <a:srgbClr val="00FF00"/>
              </a:solidFill>
            </a:ln>
          </c:spPr>
          <c:marker>
            <c:symbol val="square"/>
            <c:size val="5"/>
            <c:spPr>
              <a:noFill/>
              <a:ln>
                <a:solidFill>
                  <a:srgbClr val="00FF00"/>
                </a:solidFill>
              </a:ln>
            </c:spPr>
          </c:marker>
          <c:cat>
            <c:numRef>
              <c:f>'105-235Stg.1 S Groove'!$B$2:$B$17</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'234-235 Stg.1 S Hook T'!$E$2:$E$17</c:f>
              <c:numCache>
                <c:formatCode>General</c:formatCode>
                <c:ptCount val="16"/>
                <c:pt idx="0">
                  <c:v>3.6539999999999964</c:v>
                </c:pt>
                <c:pt idx="1">
                  <c:v>3.6764999999999759</c:v>
                </c:pt>
                <c:pt idx="2">
                  <c:v>3.6260000000000332</c:v>
                </c:pt>
                <c:pt idx="3">
                  <c:v>3.5705000000000382</c:v>
                </c:pt>
                <c:pt idx="4">
                  <c:v>3.5769999999999982</c:v>
                </c:pt>
                <c:pt idx="5">
                  <c:v>3.569500000000005</c:v>
                </c:pt>
                <c:pt idx="6">
                  <c:v>3.5769999999999982</c:v>
                </c:pt>
                <c:pt idx="7">
                  <c:v>3.6110000000000468</c:v>
                </c:pt>
                <c:pt idx="8">
                  <c:v>3.5910000000000082</c:v>
                </c:pt>
                <c:pt idx="9">
                  <c:v>3.569500000000005</c:v>
                </c:pt>
                <c:pt idx="10">
                  <c:v>3.5760000000000218</c:v>
                </c:pt>
                <c:pt idx="11">
                  <c:v>3.5865000000000578</c:v>
                </c:pt>
                <c:pt idx="12">
                  <c:v>3.5800000000000409</c:v>
                </c:pt>
                <c:pt idx="13">
                  <c:v>3.5805000000000291</c:v>
                </c:pt>
                <c:pt idx="14">
                  <c:v>3.61099999999999</c:v>
                </c:pt>
                <c:pt idx="15">
                  <c:v>3.6310000000000286</c:v>
                </c:pt>
              </c:numCache>
            </c:numRef>
          </c:val>
          <c:extLst>
            <c:ext xmlns:c16="http://schemas.microsoft.com/office/drawing/2014/chart" uri="{C3380CC4-5D6E-409C-BE32-E72D297353CC}">
              <c16:uniqueId val="{00000000-2CA8-4C34-A501-954EC7DFEA74}"/>
            </c:ext>
          </c:extLst>
        </c:ser>
        <c:ser>
          <c:idx val="2"/>
          <c:order val="1"/>
          <c:tx>
            <c:strRef>
              <c:f>'234-235 Stg.1 S Hook T'!$F$1</c:f>
              <c:strCache>
                <c:ptCount val="1"/>
                <c:pt idx="0">
                  <c:v>Dwg Max</c:v>
                </c:pt>
              </c:strCache>
            </c:strRef>
          </c:tx>
          <c:spPr>
            <a:ln>
              <a:solidFill>
                <a:srgbClr val="FF0000"/>
              </a:solidFill>
              <a:prstDash val="dash"/>
            </a:ln>
          </c:spPr>
          <c:marker>
            <c:symbol val="none"/>
          </c:marker>
          <c:cat>
            <c:numRef>
              <c:f>'105-235Stg.1 S Groove'!$B$2:$B$17</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'234-235 Stg.1 S Hook T'!$F$2:$F$17</c:f>
              <c:numCache>
                <c:formatCode>General</c:formatCode>
                <c:ptCount val="16"/>
                <c:pt idx="0">
                  <c:v>3.6269999999999931</c:v>
                </c:pt>
                <c:pt idx="1">
                  <c:v>3.6269999999999931</c:v>
                </c:pt>
                <c:pt idx="2">
                  <c:v>3.6269999999999931</c:v>
                </c:pt>
                <c:pt idx="3">
                  <c:v>3.6269999999999931</c:v>
                </c:pt>
                <c:pt idx="4">
                  <c:v>3.6269999999999931</c:v>
                </c:pt>
                <c:pt idx="5">
                  <c:v>3.6269999999999931</c:v>
                </c:pt>
                <c:pt idx="6">
                  <c:v>3.6269999999999931</c:v>
                </c:pt>
                <c:pt idx="7">
                  <c:v>3.6269999999999931</c:v>
                </c:pt>
                <c:pt idx="8">
                  <c:v>3.6269999999999931</c:v>
                </c:pt>
                <c:pt idx="9">
                  <c:v>3.6269999999999931</c:v>
                </c:pt>
                <c:pt idx="10">
                  <c:v>3.6269999999999931</c:v>
                </c:pt>
                <c:pt idx="11">
                  <c:v>3.6269999999999931</c:v>
                </c:pt>
                <c:pt idx="12">
                  <c:v>3.6269999999999931</c:v>
                </c:pt>
                <c:pt idx="13">
                  <c:v>3.6269999999999931</c:v>
                </c:pt>
                <c:pt idx="14">
                  <c:v>3.6269999999999931</c:v>
                </c:pt>
                <c:pt idx="15">
                  <c:v>3.6269999999999931</c:v>
                </c:pt>
              </c:numCache>
            </c:numRef>
          </c:val>
          <c:extLst>
            <c:ext xmlns:c16="http://schemas.microsoft.com/office/drawing/2014/chart" uri="{C3380CC4-5D6E-409C-BE32-E72D297353CC}">
              <c16:uniqueId val="{00000001-2CA8-4C34-A501-954EC7DFEA74}"/>
            </c:ext>
          </c:extLst>
        </c:ser>
        <c:ser>
          <c:idx val="1"/>
          <c:order val="2"/>
          <c:tx>
            <c:strRef>
              <c:f>'234-235 Stg.1 S Hook T'!$G$1</c:f>
              <c:strCache>
                <c:ptCount val="1"/>
                <c:pt idx="0">
                  <c:v>Dwg Min</c:v>
                </c:pt>
              </c:strCache>
            </c:strRef>
          </c:tx>
          <c:spPr>
            <a:ln>
              <a:solidFill>
                <a:srgbClr val="0000FF"/>
              </a:solidFill>
              <a:prstDash val="dash"/>
            </a:ln>
          </c:spPr>
          <c:marker>
            <c:symbol val="none"/>
          </c:marker>
          <c:cat>
            <c:numRef>
              <c:f>'105-235Stg.1 S Groove'!$B$2:$B$17</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'234-235 Stg.1 S Hook T'!$G$2:$G$17</c:f>
              <c:numCache>
                <c:formatCode>General</c:formatCode>
                <c:ptCount val="16"/>
                <c:pt idx="0">
                  <c:v>3.5129999999999932</c:v>
                </c:pt>
                <c:pt idx="1">
                  <c:v>3.5129999999999932</c:v>
                </c:pt>
                <c:pt idx="2">
                  <c:v>3.5129999999999932</c:v>
                </c:pt>
                <c:pt idx="3">
                  <c:v>3.5129999999999932</c:v>
                </c:pt>
                <c:pt idx="4">
                  <c:v>3.5129999999999932</c:v>
                </c:pt>
                <c:pt idx="5">
                  <c:v>3.5129999999999932</c:v>
                </c:pt>
                <c:pt idx="6">
                  <c:v>3.5129999999999932</c:v>
                </c:pt>
                <c:pt idx="7">
                  <c:v>3.5129999999999932</c:v>
                </c:pt>
                <c:pt idx="8">
                  <c:v>3.5129999999999932</c:v>
                </c:pt>
                <c:pt idx="9">
                  <c:v>3.5129999999999932</c:v>
                </c:pt>
                <c:pt idx="10">
                  <c:v>3.5129999999999932</c:v>
                </c:pt>
                <c:pt idx="11">
                  <c:v>3.5129999999999932</c:v>
                </c:pt>
                <c:pt idx="12">
                  <c:v>3.5129999999999932</c:v>
                </c:pt>
                <c:pt idx="13">
                  <c:v>3.5129999999999932</c:v>
                </c:pt>
                <c:pt idx="14">
                  <c:v>3.5129999999999932</c:v>
                </c:pt>
                <c:pt idx="15">
                  <c:v>3.5129999999999932</c:v>
                </c:pt>
              </c:numCache>
            </c:numRef>
          </c:val>
          <c:extLst>
            <c:ext xmlns:c16="http://schemas.microsoft.com/office/drawing/2014/chart" uri="{C3380CC4-5D6E-409C-BE32-E72D297353CC}">
              <c16:uniqueId val="{00000002-2CA8-4C34-A501-954EC7DFEA74}"/>
            </c:ext>
          </c:extLst>
        </c:ser>
        <c:dLbls>
          <c:showLegendKey val="0"/>
          <c:showVal val="0"/>
          <c:showCatName val="0"/>
          <c:showSerName val="0"/>
          <c:showPercent val="0"/>
          <c:showBubbleSize val="0"/>
        </c:dLbls>
        <c:axId val="189085568"/>
        <c:axId val="189087104"/>
      </c:radarChart>
      <c:catAx>
        <c:axId val="18908556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9087104"/>
        <c:crosses val="autoZero"/>
        <c:auto val="1"/>
        <c:lblAlgn val="ctr"/>
        <c:lblOffset val="100"/>
        <c:noMultiLvlLbl val="0"/>
      </c:catAx>
      <c:valAx>
        <c:axId val="18908710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9085568"/>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'235'!$A$6</c:f>
          <c:strCache>
            <c:ptCount val="1"/>
            <c:pt idx="0">
              <c:v>JHV723EJ</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'105-235Stg.1 S Groove'!$E$1</c:f>
              <c:strCache>
                <c:ptCount val="1"/>
                <c:pt idx="0">
                  <c:v>105-235_2001</c:v>
                </c:pt>
              </c:strCache>
            </c:strRef>
          </c:tx>
          <c:spPr>
            <a:ln w="19050">
              <a:solidFill>
                <a:srgbClr val="00FF00"/>
              </a:solidFill>
            </a:ln>
          </c:spPr>
          <c:marker>
            <c:symbol val="square"/>
            <c:size val="5"/>
            <c:spPr>
              <a:noFill/>
              <a:ln>
                <a:solidFill>
                  <a:srgbClr val="00FF00"/>
                </a:solidFill>
              </a:ln>
            </c:spPr>
          </c:marker>
          <c:cat>
            <c:numRef>
              <c:f>'105-235Stg.1 S Groove'!$B$2:$B$17</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'105-235Stg.1 S Groove'!$E$2:$E$17</c:f>
              <c:numCache>
                <c:formatCode>General</c:formatCode>
                <c:ptCount val="16"/>
                <c:pt idx="0">
                  <c:v>1.5550000000000068</c:v>
                </c:pt>
                <c:pt idx="1">
                  <c:v>1.5520000000000209</c:v>
                </c:pt>
                <c:pt idx="2">
                  <c:v>1.5500000000000114</c:v>
                </c:pt>
                <c:pt idx="3">
                  <c:v>1.5570000000000164</c:v>
                </c:pt>
                <c:pt idx="4">
                  <c:v>1.5539999999999736</c:v>
                </c:pt>
                <c:pt idx="5">
                  <c:v>1.5629999999999882</c:v>
                </c:pt>
                <c:pt idx="6">
                  <c:v>1.55600000000004</c:v>
                </c:pt>
                <c:pt idx="7">
                  <c:v>1.5590000000000259</c:v>
                </c:pt>
                <c:pt idx="8">
                  <c:v>1.5550000000000068</c:v>
                </c:pt>
                <c:pt idx="9">
                  <c:v>1.5559999999999832</c:v>
                </c:pt>
                <c:pt idx="10">
                  <c:v>1.5590000000000259</c:v>
                </c:pt>
                <c:pt idx="11">
                  <c:v>1.5579999999999927</c:v>
                </c:pt>
                <c:pt idx="12">
                  <c:v>1.5540000000000305</c:v>
                </c:pt>
                <c:pt idx="13">
                  <c:v>1.5600000000000023</c:v>
                </c:pt>
                <c:pt idx="14">
                  <c:v>1.5550000000000068</c:v>
                </c:pt>
                <c:pt idx="15">
                  <c:v>1.5540000000000305</c:v>
                </c:pt>
              </c:numCache>
            </c:numRef>
          </c:val>
          <c:extLst>
            <c:ext xmlns:c16="http://schemas.microsoft.com/office/drawing/2014/chart" uri="{C3380CC4-5D6E-409C-BE32-E72D297353CC}">
              <c16:uniqueId val="{00000000-AB73-4814-B59E-D639E6B57245}"/>
            </c:ext>
          </c:extLst>
        </c:ser>
        <c:ser>
          <c:idx val="2"/>
          <c:order val="1"/>
          <c:tx>
            <c:strRef>
              <c:f>'105-235Stg.1 S Groove'!$F$1</c:f>
              <c:strCache>
                <c:ptCount val="1"/>
                <c:pt idx="0">
                  <c:v>Dwg Max</c:v>
                </c:pt>
              </c:strCache>
            </c:strRef>
          </c:tx>
          <c:spPr>
            <a:ln>
              <a:solidFill>
                <a:srgbClr val="FF0000"/>
              </a:solidFill>
              <a:prstDash val="dash"/>
            </a:ln>
          </c:spPr>
          <c:marker>
            <c:symbol val="none"/>
          </c:marker>
          <c:cat>
            <c:numRef>
              <c:f>'105-235Stg.1 S Groove'!$B$2:$B$17</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'105-235Stg.1 S Groove'!$F$2:$F$17</c:f>
              <c:numCache>
                <c:formatCode>General</c:formatCode>
                <c:ptCount val="16"/>
                <c:pt idx="0">
                  <c:v>1.6319999999999932</c:v>
                </c:pt>
                <c:pt idx="1">
                  <c:v>1.6319999999999932</c:v>
                </c:pt>
                <c:pt idx="2">
                  <c:v>1.6319999999999932</c:v>
                </c:pt>
                <c:pt idx="3">
                  <c:v>1.6319999999999932</c:v>
                </c:pt>
                <c:pt idx="4">
                  <c:v>1.6319999999999932</c:v>
                </c:pt>
                <c:pt idx="5">
                  <c:v>1.6319999999999932</c:v>
                </c:pt>
                <c:pt idx="6">
                  <c:v>1.6319999999999932</c:v>
                </c:pt>
                <c:pt idx="7">
                  <c:v>1.6319999999999932</c:v>
                </c:pt>
                <c:pt idx="8">
                  <c:v>1.6319999999999932</c:v>
                </c:pt>
                <c:pt idx="9">
                  <c:v>1.6319999999999932</c:v>
                </c:pt>
                <c:pt idx="10">
                  <c:v>1.6319999999999932</c:v>
                </c:pt>
                <c:pt idx="11">
                  <c:v>1.6319999999999932</c:v>
                </c:pt>
                <c:pt idx="12">
                  <c:v>1.6319999999999932</c:v>
                </c:pt>
                <c:pt idx="13">
                  <c:v>1.6319999999999932</c:v>
                </c:pt>
                <c:pt idx="14">
                  <c:v>1.6319999999999932</c:v>
                </c:pt>
                <c:pt idx="15">
                  <c:v>1.6319999999999932</c:v>
                </c:pt>
              </c:numCache>
            </c:numRef>
          </c:val>
          <c:extLst>
            <c:ext xmlns:c16="http://schemas.microsoft.com/office/drawing/2014/chart" uri="{C3380CC4-5D6E-409C-BE32-E72D297353CC}">
              <c16:uniqueId val="{00000001-AB73-4814-B59E-D639E6B57245}"/>
            </c:ext>
          </c:extLst>
        </c:ser>
        <c:ser>
          <c:idx val="1"/>
          <c:order val="2"/>
          <c:tx>
            <c:strRef>
              <c:f>'105-235Stg.1 S Groove'!$G$1</c:f>
              <c:strCache>
                <c:ptCount val="1"/>
                <c:pt idx="0">
                  <c:v>Dwg Min</c:v>
                </c:pt>
              </c:strCache>
            </c:strRef>
          </c:tx>
          <c:spPr>
            <a:ln>
              <a:solidFill>
                <a:srgbClr val="0000FF"/>
              </a:solidFill>
              <a:prstDash val="dash"/>
            </a:ln>
          </c:spPr>
          <c:marker>
            <c:symbol val="none"/>
          </c:marker>
          <c:cat>
            <c:numRef>
              <c:f>'105-235Stg.1 S Groove'!$B$2:$B$17</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'105-235Stg.1 S Groove'!$G$2:$G$17</c:f>
              <c:numCache>
                <c:formatCode>General</c:formatCode>
                <c:ptCount val="16"/>
                <c:pt idx="0">
                  <c:v>1.4679999999999931</c:v>
                </c:pt>
                <c:pt idx="1">
                  <c:v>1.4679999999999931</c:v>
                </c:pt>
                <c:pt idx="2">
                  <c:v>1.4679999999999931</c:v>
                </c:pt>
                <c:pt idx="3">
                  <c:v>1.4679999999999931</c:v>
                </c:pt>
                <c:pt idx="4">
                  <c:v>1.4679999999999931</c:v>
                </c:pt>
                <c:pt idx="5">
                  <c:v>1.4679999999999931</c:v>
                </c:pt>
                <c:pt idx="6">
                  <c:v>1.4679999999999931</c:v>
                </c:pt>
                <c:pt idx="7">
                  <c:v>1.4679999999999931</c:v>
                </c:pt>
                <c:pt idx="8">
                  <c:v>1.4679999999999931</c:v>
                </c:pt>
                <c:pt idx="9">
                  <c:v>1.4679999999999931</c:v>
                </c:pt>
                <c:pt idx="10">
                  <c:v>1.4679999999999931</c:v>
                </c:pt>
                <c:pt idx="11">
                  <c:v>1.4679999999999931</c:v>
                </c:pt>
                <c:pt idx="12">
                  <c:v>1.4679999999999931</c:v>
                </c:pt>
                <c:pt idx="13">
                  <c:v>1.4679999999999931</c:v>
                </c:pt>
                <c:pt idx="14">
                  <c:v>1.4679999999999931</c:v>
                </c:pt>
                <c:pt idx="15">
                  <c:v>1.4679999999999931</c:v>
                </c:pt>
              </c:numCache>
            </c:numRef>
          </c:val>
          <c:extLst>
            <c:ext xmlns:c16="http://schemas.microsoft.com/office/drawing/2014/chart" uri="{C3380CC4-5D6E-409C-BE32-E72D297353CC}">
              <c16:uniqueId val="{00000002-AB73-4814-B59E-D639E6B57245}"/>
            </c:ext>
          </c:extLst>
        </c:ser>
        <c:dLbls>
          <c:showLegendKey val="0"/>
          <c:showVal val="0"/>
          <c:showCatName val="0"/>
          <c:showSerName val="0"/>
          <c:showPercent val="0"/>
          <c:showBubbleSize val="0"/>
        </c:dLbls>
        <c:axId val="189085568"/>
        <c:axId val="189087104"/>
      </c:radarChart>
      <c:catAx>
        <c:axId val="18908556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9087104"/>
        <c:crosses val="autoZero"/>
        <c:auto val="1"/>
        <c:lblAlgn val="ctr"/>
        <c:lblOffset val="100"/>
        <c:noMultiLvlLbl val="0"/>
      </c:catAx>
      <c:valAx>
        <c:axId val="18908710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9085568"/>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'235'!$A$6</c:f>
          <c:strCache>
            <c:ptCount val="1"/>
            <c:pt idx="0">
              <c:v>JHV723EJ</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'105-235Stg.1 S Groove'!$E$21</c:f>
              <c:strCache>
                <c:ptCount val="1"/>
                <c:pt idx="0">
                  <c:v>105-235_2002</c:v>
                </c:pt>
              </c:strCache>
            </c:strRef>
          </c:tx>
          <c:spPr>
            <a:ln w="19050">
              <a:solidFill>
                <a:srgbClr val="00FF00"/>
              </a:solidFill>
            </a:ln>
          </c:spPr>
          <c:marker>
            <c:symbol val="square"/>
            <c:size val="5"/>
            <c:spPr>
              <a:noFill/>
              <a:ln>
                <a:solidFill>
                  <a:srgbClr val="00FF00"/>
                </a:solidFill>
              </a:ln>
            </c:spPr>
          </c:marker>
          <c:cat>
            <c:numRef>
              <c:f>'105-235Stg.1 S Groove'!$B$22:$B$37</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'105-235Stg.1 S Groove'!$E$22:$E$37</c:f>
              <c:numCache>
                <c:formatCode>General</c:formatCode>
                <c:ptCount val="16"/>
                <c:pt idx="0">
                  <c:v>1.5489999985899772</c:v>
                </c:pt>
                <c:pt idx="1">
                  <c:v>1.5539999873104193</c:v>
                </c:pt>
                <c:pt idx="2">
                  <c:v>1.5519999999999641</c:v>
                </c:pt>
                <c:pt idx="3">
                  <c:v>1.5579999985907307</c:v>
                </c:pt>
                <c:pt idx="4">
                  <c:v>1.5529999985908489</c:v>
                </c:pt>
                <c:pt idx="5">
                  <c:v>1.5579999985906738</c:v>
                </c:pt>
                <c:pt idx="6">
                  <c:v>1.5540000000000305</c:v>
                </c:pt>
                <c:pt idx="7">
                  <c:v>1.5559999985902664</c:v>
                </c:pt>
                <c:pt idx="8">
                  <c:v>1.5499999985903514</c:v>
                </c:pt>
                <c:pt idx="9">
                  <c:v>1.5520000000000209</c:v>
                </c:pt>
                <c:pt idx="10">
                  <c:v>1.5529999943625512</c:v>
                </c:pt>
                <c:pt idx="11">
                  <c:v>1.5529999999999973</c:v>
                </c:pt>
                <c:pt idx="12">
                  <c:v>1.5499999985905788</c:v>
                </c:pt>
                <c:pt idx="13">
                  <c:v>1.5589999999999691</c:v>
                </c:pt>
                <c:pt idx="14">
                  <c:v>1.5519999985906452</c:v>
                </c:pt>
                <c:pt idx="15">
                  <c:v>1.5529999985902805</c:v>
                </c:pt>
              </c:numCache>
            </c:numRef>
          </c:val>
          <c:extLst>
            <c:ext xmlns:c16="http://schemas.microsoft.com/office/drawing/2014/chart" uri="{C3380CC4-5D6E-409C-BE32-E72D297353CC}">
              <c16:uniqueId val="{00000000-54DB-434F-B1F3-232523FD087D}"/>
            </c:ext>
          </c:extLst>
        </c:ser>
        <c:ser>
          <c:idx val="2"/>
          <c:order val="1"/>
          <c:tx>
            <c:strRef>
              <c:f>'105-235Stg.1 S Groove'!$F$21</c:f>
              <c:strCache>
                <c:ptCount val="1"/>
                <c:pt idx="0">
                  <c:v>Dwg Max</c:v>
                </c:pt>
              </c:strCache>
            </c:strRef>
          </c:tx>
          <c:spPr>
            <a:ln>
              <a:solidFill>
                <a:srgbClr val="FF0000"/>
              </a:solidFill>
              <a:prstDash val="dash"/>
            </a:ln>
          </c:spPr>
          <c:marker>
            <c:symbol val="none"/>
          </c:marker>
          <c:cat>
            <c:numRef>
              <c:f>'105-235Stg.1 S Groove'!$B$22:$B$37</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'105-235Stg.1 S Groove'!$F$22:$F$37</c:f>
              <c:numCache>
                <c:formatCode>General</c:formatCode>
                <c:ptCount val="16"/>
                <c:pt idx="0">
                  <c:v>1.6319999999999932</c:v>
                </c:pt>
                <c:pt idx="1">
                  <c:v>1.6319999999999932</c:v>
                </c:pt>
                <c:pt idx="2">
                  <c:v>1.6319999999999932</c:v>
                </c:pt>
                <c:pt idx="3">
                  <c:v>1.6319999999999932</c:v>
                </c:pt>
                <c:pt idx="4">
                  <c:v>1.6319999999999932</c:v>
                </c:pt>
                <c:pt idx="5">
                  <c:v>1.6319999999999932</c:v>
                </c:pt>
                <c:pt idx="6">
                  <c:v>1.6319999999999932</c:v>
                </c:pt>
                <c:pt idx="7">
                  <c:v>1.6319999999999932</c:v>
                </c:pt>
                <c:pt idx="8">
                  <c:v>1.6319999999999932</c:v>
                </c:pt>
                <c:pt idx="9">
                  <c:v>1.6319999999999932</c:v>
                </c:pt>
                <c:pt idx="10">
                  <c:v>1.6319999999999932</c:v>
                </c:pt>
                <c:pt idx="11">
                  <c:v>1.6319999999999932</c:v>
                </c:pt>
                <c:pt idx="12">
                  <c:v>1.6319999999999932</c:v>
                </c:pt>
                <c:pt idx="13">
                  <c:v>1.6319999999999932</c:v>
                </c:pt>
                <c:pt idx="14">
                  <c:v>1.6319999999999932</c:v>
                </c:pt>
                <c:pt idx="15">
                  <c:v>1.6319999999999932</c:v>
                </c:pt>
              </c:numCache>
            </c:numRef>
          </c:val>
          <c:extLst>
            <c:ext xmlns:c16="http://schemas.microsoft.com/office/drawing/2014/chart" uri="{C3380CC4-5D6E-409C-BE32-E72D297353CC}">
              <c16:uniqueId val="{00000001-54DB-434F-B1F3-232523FD087D}"/>
            </c:ext>
          </c:extLst>
        </c:ser>
        <c:ser>
          <c:idx val="1"/>
          <c:order val="2"/>
          <c:tx>
            <c:strRef>
              <c:f>'105-235Stg.1 S Groove'!$G$21</c:f>
              <c:strCache>
                <c:ptCount val="1"/>
                <c:pt idx="0">
                  <c:v>Dwg Min</c:v>
                </c:pt>
              </c:strCache>
            </c:strRef>
          </c:tx>
          <c:spPr>
            <a:ln>
              <a:solidFill>
                <a:srgbClr val="0000FF"/>
              </a:solidFill>
              <a:prstDash val="dash"/>
            </a:ln>
          </c:spPr>
          <c:marker>
            <c:symbol val="none"/>
          </c:marker>
          <c:cat>
            <c:numRef>
              <c:f>'105-235Stg.1 S Groove'!$B$22:$B$37</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'105-235Stg.1 S Groove'!$G$22:$G$37</c:f>
              <c:numCache>
                <c:formatCode>General</c:formatCode>
                <c:ptCount val="16"/>
                <c:pt idx="0">
                  <c:v>1.4679999999999931</c:v>
                </c:pt>
                <c:pt idx="1">
                  <c:v>1.4679999999999931</c:v>
                </c:pt>
                <c:pt idx="2">
                  <c:v>1.4679999999999931</c:v>
                </c:pt>
                <c:pt idx="3">
                  <c:v>1.4679999999999931</c:v>
                </c:pt>
                <c:pt idx="4">
                  <c:v>1.4679999999999931</c:v>
                </c:pt>
                <c:pt idx="5">
                  <c:v>1.4679999999999931</c:v>
                </c:pt>
                <c:pt idx="6">
                  <c:v>1.4679999999999931</c:v>
                </c:pt>
                <c:pt idx="7">
                  <c:v>1.4679999999999931</c:v>
                </c:pt>
                <c:pt idx="8">
                  <c:v>1.4679999999999931</c:v>
                </c:pt>
                <c:pt idx="9">
                  <c:v>1.4679999999999931</c:v>
                </c:pt>
                <c:pt idx="10">
                  <c:v>1.4679999999999931</c:v>
                </c:pt>
                <c:pt idx="11">
                  <c:v>1.4679999999999931</c:v>
                </c:pt>
                <c:pt idx="12">
                  <c:v>1.4679999999999931</c:v>
                </c:pt>
                <c:pt idx="13">
                  <c:v>1.4679999999999931</c:v>
                </c:pt>
                <c:pt idx="14">
                  <c:v>1.4679999999999931</c:v>
                </c:pt>
                <c:pt idx="15">
                  <c:v>1.4679999999999931</c:v>
                </c:pt>
              </c:numCache>
            </c:numRef>
          </c:val>
          <c:extLst>
            <c:ext xmlns:c16="http://schemas.microsoft.com/office/drawing/2014/chart" uri="{C3380CC4-5D6E-409C-BE32-E72D297353CC}">
              <c16:uniqueId val="{00000002-54DB-434F-B1F3-232523FD087D}"/>
            </c:ext>
          </c:extLst>
        </c:ser>
        <c:dLbls>
          <c:showLegendKey val="0"/>
          <c:showVal val="0"/>
          <c:showCatName val="0"/>
          <c:showSerName val="0"/>
          <c:showPercent val="0"/>
          <c:showBubbleSize val="0"/>
        </c:dLbls>
        <c:axId val="189085568"/>
        <c:axId val="189087104"/>
      </c:radarChart>
      <c:catAx>
        <c:axId val="18908556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9087104"/>
        <c:crosses val="autoZero"/>
        <c:auto val="1"/>
        <c:lblAlgn val="ctr"/>
        <c:lblOffset val="100"/>
        <c:noMultiLvlLbl val="0"/>
      </c:catAx>
      <c:valAx>
        <c:axId val="18908710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9085568"/>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'237'!$I$6</c:f>
          <c:strCache>
            <c:ptCount val="1"/>
            <c:pt idx="0">
              <c:v>JHV723EJ : 237</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'237'!$K$6</c:f>
              <c:strCache>
                <c:ptCount val="1"/>
                <c:pt idx="0">
                  <c:v>SONR</c:v>
                </c:pt>
              </c:strCache>
            </c:strRef>
          </c:tx>
          <c:spPr>
            <a:ln w="19050">
              <a:solidFill>
                <a:srgbClr val="00FF00"/>
              </a:solidFill>
            </a:ln>
          </c:spPr>
          <c:marker>
            <c:symbol val="square"/>
            <c:size val="5"/>
            <c:spPr>
              <a:noFill/>
              <a:ln>
                <a:solidFill>
                  <a:srgbClr val="00FF00"/>
                </a:solidFill>
              </a:ln>
            </c:spPr>
          </c:marker>
          <c:cat>
            <c:numRef>
              <c:f>'237'!$H$7:$H$22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'237'!$K$7:$K$22</c:f>
              <c:numCache>
                <c:formatCode>General</c:formatCode>
                <c:ptCount val="16"/>
                <c:pt idx="0">
                  <c:v>361.38299999999998</c:v>
                </c:pt>
                <c:pt idx="1">
                  <c:v>361.39</c:v>
                </c:pt>
                <c:pt idx="2">
                  <c:v>361.38900000000001</c:v>
                </c:pt>
                <c:pt idx="3">
                  <c:v>361.43</c:v>
                </c:pt>
                <c:pt idx="4">
                  <c:v>361.423</c:v>
                </c:pt>
                <c:pt idx="5">
                  <c:v>361.43299999999999</c:v>
                </c:pt>
                <c:pt idx="6">
                  <c:v>361.37299999999999</c:v>
                </c:pt>
                <c:pt idx="7">
                  <c:v>361.36099999999999</c:v>
                </c:pt>
                <c:pt idx="8">
                  <c:v>361.35899999999998</c:v>
                </c:pt>
                <c:pt idx="9">
                  <c:v>361.38600000000002</c:v>
                </c:pt>
                <c:pt idx="10">
                  <c:v>361.40100000000001</c:v>
                </c:pt>
                <c:pt idx="11">
                  <c:v>361.43700000000001</c:v>
                </c:pt>
                <c:pt idx="12">
                  <c:v>361.423</c:v>
                </c:pt>
                <c:pt idx="13">
                  <c:v>361.42599999999999</c:v>
                </c:pt>
                <c:pt idx="14">
                  <c:v>361.38</c:v>
                </c:pt>
                <c:pt idx="15">
                  <c:v>361.37299999999999</c:v>
                </c:pt>
              </c:numCache>
            </c:numRef>
          </c:val>
          <c:extLst>
            <c:ext xmlns:c16="http://schemas.microsoft.com/office/drawing/2014/chart" uri="{C3380CC4-5D6E-409C-BE32-E72D297353CC}">
              <c16:uniqueId val="{00000000-9EF6-4D86-90C9-9A3B2ED14E1A}"/>
            </c:ext>
          </c:extLst>
        </c:ser>
        <c:ser>
          <c:idx val="2"/>
          <c:order val="1"/>
          <c:tx>
            <c:strRef>
              <c:f>'237'!$M$6</c:f>
              <c:strCache>
                <c:ptCount val="1"/>
                <c:pt idx="0">
                  <c:v>Dwg Rmax</c:v>
                </c:pt>
              </c:strCache>
            </c:strRef>
          </c:tx>
          <c:spPr>
            <a:ln>
              <a:solidFill>
                <a:srgbClr val="FF0000"/>
              </a:solidFill>
              <a:prstDash val="dash"/>
            </a:ln>
          </c:spPr>
          <c:marker>
            <c:symbol val="none"/>
          </c:marker>
          <c:cat>
            <c:numRef>
              <c:f>'237'!$H$7:$H$22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'237'!$M$7:$M$22</c:f>
              <c:numCache>
                <c:formatCode>General</c:formatCode>
                <c:ptCount val="16"/>
                <c:pt idx="0">
                  <c:v>361.43199999999996</c:v>
                </c:pt>
                <c:pt idx="1">
                  <c:v>361.43199999999996</c:v>
                </c:pt>
                <c:pt idx="2">
                  <c:v>361.43199999999996</c:v>
                </c:pt>
                <c:pt idx="3">
                  <c:v>361.43199999999996</c:v>
                </c:pt>
                <c:pt idx="4">
                  <c:v>361.43199999999996</c:v>
                </c:pt>
                <c:pt idx="5">
                  <c:v>361.43199999999996</c:v>
                </c:pt>
                <c:pt idx="6">
                  <c:v>361.43199999999996</c:v>
                </c:pt>
                <c:pt idx="7">
                  <c:v>361.43199999999996</c:v>
                </c:pt>
                <c:pt idx="8">
                  <c:v>361.43199999999996</c:v>
                </c:pt>
                <c:pt idx="9">
                  <c:v>361.43199999999996</c:v>
                </c:pt>
                <c:pt idx="10">
                  <c:v>361.43199999999996</c:v>
                </c:pt>
                <c:pt idx="11">
                  <c:v>361.43199999999996</c:v>
                </c:pt>
                <c:pt idx="12">
                  <c:v>361.43199999999996</c:v>
                </c:pt>
                <c:pt idx="13">
                  <c:v>361.43199999999996</c:v>
                </c:pt>
                <c:pt idx="14">
                  <c:v>361.43199999999996</c:v>
                </c:pt>
                <c:pt idx="15">
                  <c:v>361.43199999999996</c:v>
                </c:pt>
              </c:numCache>
            </c:numRef>
          </c:val>
          <c:extLst>
            <c:ext xmlns:c16="http://schemas.microsoft.com/office/drawing/2014/chart" uri="{C3380CC4-5D6E-409C-BE32-E72D297353CC}">
              <c16:uniqueId val="{00000001-9EF6-4D86-90C9-9A3B2ED14E1A}"/>
            </c:ext>
          </c:extLst>
        </c:ser>
        <c:ser>
          <c:idx val="1"/>
          <c:order val="2"/>
          <c:tx>
            <c:strRef>
              <c:f>'237'!$L$6</c:f>
              <c:strCache>
                <c:ptCount val="1"/>
                <c:pt idx="0">
                  <c:v>Dwg Rmin</c:v>
                </c:pt>
              </c:strCache>
            </c:strRef>
          </c:tx>
          <c:spPr>
            <a:ln>
              <a:solidFill>
                <a:srgbClr val="0000FF"/>
              </a:solidFill>
              <a:prstDash val="dash"/>
            </a:ln>
          </c:spPr>
          <c:marker>
            <c:symbol val="none"/>
          </c:marker>
          <c:cat>
            <c:numRef>
              <c:f>'237'!$H$7:$H$22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'237'!$L$7:$L$22</c:f>
              <c:numCache>
                <c:formatCode>General</c:formatCode>
                <c:ptCount val="16"/>
                <c:pt idx="0">
                  <c:v>361.36799999999999</c:v>
                </c:pt>
                <c:pt idx="1">
                  <c:v>361.36799999999999</c:v>
                </c:pt>
                <c:pt idx="2">
                  <c:v>361.36799999999999</c:v>
                </c:pt>
                <c:pt idx="3">
                  <c:v>361.36799999999999</c:v>
                </c:pt>
                <c:pt idx="4">
                  <c:v>361.36799999999999</c:v>
                </c:pt>
                <c:pt idx="5">
                  <c:v>361.36799999999999</c:v>
                </c:pt>
                <c:pt idx="6">
                  <c:v>361.36799999999999</c:v>
                </c:pt>
                <c:pt idx="7">
                  <c:v>361.36799999999999</c:v>
                </c:pt>
                <c:pt idx="8">
                  <c:v>361.36799999999999</c:v>
                </c:pt>
                <c:pt idx="9">
                  <c:v>361.36799999999999</c:v>
                </c:pt>
                <c:pt idx="10">
                  <c:v>361.36799999999999</c:v>
                </c:pt>
                <c:pt idx="11">
                  <c:v>361.36799999999999</c:v>
                </c:pt>
                <c:pt idx="12">
                  <c:v>361.36799999999999</c:v>
                </c:pt>
                <c:pt idx="13">
                  <c:v>361.36799999999999</c:v>
                </c:pt>
                <c:pt idx="14">
                  <c:v>361.36799999999999</c:v>
                </c:pt>
                <c:pt idx="15">
                  <c:v>361.36799999999999</c:v>
                </c:pt>
              </c:numCache>
            </c:numRef>
          </c:val>
          <c:extLst>
            <c:ext xmlns:c16="http://schemas.microsoft.com/office/drawing/2014/chart" uri="{C3380CC4-5D6E-409C-BE32-E72D297353CC}">
              <c16:uniqueId val="{00000002-9EF6-4D86-90C9-9A3B2ED14E1A}"/>
            </c:ext>
          </c:extLst>
        </c:ser>
        <c:dLbls>
          <c:showLegendKey val="0"/>
          <c:showVal val="0"/>
          <c:showCatName val="0"/>
          <c:showSerName val="0"/>
          <c:showPercent val="0"/>
          <c:showBubbleSize val="0"/>
        </c:dLbls>
        <c:axId val="189379328"/>
        <c:axId val="189380864"/>
      </c:radarChart>
      <c:catAx>
        <c:axId val="18937932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9380864"/>
        <c:crosses val="autoZero"/>
        <c:auto val="1"/>
        <c:lblAlgn val="ctr"/>
        <c:lblOffset val="100"/>
        <c:noMultiLvlLbl val="0"/>
      </c:catAx>
      <c:valAx>
        <c:axId val="18938086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9379328"/>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'236'!$I$6</c:f>
          <c:strCache>
            <c:ptCount val="1"/>
            <c:pt idx="0">
              <c:v>JHV723EJ : 236</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'236'!$K$6</c:f>
              <c:strCache>
                <c:ptCount val="1"/>
                <c:pt idx="0">
                  <c:v>SONR</c:v>
                </c:pt>
              </c:strCache>
            </c:strRef>
          </c:tx>
          <c:spPr>
            <a:ln w="19050">
              <a:solidFill>
                <a:srgbClr val="00FF00"/>
              </a:solidFill>
            </a:ln>
          </c:spPr>
          <c:marker>
            <c:symbol val="square"/>
            <c:size val="5"/>
            <c:spPr>
              <a:noFill/>
              <a:ln>
                <a:solidFill>
                  <a:srgbClr val="00FF00"/>
                </a:solidFill>
              </a:ln>
            </c:spPr>
          </c:marker>
          <c:cat>
            <c:numRef>
              <c:f>'236'!$H$7:$H$22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'236'!$K$7:$K$22</c:f>
              <c:numCache>
                <c:formatCode>General</c:formatCode>
                <c:ptCount val="16"/>
                <c:pt idx="0">
                  <c:v>359.36599999999999</c:v>
                </c:pt>
                <c:pt idx="1">
                  <c:v>359.37599999999998</c:v>
                </c:pt>
                <c:pt idx="2">
                  <c:v>359.37900000000002</c:v>
                </c:pt>
                <c:pt idx="3">
                  <c:v>359.416</c:v>
                </c:pt>
                <c:pt idx="4">
                  <c:v>359.41500000000002</c:v>
                </c:pt>
                <c:pt idx="5">
                  <c:v>359.416</c:v>
                </c:pt>
                <c:pt idx="6">
                  <c:v>359.358</c:v>
                </c:pt>
                <c:pt idx="7">
                  <c:v>359.35</c:v>
                </c:pt>
                <c:pt idx="8">
                  <c:v>359.34699999999998</c:v>
                </c:pt>
                <c:pt idx="9">
                  <c:v>359.37700000000001</c:v>
                </c:pt>
                <c:pt idx="10">
                  <c:v>359.392</c:v>
                </c:pt>
                <c:pt idx="11">
                  <c:v>359.423</c:v>
                </c:pt>
                <c:pt idx="12">
                  <c:v>359.40800000000002</c:v>
                </c:pt>
                <c:pt idx="13">
                  <c:v>359.40899999999999</c:v>
                </c:pt>
                <c:pt idx="14">
                  <c:v>359.36799999999999</c:v>
                </c:pt>
                <c:pt idx="15">
                  <c:v>359.35700000000003</c:v>
                </c:pt>
              </c:numCache>
            </c:numRef>
          </c:val>
          <c:extLst>
            <c:ext xmlns:c16="http://schemas.microsoft.com/office/drawing/2014/chart" uri="{C3380CC4-5D6E-409C-BE32-E72D297353CC}">
              <c16:uniqueId val="{00000000-59E9-4FE7-AEA2-AD3477467053}"/>
            </c:ext>
          </c:extLst>
        </c:ser>
        <c:ser>
          <c:idx val="2"/>
          <c:order val="1"/>
          <c:tx>
            <c:strRef>
              <c:f>'236'!$M$6</c:f>
              <c:strCache>
                <c:ptCount val="1"/>
                <c:pt idx="0">
                  <c:v>Dwg Rmax</c:v>
                </c:pt>
              </c:strCache>
            </c:strRef>
          </c:tx>
          <c:spPr>
            <a:ln>
              <a:solidFill>
                <a:srgbClr val="FF0000"/>
              </a:solidFill>
              <a:prstDash val="dash"/>
            </a:ln>
          </c:spPr>
          <c:marker>
            <c:symbol val="none"/>
          </c:marker>
          <c:cat>
            <c:numRef>
              <c:f>'236'!$H$7:$H$22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'236'!$M$7:$M$22</c:f>
              <c:numCache>
                <c:formatCode>General</c:formatCode>
                <c:ptCount val="16"/>
                <c:pt idx="0">
                  <c:v>359.43199999999996</c:v>
                </c:pt>
                <c:pt idx="1">
                  <c:v>359.43199999999996</c:v>
                </c:pt>
                <c:pt idx="2">
                  <c:v>359.43199999999996</c:v>
                </c:pt>
                <c:pt idx="3">
                  <c:v>359.43199999999996</c:v>
                </c:pt>
                <c:pt idx="4">
                  <c:v>359.43199999999996</c:v>
                </c:pt>
                <c:pt idx="5">
                  <c:v>359.43199999999996</c:v>
                </c:pt>
                <c:pt idx="6">
                  <c:v>359.43199999999996</c:v>
                </c:pt>
                <c:pt idx="7">
                  <c:v>359.43199999999996</c:v>
                </c:pt>
                <c:pt idx="8">
                  <c:v>359.43199999999996</c:v>
                </c:pt>
                <c:pt idx="9">
                  <c:v>359.43199999999996</c:v>
                </c:pt>
                <c:pt idx="10">
                  <c:v>359.43199999999996</c:v>
                </c:pt>
                <c:pt idx="11">
                  <c:v>359.43199999999996</c:v>
                </c:pt>
                <c:pt idx="12">
                  <c:v>359.43199999999996</c:v>
                </c:pt>
                <c:pt idx="13">
                  <c:v>359.43199999999996</c:v>
                </c:pt>
                <c:pt idx="14">
                  <c:v>359.43199999999996</c:v>
                </c:pt>
                <c:pt idx="15">
                  <c:v>359.43199999999996</c:v>
                </c:pt>
              </c:numCache>
            </c:numRef>
          </c:val>
          <c:extLst>
            <c:ext xmlns:c16="http://schemas.microsoft.com/office/drawing/2014/chart" uri="{C3380CC4-5D6E-409C-BE32-E72D297353CC}">
              <c16:uniqueId val="{00000001-59E9-4FE7-AEA2-AD3477467053}"/>
            </c:ext>
          </c:extLst>
        </c:ser>
        <c:ser>
          <c:idx val="1"/>
          <c:order val="2"/>
          <c:tx>
            <c:strRef>
              <c:f>'236'!$L$6</c:f>
              <c:strCache>
                <c:ptCount val="1"/>
                <c:pt idx="0">
                  <c:v>Dwg Rmin</c:v>
                </c:pt>
              </c:strCache>
            </c:strRef>
          </c:tx>
          <c:spPr>
            <a:ln>
              <a:solidFill>
                <a:srgbClr val="0000FF"/>
              </a:solidFill>
              <a:prstDash val="dash"/>
            </a:ln>
          </c:spPr>
          <c:marker>
            <c:symbol val="none"/>
          </c:marker>
          <c:cat>
            <c:numRef>
              <c:f>'236'!$H$7:$H$22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'236'!$L$7:$L$22</c:f>
              <c:numCache>
                <c:formatCode>General</c:formatCode>
                <c:ptCount val="16"/>
                <c:pt idx="0">
                  <c:v>359.36799999999999</c:v>
                </c:pt>
                <c:pt idx="1">
                  <c:v>359.36799999999999</c:v>
                </c:pt>
                <c:pt idx="2">
                  <c:v>359.36799999999999</c:v>
                </c:pt>
                <c:pt idx="3">
                  <c:v>359.36799999999999</c:v>
                </c:pt>
                <c:pt idx="4">
                  <c:v>359.36799999999999</c:v>
                </c:pt>
                <c:pt idx="5">
                  <c:v>359.36799999999999</c:v>
                </c:pt>
                <c:pt idx="6">
                  <c:v>359.36799999999999</c:v>
                </c:pt>
                <c:pt idx="7">
                  <c:v>359.36799999999999</c:v>
                </c:pt>
                <c:pt idx="8">
                  <c:v>359.36799999999999</c:v>
                </c:pt>
                <c:pt idx="9">
                  <c:v>359.36799999999999</c:v>
                </c:pt>
                <c:pt idx="10">
                  <c:v>359.36799999999999</c:v>
                </c:pt>
                <c:pt idx="11">
                  <c:v>359.36799999999999</c:v>
                </c:pt>
                <c:pt idx="12">
                  <c:v>359.36799999999999</c:v>
                </c:pt>
                <c:pt idx="13">
                  <c:v>359.36799999999999</c:v>
                </c:pt>
                <c:pt idx="14">
                  <c:v>359.36799999999999</c:v>
                </c:pt>
                <c:pt idx="15">
                  <c:v>359.36799999999999</c:v>
                </c:pt>
              </c:numCache>
            </c:numRef>
          </c:val>
          <c:extLst>
            <c:ext xmlns:c16="http://schemas.microsoft.com/office/drawing/2014/chart" uri="{C3380CC4-5D6E-409C-BE32-E72D297353CC}">
              <c16:uniqueId val="{00000002-59E9-4FE7-AEA2-AD3477467053}"/>
            </c:ext>
          </c:extLst>
        </c:ser>
        <c:dLbls>
          <c:showLegendKey val="0"/>
          <c:showVal val="0"/>
          <c:showCatName val="0"/>
          <c:showSerName val="0"/>
          <c:showPercent val="0"/>
          <c:showBubbleSize val="0"/>
        </c:dLbls>
        <c:axId val="189115776"/>
        <c:axId val="189117568"/>
      </c:radarChart>
      <c:catAx>
        <c:axId val="18911577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9117568"/>
        <c:crosses val="autoZero"/>
        <c:auto val="1"/>
        <c:lblAlgn val="ctr"/>
        <c:lblOffset val="100"/>
        <c:noMultiLvlLbl val="0"/>
      </c:catAx>
      <c:valAx>
        <c:axId val="189117568"/>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9115776"/>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'238'!$I$6</c:f>
          <c:strCache>
            <c:ptCount val="1"/>
            <c:pt idx="0">
              <c:v>JHV723EJ : 238_2001</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'238'!$K$6</c:f>
              <c:strCache>
                <c:ptCount val="1"/>
                <c:pt idx="0">
                  <c:v>SONR</c:v>
                </c:pt>
              </c:strCache>
            </c:strRef>
          </c:tx>
          <c:spPr>
            <a:ln w="19050">
              <a:solidFill>
                <a:srgbClr val="00FF00"/>
              </a:solidFill>
            </a:ln>
          </c:spPr>
          <c:marker>
            <c:symbol val="square"/>
            <c:size val="5"/>
            <c:spPr>
              <a:noFill/>
              <a:ln>
                <a:solidFill>
                  <a:srgbClr val="00FF00"/>
                </a:solidFill>
              </a:ln>
            </c:spPr>
          </c:marker>
          <c:cat>
            <c:numRef>
              <c:f>'238'!$H$7:$H$22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'238'!$K$7:$K$22</c:f>
              <c:numCache>
                <c:formatCode>General</c:formatCode>
                <c:ptCount val="16"/>
                <c:pt idx="0">
                  <c:v>374.50400000000002</c:v>
                </c:pt>
                <c:pt idx="1">
                  <c:v>374.52800000000002</c:v>
                </c:pt>
                <c:pt idx="2">
                  <c:v>374.53</c:v>
                </c:pt>
                <c:pt idx="3">
                  <c:v>374.56299999999999</c:v>
                </c:pt>
                <c:pt idx="4">
                  <c:v>374.56</c:v>
                </c:pt>
                <c:pt idx="5">
                  <c:v>374.56599999999997</c:v>
                </c:pt>
                <c:pt idx="6">
                  <c:v>374.51</c:v>
                </c:pt>
                <c:pt idx="7">
                  <c:v>374.51100000000002</c:v>
                </c:pt>
                <c:pt idx="8">
                  <c:v>374.495</c:v>
                </c:pt>
                <c:pt idx="9">
                  <c:v>374.51799999999997</c:v>
                </c:pt>
                <c:pt idx="10">
                  <c:v>374.53800000000001</c:v>
                </c:pt>
                <c:pt idx="11">
                  <c:v>374.56900000000002</c:v>
                </c:pt>
                <c:pt idx="12">
                  <c:v>374.56599999999997</c:v>
                </c:pt>
                <c:pt idx="13">
                  <c:v>374.56200000000001</c:v>
                </c:pt>
                <c:pt idx="14">
                  <c:v>374.51400000000001</c:v>
                </c:pt>
                <c:pt idx="15">
                  <c:v>374.51100000000002</c:v>
                </c:pt>
              </c:numCache>
            </c:numRef>
          </c:val>
          <c:extLst>
            <c:ext xmlns:c16="http://schemas.microsoft.com/office/drawing/2014/chart" uri="{C3380CC4-5D6E-409C-BE32-E72D297353CC}">
              <c16:uniqueId val="{00000000-FD67-4796-B35D-67E36AD12030}"/>
            </c:ext>
          </c:extLst>
        </c:ser>
        <c:ser>
          <c:idx val="2"/>
          <c:order val="1"/>
          <c:tx>
            <c:strRef>
              <c:f>'238'!$M$6</c:f>
              <c:strCache>
                <c:ptCount val="1"/>
                <c:pt idx="0">
                  <c:v>Dwg Rmax</c:v>
                </c:pt>
              </c:strCache>
            </c:strRef>
          </c:tx>
          <c:spPr>
            <a:ln>
              <a:solidFill>
                <a:srgbClr val="FF0000"/>
              </a:solidFill>
              <a:prstDash val="dash"/>
            </a:ln>
          </c:spPr>
          <c:marker>
            <c:symbol val="none"/>
          </c:marker>
          <c:cat>
            <c:numRef>
              <c:f>'238'!$H$7:$H$22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'238'!$M$7:$M$22</c:f>
              <c:numCache>
                <c:formatCode>General</c:formatCode>
                <c:ptCount val="16"/>
                <c:pt idx="0">
                  <c:v>374.58199999999999</c:v>
                </c:pt>
                <c:pt idx="1">
                  <c:v>374.58199999999999</c:v>
                </c:pt>
                <c:pt idx="2">
                  <c:v>374.58199999999999</c:v>
                </c:pt>
                <c:pt idx="3">
                  <c:v>374.58199999999999</c:v>
                </c:pt>
                <c:pt idx="4">
                  <c:v>374.58199999999999</c:v>
                </c:pt>
                <c:pt idx="5">
                  <c:v>374.58199999999999</c:v>
                </c:pt>
                <c:pt idx="6">
                  <c:v>374.58199999999999</c:v>
                </c:pt>
                <c:pt idx="7">
                  <c:v>374.58199999999999</c:v>
                </c:pt>
                <c:pt idx="8">
                  <c:v>374.58199999999999</c:v>
                </c:pt>
                <c:pt idx="9">
                  <c:v>374.58199999999999</c:v>
                </c:pt>
                <c:pt idx="10">
                  <c:v>374.58199999999999</c:v>
                </c:pt>
                <c:pt idx="11">
                  <c:v>374.58199999999999</c:v>
                </c:pt>
                <c:pt idx="12">
                  <c:v>374.58199999999999</c:v>
                </c:pt>
                <c:pt idx="13">
                  <c:v>374.58199999999999</c:v>
                </c:pt>
                <c:pt idx="14">
                  <c:v>374.58199999999999</c:v>
                </c:pt>
                <c:pt idx="15">
                  <c:v>374.58199999999999</c:v>
                </c:pt>
              </c:numCache>
            </c:numRef>
          </c:val>
          <c:extLst>
            <c:ext xmlns:c16="http://schemas.microsoft.com/office/drawing/2014/chart" uri="{C3380CC4-5D6E-409C-BE32-E72D297353CC}">
              <c16:uniqueId val="{00000001-FD67-4796-B35D-67E36AD12030}"/>
            </c:ext>
          </c:extLst>
        </c:ser>
        <c:ser>
          <c:idx val="1"/>
          <c:order val="2"/>
          <c:tx>
            <c:strRef>
              <c:f>'238'!$L$6</c:f>
              <c:strCache>
                <c:ptCount val="1"/>
                <c:pt idx="0">
                  <c:v>Dwg Rmin</c:v>
                </c:pt>
              </c:strCache>
            </c:strRef>
          </c:tx>
          <c:spPr>
            <a:ln>
              <a:solidFill>
                <a:srgbClr val="0000FF"/>
              </a:solidFill>
              <a:prstDash val="dash"/>
            </a:ln>
          </c:spPr>
          <c:marker>
            <c:symbol val="none"/>
          </c:marker>
          <c:cat>
            <c:numRef>
              <c:f>'238'!$H$7:$H$22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'238'!$L$7:$L$22</c:f>
              <c:numCache>
                <c:formatCode>General</c:formatCode>
                <c:ptCount val="16"/>
                <c:pt idx="0">
                  <c:v>374.51800000000003</c:v>
                </c:pt>
                <c:pt idx="1">
                  <c:v>374.51800000000003</c:v>
                </c:pt>
                <c:pt idx="2">
                  <c:v>374.51800000000003</c:v>
                </c:pt>
                <c:pt idx="3">
                  <c:v>374.51800000000003</c:v>
                </c:pt>
                <c:pt idx="4">
                  <c:v>374.51800000000003</c:v>
                </c:pt>
                <c:pt idx="5">
                  <c:v>374.51800000000003</c:v>
                </c:pt>
                <c:pt idx="6">
                  <c:v>374.51800000000003</c:v>
                </c:pt>
                <c:pt idx="7">
                  <c:v>374.51800000000003</c:v>
                </c:pt>
                <c:pt idx="8">
                  <c:v>374.51800000000003</c:v>
                </c:pt>
                <c:pt idx="9">
                  <c:v>374.51800000000003</c:v>
                </c:pt>
                <c:pt idx="10">
                  <c:v>374.51800000000003</c:v>
                </c:pt>
                <c:pt idx="11">
                  <c:v>374.51800000000003</c:v>
                </c:pt>
                <c:pt idx="12">
                  <c:v>374.51800000000003</c:v>
                </c:pt>
                <c:pt idx="13">
                  <c:v>374.51800000000003</c:v>
                </c:pt>
                <c:pt idx="14">
                  <c:v>374.51800000000003</c:v>
                </c:pt>
                <c:pt idx="15">
                  <c:v>374.51800000000003</c:v>
                </c:pt>
              </c:numCache>
            </c:numRef>
          </c:val>
          <c:extLst>
            <c:ext xmlns:c16="http://schemas.microsoft.com/office/drawing/2014/chart" uri="{C3380CC4-5D6E-409C-BE32-E72D297353CC}">
              <c16:uniqueId val="{00000002-FD67-4796-B35D-67E36AD12030}"/>
            </c:ext>
          </c:extLst>
        </c:ser>
        <c:dLbls>
          <c:showLegendKey val="0"/>
          <c:showVal val="0"/>
          <c:showCatName val="0"/>
          <c:showSerName val="0"/>
          <c:showPercent val="0"/>
          <c:showBubbleSize val="0"/>
        </c:dLbls>
        <c:axId val="189393152"/>
        <c:axId val="189394944"/>
      </c:radarChart>
      <c:catAx>
        <c:axId val="189393152"/>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9394944"/>
        <c:crosses val="autoZero"/>
        <c:auto val="1"/>
        <c:lblAlgn val="ctr"/>
        <c:lblOffset val="100"/>
        <c:noMultiLvlLbl val="0"/>
      </c:catAx>
      <c:valAx>
        <c:axId val="18939494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9393152"/>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'238'!$I$61</c:f>
          <c:strCache>
            <c:ptCount val="1"/>
            <c:pt idx="0">
              <c:v>JHV723EJ : 238_2002</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'238'!$K$61</c:f>
              <c:strCache>
                <c:ptCount val="1"/>
                <c:pt idx="0">
                  <c:v>SONR</c:v>
                </c:pt>
              </c:strCache>
            </c:strRef>
          </c:tx>
          <c:spPr>
            <a:ln w="19050">
              <a:solidFill>
                <a:srgbClr val="00FF00"/>
              </a:solidFill>
            </a:ln>
          </c:spPr>
          <c:marker>
            <c:symbol val="square"/>
            <c:size val="5"/>
            <c:spPr>
              <a:noFill/>
              <a:ln>
                <a:solidFill>
                  <a:srgbClr val="00FF00"/>
                </a:solidFill>
              </a:ln>
            </c:spPr>
          </c:marker>
          <c:cat>
            <c:numRef>
              <c:f>'238'!$H$62:$H$77</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'238'!$K$62:$K$77</c:f>
              <c:numCache>
                <c:formatCode>General</c:formatCode>
                <c:ptCount val="16"/>
                <c:pt idx="0">
                  <c:v>374.51500000133507</c:v>
                </c:pt>
                <c:pt idx="1">
                  <c:v>374.53800001201483</c:v>
                </c:pt>
                <c:pt idx="2">
                  <c:v>374.54</c:v>
                </c:pt>
                <c:pt idx="3">
                  <c:v>374.57500002135754</c:v>
                </c:pt>
                <c:pt idx="4">
                  <c:v>374.57000000133485</c:v>
                </c:pt>
                <c:pt idx="5">
                  <c:v>374.57900000533931</c:v>
                </c:pt>
                <c:pt idx="6">
                  <c:v>374.529</c:v>
                </c:pt>
                <c:pt idx="7">
                  <c:v>374.52700000534008</c:v>
                </c:pt>
                <c:pt idx="8">
                  <c:v>374.51400000133509</c:v>
                </c:pt>
                <c:pt idx="9">
                  <c:v>374.52600000534011</c:v>
                </c:pt>
                <c:pt idx="10">
                  <c:v>374.54900001201446</c:v>
                </c:pt>
                <c:pt idx="11">
                  <c:v>374.58100000133487</c:v>
                </c:pt>
                <c:pt idx="12">
                  <c:v>374.58000000133484</c:v>
                </c:pt>
                <c:pt idx="13">
                  <c:v>374.56800000133489</c:v>
                </c:pt>
                <c:pt idx="14">
                  <c:v>374.52000000133506</c:v>
                </c:pt>
                <c:pt idx="15">
                  <c:v>374.51500001201555</c:v>
                </c:pt>
              </c:numCache>
            </c:numRef>
          </c:val>
          <c:extLst>
            <c:ext xmlns:c16="http://schemas.microsoft.com/office/drawing/2014/chart" uri="{C3380CC4-5D6E-409C-BE32-E72D297353CC}">
              <c16:uniqueId val="{00000000-7EE0-4FED-A4FD-55C251E50406}"/>
            </c:ext>
          </c:extLst>
        </c:ser>
        <c:ser>
          <c:idx val="2"/>
          <c:order val="1"/>
          <c:tx>
            <c:strRef>
              <c:f>'238'!$M$61</c:f>
              <c:strCache>
                <c:ptCount val="1"/>
                <c:pt idx="0">
                  <c:v>Dwg Rmax</c:v>
                </c:pt>
              </c:strCache>
            </c:strRef>
          </c:tx>
          <c:spPr>
            <a:ln>
              <a:solidFill>
                <a:srgbClr val="FF0000"/>
              </a:solidFill>
              <a:prstDash val="dash"/>
            </a:ln>
          </c:spPr>
          <c:marker>
            <c:symbol val="none"/>
          </c:marker>
          <c:cat>
            <c:numRef>
              <c:f>'238'!$H$62:$H$77</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'238'!$M$62:$M$77</c:f>
              <c:numCache>
                <c:formatCode>General</c:formatCode>
                <c:ptCount val="16"/>
                <c:pt idx="0">
                  <c:v>374.58199999999999</c:v>
                </c:pt>
                <c:pt idx="1">
                  <c:v>374.58199999999999</c:v>
                </c:pt>
                <c:pt idx="2">
                  <c:v>374.58199999999999</c:v>
                </c:pt>
                <c:pt idx="3">
                  <c:v>374.58199999999999</c:v>
                </c:pt>
                <c:pt idx="4">
                  <c:v>374.58199999999999</c:v>
                </c:pt>
                <c:pt idx="5">
                  <c:v>374.58199999999999</c:v>
                </c:pt>
                <c:pt idx="6">
                  <c:v>374.58199999999999</c:v>
                </c:pt>
                <c:pt idx="7">
                  <c:v>374.58199999999999</c:v>
                </c:pt>
                <c:pt idx="8">
                  <c:v>374.58199999999999</c:v>
                </c:pt>
                <c:pt idx="9">
                  <c:v>374.58199999999999</c:v>
                </c:pt>
                <c:pt idx="10">
                  <c:v>374.58199999999999</c:v>
                </c:pt>
                <c:pt idx="11">
                  <c:v>374.58199999999999</c:v>
                </c:pt>
                <c:pt idx="12">
                  <c:v>374.58199999999999</c:v>
                </c:pt>
                <c:pt idx="13">
                  <c:v>374.58199999999999</c:v>
                </c:pt>
                <c:pt idx="14">
                  <c:v>374.58199999999999</c:v>
                </c:pt>
                <c:pt idx="15">
                  <c:v>374.58199999999999</c:v>
                </c:pt>
              </c:numCache>
            </c:numRef>
          </c:val>
          <c:extLst>
            <c:ext xmlns:c16="http://schemas.microsoft.com/office/drawing/2014/chart" uri="{C3380CC4-5D6E-409C-BE32-E72D297353CC}">
              <c16:uniqueId val="{00000001-7EE0-4FED-A4FD-55C251E50406}"/>
            </c:ext>
          </c:extLst>
        </c:ser>
        <c:ser>
          <c:idx val="1"/>
          <c:order val="2"/>
          <c:tx>
            <c:strRef>
              <c:f>'238'!$L$61</c:f>
              <c:strCache>
                <c:ptCount val="1"/>
                <c:pt idx="0">
                  <c:v>Dwg Rmin</c:v>
                </c:pt>
              </c:strCache>
            </c:strRef>
          </c:tx>
          <c:spPr>
            <a:ln>
              <a:solidFill>
                <a:srgbClr val="0000FF"/>
              </a:solidFill>
              <a:prstDash val="dash"/>
            </a:ln>
          </c:spPr>
          <c:marker>
            <c:symbol val="none"/>
          </c:marker>
          <c:cat>
            <c:numRef>
              <c:f>'238'!$H$62:$H$77</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'238'!$L$62:$L$77</c:f>
              <c:numCache>
                <c:formatCode>General</c:formatCode>
                <c:ptCount val="16"/>
                <c:pt idx="0">
                  <c:v>374.51800000000003</c:v>
                </c:pt>
                <c:pt idx="1">
                  <c:v>374.51800000000003</c:v>
                </c:pt>
                <c:pt idx="2">
                  <c:v>374.51800000000003</c:v>
                </c:pt>
                <c:pt idx="3">
                  <c:v>374.51800000000003</c:v>
                </c:pt>
                <c:pt idx="4">
                  <c:v>374.51800000000003</c:v>
                </c:pt>
                <c:pt idx="5">
                  <c:v>374.51800000000003</c:v>
                </c:pt>
                <c:pt idx="6">
                  <c:v>374.51800000000003</c:v>
                </c:pt>
                <c:pt idx="7">
                  <c:v>374.51800000000003</c:v>
                </c:pt>
                <c:pt idx="8">
                  <c:v>374.51800000000003</c:v>
                </c:pt>
                <c:pt idx="9">
                  <c:v>374.51800000000003</c:v>
                </c:pt>
                <c:pt idx="10">
                  <c:v>374.51800000000003</c:v>
                </c:pt>
                <c:pt idx="11">
                  <c:v>374.51800000000003</c:v>
                </c:pt>
                <c:pt idx="12">
                  <c:v>374.51800000000003</c:v>
                </c:pt>
                <c:pt idx="13">
                  <c:v>374.51800000000003</c:v>
                </c:pt>
                <c:pt idx="14">
                  <c:v>374.51800000000003</c:v>
                </c:pt>
                <c:pt idx="15">
                  <c:v>374.51800000000003</c:v>
                </c:pt>
              </c:numCache>
            </c:numRef>
          </c:val>
          <c:extLst>
            <c:ext xmlns:c16="http://schemas.microsoft.com/office/drawing/2014/chart" uri="{C3380CC4-5D6E-409C-BE32-E72D297353CC}">
              <c16:uniqueId val="{00000002-7EE0-4FED-A4FD-55C251E50406}"/>
            </c:ext>
          </c:extLst>
        </c:ser>
        <c:dLbls>
          <c:showLegendKey val="0"/>
          <c:showVal val="0"/>
          <c:showCatName val="0"/>
          <c:showSerName val="0"/>
          <c:showPercent val="0"/>
          <c:showBubbleSize val="0"/>
        </c:dLbls>
        <c:axId val="189742080"/>
        <c:axId val="189747968"/>
      </c:radarChart>
      <c:catAx>
        <c:axId val="18974208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89747968"/>
        <c:crosses val="autoZero"/>
        <c:auto val="1"/>
        <c:lblAlgn val="ctr"/>
        <c:lblOffset val="100"/>
        <c:noMultiLvlLbl val="0"/>
      </c:catAx>
      <c:valAx>
        <c:axId val="189747968"/>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89742080"/>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'239'!$I$6</c:f>
          <c:strCache>
            <c:ptCount val="1"/>
            <c:pt idx="0">
              <c:v>JHV723EJ : 239</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'239'!$K$6</c:f>
              <c:strCache>
                <c:ptCount val="1"/>
                <c:pt idx="0">
                  <c:v>SONR</c:v>
                </c:pt>
              </c:strCache>
            </c:strRef>
          </c:tx>
          <c:spPr>
            <a:ln w="19050">
              <a:solidFill>
                <a:srgbClr val="00FF00"/>
              </a:solidFill>
            </a:ln>
          </c:spPr>
          <c:marker>
            <c:symbol val="square"/>
            <c:size val="5"/>
            <c:spPr>
              <a:noFill/>
              <a:ln>
                <a:solidFill>
                  <a:srgbClr val="00FF00"/>
                </a:solidFill>
              </a:ln>
            </c:spPr>
          </c:marker>
          <c:cat>
            <c:numRef>
              <c:f>'239'!$H$7:$H$22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'239'!$K$7:$K$22</c:f>
              <c:numCache>
                <c:formatCode>General</c:formatCode>
                <c:ptCount val="16"/>
                <c:pt idx="0">
                  <c:v>376.71199999999999</c:v>
                </c:pt>
                <c:pt idx="1">
                  <c:v>376.72899999999998</c:v>
                </c:pt>
                <c:pt idx="2">
                  <c:v>376.73399999999998</c:v>
                </c:pt>
                <c:pt idx="3">
                  <c:v>376.77199999999999</c:v>
                </c:pt>
                <c:pt idx="4">
                  <c:v>376.762</c:v>
                </c:pt>
                <c:pt idx="5">
                  <c:v>376.77300000000002</c:v>
                </c:pt>
                <c:pt idx="6">
                  <c:v>376.71800000000002</c:v>
                </c:pt>
                <c:pt idx="7">
                  <c:v>376.71600000000001</c:v>
                </c:pt>
                <c:pt idx="8">
                  <c:v>376.70499999999998</c:v>
                </c:pt>
                <c:pt idx="9">
                  <c:v>376.71800000000002</c:v>
                </c:pt>
                <c:pt idx="10">
                  <c:v>376.74200000000002</c:v>
                </c:pt>
                <c:pt idx="11">
                  <c:v>376.77600000000001</c:v>
                </c:pt>
                <c:pt idx="12">
                  <c:v>376.77</c:v>
                </c:pt>
                <c:pt idx="13">
                  <c:v>376.76799999999997</c:v>
                </c:pt>
                <c:pt idx="14">
                  <c:v>376.71800000000002</c:v>
                </c:pt>
                <c:pt idx="15">
                  <c:v>376.70800000000003</c:v>
                </c:pt>
              </c:numCache>
            </c:numRef>
          </c:val>
          <c:extLst>
            <c:ext xmlns:c16="http://schemas.microsoft.com/office/drawing/2014/chart" uri="{C3380CC4-5D6E-409C-BE32-E72D297353CC}">
              <c16:uniqueId val="{00000000-1A0B-423E-A046-B30E85CFE2EF}"/>
            </c:ext>
          </c:extLst>
        </c:ser>
        <c:ser>
          <c:idx val="2"/>
          <c:order val="1"/>
          <c:tx>
            <c:strRef>
              <c:f>'239'!$M$6</c:f>
              <c:strCache>
                <c:ptCount val="1"/>
                <c:pt idx="0">
                  <c:v>Dwg Rmax</c:v>
                </c:pt>
              </c:strCache>
            </c:strRef>
          </c:tx>
          <c:spPr>
            <a:ln>
              <a:solidFill>
                <a:srgbClr val="FF0000"/>
              </a:solidFill>
              <a:prstDash val="dash"/>
            </a:ln>
          </c:spPr>
          <c:marker>
            <c:symbol val="none"/>
          </c:marker>
          <c:cat>
            <c:numRef>
              <c:f>'239'!$H$7:$H$22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'239'!$M$7:$M$22</c:f>
              <c:numCache>
                <c:formatCode>General</c:formatCode>
                <c:ptCount val="16"/>
                <c:pt idx="0">
                  <c:v>376.78199999999998</c:v>
                </c:pt>
                <c:pt idx="1">
                  <c:v>376.78199999999998</c:v>
                </c:pt>
                <c:pt idx="2">
                  <c:v>376.78199999999998</c:v>
                </c:pt>
                <c:pt idx="3">
                  <c:v>376.78199999999998</c:v>
                </c:pt>
                <c:pt idx="4">
                  <c:v>376.78199999999998</c:v>
                </c:pt>
                <c:pt idx="5">
                  <c:v>376.78199999999998</c:v>
                </c:pt>
                <c:pt idx="6">
                  <c:v>376.78199999999998</c:v>
                </c:pt>
                <c:pt idx="7">
                  <c:v>376.78199999999998</c:v>
                </c:pt>
                <c:pt idx="8">
                  <c:v>376.78199999999998</c:v>
                </c:pt>
                <c:pt idx="9">
                  <c:v>376.78199999999998</c:v>
                </c:pt>
                <c:pt idx="10">
                  <c:v>376.78199999999998</c:v>
                </c:pt>
                <c:pt idx="11">
                  <c:v>376.78199999999998</c:v>
                </c:pt>
                <c:pt idx="12">
                  <c:v>376.78199999999998</c:v>
                </c:pt>
                <c:pt idx="13">
                  <c:v>376.78199999999998</c:v>
                </c:pt>
                <c:pt idx="14">
                  <c:v>376.78199999999998</c:v>
                </c:pt>
                <c:pt idx="15">
                  <c:v>376.78199999999998</c:v>
                </c:pt>
              </c:numCache>
            </c:numRef>
          </c:val>
          <c:extLst>
            <c:ext xmlns:c16="http://schemas.microsoft.com/office/drawing/2014/chart" uri="{C3380CC4-5D6E-409C-BE32-E72D297353CC}">
              <c16:uniqueId val="{00000001-1A0B-423E-A046-B30E85CFE2EF}"/>
            </c:ext>
          </c:extLst>
        </c:ser>
        <c:ser>
          <c:idx val="1"/>
          <c:order val="2"/>
          <c:tx>
            <c:strRef>
              <c:f>'239'!$L$6</c:f>
              <c:strCache>
                <c:ptCount val="1"/>
                <c:pt idx="0">
                  <c:v>Dwg Rmin</c:v>
                </c:pt>
              </c:strCache>
            </c:strRef>
          </c:tx>
          <c:spPr>
            <a:ln>
              <a:solidFill>
                <a:srgbClr val="0000FF"/>
              </a:solidFill>
              <a:prstDash val="dash"/>
            </a:ln>
          </c:spPr>
          <c:marker>
            <c:symbol val="none"/>
          </c:marker>
          <c:cat>
            <c:numRef>
              <c:f>'239'!$H$7:$H$22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'239'!$L$7:$L$22</c:f>
              <c:numCache>
                <c:formatCode>General</c:formatCode>
                <c:ptCount val="16"/>
                <c:pt idx="0">
                  <c:v>376.71800000000002</c:v>
                </c:pt>
                <c:pt idx="1">
                  <c:v>376.71800000000002</c:v>
                </c:pt>
                <c:pt idx="2">
                  <c:v>376.71800000000002</c:v>
                </c:pt>
                <c:pt idx="3">
                  <c:v>376.71800000000002</c:v>
                </c:pt>
                <c:pt idx="4">
                  <c:v>376.71800000000002</c:v>
                </c:pt>
                <c:pt idx="5">
                  <c:v>376.71800000000002</c:v>
                </c:pt>
                <c:pt idx="6">
                  <c:v>376.71800000000002</c:v>
                </c:pt>
                <c:pt idx="7">
                  <c:v>376.71800000000002</c:v>
                </c:pt>
                <c:pt idx="8">
                  <c:v>376.71800000000002</c:v>
                </c:pt>
                <c:pt idx="9">
                  <c:v>376.71800000000002</c:v>
                </c:pt>
                <c:pt idx="10">
                  <c:v>376.71800000000002</c:v>
                </c:pt>
                <c:pt idx="11">
                  <c:v>376.71800000000002</c:v>
                </c:pt>
                <c:pt idx="12">
                  <c:v>376.71800000000002</c:v>
                </c:pt>
                <c:pt idx="13">
                  <c:v>376.71800000000002</c:v>
                </c:pt>
                <c:pt idx="14">
                  <c:v>376.71800000000002</c:v>
                </c:pt>
                <c:pt idx="15">
                  <c:v>376.71800000000002</c:v>
                </c:pt>
              </c:numCache>
            </c:numRef>
          </c:val>
          <c:extLst>
            <c:ext xmlns:c16="http://schemas.microsoft.com/office/drawing/2014/chart" uri="{C3380CC4-5D6E-409C-BE32-E72D297353CC}">
              <c16:uniqueId val="{00000002-1A0B-423E-A046-B30E85CFE2EF}"/>
            </c:ext>
          </c:extLst>
        </c:ser>
        <c:dLbls>
          <c:showLegendKey val="0"/>
          <c:showVal val="0"/>
          <c:showCatName val="0"/>
          <c:showSerName val="0"/>
          <c:showPercent val="0"/>
          <c:showBubbleSize val="0"/>
        </c:dLbls>
        <c:axId val="190321024"/>
        <c:axId val="190322560"/>
      </c:radarChart>
      <c:catAx>
        <c:axId val="19032102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90322560"/>
        <c:crosses val="autoZero"/>
        <c:auto val="1"/>
        <c:lblAlgn val="ctr"/>
        <c:lblOffset val="100"/>
        <c:noMultiLvlLbl val="0"/>
      </c:catAx>
      <c:valAx>
        <c:axId val="190322560"/>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90321024"/>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'240'!$I$6</c:f>
          <c:strCache>
            <c:ptCount val="1"/>
            <c:pt idx="0">
              <c:v>JHV723EJ : 240</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'240'!$K$6</c:f>
              <c:strCache>
                <c:ptCount val="1"/>
                <c:pt idx="0">
                  <c:v>SONR</c:v>
                </c:pt>
              </c:strCache>
            </c:strRef>
          </c:tx>
          <c:spPr>
            <a:ln w="19050">
              <a:solidFill>
                <a:srgbClr val="00FF00"/>
              </a:solidFill>
            </a:ln>
          </c:spPr>
          <c:marker>
            <c:symbol val="square"/>
            <c:size val="5"/>
            <c:spPr>
              <a:noFill/>
              <a:ln>
                <a:solidFill>
                  <a:srgbClr val="00FF00"/>
                </a:solidFill>
              </a:ln>
            </c:spPr>
          </c:marker>
          <c:cat>
            <c:numRef>
              <c:f>'240'!$H$7:$H$22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'240'!$K$7:$K$22</c:f>
              <c:numCache>
                <c:formatCode>General</c:formatCode>
                <c:ptCount val="16"/>
                <c:pt idx="0">
                  <c:v>394.86599999999999</c:v>
                </c:pt>
                <c:pt idx="1">
                  <c:v>394.89100000000002</c:v>
                </c:pt>
                <c:pt idx="2">
                  <c:v>394.9</c:v>
                </c:pt>
                <c:pt idx="3">
                  <c:v>394.91699999999997</c:v>
                </c:pt>
                <c:pt idx="4">
                  <c:v>394.91</c:v>
                </c:pt>
                <c:pt idx="5">
                  <c:v>394.91399999999999</c:v>
                </c:pt>
                <c:pt idx="6">
                  <c:v>394.88499999999999</c:v>
                </c:pt>
                <c:pt idx="7">
                  <c:v>394.88</c:v>
                </c:pt>
                <c:pt idx="8">
                  <c:v>394.86399999999998</c:v>
                </c:pt>
                <c:pt idx="9">
                  <c:v>394.87400000000002</c:v>
                </c:pt>
                <c:pt idx="10">
                  <c:v>394.89</c:v>
                </c:pt>
                <c:pt idx="11">
                  <c:v>394.935</c:v>
                </c:pt>
                <c:pt idx="12">
                  <c:v>394.93</c:v>
                </c:pt>
                <c:pt idx="13">
                  <c:v>394.911</c:v>
                </c:pt>
                <c:pt idx="14">
                  <c:v>394.86799999999999</c:v>
                </c:pt>
                <c:pt idx="15">
                  <c:v>394.85700000000003</c:v>
                </c:pt>
              </c:numCache>
            </c:numRef>
          </c:val>
          <c:extLst>
            <c:ext xmlns:c16="http://schemas.microsoft.com/office/drawing/2014/chart" uri="{C3380CC4-5D6E-409C-BE32-E72D297353CC}">
              <c16:uniqueId val="{00000000-F14E-48EA-BF7A-7DF9CEAC6FE7}"/>
            </c:ext>
          </c:extLst>
        </c:ser>
        <c:ser>
          <c:idx val="2"/>
          <c:order val="1"/>
          <c:tx>
            <c:strRef>
              <c:f>'240'!$M$6</c:f>
              <c:strCache>
                <c:ptCount val="1"/>
                <c:pt idx="0">
                  <c:v>Dwg Rmax</c:v>
                </c:pt>
              </c:strCache>
            </c:strRef>
          </c:tx>
          <c:spPr>
            <a:ln>
              <a:solidFill>
                <a:srgbClr val="FF0000"/>
              </a:solidFill>
              <a:prstDash val="dash"/>
            </a:ln>
          </c:spPr>
          <c:marker>
            <c:symbol val="none"/>
          </c:marker>
          <c:cat>
            <c:numRef>
              <c:f>'240'!$H$7:$H$22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'240'!$M$7:$M$22</c:f>
              <c:numCache>
                <c:formatCode>General</c:formatCode>
                <c:ptCount val="16"/>
                <c:pt idx="0">
                  <c:v>394.93199999999996</c:v>
                </c:pt>
                <c:pt idx="1">
                  <c:v>394.93199999999996</c:v>
                </c:pt>
                <c:pt idx="2">
                  <c:v>394.93199999999996</c:v>
                </c:pt>
                <c:pt idx="3">
                  <c:v>394.93199999999996</c:v>
                </c:pt>
                <c:pt idx="4">
                  <c:v>394.93199999999996</c:v>
                </c:pt>
                <c:pt idx="5">
                  <c:v>394.93199999999996</c:v>
                </c:pt>
                <c:pt idx="6">
                  <c:v>394.93199999999996</c:v>
                </c:pt>
                <c:pt idx="7">
                  <c:v>394.93199999999996</c:v>
                </c:pt>
                <c:pt idx="8">
                  <c:v>394.93199999999996</c:v>
                </c:pt>
                <c:pt idx="9">
                  <c:v>394.93199999999996</c:v>
                </c:pt>
                <c:pt idx="10">
                  <c:v>394.93199999999996</c:v>
                </c:pt>
                <c:pt idx="11">
                  <c:v>394.93199999999996</c:v>
                </c:pt>
                <c:pt idx="12">
                  <c:v>394.93199999999996</c:v>
                </c:pt>
                <c:pt idx="13">
                  <c:v>394.93199999999996</c:v>
                </c:pt>
                <c:pt idx="14">
                  <c:v>394.93199999999996</c:v>
                </c:pt>
                <c:pt idx="15">
                  <c:v>394.93199999999996</c:v>
                </c:pt>
              </c:numCache>
            </c:numRef>
          </c:val>
          <c:extLst>
            <c:ext xmlns:c16="http://schemas.microsoft.com/office/drawing/2014/chart" uri="{C3380CC4-5D6E-409C-BE32-E72D297353CC}">
              <c16:uniqueId val="{00000001-F14E-48EA-BF7A-7DF9CEAC6FE7}"/>
            </c:ext>
          </c:extLst>
        </c:ser>
        <c:ser>
          <c:idx val="1"/>
          <c:order val="2"/>
          <c:tx>
            <c:strRef>
              <c:f>'240'!$L$6</c:f>
              <c:strCache>
                <c:ptCount val="1"/>
                <c:pt idx="0">
                  <c:v>Dwg Rmin</c:v>
                </c:pt>
              </c:strCache>
            </c:strRef>
          </c:tx>
          <c:spPr>
            <a:ln>
              <a:solidFill>
                <a:srgbClr val="0000FF"/>
              </a:solidFill>
              <a:prstDash val="dash"/>
            </a:ln>
          </c:spPr>
          <c:marker>
            <c:symbol val="none"/>
          </c:marker>
          <c:cat>
            <c:numRef>
              <c:f>'240'!$H$7:$H$22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'240'!$L$7:$L$22</c:f>
              <c:numCache>
                <c:formatCode>General</c:formatCode>
                <c:ptCount val="16"/>
                <c:pt idx="0">
                  <c:v>394.86799999999999</c:v>
                </c:pt>
                <c:pt idx="1">
                  <c:v>394.86799999999999</c:v>
                </c:pt>
                <c:pt idx="2">
                  <c:v>394.86799999999999</c:v>
                </c:pt>
                <c:pt idx="3">
                  <c:v>394.86799999999999</c:v>
                </c:pt>
                <c:pt idx="4">
                  <c:v>394.86799999999999</c:v>
                </c:pt>
                <c:pt idx="5">
                  <c:v>394.86799999999999</c:v>
                </c:pt>
                <c:pt idx="6">
                  <c:v>394.86799999999999</c:v>
                </c:pt>
                <c:pt idx="7">
                  <c:v>394.86799999999999</c:v>
                </c:pt>
                <c:pt idx="8">
                  <c:v>394.86799999999999</c:v>
                </c:pt>
                <c:pt idx="9">
                  <c:v>394.86799999999999</c:v>
                </c:pt>
                <c:pt idx="10">
                  <c:v>394.86799999999999</c:v>
                </c:pt>
                <c:pt idx="11">
                  <c:v>394.86799999999999</c:v>
                </c:pt>
                <c:pt idx="12">
                  <c:v>394.86799999999999</c:v>
                </c:pt>
                <c:pt idx="13">
                  <c:v>394.86799999999999</c:v>
                </c:pt>
                <c:pt idx="14">
                  <c:v>394.86799999999999</c:v>
                </c:pt>
                <c:pt idx="15">
                  <c:v>394.86799999999999</c:v>
                </c:pt>
              </c:numCache>
            </c:numRef>
          </c:val>
          <c:extLst>
            <c:ext xmlns:c16="http://schemas.microsoft.com/office/drawing/2014/chart" uri="{C3380CC4-5D6E-409C-BE32-E72D297353CC}">
              <c16:uniqueId val="{00000002-F14E-48EA-BF7A-7DF9CEAC6FE7}"/>
            </c:ext>
          </c:extLst>
        </c:ser>
        <c:dLbls>
          <c:showLegendKey val="0"/>
          <c:showVal val="0"/>
          <c:showCatName val="0"/>
          <c:showSerName val="0"/>
          <c:showPercent val="0"/>
          <c:showBubbleSize val="0"/>
        </c:dLbls>
        <c:axId val="190338560"/>
        <c:axId val="190340096"/>
      </c:radarChart>
      <c:catAx>
        <c:axId val="19033856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90340096"/>
        <c:crosses val="autoZero"/>
        <c:auto val="1"/>
        <c:lblAlgn val="ctr"/>
        <c:lblOffset val="100"/>
        <c:noMultiLvlLbl val="0"/>
      </c:catAx>
      <c:valAx>
        <c:axId val="19034009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90338560"/>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'241'!$I$6</c:f>
          <c:strCache>
            <c:ptCount val="1"/>
            <c:pt idx="0">
              <c:v>JHV723EJ : 241</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'241'!$K$6</c:f>
              <c:strCache>
                <c:ptCount val="1"/>
                <c:pt idx="0">
                  <c:v>SONR</c:v>
                </c:pt>
              </c:strCache>
            </c:strRef>
          </c:tx>
          <c:spPr>
            <a:ln w="19050">
              <a:solidFill>
                <a:srgbClr val="00FF00"/>
              </a:solidFill>
            </a:ln>
          </c:spPr>
          <c:marker>
            <c:symbol val="square"/>
            <c:size val="5"/>
            <c:spPr>
              <a:noFill/>
              <a:ln>
                <a:solidFill>
                  <a:srgbClr val="00FF00"/>
                </a:solidFill>
              </a:ln>
            </c:spPr>
          </c:marker>
          <c:cat>
            <c:numRef>
              <c:f>'241'!$H$7:$H$22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'241'!$K$7:$K$22</c:f>
              <c:numCache>
                <c:formatCode>General</c:formatCode>
                <c:ptCount val="16"/>
                <c:pt idx="0">
                  <c:v>396.88499999999999</c:v>
                </c:pt>
                <c:pt idx="1">
                  <c:v>396.904</c:v>
                </c:pt>
                <c:pt idx="2">
                  <c:v>396.90899999999999</c:v>
                </c:pt>
                <c:pt idx="3">
                  <c:v>396.92899999999997</c:v>
                </c:pt>
                <c:pt idx="4">
                  <c:v>396.916</c:v>
                </c:pt>
                <c:pt idx="5">
                  <c:v>396.92500000000001</c:v>
                </c:pt>
                <c:pt idx="6">
                  <c:v>396.892</c:v>
                </c:pt>
                <c:pt idx="7">
                  <c:v>396.88499999999999</c:v>
                </c:pt>
                <c:pt idx="8">
                  <c:v>396.87200000000001</c:v>
                </c:pt>
                <c:pt idx="9">
                  <c:v>396.887</c:v>
                </c:pt>
                <c:pt idx="10">
                  <c:v>396.899</c:v>
                </c:pt>
                <c:pt idx="11">
                  <c:v>396.95400000000001</c:v>
                </c:pt>
                <c:pt idx="12">
                  <c:v>396.94099999999997</c:v>
                </c:pt>
                <c:pt idx="13">
                  <c:v>396.92599999999999</c:v>
                </c:pt>
                <c:pt idx="14">
                  <c:v>396.88299999999998</c:v>
                </c:pt>
                <c:pt idx="15">
                  <c:v>396.87</c:v>
                </c:pt>
              </c:numCache>
            </c:numRef>
          </c:val>
          <c:extLst>
            <c:ext xmlns:c16="http://schemas.microsoft.com/office/drawing/2014/chart" uri="{C3380CC4-5D6E-409C-BE32-E72D297353CC}">
              <c16:uniqueId val="{00000000-02DF-4634-B559-A2045E0A900B}"/>
            </c:ext>
          </c:extLst>
        </c:ser>
        <c:ser>
          <c:idx val="2"/>
          <c:order val="1"/>
          <c:tx>
            <c:strRef>
              <c:f>'241'!$M$6</c:f>
              <c:strCache>
                <c:ptCount val="1"/>
                <c:pt idx="0">
                  <c:v>Dwg Rmax</c:v>
                </c:pt>
              </c:strCache>
            </c:strRef>
          </c:tx>
          <c:spPr>
            <a:ln>
              <a:solidFill>
                <a:srgbClr val="FF0000"/>
              </a:solidFill>
              <a:prstDash val="dash"/>
            </a:ln>
          </c:spPr>
          <c:marker>
            <c:symbol val="none"/>
          </c:marker>
          <c:cat>
            <c:numRef>
              <c:f>'241'!$H$7:$H$22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'241'!$M$7:$M$22</c:f>
              <c:numCache>
                <c:formatCode>General</c:formatCode>
                <c:ptCount val="16"/>
                <c:pt idx="0">
                  <c:v>396.93199999999996</c:v>
                </c:pt>
                <c:pt idx="1">
                  <c:v>396.93199999999996</c:v>
                </c:pt>
                <c:pt idx="2">
                  <c:v>396.93199999999996</c:v>
                </c:pt>
                <c:pt idx="3">
                  <c:v>396.93199999999996</c:v>
                </c:pt>
                <c:pt idx="4">
                  <c:v>396.93199999999996</c:v>
                </c:pt>
                <c:pt idx="5">
                  <c:v>396.93199999999996</c:v>
                </c:pt>
                <c:pt idx="6">
                  <c:v>396.93199999999996</c:v>
                </c:pt>
                <c:pt idx="7">
                  <c:v>396.93199999999996</c:v>
                </c:pt>
                <c:pt idx="8">
                  <c:v>396.93199999999996</c:v>
                </c:pt>
                <c:pt idx="9">
                  <c:v>396.93199999999996</c:v>
                </c:pt>
                <c:pt idx="10">
                  <c:v>396.93199999999996</c:v>
                </c:pt>
                <c:pt idx="11">
                  <c:v>396.93199999999996</c:v>
                </c:pt>
                <c:pt idx="12">
                  <c:v>396.93199999999996</c:v>
                </c:pt>
                <c:pt idx="13">
                  <c:v>396.93199999999996</c:v>
                </c:pt>
                <c:pt idx="14">
                  <c:v>396.93199999999996</c:v>
                </c:pt>
                <c:pt idx="15">
                  <c:v>396.93199999999996</c:v>
                </c:pt>
              </c:numCache>
            </c:numRef>
          </c:val>
          <c:extLst>
            <c:ext xmlns:c16="http://schemas.microsoft.com/office/drawing/2014/chart" uri="{C3380CC4-5D6E-409C-BE32-E72D297353CC}">
              <c16:uniqueId val="{00000001-02DF-4634-B559-A2045E0A900B}"/>
            </c:ext>
          </c:extLst>
        </c:ser>
        <c:ser>
          <c:idx val="1"/>
          <c:order val="2"/>
          <c:tx>
            <c:strRef>
              <c:f>'241'!$L$6</c:f>
              <c:strCache>
                <c:ptCount val="1"/>
                <c:pt idx="0">
                  <c:v>Dwg Rmin</c:v>
                </c:pt>
              </c:strCache>
            </c:strRef>
          </c:tx>
          <c:spPr>
            <a:ln>
              <a:solidFill>
                <a:srgbClr val="0000FF"/>
              </a:solidFill>
              <a:prstDash val="dash"/>
            </a:ln>
          </c:spPr>
          <c:marker>
            <c:symbol val="none"/>
          </c:marker>
          <c:cat>
            <c:numRef>
              <c:f>'241'!$H$7:$H$22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'241'!$L$7:$L$22</c:f>
              <c:numCache>
                <c:formatCode>General</c:formatCode>
                <c:ptCount val="16"/>
                <c:pt idx="0">
                  <c:v>396.86799999999999</c:v>
                </c:pt>
                <c:pt idx="1">
                  <c:v>396.86799999999999</c:v>
                </c:pt>
                <c:pt idx="2">
                  <c:v>396.86799999999999</c:v>
                </c:pt>
                <c:pt idx="3">
                  <c:v>396.86799999999999</c:v>
                </c:pt>
                <c:pt idx="4">
                  <c:v>396.86799999999999</c:v>
                </c:pt>
                <c:pt idx="5">
                  <c:v>396.86799999999999</c:v>
                </c:pt>
                <c:pt idx="6">
                  <c:v>396.86799999999999</c:v>
                </c:pt>
                <c:pt idx="7">
                  <c:v>396.86799999999999</c:v>
                </c:pt>
                <c:pt idx="8">
                  <c:v>396.86799999999999</c:v>
                </c:pt>
                <c:pt idx="9">
                  <c:v>396.86799999999999</c:v>
                </c:pt>
                <c:pt idx="10">
                  <c:v>396.86799999999999</c:v>
                </c:pt>
                <c:pt idx="11">
                  <c:v>396.86799999999999</c:v>
                </c:pt>
                <c:pt idx="12">
                  <c:v>396.86799999999999</c:v>
                </c:pt>
                <c:pt idx="13">
                  <c:v>396.86799999999999</c:v>
                </c:pt>
                <c:pt idx="14">
                  <c:v>396.86799999999999</c:v>
                </c:pt>
                <c:pt idx="15">
                  <c:v>396.86799999999999</c:v>
                </c:pt>
              </c:numCache>
            </c:numRef>
          </c:val>
          <c:extLst>
            <c:ext xmlns:c16="http://schemas.microsoft.com/office/drawing/2014/chart" uri="{C3380CC4-5D6E-409C-BE32-E72D297353CC}">
              <c16:uniqueId val="{00000002-02DF-4634-B559-A2045E0A900B}"/>
            </c:ext>
          </c:extLst>
        </c:ser>
        <c:dLbls>
          <c:showLegendKey val="0"/>
          <c:showVal val="0"/>
          <c:showCatName val="0"/>
          <c:showSerName val="0"/>
          <c:showPercent val="0"/>
          <c:showBubbleSize val="0"/>
        </c:dLbls>
        <c:axId val="190606336"/>
        <c:axId val="190608128"/>
      </c:radarChart>
      <c:catAx>
        <c:axId val="19060633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90608128"/>
        <c:crosses val="autoZero"/>
        <c:auto val="1"/>
        <c:lblAlgn val="ctr"/>
        <c:lblOffset val="100"/>
        <c:noMultiLvlLbl val="0"/>
      </c:catAx>
      <c:valAx>
        <c:axId val="190608128"/>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90606336"/>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'242'!$I$6</c:f>
          <c:strCache>
            <c:ptCount val="1"/>
            <c:pt idx="0">
              <c:v>JHV723EJ : 242_2001</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'242'!$K$6</c:f>
              <c:strCache>
                <c:ptCount val="1"/>
                <c:pt idx="0">
                  <c:v>SONR</c:v>
                </c:pt>
              </c:strCache>
            </c:strRef>
          </c:tx>
          <c:spPr>
            <a:ln w="19050">
              <a:solidFill>
                <a:srgbClr val="00FF00"/>
              </a:solidFill>
            </a:ln>
          </c:spPr>
          <c:marker>
            <c:symbol val="square"/>
            <c:size val="5"/>
            <c:spPr>
              <a:noFill/>
              <a:ln>
                <a:solidFill>
                  <a:srgbClr val="00FF00"/>
                </a:solidFill>
              </a:ln>
            </c:spPr>
          </c:marker>
          <c:cat>
            <c:numRef>
              <c:f>'242'!$H$7:$H$22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'242'!$K$7:$K$22</c:f>
              <c:numCache>
                <c:formatCode>General</c:formatCode>
                <c:ptCount val="16"/>
                <c:pt idx="0">
                  <c:v>405.483</c:v>
                </c:pt>
                <c:pt idx="1">
                  <c:v>405.51</c:v>
                </c:pt>
                <c:pt idx="2">
                  <c:v>405.51600000000002</c:v>
                </c:pt>
                <c:pt idx="3">
                  <c:v>405.52600000000001</c:v>
                </c:pt>
                <c:pt idx="4">
                  <c:v>405.51600000000002</c:v>
                </c:pt>
                <c:pt idx="5">
                  <c:v>405.517</c:v>
                </c:pt>
                <c:pt idx="6">
                  <c:v>405.49299999999999</c:v>
                </c:pt>
                <c:pt idx="7">
                  <c:v>405.483</c:v>
                </c:pt>
                <c:pt idx="8">
                  <c:v>405.47</c:v>
                </c:pt>
                <c:pt idx="9">
                  <c:v>405.483</c:v>
                </c:pt>
                <c:pt idx="10">
                  <c:v>405.49799999999999</c:v>
                </c:pt>
                <c:pt idx="11">
                  <c:v>405.54700000000003</c:v>
                </c:pt>
                <c:pt idx="12">
                  <c:v>405.54399999999998</c:v>
                </c:pt>
                <c:pt idx="13">
                  <c:v>405.52199999999999</c:v>
                </c:pt>
                <c:pt idx="14">
                  <c:v>405.47699999999998</c:v>
                </c:pt>
                <c:pt idx="15">
                  <c:v>405.46800000000002</c:v>
                </c:pt>
              </c:numCache>
            </c:numRef>
          </c:val>
          <c:extLst>
            <c:ext xmlns:c16="http://schemas.microsoft.com/office/drawing/2014/chart" uri="{C3380CC4-5D6E-409C-BE32-E72D297353CC}">
              <c16:uniqueId val="{00000000-3B6F-43EB-AB02-F5B67E48E0D1}"/>
            </c:ext>
          </c:extLst>
        </c:ser>
        <c:ser>
          <c:idx val="2"/>
          <c:order val="1"/>
          <c:tx>
            <c:strRef>
              <c:f>'242'!$M$6</c:f>
              <c:strCache>
                <c:ptCount val="1"/>
                <c:pt idx="0">
                  <c:v>Dwg Rmax</c:v>
                </c:pt>
              </c:strCache>
            </c:strRef>
          </c:tx>
          <c:spPr>
            <a:ln>
              <a:solidFill>
                <a:srgbClr val="FF0000"/>
              </a:solidFill>
              <a:prstDash val="dash"/>
            </a:ln>
          </c:spPr>
          <c:marker>
            <c:symbol val="none"/>
          </c:marker>
          <c:cat>
            <c:numRef>
              <c:f>'242'!$H$7:$H$22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'242'!$M$7:$M$22</c:f>
              <c:numCache>
                <c:formatCode>General</c:formatCode>
                <c:ptCount val="16"/>
                <c:pt idx="0">
                  <c:v>405.53199999999998</c:v>
                </c:pt>
                <c:pt idx="1">
                  <c:v>405.53199999999998</c:v>
                </c:pt>
                <c:pt idx="2">
                  <c:v>405.53199999999998</c:v>
                </c:pt>
                <c:pt idx="3">
                  <c:v>405.53199999999998</c:v>
                </c:pt>
                <c:pt idx="4">
                  <c:v>405.53199999999998</c:v>
                </c:pt>
                <c:pt idx="5">
                  <c:v>405.53199999999998</c:v>
                </c:pt>
                <c:pt idx="6">
                  <c:v>405.53199999999998</c:v>
                </c:pt>
                <c:pt idx="7">
                  <c:v>405.53199999999998</c:v>
                </c:pt>
                <c:pt idx="8">
                  <c:v>405.53199999999998</c:v>
                </c:pt>
                <c:pt idx="9">
                  <c:v>405.53199999999998</c:v>
                </c:pt>
                <c:pt idx="10">
                  <c:v>405.53199999999998</c:v>
                </c:pt>
                <c:pt idx="11">
                  <c:v>405.53199999999998</c:v>
                </c:pt>
                <c:pt idx="12">
                  <c:v>405.53199999999998</c:v>
                </c:pt>
                <c:pt idx="13">
                  <c:v>405.53199999999998</c:v>
                </c:pt>
                <c:pt idx="14">
                  <c:v>405.53199999999998</c:v>
                </c:pt>
                <c:pt idx="15">
                  <c:v>405.53199999999998</c:v>
                </c:pt>
              </c:numCache>
            </c:numRef>
          </c:val>
          <c:extLst>
            <c:ext xmlns:c16="http://schemas.microsoft.com/office/drawing/2014/chart" uri="{C3380CC4-5D6E-409C-BE32-E72D297353CC}">
              <c16:uniqueId val="{00000001-3B6F-43EB-AB02-F5B67E48E0D1}"/>
            </c:ext>
          </c:extLst>
        </c:ser>
        <c:ser>
          <c:idx val="1"/>
          <c:order val="2"/>
          <c:tx>
            <c:strRef>
              <c:f>'242'!$L$6</c:f>
              <c:strCache>
                <c:ptCount val="1"/>
                <c:pt idx="0">
                  <c:v>Dwg Rmin</c:v>
                </c:pt>
              </c:strCache>
            </c:strRef>
          </c:tx>
          <c:spPr>
            <a:ln>
              <a:solidFill>
                <a:srgbClr val="0000FF"/>
              </a:solidFill>
              <a:prstDash val="dash"/>
            </a:ln>
          </c:spPr>
          <c:marker>
            <c:symbol val="none"/>
          </c:marker>
          <c:cat>
            <c:numRef>
              <c:f>'242'!$H$7:$H$22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'242'!$L$7:$L$22</c:f>
              <c:numCache>
                <c:formatCode>General</c:formatCode>
                <c:ptCount val="16"/>
                <c:pt idx="0">
                  <c:v>405.46800000000002</c:v>
                </c:pt>
                <c:pt idx="1">
                  <c:v>405.46800000000002</c:v>
                </c:pt>
                <c:pt idx="2">
                  <c:v>405.46800000000002</c:v>
                </c:pt>
                <c:pt idx="3">
                  <c:v>405.46800000000002</c:v>
                </c:pt>
                <c:pt idx="4">
                  <c:v>405.46800000000002</c:v>
                </c:pt>
                <c:pt idx="5">
                  <c:v>405.46800000000002</c:v>
                </c:pt>
                <c:pt idx="6">
                  <c:v>405.46800000000002</c:v>
                </c:pt>
                <c:pt idx="7">
                  <c:v>405.46800000000002</c:v>
                </c:pt>
                <c:pt idx="8">
                  <c:v>405.46800000000002</c:v>
                </c:pt>
                <c:pt idx="9">
                  <c:v>405.46800000000002</c:v>
                </c:pt>
                <c:pt idx="10">
                  <c:v>405.46800000000002</c:v>
                </c:pt>
                <c:pt idx="11">
                  <c:v>405.46800000000002</c:v>
                </c:pt>
                <c:pt idx="12">
                  <c:v>405.46800000000002</c:v>
                </c:pt>
                <c:pt idx="13">
                  <c:v>405.46800000000002</c:v>
                </c:pt>
                <c:pt idx="14">
                  <c:v>405.46800000000002</c:v>
                </c:pt>
                <c:pt idx="15">
                  <c:v>405.46800000000002</c:v>
                </c:pt>
              </c:numCache>
            </c:numRef>
          </c:val>
          <c:extLst>
            <c:ext xmlns:c16="http://schemas.microsoft.com/office/drawing/2014/chart" uri="{C3380CC4-5D6E-409C-BE32-E72D297353CC}">
              <c16:uniqueId val="{00000002-3B6F-43EB-AB02-F5B67E48E0D1}"/>
            </c:ext>
          </c:extLst>
        </c:ser>
        <c:dLbls>
          <c:showLegendKey val="0"/>
          <c:showVal val="0"/>
          <c:showCatName val="0"/>
          <c:showSerName val="0"/>
          <c:showPercent val="0"/>
          <c:showBubbleSize val="0"/>
        </c:dLbls>
        <c:axId val="190632320"/>
        <c:axId val="190633856"/>
      </c:radarChart>
      <c:catAx>
        <c:axId val="19063232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90633856"/>
        <c:crosses val="autoZero"/>
        <c:auto val="1"/>
        <c:lblAlgn val="ctr"/>
        <c:lblOffset val="100"/>
        <c:noMultiLvlLbl val="0"/>
      </c:catAx>
      <c:valAx>
        <c:axId val="19063385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90632320"/>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'242'!$I$61</c:f>
          <c:strCache>
            <c:ptCount val="1"/>
            <c:pt idx="0">
              <c:v>JHV723EJ : 242_2002</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'242'!$K$61</c:f>
              <c:strCache>
                <c:ptCount val="1"/>
                <c:pt idx="0">
                  <c:v>SONR</c:v>
                </c:pt>
              </c:strCache>
            </c:strRef>
          </c:tx>
          <c:spPr>
            <a:ln w="19050">
              <a:solidFill>
                <a:srgbClr val="00FF00"/>
              </a:solidFill>
            </a:ln>
          </c:spPr>
          <c:marker>
            <c:symbol val="square"/>
            <c:size val="5"/>
            <c:spPr>
              <a:noFill/>
              <a:ln>
                <a:solidFill>
                  <a:srgbClr val="00FF00"/>
                </a:solidFill>
              </a:ln>
            </c:spPr>
          </c:marker>
          <c:cat>
            <c:numRef>
              <c:f>'242'!$H$62:$H$77</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'242'!$K$62:$K$77</c:f>
              <c:numCache>
                <c:formatCode>General</c:formatCode>
                <c:ptCount val="16"/>
                <c:pt idx="0">
                  <c:v>405.48900000123308</c:v>
                </c:pt>
                <c:pt idx="1">
                  <c:v>405.51700001109697</c:v>
                </c:pt>
                <c:pt idx="2">
                  <c:v>405.52699999999999</c:v>
                </c:pt>
                <c:pt idx="3">
                  <c:v>405.53000004438633</c:v>
                </c:pt>
                <c:pt idx="4">
                  <c:v>405.52700000123298</c:v>
                </c:pt>
                <c:pt idx="5">
                  <c:v>405.52700000493184</c:v>
                </c:pt>
                <c:pt idx="6">
                  <c:v>405.51000000123304</c:v>
                </c:pt>
                <c:pt idx="7">
                  <c:v>405.50100000493217</c:v>
                </c:pt>
                <c:pt idx="8">
                  <c:v>405.47800000123311</c:v>
                </c:pt>
                <c:pt idx="9">
                  <c:v>405.4860000308272</c:v>
                </c:pt>
                <c:pt idx="10">
                  <c:v>405.5110000049321</c:v>
                </c:pt>
                <c:pt idx="11">
                  <c:v>405.55700000000002</c:v>
                </c:pt>
                <c:pt idx="12">
                  <c:v>405.55800000123287</c:v>
                </c:pt>
                <c:pt idx="13">
                  <c:v>405.52800001109665</c:v>
                </c:pt>
                <c:pt idx="14">
                  <c:v>405.47900000493246</c:v>
                </c:pt>
                <c:pt idx="15">
                  <c:v>405.47300001109818</c:v>
                </c:pt>
              </c:numCache>
            </c:numRef>
          </c:val>
          <c:extLst>
            <c:ext xmlns:c16="http://schemas.microsoft.com/office/drawing/2014/chart" uri="{C3380CC4-5D6E-409C-BE32-E72D297353CC}">
              <c16:uniqueId val="{00000000-5548-42AB-B9FC-08D1AE898ED6}"/>
            </c:ext>
          </c:extLst>
        </c:ser>
        <c:ser>
          <c:idx val="2"/>
          <c:order val="1"/>
          <c:tx>
            <c:strRef>
              <c:f>'242'!$M$61</c:f>
              <c:strCache>
                <c:ptCount val="1"/>
                <c:pt idx="0">
                  <c:v>Dwg Rmax</c:v>
                </c:pt>
              </c:strCache>
            </c:strRef>
          </c:tx>
          <c:spPr>
            <a:ln>
              <a:solidFill>
                <a:srgbClr val="FF0000"/>
              </a:solidFill>
              <a:prstDash val="dash"/>
            </a:ln>
          </c:spPr>
          <c:marker>
            <c:symbol val="none"/>
          </c:marker>
          <c:cat>
            <c:numRef>
              <c:f>'242'!$H$62:$H$77</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'242'!$M$62:$M$77</c:f>
              <c:numCache>
                <c:formatCode>General</c:formatCode>
                <c:ptCount val="16"/>
                <c:pt idx="0">
                  <c:v>405.53199999999998</c:v>
                </c:pt>
                <c:pt idx="1">
                  <c:v>405.53199999999998</c:v>
                </c:pt>
                <c:pt idx="2">
                  <c:v>405.53199999999998</c:v>
                </c:pt>
                <c:pt idx="3">
                  <c:v>405.53199999999998</c:v>
                </c:pt>
                <c:pt idx="4">
                  <c:v>405.53199999999998</c:v>
                </c:pt>
                <c:pt idx="5">
                  <c:v>405.53199999999998</c:v>
                </c:pt>
                <c:pt idx="6">
                  <c:v>405.53199999999998</c:v>
                </c:pt>
                <c:pt idx="7">
                  <c:v>405.53199999999998</c:v>
                </c:pt>
                <c:pt idx="8">
                  <c:v>405.53199999999998</c:v>
                </c:pt>
                <c:pt idx="9">
                  <c:v>405.53199999999998</c:v>
                </c:pt>
                <c:pt idx="10">
                  <c:v>405.53199999999998</c:v>
                </c:pt>
                <c:pt idx="11">
                  <c:v>405.53199999999998</c:v>
                </c:pt>
                <c:pt idx="12">
                  <c:v>405.53199999999998</c:v>
                </c:pt>
                <c:pt idx="13">
                  <c:v>405.53199999999998</c:v>
                </c:pt>
                <c:pt idx="14">
                  <c:v>405.53199999999998</c:v>
                </c:pt>
                <c:pt idx="15">
                  <c:v>405.53199999999998</c:v>
                </c:pt>
              </c:numCache>
            </c:numRef>
          </c:val>
          <c:extLst>
            <c:ext xmlns:c16="http://schemas.microsoft.com/office/drawing/2014/chart" uri="{C3380CC4-5D6E-409C-BE32-E72D297353CC}">
              <c16:uniqueId val="{00000001-5548-42AB-B9FC-08D1AE898ED6}"/>
            </c:ext>
          </c:extLst>
        </c:ser>
        <c:ser>
          <c:idx val="1"/>
          <c:order val="2"/>
          <c:tx>
            <c:strRef>
              <c:f>'242'!$L$61</c:f>
              <c:strCache>
                <c:ptCount val="1"/>
                <c:pt idx="0">
                  <c:v>Dwg Rmin</c:v>
                </c:pt>
              </c:strCache>
            </c:strRef>
          </c:tx>
          <c:spPr>
            <a:ln>
              <a:solidFill>
                <a:srgbClr val="0000FF"/>
              </a:solidFill>
              <a:prstDash val="dash"/>
            </a:ln>
          </c:spPr>
          <c:marker>
            <c:symbol val="none"/>
          </c:marker>
          <c:cat>
            <c:numRef>
              <c:f>'242'!$H$62:$H$77</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'242'!$L$62:$L$77</c:f>
              <c:numCache>
                <c:formatCode>General</c:formatCode>
                <c:ptCount val="16"/>
                <c:pt idx="0">
                  <c:v>405.46800000000002</c:v>
                </c:pt>
                <c:pt idx="1">
                  <c:v>405.46800000000002</c:v>
                </c:pt>
                <c:pt idx="2">
                  <c:v>405.46800000000002</c:v>
                </c:pt>
                <c:pt idx="3">
                  <c:v>405.46800000000002</c:v>
                </c:pt>
                <c:pt idx="4">
                  <c:v>405.46800000000002</c:v>
                </c:pt>
                <c:pt idx="5">
                  <c:v>405.46800000000002</c:v>
                </c:pt>
                <c:pt idx="6">
                  <c:v>405.46800000000002</c:v>
                </c:pt>
                <c:pt idx="7">
                  <c:v>405.46800000000002</c:v>
                </c:pt>
                <c:pt idx="8">
                  <c:v>405.46800000000002</c:v>
                </c:pt>
                <c:pt idx="9">
                  <c:v>405.46800000000002</c:v>
                </c:pt>
                <c:pt idx="10">
                  <c:v>405.46800000000002</c:v>
                </c:pt>
                <c:pt idx="11">
                  <c:v>405.46800000000002</c:v>
                </c:pt>
                <c:pt idx="12">
                  <c:v>405.46800000000002</c:v>
                </c:pt>
                <c:pt idx="13">
                  <c:v>405.46800000000002</c:v>
                </c:pt>
                <c:pt idx="14">
                  <c:v>405.46800000000002</c:v>
                </c:pt>
                <c:pt idx="15">
                  <c:v>405.46800000000002</c:v>
                </c:pt>
              </c:numCache>
            </c:numRef>
          </c:val>
          <c:extLst>
            <c:ext xmlns:c16="http://schemas.microsoft.com/office/drawing/2014/chart" uri="{C3380CC4-5D6E-409C-BE32-E72D297353CC}">
              <c16:uniqueId val="{00000002-5548-42AB-B9FC-08D1AE898ED6}"/>
            </c:ext>
          </c:extLst>
        </c:ser>
        <c:dLbls>
          <c:showLegendKey val="0"/>
          <c:showVal val="0"/>
          <c:showCatName val="0"/>
          <c:showSerName val="0"/>
          <c:showPercent val="0"/>
          <c:showBubbleSize val="0"/>
        </c:dLbls>
        <c:axId val="191103744"/>
        <c:axId val="191105280"/>
      </c:radarChart>
      <c:catAx>
        <c:axId val="19110374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91105280"/>
        <c:crosses val="autoZero"/>
        <c:auto val="1"/>
        <c:lblAlgn val="ctr"/>
        <c:lblOffset val="100"/>
        <c:noMultiLvlLbl val="0"/>
      </c:catAx>
      <c:valAx>
        <c:axId val="191105280"/>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91103744"/>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'243'!$I$6</c:f>
          <c:strCache>
            <c:ptCount val="1"/>
            <c:pt idx="0">
              <c:v>JHV723EJ : 243</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'243'!$K$6</c:f>
              <c:strCache>
                <c:ptCount val="1"/>
                <c:pt idx="0">
                  <c:v>SONR</c:v>
                </c:pt>
              </c:strCache>
            </c:strRef>
          </c:tx>
          <c:spPr>
            <a:ln w="19050">
              <a:solidFill>
                <a:srgbClr val="00FF00"/>
              </a:solidFill>
            </a:ln>
          </c:spPr>
          <c:marker>
            <c:symbol val="square"/>
            <c:size val="5"/>
            <c:spPr>
              <a:noFill/>
              <a:ln>
                <a:solidFill>
                  <a:srgbClr val="00FF00"/>
                </a:solidFill>
              </a:ln>
            </c:spPr>
          </c:marker>
          <c:cat>
            <c:numRef>
              <c:f>'243'!$H$7:$H$22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'243'!$K$7:$K$22</c:f>
              <c:numCache>
                <c:formatCode>General</c:formatCode>
                <c:ptCount val="16"/>
                <c:pt idx="0">
                  <c:v>407.48</c:v>
                </c:pt>
                <c:pt idx="1">
                  <c:v>407.50700000000001</c:v>
                </c:pt>
                <c:pt idx="2">
                  <c:v>407.51499999999999</c:v>
                </c:pt>
                <c:pt idx="3">
                  <c:v>407.524</c:v>
                </c:pt>
                <c:pt idx="4">
                  <c:v>407.51799999999997</c:v>
                </c:pt>
                <c:pt idx="5">
                  <c:v>407.51900000000001</c:v>
                </c:pt>
                <c:pt idx="6">
                  <c:v>407.49799999999999</c:v>
                </c:pt>
                <c:pt idx="7">
                  <c:v>407.483</c:v>
                </c:pt>
                <c:pt idx="8">
                  <c:v>407.47</c:v>
                </c:pt>
                <c:pt idx="9">
                  <c:v>407.47899999999998</c:v>
                </c:pt>
                <c:pt idx="10">
                  <c:v>407.50099999999998</c:v>
                </c:pt>
                <c:pt idx="11">
                  <c:v>407.55200000000002</c:v>
                </c:pt>
                <c:pt idx="12">
                  <c:v>407.54599999999999</c:v>
                </c:pt>
                <c:pt idx="13">
                  <c:v>407.52</c:v>
                </c:pt>
                <c:pt idx="14">
                  <c:v>407.471</c:v>
                </c:pt>
                <c:pt idx="15">
                  <c:v>407.46300000000002</c:v>
                </c:pt>
              </c:numCache>
            </c:numRef>
          </c:val>
          <c:extLst>
            <c:ext xmlns:c16="http://schemas.microsoft.com/office/drawing/2014/chart" uri="{C3380CC4-5D6E-409C-BE32-E72D297353CC}">
              <c16:uniqueId val="{00000000-B272-4C31-A11C-7D4D23C9CE10}"/>
            </c:ext>
          </c:extLst>
        </c:ser>
        <c:ser>
          <c:idx val="2"/>
          <c:order val="1"/>
          <c:tx>
            <c:strRef>
              <c:f>'243'!$M$6</c:f>
              <c:strCache>
                <c:ptCount val="1"/>
                <c:pt idx="0">
                  <c:v>Dwg Rmax</c:v>
                </c:pt>
              </c:strCache>
            </c:strRef>
          </c:tx>
          <c:spPr>
            <a:ln>
              <a:solidFill>
                <a:srgbClr val="FF0000"/>
              </a:solidFill>
              <a:prstDash val="dash"/>
            </a:ln>
          </c:spPr>
          <c:marker>
            <c:symbol val="none"/>
          </c:marker>
          <c:cat>
            <c:numRef>
              <c:f>'243'!$H$7:$H$22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'243'!$M$7:$M$22</c:f>
              <c:numCache>
                <c:formatCode>General</c:formatCode>
                <c:ptCount val="16"/>
                <c:pt idx="0">
                  <c:v>407.53199999999998</c:v>
                </c:pt>
                <c:pt idx="1">
                  <c:v>407.53199999999998</c:v>
                </c:pt>
                <c:pt idx="2">
                  <c:v>407.53199999999998</c:v>
                </c:pt>
                <c:pt idx="3">
                  <c:v>407.53199999999998</c:v>
                </c:pt>
                <c:pt idx="4">
                  <c:v>407.53199999999998</c:v>
                </c:pt>
                <c:pt idx="5">
                  <c:v>407.53199999999998</c:v>
                </c:pt>
                <c:pt idx="6">
                  <c:v>407.53199999999998</c:v>
                </c:pt>
                <c:pt idx="7">
                  <c:v>407.53199999999998</c:v>
                </c:pt>
                <c:pt idx="8">
                  <c:v>407.53199999999998</c:v>
                </c:pt>
                <c:pt idx="9">
                  <c:v>407.53199999999998</c:v>
                </c:pt>
                <c:pt idx="10">
                  <c:v>407.53199999999998</c:v>
                </c:pt>
                <c:pt idx="11">
                  <c:v>407.53199999999998</c:v>
                </c:pt>
                <c:pt idx="12">
                  <c:v>407.53199999999998</c:v>
                </c:pt>
                <c:pt idx="13">
                  <c:v>407.53199999999998</c:v>
                </c:pt>
                <c:pt idx="14">
                  <c:v>407.53199999999998</c:v>
                </c:pt>
                <c:pt idx="15">
                  <c:v>407.53199999999998</c:v>
                </c:pt>
              </c:numCache>
            </c:numRef>
          </c:val>
          <c:extLst>
            <c:ext xmlns:c16="http://schemas.microsoft.com/office/drawing/2014/chart" uri="{C3380CC4-5D6E-409C-BE32-E72D297353CC}">
              <c16:uniqueId val="{00000001-B272-4C31-A11C-7D4D23C9CE10}"/>
            </c:ext>
          </c:extLst>
        </c:ser>
        <c:ser>
          <c:idx val="1"/>
          <c:order val="2"/>
          <c:tx>
            <c:strRef>
              <c:f>'243'!$L$6</c:f>
              <c:strCache>
                <c:ptCount val="1"/>
                <c:pt idx="0">
                  <c:v>Dwg Rmin</c:v>
                </c:pt>
              </c:strCache>
            </c:strRef>
          </c:tx>
          <c:spPr>
            <a:ln>
              <a:solidFill>
                <a:srgbClr val="0000FF"/>
              </a:solidFill>
              <a:prstDash val="dash"/>
            </a:ln>
          </c:spPr>
          <c:marker>
            <c:symbol val="none"/>
          </c:marker>
          <c:cat>
            <c:numRef>
              <c:f>'243'!$H$7:$H$22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'243'!$L$7:$L$22</c:f>
              <c:numCache>
                <c:formatCode>General</c:formatCode>
                <c:ptCount val="16"/>
                <c:pt idx="0">
                  <c:v>407.46800000000002</c:v>
                </c:pt>
                <c:pt idx="1">
                  <c:v>407.46800000000002</c:v>
                </c:pt>
                <c:pt idx="2">
                  <c:v>407.46800000000002</c:v>
                </c:pt>
                <c:pt idx="3">
                  <c:v>407.46800000000002</c:v>
                </c:pt>
                <c:pt idx="4">
                  <c:v>407.46800000000002</c:v>
                </c:pt>
                <c:pt idx="5">
                  <c:v>407.46800000000002</c:v>
                </c:pt>
                <c:pt idx="6">
                  <c:v>407.46800000000002</c:v>
                </c:pt>
                <c:pt idx="7">
                  <c:v>407.46800000000002</c:v>
                </c:pt>
                <c:pt idx="8">
                  <c:v>407.46800000000002</c:v>
                </c:pt>
                <c:pt idx="9">
                  <c:v>407.46800000000002</c:v>
                </c:pt>
                <c:pt idx="10">
                  <c:v>407.46800000000002</c:v>
                </c:pt>
                <c:pt idx="11">
                  <c:v>407.46800000000002</c:v>
                </c:pt>
                <c:pt idx="12">
                  <c:v>407.46800000000002</c:v>
                </c:pt>
                <c:pt idx="13">
                  <c:v>407.46800000000002</c:v>
                </c:pt>
                <c:pt idx="14">
                  <c:v>407.46800000000002</c:v>
                </c:pt>
                <c:pt idx="15">
                  <c:v>407.46800000000002</c:v>
                </c:pt>
              </c:numCache>
            </c:numRef>
          </c:val>
          <c:extLst>
            <c:ext xmlns:c16="http://schemas.microsoft.com/office/drawing/2014/chart" uri="{C3380CC4-5D6E-409C-BE32-E72D297353CC}">
              <c16:uniqueId val="{00000002-B272-4C31-A11C-7D4D23C9CE10}"/>
            </c:ext>
          </c:extLst>
        </c:ser>
        <c:dLbls>
          <c:showLegendKey val="0"/>
          <c:showVal val="0"/>
          <c:showCatName val="0"/>
          <c:showSerName val="0"/>
          <c:showPercent val="0"/>
          <c:showBubbleSize val="0"/>
        </c:dLbls>
        <c:axId val="191162240"/>
        <c:axId val="191163776"/>
      </c:radarChart>
      <c:catAx>
        <c:axId val="19116224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91163776"/>
        <c:crosses val="autoZero"/>
        <c:auto val="1"/>
        <c:lblAlgn val="ctr"/>
        <c:lblOffset val="100"/>
        <c:noMultiLvlLbl val="0"/>
      </c:catAx>
      <c:valAx>
        <c:axId val="191163776"/>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91162240"/>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'244'!$I$6</c:f>
          <c:strCache>
            <c:ptCount val="1"/>
            <c:pt idx="0">
              <c:v>JHV723EJ : 244</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'244'!$K$6</c:f>
              <c:strCache>
                <c:ptCount val="1"/>
                <c:pt idx="0">
                  <c:v>SONR</c:v>
                </c:pt>
              </c:strCache>
            </c:strRef>
          </c:tx>
          <c:spPr>
            <a:ln w="19050">
              <a:solidFill>
                <a:srgbClr val="00FF00"/>
              </a:solidFill>
            </a:ln>
          </c:spPr>
          <c:marker>
            <c:symbol val="square"/>
            <c:size val="5"/>
            <c:spPr>
              <a:noFill/>
              <a:ln>
                <a:solidFill>
                  <a:srgbClr val="00FF00"/>
                </a:solidFill>
              </a:ln>
            </c:spPr>
          </c:marker>
          <c:cat>
            <c:numRef>
              <c:f>'244'!$H$7:$H$22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'244'!$K$7:$K$22</c:f>
              <c:numCache>
                <c:formatCode>General</c:formatCode>
                <c:ptCount val="16"/>
                <c:pt idx="0">
                  <c:v>417.26400000000001</c:v>
                </c:pt>
                <c:pt idx="1">
                  <c:v>417.3</c:v>
                </c:pt>
                <c:pt idx="2">
                  <c:v>417.30799999999999</c:v>
                </c:pt>
                <c:pt idx="3">
                  <c:v>417.29500000000002</c:v>
                </c:pt>
                <c:pt idx="4">
                  <c:v>417.298</c:v>
                </c:pt>
                <c:pt idx="5">
                  <c:v>417.30900000000003</c:v>
                </c:pt>
                <c:pt idx="6">
                  <c:v>417.29399999999998</c:v>
                </c:pt>
                <c:pt idx="7">
                  <c:v>417.28899999999999</c:v>
                </c:pt>
                <c:pt idx="8">
                  <c:v>417.25900000000001</c:v>
                </c:pt>
                <c:pt idx="9">
                  <c:v>417.24400000000003</c:v>
                </c:pt>
                <c:pt idx="10">
                  <c:v>417.28</c:v>
                </c:pt>
                <c:pt idx="11">
                  <c:v>417.34100000000001</c:v>
                </c:pt>
                <c:pt idx="12">
                  <c:v>417.346</c:v>
                </c:pt>
                <c:pt idx="13">
                  <c:v>417.29599999999999</c:v>
                </c:pt>
                <c:pt idx="14">
                  <c:v>417.233</c:v>
                </c:pt>
                <c:pt idx="15">
                  <c:v>417.21800000000002</c:v>
                </c:pt>
              </c:numCache>
            </c:numRef>
          </c:val>
          <c:extLst>
            <c:ext xmlns:c16="http://schemas.microsoft.com/office/drawing/2014/chart" uri="{C3380CC4-5D6E-409C-BE32-E72D297353CC}">
              <c16:uniqueId val="{00000000-330C-4DD0-8134-8A6676B8EB64}"/>
            </c:ext>
          </c:extLst>
        </c:ser>
        <c:ser>
          <c:idx val="2"/>
          <c:order val="1"/>
          <c:tx>
            <c:strRef>
              <c:f>'244'!$M$6</c:f>
              <c:strCache>
                <c:ptCount val="1"/>
                <c:pt idx="0">
                  <c:v>Dwg Rmax</c:v>
                </c:pt>
              </c:strCache>
            </c:strRef>
          </c:tx>
          <c:spPr>
            <a:ln>
              <a:solidFill>
                <a:srgbClr val="FF0000"/>
              </a:solidFill>
              <a:prstDash val="dash"/>
            </a:ln>
          </c:spPr>
          <c:marker>
            <c:symbol val="none"/>
          </c:marker>
          <c:cat>
            <c:numRef>
              <c:f>'244'!$H$7:$H$22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'244'!$M$7:$M$22</c:f>
              <c:numCache>
                <c:formatCode>General</c:formatCode>
                <c:ptCount val="16"/>
                <c:pt idx="0">
                  <c:v>417.33199999999999</c:v>
                </c:pt>
                <c:pt idx="1">
                  <c:v>417.33199999999999</c:v>
                </c:pt>
                <c:pt idx="2">
                  <c:v>417.33199999999999</c:v>
                </c:pt>
                <c:pt idx="3">
                  <c:v>417.33199999999999</c:v>
                </c:pt>
                <c:pt idx="4">
                  <c:v>417.33199999999999</c:v>
                </c:pt>
                <c:pt idx="5">
                  <c:v>417.33199999999999</c:v>
                </c:pt>
                <c:pt idx="6">
                  <c:v>417.33199999999999</c:v>
                </c:pt>
                <c:pt idx="7">
                  <c:v>417.33199999999999</c:v>
                </c:pt>
                <c:pt idx="8">
                  <c:v>417.33199999999999</c:v>
                </c:pt>
                <c:pt idx="9">
                  <c:v>417.33199999999999</c:v>
                </c:pt>
                <c:pt idx="10">
                  <c:v>417.33199999999999</c:v>
                </c:pt>
                <c:pt idx="11">
                  <c:v>417.33199999999999</c:v>
                </c:pt>
                <c:pt idx="12">
                  <c:v>417.33199999999999</c:v>
                </c:pt>
                <c:pt idx="13">
                  <c:v>417.33199999999999</c:v>
                </c:pt>
                <c:pt idx="14">
                  <c:v>417.33199999999999</c:v>
                </c:pt>
                <c:pt idx="15">
                  <c:v>417.33199999999999</c:v>
                </c:pt>
              </c:numCache>
            </c:numRef>
          </c:val>
          <c:extLst>
            <c:ext xmlns:c16="http://schemas.microsoft.com/office/drawing/2014/chart" uri="{C3380CC4-5D6E-409C-BE32-E72D297353CC}">
              <c16:uniqueId val="{00000001-330C-4DD0-8134-8A6676B8EB64}"/>
            </c:ext>
          </c:extLst>
        </c:ser>
        <c:ser>
          <c:idx val="1"/>
          <c:order val="2"/>
          <c:tx>
            <c:strRef>
              <c:f>'244'!$L$6</c:f>
              <c:strCache>
                <c:ptCount val="1"/>
                <c:pt idx="0">
                  <c:v>Dwg Rmin</c:v>
                </c:pt>
              </c:strCache>
            </c:strRef>
          </c:tx>
          <c:spPr>
            <a:ln>
              <a:solidFill>
                <a:srgbClr val="0000FF"/>
              </a:solidFill>
              <a:prstDash val="dash"/>
            </a:ln>
          </c:spPr>
          <c:marker>
            <c:symbol val="none"/>
          </c:marker>
          <c:cat>
            <c:numRef>
              <c:f>'244'!$H$7:$H$22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'244'!$L$7:$L$22</c:f>
              <c:numCache>
                <c:formatCode>General</c:formatCode>
                <c:ptCount val="16"/>
                <c:pt idx="0">
                  <c:v>417.26800000000003</c:v>
                </c:pt>
                <c:pt idx="1">
                  <c:v>417.26800000000003</c:v>
                </c:pt>
                <c:pt idx="2">
                  <c:v>417.26800000000003</c:v>
                </c:pt>
                <c:pt idx="3">
                  <c:v>417.26800000000003</c:v>
                </c:pt>
                <c:pt idx="4">
                  <c:v>417.26800000000003</c:v>
                </c:pt>
                <c:pt idx="5">
                  <c:v>417.26800000000003</c:v>
                </c:pt>
                <c:pt idx="6">
                  <c:v>417.26800000000003</c:v>
                </c:pt>
                <c:pt idx="7">
                  <c:v>417.26800000000003</c:v>
                </c:pt>
                <c:pt idx="8">
                  <c:v>417.26800000000003</c:v>
                </c:pt>
                <c:pt idx="9">
                  <c:v>417.26800000000003</c:v>
                </c:pt>
                <c:pt idx="10">
                  <c:v>417.26800000000003</c:v>
                </c:pt>
                <c:pt idx="11">
                  <c:v>417.26800000000003</c:v>
                </c:pt>
                <c:pt idx="12">
                  <c:v>417.26800000000003</c:v>
                </c:pt>
                <c:pt idx="13">
                  <c:v>417.26800000000003</c:v>
                </c:pt>
                <c:pt idx="14">
                  <c:v>417.26800000000003</c:v>
                </c:pt>
                <c:pt idx="15">
                  <c:v>417.26800000000003</c:v>
                </c:pt>
              </c:numCache>
            </c:numRef>
          </c:val>
          <c:extLst>
            <c:ext xmlns:c16="http://schemas.microsoft.com/office/drawing/2014/chart" uri="{C3380CC4-5D6E-409C-BE32-E72D297353CC}">
              <c16:uniqueId val="{00000002-330C-4DD0-8134-8A6676B8EB64}"/>
            </c:ext>
          </c:extLst>
        </c:ser>
        <c:dLbls>
          <c:showLegendKey val="0"/>
          <c:showVal val="0"/>
          <c:showCatName val="0"/>
          <c:showSerName val="0"/>
          <c:showPercent val="0"/>
          <c:showBubbleSize val="0"/>
        </c:dLbls>
        <c:axId val="191249408"/>
        <c:axId val="191251200"/>
      </c:radarChart>
      <c:catAx>
        <c:axId val="19124940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91251200"/>
        <c:crosses val="autoZero"/>
        <c:auto val="1"/>
        <c:lblAlgn val="ctr"/>
        <c:lblOffset val="100"/>
        <c:noMultiLvlLbl val="0"/>
      </c:catAx>
      <c:valAx>
        <c:axId val="191251200"/>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91249408"/>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'246'!$I$6</c:f>
          <c:strCache>
            <c:ptCount val="1"/>
            <c:pt idx="0">
              <c:v>JHV723EJ : 246_2001</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'246'!$K$6</c:f>
              <c:strCache>
                <c:ptCount val="1"/>
                <c:pt idx="0">
                  <c:v>SONR</c:v>
                </c:pt>
              </c:strCache>
            </c:strRef>
          </c:tx>
          <c:spPr>
            <a:ln w="19050">
              <a:solidFill>
                <a:srgbClr val="00FF00"/>
              </a:solidFill>
            </a:ln>
          </c:spPr>
          <c:marker>
            <c:symbol val="square"/>
            <c:size val="5"/>
            <c:spPr>
              <a:noFill/>
              <a:ln>
                <a:solidFill>
                  <a:srgbClr val="00FF00"/>
                </a:solidFill>
              </a:ln>
            </c:spPr>
          </c:marker>
          <c:cat>
            <c:numRef>
              <c:f>'246'!$H$7:$H$22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'246'!$K$7:$K$22</c:f>
              <c:numCache>
                <c:formatCode>General</c:formatCode>
                <c:ptCount val="16"/>
                <c:pt idx="0">
                  <c:v>417.61399999999998</c:v>
                </c:pt>
                <c:pt idx="1">
                  <c:v>417.65300000000002</c:v>
                </c:pt>
                <c:pt idx="2">
                  <c:v>417.65499999999997</c:v>
                </c:pt>
                <c:pt idx="3">
                  <c:v>417.63099999999997</c:v>
                </c:pt>
                <c:pt idx="4">
                  <c:v>417.63600000000002</c:v>
                </c:pt>
                <c:pt idx="5">
                  <c:v>417.65</c:v>
                </c:pt>
                <c:pt idx="6">
                  <c:v>417.63400000000001</c:v>
                </c:pt>
                <c:pt idx="7">
                  <c:v>417.63900000000001</c:v>
                </c:pt>
                <c:pt idx="8">
                  <c:v>417.601</c:v>
                </c:pt>
                <c:pt idx="9">
                  <c:v>417.57100000000003</c:v>
                </c:pt>
                <c:pt idx="10">
                  <c:v>417.62</c:v>
                </c:pt>
                <c:pt idx="11">
                  <c:v>417.69499999999999</c:v>
                </c:pt>
                <c:pt idx="12">
                  <c:v>417.69799999999998</c:v>
                </c:pt>
                <c:pt idx="13">
                  <c:v>417.64499999999998</c:v>
                </c:pt>
                <c:pt idx="14">
                  <c:v>417.56099999999998</c:v>
                </c:pt>
                <c:pt idx="15">
                  <c:v>417.55500000000001</c:v>
                </c:pt>
              </c:numCache>
            </c:numRef>
          </c:val>
          <c:extLst>
            <c:ext xmlns:c16="http://schemas.microsoft.com/office/drawing/2014/chart" uri="{C3380CC4-5D6E-409C-BE32-E72D297353CC}">
              <c16:uniqueId val="{00000000-6152-48E5-AAB0-768CE0784A76}"/>
            </c:ext>
          </c:extLst>
        </c:ser>
        <c:ser>
          <c:idx val="2"/>
          <c:order val="1"/>
          <c:tx>
            <c:strRef>
              <c:f>'246'!$M$6</c:f>
              <c:strCache>
                <c:ptCount val="1"/>
                <c:pt idx="0">
                  <c:v>Dwg Rmax</c:v>
                </c:pt>
              </c:strCache>
            </c:strRef>
          </c:tx>
          <c:spPr>
            <a:ln>
              <a:solidFill>
                <a:srgbClr val="FF0000"/>
              </a:solidFill>
              <a:prstDash val="dash"/>
            </a:ln>
          </c:spPr>
          <c:marker>
            <c:symbol val="none"/>
          </c:marker>
          <c:cat>
            <c:numRef>
              <c:f>'246'!$H$7:$H$22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'246'!$M$7:$M$22</c:f>
              <c:numCache>
                <c:formatCode>General</c:formatCode>
                <c:ptCount val="16"/>
                <c:pt idx="0">
                  <c:v>417.68199999999996</c:v>
                </c:pt>
                <c:pt idx="1">
                  <c:v>417.68199999999996</c:v>
                </c:pt>
                <c:pt idx="2">
                  <c:v>417.68199999999996</c:v>
                </c:pt>
                <c:pt idx="3">
                  <c:v>417.68199999999996</c:v>
                </c:pt>
                <c:pt idx="4">
                  <c:v>417.68199999999996</c:v>
                </c:pt>
                <c:pt idx="5">
                  <c:v>417.68199999999996</c:v>
                </c:pt>
                <c:pt idx="6">
                  <c:v>417.68199999999996</c:v>
                </c:pt>
                <c:pt idx="7">
                  <c:v>417.68199999999996</c:v>
                </c:pt>
                <c:pt idx="8">
                  <c:v>417.68199999999996</c:v>
                </c:pt>
                <c:pt idx="9">
                  <c:v>417.68199999999996</c:v>
                </c:pt>
                <c:pt idx="10">
                  <c:v>417.68199999999996</c:v>
                </c:pt>
                <c:pt idx="11">
                  <c:v>417.68199999999996</c:v>
                </c:pt>
                <c:pt idx="12">
                  <c:v>417.68199999999996</c:v>
                </c:pt>
                <c:pt idx="13">
                  <c:v>417.68199999999996</c:v>
                </c:pt>
                <c:pt idx="14">
                  <c:v>417.68199999999996</c:v>
                </c:pt>
                <c:pt idx="15">
                  <c:v>417.68199999999996</c:v>
                </c:pt>
              </c:numCache>
            </c:numRef>
          </c:val>
          <c:extLst>
            <c:ext xmlns:c16="http://schemas.microsoft.com/office/drawing/2014/chart" uri="{C3380CC4-5D6E-409C-BE32-E72D297353CC}">
              <c16:uniqueId val="{00000001-6152-48E5-AAB0-768CE0784A76}"/>
            </c:ext>
          </c:extLst>
        </c:ser>
        <c:ser>
          <c:idx val="1"/>
          <c:order val="2"/>
          <c:tx>
            <c:strRef>
              <c:f>'246'!$L$6</c:f>
              <c:strCache>
                <c:ptCount val="1"/>
                <c:pt idx="0">
                  <c:v>Dwg Rmin</c:v>
                </c:pt>
              </c:strCache>
            </c:strRef>
          </c:tx>
          <c:spPr>
            <a:ln>
              <a:solidFill>
                <a:srgbClr val="0000FF"/>
              </a:solidFill>
              <a:prstDash val="dash"/>
            </a:ln>
          </c:spPr>
          <c:marker>
            <c:symbol val="none"/>
          </c:marker>
          <c:cat>
            <c:numRef>
              <c:f>'246'!$H$7:$H$22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'246'!$L$7:$L$22</c:f>
              <c:numCache>
                <c:formatCode>General</c:formatCode>
                <c:ptCount val="16"/>
                <c:pt idx="0">
                  <c:v>417.61799999999999</c:v>
                </c:pt>
                <c:pt idx="1">
                  <c:v>417.61799999999999</c:v>
                </c:pt>
                <c:pt idx="2">
                  <c:v>417.61799999999999</c:v>
                </c:pt>
                <c:pt idx="3">
                  <c:v>417.61799999999999</c:v>
                </c:pt>
                <c:pt idx="4">
                  <c:v>417.61799999999999</c:v>
                </c:pt>
                <c:pt idx="5">
                  <c:v>417.61799999999999</c:v>
                </c:pt>
                <c:pt idx="6">
                  <c:v>417.61799999999999</c:v>
                </c:pt>
                <c:pt idx="7">
                  <c:v>417.61799999999999</c:v>
                </c:pt>
                <c:pt idx="8">
                  <c:v>417.61799999999999</c:v>
                </c:pt>
                <c:pt idx="9">
                  <c:v>417.61799999999999</c:v>
                </c:pt>
                <c:pt idx="10">
                  <c:v>417.61799999999999</c:v>
                </c:pt>
                <c:pt idx="11">
                  <c:v>417.61799999999999</c:v>
                </c:pt>
                <c:pt idx="12">
                  <c:v>417.61799999999999</c:v>
                </c:pt>
                <c:pt idx="13">
                  <c:v>417.61799999999999</c:v>
                </c:pt>
                <c:pt idx="14">
                  <c:v>417.61799999999999</c:v>
                </c:pt>
                <c:pt idx="15">
                  <c:v>417.61799999999999</c:v>
                </c:pt>
              </c:numCache>
            </c:numRef>
          </c:val>
          <c:extLst>
            <c:ext xmlns:c16="http://schemas.microsoft.com/office/drawing/2014/chart" uri="{C3380CC4-5D6E-409C-BE32-E72D297353CC}">
              <c16:uniqueId val="{00000002-6152-48E5-AAB0-768CE0784A76}"/>
            </c:ext>
          </c:extLst>
        </c:ser>
        <c:dLbls>
          <c:showLegendKey val="0"/>
          <c:showVal val="0"/>
          <c:showCatName val="0"/>
          <c:showSerName val="0"/>
          <c:showPercent val="0"/>
          <c:showBubbleSize val="0"/>
        </c:dLbls>
        <c:axId val="192303104"/>
        <c:axId val="192304640"/>
      </c:radarChart>
      <c:catAx>
        <c:axId val="19230310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92304640"/>
        <c:crosses val="autoZero"/>
        <c:auto val="1"/>
        <c:lblAlgn val="ctr"/>
        <c:lblOffset val="100"/>
        <c:noMultiLvlLbl val="0"/>
      </c:catAx>
      <c:valAx>
        <c:axId val="192304640"/>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92303104"/>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'246'!$I$61</c:f>
          <c:strCache>
            <c:ptCount val="1"/>
            <c:pt idx="0">
              <c:v>JHV723EJ : 246_2002</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'246'!$K$61</c:f>
              <c:strCache>
                <c:ptCount val="1"/>
                <c:pt idx="0">
                  <c:v>SONR</c:v>
                </c:pt>
              </c:strCache>
            </c:strRef>
          </c:tx>
          <c:spPr>
            <a:ln w="19050">
              <a:solidFill>
                <a:srgbClr val="00FF00"/>
              </a:solidFill>
            </a:ln>
          </c:spPr>
          <c:marker>
            <c:symbol val="square"/>
            <c:size val="5"/>
            <c:spPr>
              <a:noFill/>
              <a:ln>
                <a:solidFill>
                  <a:srgbClr val="00FF00"/>
                </a:solidFill>
              </a:ln>
            </c:spPr>
          </c:marker>
          <c:cat>
            <c:numRef>
              <c:f>'246'!$H$62:$H$77</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'246'!$K$62:$K$77</c:f>
              <c:numCache>
                <c:formatCode>General</c:formatCode>
                <c:ptCount val="16"/>
                <c:pt idx="0">
                  <c:v>417.62400000119732</c:v>
                </c:pt>
                <c:pt idx="1">
                  <c:v>417.6620000011971</c:v>
                </c:pt>
                <c:pt idx="2">
                  <c:v>417.66300000478856</c:v>
                </c:pt>
                <c:pt idx="3">
                  <c:v>417.63600001915546</c:v>
                </c:pt>
                <c:pt idx="4">
                  <c:v>417.63700000119724</c:v>
                </c:pt>
                <c:pt idx="5">
                  <c:v>417.65800000119714</c:v>
                </c:pt>
                <c:pt idx="6">
                  <c:v>417.64200000119718</c:v>
                </c:pt>
                <c:pt idx="7">
                  <c:v>417.649</c:v>
                </c:pt>
                <c:pt idx="8">
                  <c:v>417.60600000119729</c:v>
                </c:pt>
                <c:pt idx="9">
                  <c:v>417.57100020236084</c:v>
                </c:pt>
                <c:pt idx="10">
                  <c:v>417.62400000119732</c:v>
                </c:pt>
                <c:pt idx="11">
                  <c:v>417.70800000478806</c:v>
                </c:pt>
                <c:pt idx="12">
                  <c:v>417.71000000119699</c:v>
                </c:pt>
                <c:pt idx="13">
                  <c:v>417.654</c:v>
                </c:pt>
                <c:pt idx="14">
                  <c:v>417.56000000119747</c:v>
                </c:pt>
                <c:pt idx="15">
                  <c:v>417.56000001077689</c:v>
                </c:pt>
              </c:numCache>
            </c:numRef>
          </c:val>
          <c:extLst>
            <c:ext xmlns:c16="http://schemas.microsoft.com/office/drawing/2014/chart" uri="{C3380CC4-5D6E-409C-BE32-E72D297353CC}">
              <c16:uniqueId val="{00000000-C424-4A49-8325-5BA97B13DB02}"/>
            </c:ext>
          </c:extLst>
        </c:ser>
        <c:ser>
          <c:idx val="2"/>
          <c:order val="1"/>
          <c:tx>
            <c:strRef>
              <c:f>'246'!$M$61</c:f>
              <c:strCache>
                <c:ptCount val="1"/>
                <c:pt idx="0">
                  <c:v>Dwg Rmax</c:v>
                </c:pt>
              </c:strCache>
            </c:strRef>
          </c:tx>
          <c:spPr>
            <a:ln>
              <a:solidFill>
                <a:srgbClr val="FF0000"/>
              </a:solidFill>
              <a:prstDash val="dash"/>
            </a:ln>
          </c:spPr>
          <c:marker>
            <c:symbol val="none"/>
          </c:marker>
          <c:cat>
            <c:numRef>
              <c:f>'246'!$H$62:$H$77</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'246'!$M$62:$M$77</c:f>
              <c:numCache>
                <c:formatCode>General</c:formatCode>
                <c:ptCount val="16"/>
                <c:pt idx="0">
                  <c:v>417.68199999999996</c:v>
                </c:pt>
                <c:pt idx="1">
                  <c:v>417.68199999999996</c:v>
                </c:pt>
                <c:pt idx="2">
                  <c:v>417.68199999999996</c:v>
                </c:pt>
                <c:pt idx="3">
                  <c:v>417.68199999999996</c:v>
                </c:pt>
                <c:pt idx="4">
                  <c:v>417.68199999999996</c:v>
                </c:pt>
                <c:pt idx="5">
                  <c:v>417.68199999999996</c:v>
                </c:pt>
                <c:pt idx="6">
                  <c:v>417.68199999999996</c:v>
                </c:pt>
                <c:pt idx="7">
                  <c:v>417.68199999999996</c:v>
                </c:pt>
                <c:pt idx="8">
                  <c:v>417.68199999999996</c:v>
                </c:pt>
                <c:pt idx="9">
                  <c:v>417.68199999999996</c:v>
                </c:pt>
                <c:pt idx="10">
                  <c:v>417.68199999999996</c:v>
                </c:pt>
                <c:pt idx="11">
                  <c:v>417.68199999999996</c:v>
                </c:pt>
                <c:pt idx="12">
                  <c:v>417.68199999999996</c:v>
                </c:pt>
                <c:pt idx="13">
                  <c:v>417.68199999999996</c:v>
                </c:pt>
                <c:pt idx="14">
                  <c:v>417.68199999999996</c:v>
                </c:pt>
                <c:pt idx="15">
                  <c:v>417.68199999999996</c:v>
                </c:pt>
              </c:numCache>
            </c:numRef>
          </c:val>
          <c:extLst>
            <c:ext xmlns:c16="http://schemas.microsoft.com/office/drawing/2014/chart" uri="{C3380CC4-5D6E-409C-BE32-E72D297353CC}">
              <c16:uniqueId val="{00000001-C424-4A49-8325-5BA97B13DB02}"/>
            </c:ext>
          </c:extLst>
        </c:ser>
        <c:ser>
          <c:idx val="1"/>
          <c:order val="2"/>
          <c:tx>
            <c:strRef>
              <c:f>'246'!$L$61</c:f>
              <c:strCache>
                <c:ptCount val="1"/>
                <c:pt idx="0">
                  <c:v>Dwg Rmin</c:v>
                </c:pt>
              </c:strCache>
            </c:strRef>
          </c:tx>
          <c:spPr>
            <a:ln>
              <a:solidFill>
                <a:srgbClr val="0000FF"/>
              </a:solidFill>
              <a:prstDash val="dash"/>
            </a:ln>
          </c:spPr>
          <c:marker>
            <c:symbol val="none"/>
          </c:marker>
          <c:cat>
            <c:numRef>
              <c:f>'246'!$H$62:$H$77</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'246'!$L$62:$L$77</c:f>
              <c:numCache>
                <c:formatCode>General</c:formatCode>
                <c:ptCount val="16"/>
                <c:pt idx="0">
                  <c:v>417.61799999999999</c:v>
                </c:pt>
                <c:pt idx="1">
                  <c:v>417.61799999999999</c:v>
                </c:pt>
                <c:pt idx="2">
                  <c:v>417.61799999999999</c:v>
                </c:pt>
                <c:pt idx="3">
                  <c:v>417.61799999999999</c:v>
                </c:pt>
                <c:pt idx="4">
                  <c:v>417.61799999999999</c:v>
                </c:pt>
                <c:pt idx="5">
                  <c:v>417.61799999999999</c:v>
                </c:pt>
                <c:pt idx="6">
                  <c:v>417.61799999999999</c:v>
                </c:pt>
                <c:pt idx="7">
                  <c:v>417.61799999999999</c:v>
                </c:pt>
                <c:pt idx="8">
                  <c:v>417.61799999999999</c:v>
                </c:pt>
                <c:pt idx="9">
                  <c:v>417.61799999999999</c:v>
                </c:pt>
                <c:pt idx="10">
                  <c:v>417.61799999999999</c:v>
                </c:pt>
                <c:pt idx="11">
                  <c:v>417.61799999999999</c:v>
                </c:pt>
                <c:pt idx="12">
                  <c:v>417.61799999999999</c:v>
                </c:pt>
                <c:pt idx="13">
                  <c:v>417.61799999999999</c:v>
                </c:pt>
                <c:pt idx="14">
                  <c:v>417.61799999999999</c:v>
                </c:pt>
                <c:pt idx="15">
                  <c:v>417.61799999999999</c:v>
                </c:pt>
              </c:numCache>
            </c:numRef>
          </c:val>
          <c:extLst>
            <c:ext xmlns:c16="http://schemas.microsoft.com/office/drawing/2014/chart" uri="{C3380CC4-5D6E-409C-BE32-E72D297353CC}">
              <c16:uniqueId val="{00000002-C424-4A49-8325-5BA97B13DB02}"/>
            </c:ext>
          </c:extLst>
        </c:ser>
        <c:dLbls>
          <c:showLegendKey val="0"/>
          <c:showVal val="0"/>
          <c:showCatName val="0"/>
          <c:showSerName val="0"/>
          <c:showPercent val="0"/>
          <c:showBubbleSize val="0"/>
        </c:dLbls>
        <c:axId val="192315776"/>
        <c:axId val="192317312"/>
      </c:radarChart>
      <c:catAx>
        <c:axId val="19231577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92317312"/>
        <c:crosses val="autoZero"/>
        <c:auto val="1"/>
        <c:lblAlgn val="ctr"/>
        <c:lblOffset val="100"/>
        <c:noMultiLvlLbl val="0"/>
      </c:catAx>
      <c:valAx>
        <c:axId val="19231731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92315776"/>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orientation="portrait"/>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'246'!$V$6</c:f>
          <c:strCache>
            <c:ptCount val="1"/>
            <c:pt idx="0">
              <c:v>JHV723EJ : 246_2001 + 2.0+/-0.13</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'246'!$W$6</c:f>
              <c:strCache>
                <c:ptCount val="1"/>
                <c:pt idx="0">
                  <c:v>SONR - Avg. 2.03</c:v>
                </c:pt>
              </c:strCache>
            </c:strRef>
          </c:tx>
          <c:spPr>
            <a:ln w="19050">
              <a:solidFill>
                <a:srgbClr val="00FF00"/>
              </a:solidFill>
            </a:ln>
          </c:spPr>
          <c:marker>
            <c:symbol val="square"/>
            <c:size val="5"/>
            <c:spPr>
              <a:noFill/>
              <a:ln>
                <a:solidFill>
                  <a:srgbClr val="00FF00"/>
                </a:solidFill>
              </a:ln>
            </c:spPr>
          </c:marker>
          <c:cat>
            <c:numRef>
              <c:f>'246'!$H$7:$H$22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'246'!$W$7:$W$22</c:f>
              <c:numCache>
                <c:formatCode>General</c:formatCode>
                <c:ptCount val="16"/>
                <c:pt idx="0">
                  <c:v>419.64399999999995</c:v>
                </c:pt>
                <c:pt idx="1">
                  <c:v>419.68299999999999</c:v>
                </c:pt>
                <c:pt idx="2">
                  <c:v>419.68499999999995</c:v>
                </c:pt>
                <c:pt idx="3">
                  <c:v>419.66099999999994</c:v>
                </c:pt>
                <c:pt idx="4">
                  <c:v>419.666</c:v>
                </c:pt>
                <c:pt idx="5">
                  <c:v>419.67999999999995</c:v>
                </c:pt>
                <c:pt idx="6">
                  <c:v>419.66399999999999</c:v>
                </c:pt>
                <c:pt idx="7">
                  <c:v>419.66899999999998</c:v>
                </c:pt>
                <c:pt idx="8">
                  <c:v>419.63099999999997</c:v>
                </c:pt>
                <c:pt idx="9">
                  <c:v>419.601</c:v>
                </c:pt>
                <c:pt idx="10">
                  <c:v>419.65</c:v>
                </c:pt>
                <c:pt idx="11">
                  <c:v>419.72499999999997</c:v>
                </c:pt>
                <c:pt idx="12">
                  <c:v>419.72799999999995</c:v>
                </c:pt>
                <c:pt idx="13">
                  <c:v>419.67499999999995</c:v>
                </c:pt>
                <c:pt idx="14">
                  <c:v>419.59099999999995</c:v>
                </c:pt>
                <c:pt idx="15">
                  <c:v>419.58499999999998</c:v>
                </c:pt>
              </c:numCache>
            </c:numRef>
          </c:val>
          <c:extLst>
            <c:ext xmlns:c16="http://schemas.microsoft.com/office/drawing/2014/chart" uri="{C3380CC4-5D6E-409C-BE32-E72D297353CC}">
              <c16:uniqueId val="{00000000-5E0C-434F-A525-326A9F271897}"/>
            </c:ext>
          </c:extLst>
        </c:ser>
        <c:ser>
          <c:idx val="2"/>
          <c:order val="1"/>
          <c:tx>
            <c:strRef>
              <c:f>'246'!$Y$6</c:f>
              <c:strCache>
                <c:ptCount val="1"/>
                <c:pt idx="0">
                  <c:v>Dwg Rmax</c:v>
                </c:pt>
              </c:strCache>
            </c:strRef>
          </c:tx>
          <c:spPr>
            <a:ln>
              <a:solidFill>
                <a:srgbClr val="FF0000"/>
              </a:solidFill>
              <a:prstDash val="dash"/>
            </a:ln>
          </c:spPr>
          <c:marker>
            <c:symbol val="none"/>
          </c:marker>
          <c:cat>
            <c:numRef>
              <c:f>'246'!$H$7:$H$22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'246'!$Y$7:$Y$22</c:f>
              <c:numCache>
                <c:formatCode>General</c:formatCode>
                <c:ptCount val="16"/>
                <c:pt idx="0">
                  <c:v>419.81199999999995</c:v>
                </c:pt>
                <c:pt idx="1">
                  <c:v>419.81199999999995</c:v>
                </c:pt>
                <c:pt idx="2">
                  <c:v>419.81199999999995</c:v>
                </c:pt>
                <c:pt idx="3">
                  <c:v>419.81199999999995</c:v>
                </c:pt>
                <c:pt idx="4">
                  <c:v>419.81199999999995</c:v>
                </c:pt>
                <c:pt idx="5">
                  <c:v>419.81199999999995</c:v>
                </c:pt>
                <c:pt idx="6">
                  <c:v>419.81199999999995</c:v>
                </c:pt>
                <c:pt idx="7">
                  <c:v>419.81199999999995</c:v>
                </c:pt>
                <c:pt idx="8">
                  <c:v>419.81199999999995</c:v>
                </c:pt>
                <c:pt idx="9">
                  <c:v>419.81199999999995</c:v>
                </c:pt>
                <c:pt idx="10">
                  <c:v>419.81199999999995</c:v>
                </c:pt>
                <c:pt idx="11">
                  <c:v>419.81199999999995</c:v>
                </c:pt>
                <c:pt idx="12">
                  <c:v>419.81199999999995</c:v>
                </c:pt>
                <c:pt idx="13">
                  <c:v>419.81199999999995</c:v>
                </c:pt>
                <c:pt idx="14">
                  <c:v>419.81199999999995</c:v>
                </c:pt>
                <c:pt idx="15">
                  <c:v>419.81199999999995</c:v>
                </c:pt>
              </c:numCache>
            </c:numRef>
          </c:val>
          <c:extLst>
            <c:ext xmlns:c16="http://schemas.microsoft.com/office/drawing/2014/chart" uri="{C3380CC4-5D6E-409C-BE32-E72D297353CC}">
              <c16:uniqueId val="{00000001-5E0C-434F-A525-326A9F271897}"/>
            </c:ext>
          </c:extLst>
        </c:ser>
        <c:ser>
          <c:idx val="1"/>
          <c:order val="2"/>
          <c:tx>
            <c:strRef>
              <c:f>'246'!$X$6</c:f>
              <c:strCache>
                <c:ptCount val="1"/>
                <c:pt idx="0">
                  <c:v>Dwg Rmin</c:v>
                </c:pt>
              </c:strCache>
            </c:strRef>
          </c:tx>
          <c:spPr>
            <a:ln>
              <a:solidFill>
                <a:srgbClr val="0000FF"/>
              </a:solidFill>
              <a:prstDash val="dash"/>
            </a:ln>
          </c:spPr>
          <c:marker>
            <c:symbol val="none"/>
          </c:marker>
          <c:cat>
            <c:numRef>
              <c:f>'246'!$H$7:$H$22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'246'!$X$7:$X$22</c:f>
              <c:numCache>
                <c:formatCode>General</c:formatCode>
                <c:ptCount val="16"/>
                <c:pt idx="0">
                  <c:v>419.488</c:v>
                </c:pt>
                <c:pt idx="1">
                  <c:v>419.488</c:v>
                </c:pt>
                <c:pt idx="2">
                  <c:v>419.488</c:v>
                </c:pt>
                <c:pt idx="3">
                  <c:v>419.488</c:v>
                </c:pt>
                <c:pt idx="4">
                  <c:v>419.488</c:v>
                </c:pt>
                <c:pt idx="5">
                  <c:v>419.488</c:v>
                </c:pt>
                <c:pt idx="6">
                  <c:v>419.488</c:v>
                </c:pt>
                <c:pt idx="7">
                  <c:v>419.488</c:v>
                </c:pt>
                <c:pt idx="8">
                  <c:v>419.488</c:v>
                </c:pt>
                <c:pt idx="9">
                  <c:v>419.488</c:v>
                </c:pt>
                <c:pt idx="10">
                  <c:v>419.488</c:v>
                </c:pt>
                <c:pt idx="11">
                  <c:v>419.488</c:v>
                </c:pt>
                <c:pt idx="12">
                  <c:v>419.488</c:v>
                </c:pt>
                <c:pt idx="13">
                  <c:v>419.488</c:v>
                </c:pt>
                <c:pt idx="14">
                  <c:v>419.488</c:v>
                </c:pt>
                <c:pt idx="15">
                  <c:v>419.488</c:v>
                </c:pt>
              </c:numCache>
            </c:numRef>
          </c:val>
          <c:extLst>
            <c:ext xmlns:c16="http://schemas.microsoft.com/office/drawing/2014/chart" uri="{C3380CC4-5D6E-409C-BE32-E72D297353CC}">
              <c16:uniqueId val="{00000002-5E0C-434F-A525-326A9F271897}"/>
            </c:ext>
          </c:extLst>
        </c:ser>
        <c:dLbls>
          <c:showLegendKey val="0"/>
          <c:showVal val="0"/>
          <c:showCatName val="0"/>
          <c:showSerName val="0"/>
          <c:showPercent val="0"/>
          <c:showBubbleSize val="0"/>
        </c:dLbls>
        <c:axId val="192340736"/>
        <c:axId val="192342272"/>
      </c:radarChart>
      <c:catAx>
        <c:axId val="19234073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92342272"/>
        <c:crosses val="autoZero"/>
        <c:auto val="1"/>
        <c:lblAlgn val="ctr"/>
        <c:lblOffset val="100"/>
        <c:noMultiLvlLbl val="0"/>
      </c:catAx>
      <c:valAx>
        <c:axId val="19234227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92340736"/>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'246'!$V$61</c:f>
          <c:strCache>
            <c:ptCount val="1"/>
            <c:pt idx="0">
              <c:v>JHV723EJ : 246_2002 + 2.0+/-0.13</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'246'!$W$61</c:f>
              <c:strCache>
                <c:ptCount val="1"/>
                <c:pt idx="0">
                  <c:v>SONR - Avg. 2.03</c:v>
                </c:pt>
              </c:strCache>
            </c:strRef>
          </c:tx>
          <c:spPr>
            <a:ln w="19050">
              <a:solidFill>
                <a:srgbClr val="00FF00"/>
              </a:solidFill>
            </a:ln>
          </c:spPr>
          <c:marker>
            <c:symbol val="square"/>
            <c:size val="5"/>
            <c:spPr>
              <a:noFill/>
              <a:ln>
                <a:solidFill>
                  <a:srgbClr val="00FF00"/>
                </a:solidFill>
              </a:ln>
            </c:spPr>
          </c:marker>
          <c:cat>
            <c:numRef>
              <c:f>'246'!$H$7:$H$22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'246'!$W$62:$W$77</c:f>
              <c:numCache>
                <c:formatCode>General</c:formatCode>
                <c:ptCount val="16"/>
                <c:pt idx="0">
                  <c:v>419.65400000119729</c:v>
                </c:pt>
                <c:pt idx="1">
                  <c:v>419.69200000119707</c:v>
                </c:pt>
                <c:pt idx="2">
                  <c:v>419.69300000478853</c:v>
                </c:pt>
                <c:pt idx="3">
                  <c:v>419.66600001915543</c:v>
                </c:pt>
                <c:pt idx="4">
                  <c:v>419.66700000119721</c:v>
                </c:pt>
                <c:pt idx="5">
                  <c:v>419.68800000119711</c:v>
                </c:pt>
                <c:pt idx="6">
                  <c:v>419.67200000119715</c:v>
                </c:pt>
                <c:pt idx="7">
                  <c:v>419.67899999999997</c:v>
                </c:pt>
                <c:pt idx="8">
                  <c:v>419.63600000119726</c:v>
                </c:pt>
                <c:pt idx="9">
                  <c:v>419.60100020236081</c:v>
                </c:pt>
                <c:pt idx="10">
                  <c:v>419.65400000119729</c:v>
                </c:pt>
                <c:pt idx="11">
                  <c:v>419.73800000478803</c:v>
                </c:pt>
                <c:pt idx="12">
                  <c:v>419.74000000119696</c:v>
                </c:pt>
                <c:pt idx="13">
                  <c:v>419.68399999999997</c:v>
                </c:pt>
                <c:pt idx="14">
                  <c:v>419.59000000119744</c:v>
                </c:pt>
                <c:pt idx="15">
                  <c:v>419.59000001077686</c:v>
                </c:pt>
              </c:numCache>
            </c:numRef>
          </c:val>
          <c:extLst>
            <c:ext xmlns:c16="http://schemas.microsoft.com/office/drawing/2014/chart" uri="{C3380CC4-5D6E-409C-BE32-E72D297353CC}">
              <c16:uniqueId val="{00000000-53F9-4985-B5BB-0C24153FE974}"/>
            </c:ext>
          </c:extLst>
        </c:ser>
        <c:ser>
          <c:idx val="2"/>
          <c:order val="1"/>
          <c:tx>
            <c:strRef>
              <c:f>'246'!$Y$61</c:f>
              <c:strCache>
                <c:ptCount val="1"/>
                <c:pt idx="0">
                  <c:v>Dwg Rmax</c:v>
                </c:pt>
              </c:strCache>
            </c:strRef>
          </c:tx>
          <c:spPr>
            <a:ln>
              <a:solidFill>
                <a:srgbClr val="FF0000"/>
              </a:solidFill>
              <a:prstDash val="dash"/>
            </a:ln>
          </c:spPr>
          <c:marker>
            <c:symbol val="none"/>
          </c:marker>
          <c:cat>
            <c:numRef>
              <c:f>'246'!$H$7:$H$22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'246'!$Y$62:$Y$77</c:f>
              <c:numCache>
                <c:formatCode>General</c:formatCode>
                <c:ptCount val="16"/>
                <c:pt idx="0">
                  <c:v>419.81199999999995</c:v>
                </c:pt>
                <c:pt idx="1">
                  <c:v>419.81199999999995</c:v>
                </c:pt>
                <c:pt idx="2">
                  <c:v>419.81199999999995</c:v>
                </c:pt>
                <c:pt idx="3">
                  <c:v>419.81199999999995</c:v>
                </c:pt>
                <c:pt idx="4">
                  <c:v>419.81199999999995</c:v>
                </c:pt>
                <c:pt idx="5">
                  <c:v>419.81199999999995</c:v>
                </c:pt>
                <c:pt idx="6">
                  <c:v>419.81199999999995</c:v>
                </c:pt>
                <c:pt idx="7">
                  <c:v>419.81199999999995</c:v>
                </c:pt>
                <c:pt idx="8">
                  <c:v>419.81199999999995</c:v>
                </c:pt>
                <c:pt idx="9">
                  <c:v>419.81199999999995</c:v>
                </c:pt>
                <c:pt idx="10">
                  <c:v>419.81199999999995</c:v>
                </c:pt>
                <c:pt idx="11">
                  <c:v>419.81199999999995</c:v>
                </c:pt>
                <c:pt idx="12">
                  <c:v>419.81199999999995</c:v>
                </c:pt>
                <c:pt idx="13">
                  <c:v>419.81199999999995</c:v>
                </c:pt>
                <c:pt idx="14">
                  <c:v>419.81199999999995</c:v>
                </c:pt>
                <c:pt idx="15">
                  <c:v>419.81199999999995</c:v>
                </c:pt>
              </c:numCache>
            </c:numRef>
          </c:val>
          <c:extLst>
            <c:ext xmlns:c16="http://schemas.microsoft.com/office/drawing/2014/chart" uri="{C3380CC4-5D6E-409C-BE32-E72D297353CC}">
              <c16:uniqueId val="{00000001-53F9-4985-B5BB-0C24153FE974}"/>
            </c:ext>
          </c:extLst>
        </c:ser>
        <c:ser>
          <c:idx val="1"/>
          <c:order val="2"/>
          <c:tx>
            <c:strRef>
              <c:f>'246'!$X$61</c:f>
              <c:strCache>
                <c:ptCount val="1"/>
                <c:pt idx="0">
                  <c:v>Dwg Rmin</c:v>
                </c:pt>
              </c:strCache>
            </c:strRef>
          </c:tx>
          <c:spPr>
            <a:ln>
              <a:solidFill>
                <a:srgbClr val="0000FF"/>
              </a:solidFill>
              <a:prstDash val="dash"/>
            </a:ln>
          </c:spPr>
          <c:marker>
            <c:symbol val="none"/>
          </c:marker>
          <c:cat>
            <c:numRef>
              <c:f>'246'!$H$7:$H$22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'246'!$X$62:$X$77</c:f>
              <c:numCache>
                <c:formatCode>General</c:formatCode>
                <c:ptCount val="16"/>
                <c:pt idx="0">
                  <c:v>419.488</c:v>
                </c:pt>
                <c:pt idx="1">
                  <c:v>419.488</c:v>
                </c:pt>
                <c:pt idx="2">
                  <c:v>419.488</c:v>
                </c:pt>
                <c:pt idx="3">
                  <c:v>419.488</c:v>
                </c:pt>
                <c:pt idx="4">
                  <c:v>419.488</c:v>
                </c:pt>
                <c:pt idx="5">
                  <c:v>419.488</c:v>
                </c:pt>
                <c:pt idx="6">
                  <c:v>419.488</c:v>
                </c:pt>
                <c:pt idx="7">
                  <c:v>419.488</c:v>
                </c:pt>
                <c:pt idx="8">
                  <c:v>419.488</c:v>
                </c:pt>
                <c:pt idx="9">
                  <c:v>419.488</c:v>
                </c:pt>
                <c:pt idx="10">
                  <c:v>419.488</c:v>
                </c:pt>
                <c:pt idx="11">
                  <c:v>419.488</c:v>
                </c:pt>
                <c:pt idx="12">
                  <c:v>419.488</c:v>
                </c:pt>
                <c:pt idx="13">
                  <c:v>419.488</c:v>
                </c:pt>
                <c:pt idx="14">
                  <c:v>419.488</c:v>
                </c:pt>
                <c:pt idx="15">
                  <c:v>419.488</c:v>
                </c:pt>
              </c:numCache>
            </c:numRef>
          </c:val>
          <c:extLst>
            <c:ext xmlns:c16="http://schemas.microsoft.com/office/drawing/2014/chart" uri="{C3380CC4-5D6E-409C-BE32-E72D297353CC}">
              <c16:uniqueId val="{00000002-53F9-4985-B5BB-0C24153FE974}"/>
            </c:ext>
          </c:extLst>
        </c:ser>
        <c:dLbls>
          <c:showLegendKey val="0"/>
          <c:showVal val="0"/>
          <c:showCatName val="0"/>
          <c:showSerName val="0"/>
          <c:showPercent val="0"/>
          <c:showBubbleSize val="0"/>
        </c:dLbls>
        <c:axId val="193012864"/>
        <c:axId val="193014400"/>
      </c:radarChart>
      <c:catAx>
        <c:axId val="19301286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93014400"/>
        <c:crosses val="autoZero"/>
        <c:auto val="1"/>
        <c:lblAlgn val="ctr"/>
        <c:lblOffset val="100"/>
        <c:noMultiLvlLbl val="0"/>
      </c:catAx>
      <c:valAx>
        <c:axId val="193014400"/>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93012864"/>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marker>
            <c:symbol val="none"/>
          </c:marker>
          <c:val>
            <c:numRef>
              <c:f>'245'!$D$5:$D$12</c:f>
              <c:numCache>
                <c:formatCode>General</c:formatCode>
                <c:ptCount val="8"/>
                <c:pt idx="0">
                  <c:v>419.29500000000002</c:v>
                </c:pt>
                <c:pt idx="1">
                  <c:v>419.3075</c:v>
                </c:pt>
                <c:pt idx="2">
                  <c:v>419.31</c:v>
                </c:pt>
                <c:pt idx="3">
                  <c:v>419.28250000000003</c:v>
                </c:pt>
                <c:pt idx="4">
                  <c:v>419.29500000000002</c:v>
                </c:pt>
                <c:pt idx="5">
                  <c:v>419.3075</c:v>
                </c:pt>
                <c:pt idx="6">
                  <c:v>419.31</c:v>
                </c:pt>
                <c:pt idx="7">
                  <c:v>419.28250000000003</c:v>
                </c:pt>
              </c:numCache>
            </c:numRef>
          </c:val>
          <c:extLst>
            <c:ext xmlns:c16="http://schemas.microsoft.com/office/drawing/2014/chart" uri="{C3380CC4-5D6E-409C-BE32-E72D297353CC}">
              <c16:uniqueId val="{00000000-F2F0-4380-98D6-9587C491AA5A}"/>
            </c:ext>
          </c:extLst>
        </c:ser>
        <c:dLbls>
          <c:showLegendKey val="0"/>
          <c:showVal val="0"/>
          <c:showCatName val="0"/>
          <c:showSerName val="0"/>
          <c:showPercent val="0"/>
          <c:showBubbleSize val="0"/>
        </c:dLbls>
        <c:axId val="193040384"/>
        <c:axId val="193041920"/>
      </c:radarChart>
      <c:catAx>
        <c:axId val="193040384"/>
        <c:scaling>
          <c:orientation val="minMax"/>
        </c:scaling>
        <c:delete val="1"/>
        <c:axPos val="b"/>
        <c:majorGridlines/>
        <c:majorTickMark val="out"/>
        <c:minorTickMark val="none"/>
        <c:tickLblPos val="nextTo"/>
        <c:crossAx val="193041920"/>
        <c:crosses val="autoZero"/>
        <c:auto val="1"/>
        <c:lblAlgn val="ctr"/>
        <c:lblOffset val="100"/>
        <c:noMultiLvlLbl val="0"/>
      </c:catAx>
      <c:valAx>
        <c:axId val="193041920"/>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93040384"/>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'247'!$I$6</c:f>
          <c:strCache>
            <c:ptCount val="1"/>
            <c:pt idx="0">
              <c:v>JHV723EJ : 247</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'247'!$K$6</c:f>
              <c:strCache>
                <c:ptCount val="1"/>
                <c:pt idx="0">
                  <c:v>SONR</c:v>
                </c:pt>
              </c:strCache>
            </c:strRef>
          </c:tx>
          <c:spPr>
            <a:ln w="19050">
              <a:solidFill>
                <a:srgbClr val="00FF00"/>
              </a:solidFill>
            </a:ln>
          </c:spPr>
          <c:marker>
            <c:symbol val="square"/>
            <c:size val="5"/>
            <c:spPr>
              <a:noFill/>
              <a:ln>
                <a:solidFill>
                  <a:srgbClr val="00FF00"/>
                </a:solidFill>
              </a:ln>
            </c:spPr>
          </c:marker>
          <c:cat>
            <c:numRef>
              <c:f>'247'!$H$7:$H$22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'247'!$K$7:$K$22</c:f>
              <c:numCache>
                <c:formatCode>General</c:formatCode>
                <c:ptCount val="16"/>
                <c:pt idx="0">
                  <c:v>419.32299999999998</c:v>
                </c:pt>
                <c:pt idx="1">
                  <c:v>419.36099999999999</c:v>
                </c:pt>
                <c:pt idx="2">
                  <c:v>419.36500000000001</c:v>
                </c:pt>
                <c:pt idx="3">
                  <c:v>419.33800000000002</c:v>
                </c:pt>
                <c:pt idx="4">
                  <c:v>419.34300000000002</c:v>
                </c:pt>
                <c:pt idx="5">
                  <c:v>419.36</c:v>
                </c:pt>
                <c:pt idx="6">
                  <c:v>419.34100000000001</c:v>
                </c:pt>
                <c:pt idx="7">
                  <c:v>419.34699999999998</c:v>
                </c:pt>
                <c:pt idx="8">
                  <c:v>419.30799999999999</c:v>
                </c:pt>
                <c:pt idx="9">
                  <c:v>419.279</c:v>
                </c:pt>
                <c:pt idx="10">
                  <c:v>419.32299999999998</c:v>
                </c:pt>
                <c:pt idx="11">
                  <c:v>419.404</c:v>
                </c:pt>
                <c:pt idx="12">
                  <c:v>419.41800000000001</c:v>
                </c:pt>
                <c:pt idx="13">
                  <c:v>419.35399999999998</c:v>
                </c:pt>
                <c:pt idx="14">
                  <c:v>419.27199999999999</c:v>
                </c:pt>
                <c:pt idx="15">
                  <c:v>419.26900000000001</c:v>
                </c:pt>
              </c:numCache>
            </c:numRef>
          </c:val>
          <c:extLst>
            <c:ext xmlns:c16="http://schemas.microsoft.com/office/drawing/2014/chart" uri="{C3380CC4-5D6E-409C-BE32-E72D297353CC}">
              <c16:uniqueId val="{00000000-E74B-4FC4-8AEC-CB480918D62D}"/>
            </c:ext>
          </c:extLst>
        </c:ser>
        <c:ser>
          <c:idx val="2"/>
          <c:order val="1"/>
          <c:tx>
            <c:strRef>
              <c:f>'247'!$M$6</c:f>
              <c:strCache>
                <c:ptCount val="1"/>
                <c:pt idx="0">
                  <c:v>Dwg Rmax</c:v>
                </c:pt>
              </c:strCache>
            </c:strRef>
          </c:tx>
          <c:spPr>
            <a:ln>
              <a:solidFill>
                <a:srgbClr val="FF0000"/>
              </a:solidFill>
              <a:prstDash val="dash"/>
            </a:ln>
          </c:spPr>
          <c:marker>
            <c:symbol val="none"/>
          </c:marker>
          <c:cat>
            <c:numRef>
              <c:f>'247'!$H$7:$H$22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'247'!$M$7:$M$22</c:f>
              <c:numCache>
                <c:formatCode>General</c:formatCode>
                <c:ptCount val="16"/>
                <c:pt idx="0">
                  <c:v>419.38200000000001</c:v>
                </c:pt>
                <c:pt idx="1">
                  <c:v>419.38200000000001</c:v>
                </c:pt>
                <c:pt idx="2">
                  <c:v>419.38200000000001</c:v>
                </c:pt>
                <c:pt idx="3">
                  <c:v>419.38200000000001</c:v>
                </c:pt>
                <c:pt idx="4">
                  <c:v>419.38200000000001</c:v>
                </c:pt>
                <c:pt idx="5">
                  <c:v>419.38200000000001</c:v>
                </c:pt>
                <c:pt idx="6">
                  <c:v>419.38200000000001</c:v>
                </c:pt>
                <c:pt idx="7">
                  <c:v>419.38200000000001</c:v>
                </c:pt>
                <c:pt idx="8">
                  <c:v>419.38200000000001</c:v>
                </c:pt>
                <c:pt idx="9">
                  <c:v>419.38200000000001</c:v>
                </c:pt>
                <c:pt idx="10">
                  <c:v>419.38200000000001</c:v>
                </c:pt>
                <c:pt idx="11">
                  <c:v>419.38200000000001</c:v>
                </c:pt>
                <c:pt idx="12">
                  <c:v>419.38200000000001</c:v>
                </c:pt>
                <c:pt idx="13">
                  <c:v>419.38200000000001</c:v>
                </c:pt>
                <c:pt idx="14">
                  <c:v>419.38200000000001</c:v>
                </c:pt>
                <c:pt idx="15">
                  <c:v>419.38200000000001</c:v>
                </c:pt>
              </c:numCache>
            </c:numRef>
          </c:val>
          <c:extLst>
            <c:ext xmlns:c16="http://schemas.microsoft.com/office/drawing/2014/chart" uri="{C3380CC4-5D6E-409C-BE32-E72D297353CC}">
              <c16:uniqueId val="{00000001-E74B-4FC4-8AEC-CB480918D62D}"/>
            </c:ext>
          </c:extLst>
        </c:ser>
        <c:ser>
          <c:idx val="1"/>
          <c:order val="2"/>
          <c:tx>
            <c:strRef>
              <c:f>'247'!$L$6</c:f>
              <c:strCache>
                <c:ptCount val="1"/>
                <c:pt idx="0">
                  <c:v>Dwg Rmin</c:v>
                </c:pt>
              </c:strCache>
            </c:strRef>
          </c:tx>
          <c:spPr>
            <a:ln>
              <a:solidFill>
                <a:srgbClr val="0000FF"/>
              </a:solidFill>
              <a:prstDash val="dash"/>
            </a:ln>
          </c:spPr>
          <c:marker>
            <c:symbol val="none"/>
          </c:marker>
          <c:cat>
            <c:numRef>
              <c:f>'247'!$H$7:$H$22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'247'!$L$7:$L$22</c:f>
              <c:numCache>
                <c:formatCode>General</c:formatCode>
                <c:ptCount val="16"/>
                <c:pt idx="0">
                  <c:v>419.31800000000004</c:v>
                </c:pt>
                <c:pt idx="1">
                  <c:v>419.31800000000004</c:v>
                </c:pt>
                <c:pt idx="2">
                  <c:v>419.31800000000004</c:v>
                </c:pt>
                <c:pt idx="3">
                  <c:v>419.31800000000004</c:v>
                </c:pt>
                <c:pt idx="4">
                  <c:v>419.31800000000004</c:v>
                </c:pt>
                <c:pt idx="5">
                  <c:v>419.31800000000004</c:v>
                </c:pt>
                <c:pt idx="6">
                  <c:v>419.31800000000004</c:v>
                </c:pt>
                <c:pt idx="7">
                  <c:v>419.31800000000004</c:v>
                </c:pt>
                <c:pt idx="8">
                  <c:v>419.31800000000004</c:v>
                </c:pt>
                <c:pt idx="9">
                  <c:v>419.31800000000004</c:v>
                </c:pt>
                <c:pt idx="10">
                  <c:v>419.31800000000004</c:v>
                </c:pt>
                <c:pt idx="11">
                  <c:v>419.31800000000004</c:v>
                </c:pt>
                <c:pt idx="12">
                  <c:v>419.31800000000004</c:v>
                </c:pt>
                <c:pt idx="13">
                  <c:v>419.31800000000004</c:v>
                </c:pt>
                <c:pt idx="14">
                  <c:v>419.31800000000004</c:v>
                </c:pt>
                <c:pt idx="15">
                  <c:v>419.31800000000004</c:v>
                </c:pt>
              </c:numCache>
            </c:numRef>
          </c:val>
          <c:extLst>
            <c:ext xmlns:c16="http://schemas.microsoft.com/office/drawing/2014/chart" uri="{C3380CC4-5D6E-409C-BE32-E72D297353CC}">
              <c16:uniqueId val="{00000002-E74B-4FC4-8AEC-CB480918D62D}"/>
            </c:ext>
          </c:extLst>
        </c:ser>
        <c:dLbls>
          <c:showLegendKey val="0"/>
          <c:showVal val="0"/>
          <c:showCatName val="0"/>
          <c:showSerName val="0"/>
          <c:showPercent val="0"/>
          <c:showBubbleSize val="0"/>
        </c:dLbls>
        <c:axId val="193196416"/>
        <c:axId val="193197952"/>
      </c:radarChart>
      <c:catAx>
        <c:axId val="19319641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93197952"/>
        <c:crosses val="autoZero"/>
        <c:auto val="1"/>
        <c:lblAlgn val="ctr"/>
        <c:lblOffset val="100"/>
        <c:noMultiLvlLbl val="0"/>
      </c:catAx>
      <c:valAx>
        <c:axId val="19319795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93196416"/>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'248'!$I$6</c:f>
          <c:strCache>
            <c:ptCount val="1"/>
            <c:pt idx="0">
              <c:v>JHV723EJ : 248</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'248'!$K$6</c:f>
              <c:strCache>
                <c:ptCount val="1"/>
                <c:pt idx="0">
                  <c:v>SONR</c:v>
                </c:pt>
              </c:strCache>
            </c:strRef>
          </c:tx>
          <c:spPr>
            <a:ln w="19050">
              <a:solidFill>
                <a:srgbClr val="00FF00"/>
              </a:solidFill>
            </a:ln>
          </c:spPr>
          <c:marker>
            <c:symbol val="square"/>
            <c:size val="5"/>
            <c:spPr>
              <a:noFill/>
              <a:ln>
                <a:solidFill>
                  <a:srgbClr val="00FF00"/>
                </a:solidFill>
              </a:ln>
            </c:spPr>
          </c:marker>
          <c:cat>
            <c:numRef>
              <c:f>'248'!$H$7:$H$22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'248'!$K$7:$K$22</c:f>
              <c:numCache>
                <c:formatCode>General</c:formatCode>
                <c:ptCount val="16"/>
                <c:pt idx="0">
                  <c:v>419.49599999999998</c:v>
                </c:pt>
                <c:pt idx="1">
                  <c:v>419.53399999999999</c:v>
                </c:pt>
                <c:pt idx="2">
                  <c:v>419.53800000000001</c:v>
                </c:pt>
                <c:pt idx="3">
                  <c:v>419.48200000000003</c:v>
                </c:pt>
                <c:pt idx="4">
                  <c:v>419.49400000000003</c:v>
                </c:pt>
                <c:pt idx="5">
                  <c:v>419.50900000000001</c:v>
                </c:pt>
                <c:pt idx="6">
                  <c:v>419.50400000000002</c:v>
                </c:pt>
                <c:pt idx="7">
                  <c:v>419.51400000000001</c:v>
                </c:pt>
                <c:pt idx="8">
                  <c:v>419.46600000000001</c:v>
                </c:pt>
                <c:pt idx="9">
                  <c:v>419.423</c:v>
                </c:pt>
                <c:pt idx="10">
                  <c:v>419.48899999999998</c:v>
                </c:pt>
                <c:pt idx="11">
                  <c:v>419.58</c:v>
                </c:pt>
                <c:pt idx="12">
                  <c:v>419.59800000000001</c:v>
                </c:pt>
                <c:pt idx="13">
                  <c:v>419.51100000000002</c:v>
                </c:pt>
                <c:pt idx="14">
                  <c:v>419.41500000000002</c:v>
                </c:pt>
                <c:pt idx="15">
                  <c:v>419.428</c:v>
                </c:pt>
              </c:numCache>
            </c:numRef>
          </c:val>
          <c:extLst>
            <c:ext xmlns:c16="http://schemas.microsoft.com/office/drawing/2014/chart" uri="{C3380CC4-5D6E-409C-BE32-E72D297353CC}">
              <c16:uniqueId val="{00000000-4525-40A3-BDD0-E9F40BD15AE3}"/>
            </c:ext>
          </c:extLst>
        </c:ser>
        <c:ser>
          <c:idx val="2"/>
          <c:order val="1"/>
          <c:tx>
            <c:strRef>
              <c:f>'248'!$M$6</c:f>
              <c:strCache>
                <c:ptCount val="1"/>
                <c:pt idx="0">
                  <c:v>Dwg Rmax</c:v>
                </c:pt>
              </c:strCache>
            </c:strRef>
          </c:tx>
          <c:spPr>
            <a:ln>
              <a:solidFill>
                <a:srgbClr val="FF0000"/>
              </a:solidFill>
              <a:prstDash val="dash"/>
            </a:ln>
          </c:spPr>
          <c:marker>
            <c:symbol val="none"/>
          </c:marker>
          <c:cat>
            <c:numRef>
              <c:f>'248'!$H$7:$H$22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'248'!$M$7:$M$22</c:f>
              <c:numCache>
                <c:formatCode>General</c:formatCode>
                <c:ptCount val="16"/>
                <c:pt idx="0">
                  <c:v>419.53199999999998</c:v>
                </c:pt>
                <c:pt idx="1">
                  <c:v>419.53199999999998</c:v>
                </c:pt>
                <c:pt idx="2">
                  <c:v>419.53199999999998</c:v>
                </c:pt>
                <c:pt idx="3">
                  <c:v>419.53199999999998</c:v>
                </c:pt>
                <c:pt idx="4">
                  <c:v>419.53199999999998</c:v>
                </c:pt>
                <c:pt idx="5">
                  <c:v>419.53199999999998</c:v>
                </c:pt>
                <c:pt idx="6">
                  <c:v>419.53199999999998</c:v>
                </c:pt>
                <c:pt idx="7">
                  <c:v>419.53199999999998</c:v>
                </c:pt>
                <c:pt idx="8">
                  <c:v>419.53199999999998</c:v>
                </c:pt>
                <c:pt idx="9">
                  <c:v>419.53199999999998</c:v>
                </c:pt>
                <c:pt idx="10">
                  <c:v>419.53199999999998</c:v>
                </c:pt>
                <c:pt idx="11">
                  <c:v>419.53199999999998</c:v>
                </c:pt>
                <c:pt idx="12">
                  <c:v>419.53199999999998</c:v>
                </c:pt>
                <c:pt idx="13">
                  <c:v>419.53199999999998</c:v>
                </c:pt>
                <c:pt idx="14">
                  <c:v>419.53199999999998</c:v>
                </c:pt>
                <c:pt idx="15">
                  <c:v>419.53199999999998</c:v>
                </c:pt>
              </c:numCache>
            </c:numRef>
          </c:val>
          <c:extLst>
            <c:ext xmlns:c16="http://schemas.microsoft.com/office/drawing/2014/chart" uri="{C3380CC4-5D6E-409C-BE32-E72D297353CC}">
              <c16:uniqueId val="{00000001-4525-40A3-BDD0-E9F40BD15AE3}"/>
            </c:ext>
          </c:extLst>
        </c:ser>
        <c:ser>
          <c:idx val="1"/>
          <c:order val="2"/>
          <c:tx>
            <c:strRef>
              <c:f>'248'!$L$6</c:f>
              <c:strCache>
                <c:ptCount val="1"/>
                <c:pt idx="0">
                  <c:v>Dwg Rmin</c:v>
                </c:pt>
              </c:strCache>
            </c:strRef>
          </c:tx>
          <c:spPr>
            <a:ln>
              <a:solidFill>
                <a:srgbClr val="0000FF"/>
              </a:solidFill>
              <a:prstDash val="dash"/>
            </a:ln>
          </c:spPr>
          <c:marker>
            <c:symbol val="none"/>
          </c:marker>
          <c:cat>
            <c:numRef>
              <c:f>'248'!$H$7:$H$22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'248'!$L$7:$L$22</c:f>
              <c:numCache>
                <c:formatCode>General</c:formatCode>
                <c:ptCount val="16"/>
                <c:pt idx="0">
                  <c:v>419.46800000000002</c:v>
                </c:pt>
                <c:pt idx="1">
                  <c:v>419.46800000000002</c:v>
                </c:pt>
                <c:pt idx="2">
                  <c:v>419.46800000000002</c:v>
                </c:pt>
                <c:pt idx="3">
                  <c:v>419.46800000000002</c:v>
                </c:pt>
                <c:pt idx="4">
                  <c:v>419.46800000000002</c:v>
                </c:pt>
                <c:pt idx="5">
                  <c:v>419.46800000000002</c:v>
                </c:pt>
                <c:pt idx="6">
                  <c:v>419.46800000000002</c:v>
                </c:pt>
                <c:pt idx="7">
                  <c:v>419.46800000000002</c:v>
                </c:pt>
                <c:pt idx="8">
                  <c:v>419.46800000000002</c:v>
                </c:pt>
                <c:pt idx="9">
                  <c:v>419.46800000000002</c:v>
                </c:pt>
                <c:pt idx="10">
                  <c:v>419.46800000000002</c:v>
                </c:pt>
                <c:pt idx="11">
                  <c:v>419.46800000000002</c:v>
                </c:pt>
                <c:pt idx="12">
                  <c:v>419.46800000000002</c:v>
                </c:pt>
                <c:pt idx="13">
                  <c:v>419.46800000000002</c:v>
                </c:pt>
                <c:pt idx="14">
                  <c:v>419.46800000000002</c:v>
                </c:pt>
                <c:pt idx="15">
                  <c:v>419.46800000000002</c:v>
                </c:pt>
              </c:numCache>
            </c:numRef>
          </c:val>
          <c:extLst>
            <c:ext xmlns:c16="http://schemas.microsoft.com/office/drawing/2014/chart" uri="{C3380CC4-5D6E-409C-BE32-E72D297353CC}">
              <c16:uniqueId val="{00000002-4525-40A3-BDD0-E9F40BD15AE3}"/>
            </c:ext>
          </c:extLst>
        </c:ser>
        <c:dLbls>
          <c:showLegendKey val="0"/>
          <c:showVal val="0"/>
          <c:showCatName val="0"/>
          <c:showSerName val="0"/>
          <c:showPercent val="0"/>
          <c:showBubbleSize val="0"/>
        </c:dLbls>
        <c:axId val="193222144"/>
        <c:axId val="193223680"/>
      </c:radarChart>
      <c:catAx>
        <c:axId val="19322214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93223680"/>
        <c:crosses val="autoZero"/>
        <c:auto val="1"/>
        <c:lblAlgn val="ctr"/>
        <c:lblOffset val="100"/>
        <c:noMultiLvlLbl val="0"/>
      </c:catAx>
      <c:valAx>
        <c:axId val="193223680"/>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93222144"/>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'201'!$I$6</c:f>
          <c:strCache>
            <c:ptCount val="1"/>
            <c:pt idx="0">
              <c:v>JHV723EJ : 201</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'201'!$K$6</c:f>
              <c:strCache>
                <c:ptCount val="1"/>
                <c:pt idx="0">
                  <c:v>SONR</c:v>
                </c:pt>
              </c:strCache>
            </c:strRef>
          </c:tx>
          <c:spPr>
            <a:ln w="19050">
              <a:solidFill>
                <a:srgbClr val="00FF00"/>
              </a:solidFill>
            </a:ln>
          </c:spPr>
          <c:marker>
            <c:symbol val="square"/>
            <c:size val="5"/>
            <c:spPr>
              <a:noFill/>
              <a:ln>
                <a:solidFill>
                  <a:srgbClr val="00FF00"/>
                </a:solidFill>
              </a:ln>
            </c:spPr>
          </c:marker>
          <c:cat>
            <c:numRef>
              <c:f>'201'!$H$7:$H$22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'201'!$K$7:$K$22</c:f>
              <c:numCache>
                <c:formatCode>General</c:formatCode>
                <c:ptCount val="16"/>
                <c:pt idx="0">
                  <c:v>422.52100000000002</c:v>
                </c:pt>
                <c:pt idx="1">
                  <c:v>422.59</c:v>
                </c:pt>
                <c:pt idx="2">
                  <c:v>422.53199999999998</c:v>
                </c:pt>
                <c:pt idx="3">
                  <c:v>422.41899999999998</c:v>
                </c:pt>
                <c:pt idx="4">
                  <c:v>422.42200000000003</c:v>
                </c:pt>
                <c:pt idx="5">
                  <c:v>422.476</c:v>
                </c:pt>
                <c:pt idx="6">
                  <c:v>422.505</c:v>
                </c:pt>
                <c:pt idx="7">
                  <c:v>422.51299999999998</c:v>
                </c:pt>
                <c:pt idx="8">
                  <c:v>422.43700000000001</c:v>
                </c:pt>
                <c:pt idx="9">
                  <c:v>422.392</c:v>
                </c:pt>
                <c:pt idx="10">
                  <c:v>422.48099999999999</c:v>
                </c:pt>
                <c:pt idx="11">
                  <c:v>422.56900000000002</c:v>
                </c:pt>
                <c:pt idx="12">
                  <c:v>422.56</c:v>
                </c:pt>
                <c:pt idx="13">
                  <c:v>422.44499999999999</c:v>
                </c:pt>
                <c:pt idx="14">
                  <c:v>422.358</c:v>
                </c:pt>
                <c:pt idx="15">
                  <c:v>422.40800000000002</c:v>
                </c:pt>
              </c:numCache>
            </c:numRef>
          </c:val>
          <c:extLst>
            <c:ext xmlns:c16="http://schemas.microsoft.com/office/drawing/2014/chart" uri="{C3380CC4-5D6E-409C-BE32-E72D297353CC}">
              <c16:uniqueId val="{00000000-D866-49B3-9835-7DA5F0729917}"/>
            </c:ext>
          </c:extLst>
        </c:ser>
        <c:ser>
          <c:idx val="2"/>
          <c:order val="1"/>
          <c:tx>
            <c:strRef>
              <c:f>'201'!$M$6</c:f>
              <c:strCache>
                <c:ptCount val="1"/>
                <c:pt idx="0">
                  <c:v>Dwg Rmax</c:v>
                </c:pt>
              </c:strCache>
            </c:strRef>
          </c:tx>
          <c:spPr>
            <a:ln>
              <a:solidFill>
                <a:srgbClr val="FF0000"/>
              </a:solidFill>
              <a:prstDash val="dash"/>
            </a:ln>
          </c:spPr>
          <c:marker>
            <c:symbol val="none"/>
          </c:marker>
          <c:cat>
            <c:numRef>
              <c:f>'201'!$H$7:$H$22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'201'!$M$7:$M$22</c:f>
              <c:numCache>
                <c:formatCode>General</c:formatCode>
                <c:ptCount val="16"/>
                <c:pt idx="0">
                  <c:v>422.49350000000004</c:v>
                </c:pt>
                <c:pt idx="1">
                  <c:v>422.49350000000004</c:v>
                </c:pt>
                <c:pt idx="2">
                  <c:v>422.49350000000004</c:v>
                </c:pt>
                <c:pt idx="3">
                  <c:v>422.49350000000004</c:v>
                </c:pt>
                <c:pt idx="4">
                  <c:v>422.49350000000004</c:v>
                </c:pt>
                <c:pt idx="5">
                  <c:v>422.49350000000004</c:v>
                </c:pt>
                <c:pt idx="6">
                  <c:v>422.49350000000004</c:v>
                </c:pt>
                <c:pt idx="7">
                  <c:v>422.49350000000004</c:v>
                </c:pt>
                <c:pt idx="8">
                  <c:v>422.49350000000004</c:v>
                </c:pt>
                <c:pt idx="9">
                  <c:v>422.49350000000004</c:v>
                </c:pt>
                <c:pt idx="10">
                  <c:v>422.49350000000004</c:v>
                </c:pt>
                <c:pt idx="11">
                  <c:v>422.49350000000004</c:v>
                </c:pt>
                <c:pt idx="12">
                  <c:v>422.49350000000004</c:v>
                </c:pt>
                <c:pt idx="13">
                  <c:v>422.49350000000004</c:v>
                </c:pt>
                <c:pt idx="14">
                  <c:v>422.49350000000004</c:v>
                </c:pt>
                <c:pt idx="15">
                  <c:v>422.49350000000004</c:v>
                </c:pt>
              </c:numCache>
            </c:numRef>
          </c:val>
          <c:extLst>
            <c:ext xmlns:c16="http://schemas.microsoft.com/office/drawing/2014/chart" uri="{C3380CC4-5D6E-409C-BE32-E72D297353CC}">
              <c16:uniqueId val="{00000001-D866-49B3-9835-7DA5F0729917}"/>
            </c:ext>
          </c:extLst>
        </c:ser>
        <c:ser>
          <c:idx val="1"/>
          <c:order val="2"/>
          <c:tx>
            <c:strRef>
              <c:f>'201'!$L$6</c:f>
              <c:strCache>
                <c:ptCount val="1"/>
                <c:pt idx="0">
                  <c:v>Dwg Rmin</c:v>
                </c:pt>
              </c:strCache>
            </c:strRef>
          </c:tx>
          <c:spPr>
            <a:ln>
              <a:solidFill>
                <a:srgbClr val="0000FF"/>
              </a:solidFill>
              <a:prstDash val="dash"/>
            </a:ln>
          </c:spPr>
          <c:marker>
            <c:symbol val="none"/>
          </c:marker>
          <c:cat>
            <c:numRef>
              <c:f>'201'!$H$7:$H$22</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'201'!$L$7:$L$22</c:f>
              <c:numCache>
                <c:formatCode>General</c:formatCode>
                <c:ptCount val="16"/>
                <c:pt idx="0">
                  <c:v>422.4425</c:v>
                </c:pt>
                <c:pt idx="1">
                  <c:v>422.4425</c:v>
                </c:pt>
                <c:pt idx="2">
                  <c:v>422.4425</c:v>
                </c:pt>
                <c:pt idx="3">
                  <c:v>422.4425</c:v>
                </c:pt>
                <c:pt idx="4">
                  <c:v>422.4425</c:v>
                </c:pt>
                <c:pt idx="5">
                  <c:v>422.4425</c:v>
                </c:pt>
                <c:pt idx="6">
                  <c:v>422.4425</c:v>
                </c:pt>
                <c:pt idx="7">
                  <c:v>422.4425</c:v>
                </c:pt>
                <c:pt idx="8">
                  <c:v>422.4425</c:v>
                </c:pt>
                <c:pt idx="9">
                  <c:v>422.4425</c:v>
                </c:pt>
                <c:pt idx="10">
                  <c:v>422.4425</c:v>
                </c:pt>
                <c:pt idx="11">
                  <c:v>422.4425</c:v>
                </c:pt>
                <c:pt idx="12">
                  <c:v>422.4425</c:v>
                </c:pt>
                <c:pt idx="13">
                  <c:v>422.4425</c:v>
                </c:pt>
                <c:pt idx="14">
                  <c:v>422.4425</c:v>
                </c:pt>
                <c:pt idx="15">
                  <c:v>422.4425</c:v>
                </c:pt>
              </c:numCache>
            </c:numRef>
          </c:val>
          <c:extLst>
            <c:ext xmlns:c16="http://schemas.microsoft.com/office/drawing/2014/chart" uri="{C3380CC4-5D6E-409C-BE32-E72D297353CC}">
              <c16:uniqueId val="{00000002-D866-49B3-9835-7DA5F0729917}"/>
            </c:ext>
          </c:extLst>
        </c:ser>
        <c:dLbls>
          <c:showLegendKey val="0"/>
          <c:showVal val="0"/>
          <c:showCatName val="0"/>
          <c:showSerName val="0"/>
          <c:showPercent val="0"/>
          <c:showBubbleSize val="0"/>
        </c:dLbls>
        <c:axId val="197622400"/>
        <c:axId val="197624192"/>
      </c:radarChart>
      <c:catAx>
        <c:axId val="197622400"/>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97624192"/>
        <c:crosses val="autoZero"/>
        <c:auto val="1"/>
        <c:lblAlgn val="ctr"/>
        <c:lblOffset val="100"/>
        <c:noMultiLvlLbl val="0"/>
      </c:catAx>
      <c:valAx>
        <c:axId val="197624192"/>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97622400"/>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'201'!$I$43</c:f>
          <c:strCache>
            <c:ptCount val="1"/>
            <c:pt idx="0">
              <c:v>JHV723EJ : 201 - 1.5+/-0.05</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'201'!$K$43</c:f>
              <c:strCache>
                <c:ptCount val="1"/>
                <c:pt idx="0">
                  <c:v>SONR - (Tool Max)</c:v>
                </c:pt>
              </c:strCache>
            </c:strRef>
          </c:tx>
          <c:spPr>
            <a:ln w="19050">
              <a:solidFill>
                <a:srgbClr val="00FF00"/>
              </a:solidFill>
            </a:ln>
          </c:spPr>
          <c:marker>
            <c:symbol val="square"/>
            <c:size val="5"/>
            <c:spPr>
              <a:noFill/>
              <a:ln>
                <a:solidFill>
                  <a:srgbClr val="00FF00"/>
                </a:solidFill>
              </a:ln>
            </c:spPr>
          </c:marker>
          <c:cat>
            <c:numRef>
              <c:f>'201'!$H$44:$H$59</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'201'!$K$44:$K$59</c:f>
              <c:numCache>
                <c:formatCode>General</c:formatCode>
                <c:ptCount val="16"/>
                <c:pt idx="0">
                  <c:v>420.99100000000004</c:v>
                </c:pt>
                <c:pt idx="1">
                  <c:v>421.06</c:v>
                </c:pt>
                <c:pt idx="2">
                  <c:v>421.00200000000001</c:v>
                </c:pt>
                <c:pt idx="3">
                  <c:v>420.88900000000001</c:v>
                </c:pt>
                <c:pt idx="4">
                  <c:v>420.89200000000005</c:v>
                </c:pt>
                <c:pt idx="5">
                  <c:v>420.94600000000003</c:v>
                </c:pt>
                <c:pt idx="6">
                  <c:v>420.97500000000002</c:v>
                </c:pt>
                <c:pt idx="7">
                  <c:v>420.983</c:v>
                </c:pt>
                <c:pt idx="8">
                  <c:v>420.90700000000004</c:v>
                </c:pt>
                <c:pt idx="9">
                  <c:v>420.86200000000002</c:v>
                </c:pt>
                <c:pt idx="10">
                  <c:v>420.95100000000002</c:v>
                </c:pt>
                <c:pt idx="11">
                  <c:v>421.03900000000004</c:v>
                </c:pt>
                <c:pt idx="12">
                  <c:v>421.03000000000003</c:v>
                </c:pt>
                <c:pt idx="13">
                  <c:v>420.91500000000002</c:v>
                </c:pt>
                <c:pt idx="14">
                  <c:v>420.82800000000003</c:v>
                </c:pt>
                <c:pt idx="15">
                  <c:v>420.87800000000004</c:v>
                </c:pt>
              </c:numCache>
            </c:numRef>
          </c:val>
          <c:extLst>
            <c:ext xmlns:c16="http://schemas.microsoft.com/office/drawing/2014/chart" uri="{C3380CC4-5D6E-409C-BE32-E72D297353CC}">
              <c16:uniqueId val="{00000000-E5F5-488B-B870-655576A2B9BC}"/>
            </c:ext>
          </c:extLst>
        </c:ser>
        <c:ser>
          <c:idx val="2"/>
          <c:order val="1"/>
          <c:tx>
            <c:strRef>
              <c:f>'201'!$M$43</c:f>
              <c:strCache>
                <c:ptCount val="1"/>
                <c:pt idx="0">
                  <c:v>Dwg Rmax</c:v>
                </c:pt>
              </c:strCache>
            </c:strRef>
          </c:tx>
          <c:spPr>
            <a:ln>
              <a:solidFill>
                <a:srgbClr val="FF0000"/>
              </a:solidFill>
              <a:prstDash val="dash"/>
            </a:ln>
          </c:spPr>
          <c:marker>
            <c:symbol val="none"/>
          </c:marker>
          <c:cat>
            <c:numRef>
              <c:f>'201'!$H$44:$H$59</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'201'!$M$44:$M$59</c:f>
              <c:numCache>
                <c:formatCode>General</c:formatCode>
                <c:ptCount val="16"/>
                <c:pt idx="0">
                  <c:v>421.04349999999999</c:v>
                </c:pt>
                <c:pt idx="1">
                  <c:v>421.04349999999999</c:v>
                </c:pt>
                <c:pt idx="2">
                  <c:v>421.04349999999999</c:v>
                </c:pt>
                <c:pt idx="3">
                  <c:v>421.04349999999999</c:v>
                </c:pt>
                <c:pt idx="4">
                  <c:v>421.04349999999999</c:v>
                </c:pt>
                <c:pt idx="5">
                  <c:v>421.04349999999999</c:v>
                </c:pt>
                <c:pt idx="6">
                  <c:v>421.04349999999999</c:v>
                </c:pt>
                <c:pt idx="7">
                  <c:v>421.04349999999999</c:v>
                </c:pt>
                <c:pt idx="8">
                  <c:v>421.04349999999999</c:v>
                </c:pt>
                <c:pt idx="9">
                  <c:v>421.04349999999999</c:v>
                </c:pt>
                <c:pt idx="10">
                  <c:v>421.04349999999999</c:v>
                </c:pt>
                <c:pt idx="11">
                  <c:v>421.04349999999999</c:v>
                </c:pt>
                <c:pt idx="12">
                  <c:v>421.04349999999999</c:v>
                </c:pt>
                <c:pt idx="13">
                  <c:v>421.04349999999999</c:v>
                </c:pt>
                <c:pt idx="14">
                  <c:v>421.04349999999999</c:v>
                </c:pt>
                <c:pt idx="15">
                  <c:v>421.04349999999999</c:v>
                </c:pt>
              </c:numCache>
            </c:numRef>
          </c:val>
          <c:extLst>
            <c:ext xmlns:c16="http://schemas.microsoft.com/office/drawing/2014/chart" uri="{C3380CC4-5D6E-409C-BE32-E72D297353CC}">
              <c16:uniqueId val="{00000001-E5F5-488B-B870-655576A2B9BC}"/>
            </c:ext>
          </c:extLst>
        </c:ser>
        <c:ser>
          <c:idx val="1"/>
          <c:order val="2"/>
          <c:tx>
            <c:strRef>
              <c:f>'201'!$L$43</c:f>
              <c:strCache>
                <c:ptCount val="1"/>
                <c:pt idx="0">
                  <c:v>Dwg Rmin</c:v>
                </c:pt>
              </c:strCache>
            </c:strRef>
          </c:tx>
          <c:spPr>
            <a:ln>
              <a:solidFill>
                <a:srgbClr val="0000FF"/>
              </a:solidFill>
              <a:prstDash val="dash"/>
            </a:ln>
          </c:spPr>
          <c:marker>
            <c:symbol val="none"/>
          </c:marker>
          <c:cat>
            <c:numRef>
              <c:f>'201'!$H$44:$H$59</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'201'!$L$44:$L$59</c:f>
              <c:numCache>
                <c:formatCode>General</c:formatCode>
                <c:ptCount val="16"/>
                <c:pt idx="0">
                  <c:v>420.89250000000004</c:v>
                </c:pt>
                <c:pt idx="1">
                  <c:v>420.89250000000004</c:v>
                </c:pt>
                <c:pt idx="2">
                  <c:v>420.89250000000004</c:v>
                </c:pt>
                <c:pt idx="3">
                  <c:v>420.89250000000004</c:v>
                </c:pt>
                <c:pt idx="4">
                  <c:v>420.89250000000004</c:v>
                </c:pt>
                <c:pt idx="5">
                  <c:v>420.89250000000004</c:v>
                </c:pt>
                <c:pt idx="6">
                  <c:v>420.89250000000004</c:v>
                </c:pt>
                <c:pt idx="7">
                  <c:v>420.89250000000004</c:v>
                </c:pt>
                <c:pt idx="8">
                  <c:v>420.89250000000004</c:v>
                </c:pt>
                <c:pt idx="9">
                  <c:v>420.89250000000004</c:v>
                </c:pt>
                <c:pt idx="10">
                  <c:v>420.89250000000004</c:v>
                </c:pt>
                <c:pt idx="11">
                  <c:v>420.89250000000004</c:v>
                </c:pt>
                <c:pt idx="12">
                  <c:v>420.89250000000004</c:v>
                </c:pt>
                <c:pt idx="13">
                  <c:v>420.89250000000004</c:v>
                </c:pt>
                <c:pt idx="14">
                  <c:v>420.89250000000004</c:v>
                </c:pt>
                <c:pt idx="15">
                  <c:v>420.89250000000004</c:v>
                </c:pt>
              </c:numCache>
            </c:numRef>
          </c:val>
          <c:extLst>
            <c:ext xmlns:c16="http://schemas.microsoft.com/office/drawing/2014/chart" uri="{C3380CC4-5D6E-409C-BE32-E72D297353CC}">
              <c16:uniqueId val="{00000002-E5F5-488B-B870-655576A2B9BC}"/>
            </c:ext>
          </c:extLst>
        </c:ser>
        <c:dLbls>
          <c:showLegendKey val="0"/>
          <c:showVal val="0"/>
          <c:showCatName val="0"/>
          <c:showSerName val="0"/>
          <c:showPercent val="0"/>
          <c:showBubbleSize val="0"/>
        </c:dLbls>
        <c:axId val="197643264"/>
        <c:axId val="197653248"/>
      </c:radarChart>
      <c:catAx>
        <c:axId val="197643264"/>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97653248"/>
        <c:crosses val="autoZero"/>
        <c:auto val="1"/>
        <c:lblAlgn val="ctr"/>
        <c:lblOffset val="100"/>
        <c:noMultiLvlLbl val="0"/>
      </c:catAx>
      <c:valAx>
        <c:axId val="197653248"/>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97643264"/>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'201'!$I$43</c:f>
          <c:strCache>
            <c:ptCount val="1"/>
            <c:pt idx="0">
              <c:v>JHV723EJ : 201 - 1.5+/-0.05</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'201'!$K$67</c:f>
              <c:strCache>
                <c:ptCount val="1"/>
                <c:pt idx="0">
                  <c:v>SONR - (Tool Min)</c:v>
                </c:pt>
              </c:strCache>
            </c:strRef>
          </c:tx>
          <c:spPr>
            <a:ln w="19050">
              <a:solidFill>
                <a:srgbClr val="00FF00"/>
              </a:solidFill>
            </a:ln>
          </c:spPr>
          <c:marker>
            <c:symbol val="square"/>
            <c:size val="5"/>
            <c:spPr>
              <a:noFill/>
              <a:ln>
                <a:solidFill>
                  <a:srgbClr val="00FF00"/>
                </a:solidFill>
              </a:ln>
            </c:spPr>
          </c:marker>
          <c:cat>
            <c:numRef>
              <c:f>'201'!$H$44:$H$59</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'201'!$K$68:$K$83</c:f>
              <c:numCache>
                <c:formatCode>General</c:formatCode>
                <c:ptCount val="16"/>
                <c:pt idx="0">
                  <c:v>421.05099999999999</c:v>
                </c:pt>
                <c:pt idx="1">
                  <c:v>421.11999999999995</c:v>
                </c:pt>
                <c:pt idx="2">
                  <c:v>421.06199999999995</c:v>
                </c:pt>
                <c:pt idx="3">
                  <c:v>420.94899999999996</c:v>
                </c:pt>
                <c:pt idx="4">
                  <c:v>420.952</c:v>
                </c:pt>
                <c:pt idx="5">
                  <c:v>421.00599999999997</c:v>
                </c:pt>
                <c:pt idx="6">
                  <c:v>421.03499999999997</c:v>
                </c:pt>
                <c:pt idx="7">
                  <c:v>421.04299999999995</c:v>
                </c:pt>
                <c:pt idx="8">
                  <c:v>420.96699999999998</c:v>
                </c:pt>
                <c:pt idx="9">
                  <c:v>420.92199999999997</c:v>
                </c:pt>
                <c:pt idx="10">
                  <c:v>421.01099999999997</c:v>
                </c:pt>
                <c:pt idx="11">
                  <c:v>421.09899999999999</c:v>
                </c:pt>
                <c:pt idx="12">
                  <c:v>421.09</c:v>
                </c:pt>
                <c:pt idx="13">
                  <c:v>420.97499999999997</c:v>
                </c:pt>
                <c:pt idx="14">
                  <c:v>420.88799999999998</c:v>
                </c:pt>
                <c:pt idx="15">
                  <c:v>420.93799999999999</c:v>
                </c:pt>
              </c:numCache>
            </c:numRef>
          </c:val>
          <c:extLst>
            <c:ext xmlns:c16="http://schemas.microsoft.com/office/drawing/2014/chart" uri="{C3380CC4-5D6E-409C-BE32-E72D297353CC}">
              <c16:uniqueId val="{00000000-81D6-42CC-8004-211BE3F0C00D}"/>
            </c:ext>
          </c:extLst>
        </c:ser>
        <c:ser>
          <c:idx val="2"/>
          <c:order val="1"/>
          <c:tx>
            <c:strRef>
              <c:f>'201'!$M$43</c:f>
              <c:strCache>
                <c:ptCount val="1"/>
                <c:pt idx="0">
                  <c:v>Dwg Rmax</c:v>
                </c:pt>
              </c:strCache>
            </c:strRef>
          </c:tx>
          <c:spPr>
            <a:ln>
              <a:solidFill>
                <a:srgbClr val="FF0000"/>
              </a:solidFill>
              <a:prstDash val="dash"/>
            </a:ln>
          </c:spPr>
          <c:marker>
            <c:symbol val="none"/>
          </c:marker>
          <c:cat>
            <c:numRef>
              <c:f>'201'!$H$44:$H$59</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'201'!$M$44:$M$59</c:f>
              <c:numCache>
                <c:formatCode>General</c:formatCode>
                <c:ptCount val="16"/>
                <c:pt idx="0">
                  <c:v>421.04349999999999</c:v>
                </c:pt>
                <c:pt idx="1">
                  <c:v>421.04349999999999</c:v>
                </c:pt>
                <c:pt idx="2">
                  <c:v>421.04349999999999</c:v>
                </c:pt>
                <c:pt idx="3">
                  <c:v>421.04349999999999</c:v>
                </c:pt>
                <c:pt idx="4">
                  <c:v>421.04349999999999</c:v>
                </c:pt>
                <c:pt idx="5">
                  <c:v>421.04349999999999</c:v>
                </c:pt>
                <c:pt idx="6">
                  <c:v>421.04349999999999</c:v>
                </c:pt>
                <c:pt idx="7">
                  <c:v>421.04349999999999</c:v>
                </c:pt>
                <c:pt idx="8">
                  <c:v>421.04349999999999</c:v>
                </c:pt>
                <c:pt idx="9">
                  <c:v>421.04349999999999</c:v>
                </c:pt>
                <c:pt idx="10">
                  <c:v>421.04349999999999</c:v>
                </c:pt>
                <c:pt idx="11">
                  <c:v>421.04349999999999</c:v>
                </c:pt>
                <c:pt idx="12">
                  <c:v>421.04349999999999</c:v>
                </c:pt>
                <c:pt idx="13">
                  <c:v>421.04349999999999</c:v>
                </c:pt>
                <c:pt idx="14">
                  <c:v>421.04349999999999</c:v>
                </c:pt>
                <c:pt idx="15">
                  <c:v>421.04349999999999</c:v>
                </c:pt>
              </c:numCache>
            </c:numRef>
          </c:val>
          <c:extLst>
            <c:ext xmlns:c16="http://schemas.microsoft.com/office/drawing/2014/chart" uri="{C3380CC4-5D6E-409C-BE32-E72D297353CC}">
              <c16:uniqueId val="{00000001-81D6-42CC-8004-211BE3F0C00D}"/>
            </c:ext>
          </c:extLst>
        </c:ser>
        <c:ser>
          <c:idx val="1"/>
          <c:order val="2"/>
          <c:tx>
            <c:strRef>
              <c:f>'201'!$L$43</c:f>
              <c:strCache>
                <c:ptCount val="1"/>
                <c:pt idx="0">
                  <c:v>Dwg Rmin</c:v>
                </c:pt>
              </c:strCache>
            </c:strRef>
          </c:tx>
          <c:spPr>
            <a:ln>
              <a:solidFill>
                <a:srgbClr val="0000FF"/>
              </a:solidFill>
              <a:prstDash val="dash"/>
            </a:ln>
          </c:spPr>
          <c:marker>
            <c:symbol val="none"/>
          </c:marker>
          <c:cat>
            <c:numRef>
              <c:f>'201'!$H$44:$H$59</c:f>
              <c:numCache>
                <c:formatCode>General</c:formatCode>
                <c:ptCount val="16"/>
                <c:pt idx="0">
                  <c:v>1</c:v>
                </c:pt>
                <c:pt idx="1">
                  <c:v>16</c:v>
                </c:pt>
                <c:pt idx="2">
                  <c:v>15</c:v>
                </c:pt>
                <c:pt idx="3">
                  <c:v>14</c:v>
                </c:pt>
                <c:pt idx="4">
                  <c:v>13</c:v>
                </c:pt>
                <c:pt idx="5">
                  <c:v>12</c:v>
                </c:pt>
                <c:pt idx="6">
                  <c:v>11</c:v>
                </c:pt>
                <c:pt idx="7">
                  <c:v>10</c:v>
                </c:pt>
                <c:pt idx="8">
                  <c:v>9</c:v>
                </c:pt>
                <c:pt idx="9">
                  <c:v>8</c:v>
                </c:pt>
                <c:pt idx="10">
                  <c:v>7</c:v>
                </c:pt>
                <c:pt idx="11">
                  <c:v>6</c:v>
                </c:pt>
                <c:pt idx="12">
                  <c:v>5</c:v>
                </c:pt>
                <c:pt idx="13">
                  <c:v>4</c:v>
                </c:pt>
                <c:pt idx="14">
                  <c:v>3</c:v>
                </c:pt>
                <c:pt idx="15">
                  <c:v>2</c:v>
                </c:pt>
              </c:numCache>
            </c:numRef>
          </c:cat>
          <c:val>
            <c:numRef>
              <c:f>'201'!$L$44:$L$59</c:f>
              <c:numCache>
                <c:formatCode>General</c:formatCode>
                <c:ptCount val="16"/>
                <c:pt idx="0">
                  <c:v>420.89250000000004</c:v>
                </c:pt>
                <c:pt idx="1">
                  <c:v>420.89250000000004</c:v>
                </c:pt>
                <c:pt idx="2">
                  <c:v>420.89250000000004</c:v>
                </c:pt>
                <c:pt idx="3">
                  <c:v>420.89250000000004</c:v>
                </c:pt>
                <c:pt idx="4">
                  <c:v>420.89250000000004</c:v>
                </c:pt>
                <c:pt idx="5">
                  <c:v>420.89250000000004</c:v>
                </c:pt>
                <c:pt idx="6">
                  <c:v>420.89250000000004</c:v>
                </c:pt>
                <c:pt idx="7">
                  <c:v>420.89250000000004</c:v>
                </c:pt>
                <c:pt idx="8">
                  <c:v>420.89250000000004</c:v>
                </c:pt>
                <c:pt idx="9">
                  <c:v>420.89250000000004</c:v>
                </c:pt>
                <c:pt idx="10">
                  <c:v>420.89250000000004</c:v>
                </c:pt>
                <c:pt idx="11">
                  <c:v>420.89250000000004</c:v>
                </c:pt>
                <c:pt idx="12">
                  <c:v>420.89250000000004</c:v>
                </c:pt>
                <c:pt idx="13">
                  <c:v>420.89250000000004</c:v>
                </c:pt>
                <c:pt idx="14">
                  <c:v>420.89250000000004</c:v>
                </c:pt>
                <c:pt idx="15">
                  <c:v>420.89250000000004</c:v>
                </c:pt>
              </c:numCache>
            </c:numRef>
          </c:val>
          <c:extLst>
            <c:ext xmlns:c16="http://schemas.microsoft.com/office/drawing/2014/chart" uri="{C3380CC4-5D6E-409C-BE32-E72D297353CC}">
              <c16:uniqueId val="{00000002-81D6-42CC-8004-211BE3F0C00D}"/>
            </c:ext>
          </c:extLst>
        </c:ser>
        <c:dLbls>
          <c:showLegendKey val="0"/>
          <c:showVal val="0"/>
          <c:showCatName val="0"/>
          <c:showSerName val="0"/>
          <c:showPercent val="0"/>
          <c:showBubbleSize val="0"/>
        </c:dLbls>
        <c:axId val="197799296"/>
        <c:axId val="197805184"/>
      </c:radarChart>
      <c:catAx>
        <c:axId val="197799296"/>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97805184"/>
        <c:crosses val="autoZero"/>
        <c:auto val="1"/>
        <c:lblAlgn val="ctr"/>
        <c:lblOffset val="100"/>
        <c:noMultiLvlLbl val="0"/>
      </c:catAx>
      <c:valAx>
        <c:axId val="19780518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97799296"/>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'201'!$I$6</c:f>
          <c:strCache>
            <c:ptCount val="1"/>
            <c:pt idx="0">
              <c:v>JHV723EJ : 201</c:v>
            </c:pt>
          </c:strCache>
        </c:strRef>
      </c:tx>
      <c:layout>
        <c:manualLayout>
          <c:xMode val="edge"/>
          <c:yMode val="edge"/>
          <c:x val="0.64884711286089236"/>
          <c:y val="0.10648148148148148"/>
        </c:manualLayout>
      </c:layout>
      <c:overlay val="1"/>
      <c:txPr>
        <a:bodyPr/>
        <a:lstStyle/>
        <a:p>
          <a:pPr>
            <a:defRPr lang="ja-JP" sz="1200"/>
          </a:pPr>
          <a:endParaRPr lang="en-US"/>
        </a:p>
      </c:txPr>
    </c:title>
    <c:autoTitleDeleted val="0"/>
    <c:plotArea>
      <c:layout/>
      <c:radarChart>
        <c:radarStyle val="marker"/>
        <c:varyColors val="0"/>
        <c:ser>
          <c:idx val="0"/>
          <c:order val="0"/>
          <c:tx>
            <c:strRef>
              <c:f>'201'!$AE$12</c:f>
              <c:strCache>
                <c:ptCount val="1"/>
                <c:pt idx="0">
                  <c:v>64点</c:v>
                </c:pt>
              </c:strCache>
            </c:strRef>
          </c:tx>
          <c:spPr>
            <a:ln w="19050">
              <a:solidFill>
                <a:srgbClr val="00FF00"/>
              </a:solidFill>
            </a:ln>
          </c:spPr>
          <c:marker>
            <c:symbol val="square"/>
            <c:size val="5"/>
            <c:spPr>
              <a:noFill/>
              <a:ln>
                <a:solidFill>
                  <a:srgbClr val="00FF00"/>
                </a:solidFill>
              </a:ln>
            </c:spPr>
          </c:marker>
          <c:cat>
            <c:numLit>
              <c:formatCode>General</c:formatCode>
              <c:ptCount val="64"/>
              <c:pt idx="0">
                <c:v>1</c:v>
              </c:pt>
              <c:pt idx="1">
                <c:v>64</c:v>
              </c:pt>
              <c:pt idx="2">
                <c:v>63</c:v>
              </c:pt>
              <c:pt idx="3">
                <c:v>62</c:v>
              </c:pt>
              <c:pt idx="4">
                <c:v>61</c:v>
              </c:pt>
              <c:pt idx="5">
                <c:v>60</c:v>
              </c:pt>
              <c:pt idx="6">
                <c:v>59</c:v>
              </c:pt>
              <c:pt idx="7">
                <c:v>58</c:v>
              </c:pt>
              <c:pt idx="8">
                <c:v>57</c:v>
              </c:pt>
              <c:pt idx="9">
                <c:v>56</c:v>
              </c:pt>
              <c:pt idx="10">
                <c:v>55</c:v>
              </c:pt>
              <c:pt idx="11">
                <c:v>54</c:v>
              </c:pt>
              <c:pt idx="12">
                <c:v>53</c:v>
              </c:pt>
              <c:pt idx="13">
                <c:v>52</c:v>
              </c:pt>
              <c:pt idx="14">
                <c:v>51</c:v>
              </c:pt>
              <c:pt idx="15">
                <c:v>50</c:v>
              </c:pt>
              <c:pt idx="16">
                <c:v>49</c:v>
              </c:pt>
              <c:pt idx="17">
                <c:v>48</c:v>
              </c:pt>
              <c:pt idx="18">
                <c:v>47</c:v>
              </c:pt>
              <c:pt idx="19">
                <c:v>46</c:v>
              </c:pt>
              <c:pt idx="20">
                <c:v>45</c:v>
              </c:pt>
              <c:pt idx="21">
                <c:v>44</c:v>
              </c:pt>
              <c:pt idx="22">
                <c:v>43</c:v>
              </c:pt>
              <c:pt idx="23">
                <c:v>42</c:v>
              </c:pt>
              <c:pt idx="24">
                <c:v>41</c:v>
              </c:pt>
              <c:pt idx="25">
                <c:v>40</c:v>
              </c:pt>
              <c:pt idx="26">
                <c:v>39</c:v>
              </c:pt>
              <c:pt idx="27">
                <c:v>38</c:v>
              </c:pt>
              <c:pt idx="28">
                <c:v>37</c:v>
              </c:pt>
              <c:pt idx="29">
                <c:v>36</c:v>
              </c:pt>
              <c:pt idx="30">
                <c:v>35</c:v>
              </c:pt>
              <c:pt idx="31">
                <c:v>34</c:v>
              </c:pt>
              <c:pt idx="32">
                <c:v>33</c:v>
              </c:pt>
              <c:pt idx="33">
                <c:v>32</c:v>
              </c:pt>
              <c:pt idx="34">
                <c:v>31</c:v>
              </c:pt>
              <c:pt idx="35">
                <c:v>30</c:v>
              </c:pt>
              <c:pt idx="36">
                <c:v>29</c:v>
              </c:pt>
              <c:pt idx="37">
                <c:v>28</c:v>
              </c:pt>
              <c:pt idx="38">
                <c:v>27</c:v>
              </c:pt>
              <c:pt idx="39">
                <c:v>26</c:v>
              </c:pt>
              <c:pt idx="40">
                <c:v>25</c:v>
              </c:pt>
              <c:pt idx="41">
                <c:v>24</c:v>
              </c:pt>
              <c:pt idx="42">
                <c:v>23</c:v>
              </c:pt>
              <c:pt idx="43">
                <c:v>22</c:v>
              </c:pt>
              <c:pt idx="44">
                <c:v>21</c:v>
              </c:pt>
              <c:pt idx="45">
                <c:v>20</c:v>
              </c:pt>
              <c:pt idx="46">
                <c:v>19</c:v>
              </c:pt>
              <c:pt idx="47">
                <c:v>18</c:v>
              </c:pt>
              <c:pt idx="48">
                <c:v>17</c:v>
              </c:pt>
              <c:pt idx="49">
                <c:v>16</c:v>
              </c:pt>
              <c:pt idx="50">
                <c:v>15</c:v>
              </c:pt>
              <c:pt idx="51">
                <c:v>14</c:v>
              </c:pt>
              <c:pt idx="52">
                <c:v>13</c:v>
              </c:pt>
              <c:pt idx="53">
                <c:v>12</c:v>
              </c:pt>
              <c:pt idx="54">
                <c:v>11</c:v>
              </c:pt>
              <c:pt idx="55">
                <c:v>10</c:v>
              </c:pt>
              <c:pt idx="56">
                <c:v>9</c:v>
              </c:pt>
              <c:pt idx="57">
                <c:v>8</c:v>
              </c:pt>
              <c:pt idx="58">
                <c:v>7</c:v>
              </c:pt>
              <c:pt idx="59">
                <c:v>6</c:v>
              </c:pt>
              <c:pt idx="60">
                <c:v>5</c:v>
              </c:pt>
              <c:pt idx="61">
                <c:v>4</c:v>
              </c:pt>
              <c:pt idx="62">
                <c:v>3</c:v>
              </c:pt>
              <c:pt idx="63">
                <c:v>2</c:v>
              </c:pt>
            </c:numLit>
          </c:cat>
          <c:val>
            <c:numRef>
              <c:f>'201'!$AE$13:$AE$76</c:f>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val>
          <c:extLst>
            <c:ext xmlns:c16="http://schemas.microsoft.com/office/drawing/2014/chart" uri="{C3380CC4-5D6E-409C-BE32-E72D297353CC}">
              <c16:uniqueId val="{00000000-B4C0-4FBE-BD7D-B45F3AA1FE2A}"/>
            </c:ext>
          </c:extLst>
        </c:ser>
        <c:ser>
          <c:idx val="2"/>
          <c:order val="1"/>
          <c:tx>
            <c:strRef>
              <c:f>'201'!$AG$12</c:f>
              <c:strCache>
                <c:ptCount val="1"/>
                <c:pt idx="0">
                  <c:v>Dwg Rmax</c:v>
                </c:pt>
              </c:strCache>
            </c:strRef>
          </c:tx>
          <c:spPr>
            <a:ln>
              <a:solidFill>
                <a:srgbClr val="FF0000"/>
              </a:solidFill>
              <a:prstDash val="dash"/>
            </a:ln>
          </c:spPr>
          <c:marker>
            <c:symbol val="none"/>
          </c:marker>
          <c:cat>
            <c:numLit>
              <c:formatCode>General</c:formatCode>
              <c:ptCount val="64"/>
              <c:pt idx="0">
                <c:v>1</c:v>
              </c:pt>
              <c:pt idx="1">
                <c:v>64</c:v>
              </c:pt>
              <c:pt idx="2">
                <c:v>63</c:v>
              </c:pt>
              <c:pt idx="3">
                <c:v>62</c:v>
              </c:pt>
              <c:pt idx="4">
                <c:v>61</c:v>
              </c:pt>
              <c:pt idx="5">
                <c:v>60</c:v>
              </c:pt>
              <c:pt idx="6">
                <c:v>59</c:v>
              </c:pt>
              <c:pt idx="7">
                <c:v>58</c:v>
              </c:pt>
              <c:pt idx="8">
                <c:v>57</c:v>
              </c:pt>
              <c:pt idx="9">
                <c:v>56</c:v>
              </c:pt>
              <c:pt idx="10">
                <c:v>55</c:v>
              </c:pt>
              <c:pt idx="11">
                <c:v>54</c:v>
              </c:pt>
              <c:pt idx="12">
                <c:v>53</c:v>
              </c:pt>
              <c:pt idx="13">
                <c:v>52</c:v>
              </c:pt>
              <c:pt idx="14">
                <c:v>51</c:v>
              </c:pt>
              <c:pt idx="15">
                <c:v>50</c:v>
              </c:pt>
              <c:pt idx="16">
                <c:v>49</c:v>
              </c:pt>
              <c:pt idx="17">
                <c:v>48</c:v>
              </c:pt>
              <c:pt idx="18">
                <c:v>47</c:v>
              </c:pt>
              <c:pt idx="19">
                <c:v>46</c:v>
              </c:pt>
              <c:pt idx="20">
                <c:v>45</c:v>
              </c:pt>
              <c:pt idx="21">
                <c:v>44</c:v>
              </c:pt>
              <c:pt idx="22">
                <c:v>43</c:v>
              </c:pt>
              <c:pt idx="23">
                <c:v>42</c:v>
              </c:pt>
              <c:pt idx="24">
                <c:v>41</c:v>
              </c:pt>
              <c:pt idx="25">
                <c:v>40</c:v>
              </c:pt>
              <c:pt idx="26">
                <c:v>39</c:v>
              </c:pt>
              <c:pt idx="27">
                <c:v>38</c:v>
              </c:pt>
              <c:pt idx="28">
                <c:v>37</c:v>
              </c:pt>
              <c:pt idx="29">
                <c:v>36</c:v>
              </c:pt>
              <c:pt idx="30">
                <c:v>35</c:v>
              </c:pt>
              <c:pt idx="31">
                <c:v>34</c:v>
              </c:pt>
              <c:pt idx="32">
                <c:v>33</c:v>
              </c:pt>
              <c:pt idx="33">
                <c:v>32</c:v>
              </c:pt>
              <c:pt idx="34">
                <c:v>31</c:v>
              </c:pt>
              <c:pt idx="35">
                <c:v>30</c:v>
              </c:pt>
              <c:pt idx="36">
                <c:v>29</c:v>
              </c:pt>
              <c:pt idx="37">
                <c:v>28</c:v>
              </c:pt>
              <c:pt idx="38">
                <c:v>27</c:v>
              </c:pt>
              <c:pt idx="39">
                <c:v>26</c:v>
              </c:pt>
              <c:pt idx="40">
                <c:v>25</c:v>
              </c:pt>
              <c:pt idx="41">
                <c:v>24</c:v>
              </c:pt>
              <c:pt idx="42">
                <c:v>23</c:v>
              </c:pt>
              <c:pt idx="43">
                <c:v>22</c:v>
              </c:pt>
              <c:pt idx="44">
                <c:v>21</c:v>
              </c:pt>
              <c:pt idx="45">
                <c:v>20</c:v>
              </c:pt>
              <c:pt idx="46">
                <c:v>19</c:v>
              </c:pt>
              <c:pt idx="47">
                <c:v>18</c:v>
              </c:pt>
              <c:pt idx="48">
                <c:v>17</c:v>
              </c:pt>
              <c:pt idx="49">
                <c:v>16</c:v>
              </c:pt>
              <c:pt idx="50">
                <c:v>15</c:v>
              </c:pt>
              <c:pt idx="51">
                <c:v>14</c:v>
              </c:pt>
              <c:pt idx="52">
                <c:v>13</c:v>
              </c:pt>
              <c:pt idx="53">
                <c:v>12</c:v>
              </c:pt>
              <c:pt idx="54">
                <c:v>11</c:v>
              </c:pt>
              <c:pt idx="55">
                <c:v>10</c:v>
              </c:pt>
              <c:pt idx="56">
                <c:v>9</c:v>
              </c:pt>
              <c:pt idx="57">
                <c:v>8</c:v>
              </c:pt>
              <c:pt idx="58">
                <c:v>7</c:v>
              </c:pt>
              <c:pt idx="59">
                <c:v>6</c:v>
              </c:pt>
              <c:pt idx="60">
                <c:v>5</c:v>
              </c:pt>
              <c:pt idx="61">
                <c:v>4</c:v>
              </c:pt>
              <c:pt idx="62">
                <c:v>3</c:v>
              </c:pt>
              <c:pt idx="63">
                <c:v>2</c:v>
              </c:pt>
            </c:numLit>
          </c:cat>
          <c:val>
            <c:numRef>
              <c:f>'201'!$AG$13:$AG$76</c:f>
              <c:numCache>
                <c:formatCode>General</c:formatCode>
                <c:ptCount val="64"/>
                <c:pt idx="0">
                  <c:v>422.49350000000004</c:v>
                </c:pt>
                <c:pt idx="1">
                  <c:v>422.49350000000004</c:v>
                </c:pt>
                <c:pt idx="2">
                  <c:v>422.49350000000004</c:v>
                </c:pt>
                <c:pt idx="3">
                  <c:v>422.49350000000004</c:v>
                </c:pt>
                <c:pt idx="4">
                  <c:v>422.49350000000004</c:v>
                </c:pt>
                <c:pt idx="5">
                  <c:v>422.49350000000004</c:v>
                </c:pt>
                <c:pt idx="6">
                  <c:v>422.49350000000004</c:v>
                </c:pt>
                <c:pt idx="7">
                  <c:v>422.49350000000004</c:v>
                </c:pt>
                <c:pt idx="8">
                  <c:v>422.49350000000004</c:v>
                </c:pt>
                <c:pt idx="9">
                  <c:v>422.49350000000004</c:v>
                </c:pt>
                <c:pt idx="10">
                  <c:v>422.49350000000004</c:v>
                </c:pt>
                <c:pt idx="11">
                  <c:v>422.49350000000004</c:v>
                </c:pt>
                <c:pt idx="12">
                  <c:v>422.49350000000004</c:v>
                </c:pt>
                <c:pt idx="13">
                  <c:v>422.49350000000004</c:v>
                </c:pt>
                <c:pt idx="14">
                  <c:v>422.49350000000004</c:v>
                </c:pt>
                <c:pt idx="15">
                  <c:v>422.49350000000004</c:v>
                </c:pt>
                <c:pt idx="16">
                  <c:v>422.49350000000004</c:v>
                </c:pt>
                <c:pt idx="17">
                  <c:v>422.49350000000004</c:v>
                </c:pt>
                <c:pt idx="18">
                  <c:v>422.49350000000004</c:v>
                </c:pt>
                <c:pt idx="19">
                  <c:v>422.49350000000004</c:v>
                </c:pt>
                <c:pt idx="20">
                  <c:v>422.49350000000004</c:v>
                </c:pt>
                <c:pt idx="21">
                  <c:v>422.49350000000004</c:v>
                </c:pt>
                <c:pt idx="22">
                  <c:v>422.49350000000004</c:v>
                </c:pt>
                <c:pt idx="23">
                  <c:v>422.49350000000004</c:v>
                </c:pt>
                <c:pt idx="24">
                  <c:v>422.49350000000004</c:v>
                </c:pt>
                <c:pt idx="25">
                  <c:v>422.49350000000004</c:v>
                </c:pt>
                <c:pt idx="26">
                  <c:v>422.49350000000004</c:v>
                </c:pt>
                <c:pt idx="27">
                  <c:v>422.49350000000004</c:v>
                </c:pt>
                <c:pt idx="28">
                  <c:v>422.49350000000004</c:v>
                </c:pt>
                <c:pt idx="29">
                  <c:v>422.49350000000004</c:v>
                </c:pt>
                <c:pt idx="30">
                  <c:v>422.49350000000004</c:v>
                </c:pt>
                <c:pt idx="31">
                  <c:v>422.49350000000004</c:v>
                </c:pt>
                <c:pt idx="32">
                  <c:v>422.49350000000004</c:v>
                </c:pt>
                <c:pt idx="33">
                  <c:v>422.49350000000004</c:v>
                </c:pt>
                <c:pt idx="34">
                  <c:v>422.49350000000004</c:v>
                </c:pt>
                <c:pt idx="35">
                  <c:v>422.49350000000004</c:v>
                </c:pt>
                <c:pt idx="36">
                  <c:v>422.49350000000004</c:v>
                </c:pt>
                <c:pt idx="37">
                  <c:v>422.49350000000004</c:v>
                </c:pt>
                <c:pt idx="38">
                  <c:v>422.49350000000004</c:v>
                </c:pt>
                <c:pt idx="39">
                  <c:v>422.49350000000004</c:v>
                </c:pt>
                <c:pt idx="40">
                  <c:v>422.49350000000004</c:v>
                </c:pt>
                <c:pt idx="41">
                  <c:v>422.49350000000004</c:v>
                </c:pt>
                <c:pt idx="42">
                  <c:v>422.49350000000004</c:v>
                </c:pt>
                <c:pt idx="43">
                  <c:v>422.49350000000004</c:v>
                </c:pt>
                <c:pt idx="44">
                  <c:v>422.49350000000004</c:v>
                </c:pt>
                <c:pt idx="45">
                  <c:v>422.49350000000004</c:v>
                </c:pt>
                <c:pt idx="46">
                  <c:v>422.49350000000004</c:v>
                </c:pt>
                <c:pt idx="47">
                  <c:v>422.49350000000004</c:v>
                </c:pt>
                <c:pt idx="48">
                  <c:v>422.49350000000004</c:v>
                </c:pt>
                <c:pt idx="49">
                  <c:v>422.49350000000004</c:v>
                </c:pt>
                <c:pt idx="50">
                  <c:v>422.49350000000004</c:v>
                </c:pt>
                <c:pt idx="51">
                  <c:v>422.49350000000004</c:v>
                </c:pt>
                <c:pt idx="52">
                  <c:v>422.49350000000004</c:v>
                </c:pt>
                <c:pt idx="53">
                  <c:v>422.49350000000004</c:v>
                </c:pt>
                <c:pt idx="54">
                  <c:v>422.49350000000004</c:v>
                </c:pt>
                <c:pt idx="55">
                  <c:v>422.49350000000004</c:v>
                </c:pt>
                <c:pt idx="56">
                  <c:v>422.49350000000004</c:v>
                </c:pt>
                <c:pt idx="57">
                  <c:v>422.49350000000004</c:v>
                </c:pt>
                <c:pt idx="58">
                  <c:v>422.49350000000004</c:v>
                </c:pt>
                <c:pt idx="59">
                  <c:v>422.49350000000004</c:v>
                </c:pt>
                <c:pt idx="60">
                  <c:v>422.49350000000004</c:v>
                </c:pt>
                <c:pt idx="61">
                  <c:v>422.49350000000004</c:v>
                </c:pt>
                <c:pt idx="62">
                  <c:v>422.49350000000004</c:v>
                </c:pt>
                <c:pt idx="63">
                  <c:v>422.49350000000004</c:v>
                </c:pt>
              </c:numCache>
            </c:numRef>
          </c:val>
          <c:extLst>
            <c:ext xmlns:c16="http://schemas.microsoft.com/office/drawing/2014/chart" uri="{C3380CC4-5D6E-409C-BE32-E72D297353CC}">
              <c16:uniqueId val="{00000001-B4C0-4FBE-BD7D-B45F3AA1FE2A}"/>
            </c:ext>
          </c:extLst>
        </c:ser>
        <c:ser>
          <c:idx val="1"/>
          <c:order val="2"/>
          <c:tx>
            <c:strRef>
              <c:f>'201'!$AF$12</c:f>
              <c:strCache>
                <c:ptCount val="1"/>
                <c:pt idx="0">
                  <c:v>Dwg Rmin</c:v>
                </c:pt>
              </c:strCache>
            </c:strRef>
          </c:tx>
          <c:spPr>
            <a:ln>
              <a:solidFill>
                <a:srgbClr val="0000FF"/>
              </a:solidFill>
              <a:prstDash val="dash"/>
            </a:ln>
          </c:spPr>
          <c:marker>
            <c:symbol val="none"/>
          </c:marker>
          <c:cat>
            <c:numLit>
              <c:formatCode>General</c:formatCode>
              <c:ptCount val="64"/>
              <c:pt idx="0">
                <c:v>1</c:v>
              </c:pt>
              <c:pt idx="1">
                <c:v>64</c:v>
              </c:pt>
              <c:pt idx="2">
                <c:v>63</c:v>
              </c:pt>
              <c:pt idx="3">
                <c:v>62</c:v>
              </c:pt>
              <c:pt idx="4">
                <c:v>61</c:v>
              </c:pt>
              <c:pt idx="5">
                <c:v>60</c:v>
              </c:pt>
              <c:pt idx="6">
                <c:v>59</c:v>
              </c:pt>
              <c:pt idx="7">
                <c:v>58</c:v>
              </c:pt>
              <c:pt idx="8">
                <c:v>57</c:v>
              </c:pt>
              <c:pt idx="9">
                <c:v>56</c:v>
              </c:pt>
              <c:pt idx="10">
                <c:v>55</c:v>
              </c:pt>
              <c:pt idx="11">
                <c:v>54</c:v>
              </c:pt>
              <c:pt idx="12">
                <c:v>53</c:v>
              </c:pt>
              <c:pt idx="13">
                <c:v>52</c:v>
              </c:pt>
              <c:pt idx="14">
                <c:v>51</c:v>
              </c:pt>
              <c:pt idx="15">
                <c:v>50</c:v>
              </c:pt>
              <c:pt idx="16">
                <c:v>49</c:v>
              </c:pt>
              <c:pt idx="17">
                <c:v>48</c:v>
              </c:pt>
              <c:pt idx="18">
                <c:v>47</c:v>
              </c:pt>
              <c:pt idx="19">
                <c:v>46</c:v>
              </c:pt>
              <c:pt idx="20">
                <c:v>45</c:v>
              </c:pt>
              <c:pt idx="21">
                <c:v>44</c:v>
              </c:pt>
              <c:pt idx="22">
                <c:v>43</c:v>
              </c:pt>
              <c:pt idx="23">
                <c:v>42</c:v>
              </c:pt>
              <c:pt idx="24">
                <c:v>41</c:v>
              </c:pt>
              <c:pt idx="25">
                <c:v>40</c:v>
              </c:pt>
              <c:pt idx="26">
                <c:v>39</c:v>
              </c:pt>
              <c:pt idx="27">
                <c:v>38</c:v>
              </c:pt>
              <c:pt idx="28">
                <c:v>37</c:v>
              </c:pt>
              <c:pt idx="29">
                <c:v>36</c:v>
              </c:pt>
              <c:pt idx="30">
                <c:v>35</c:v>
              </c:pt>
              <c:pt idx="31">
                <c:v>34</c:v>
              </c:pt>
              <c:pt idx="32">
                <c:v>33</c:v>
              </c:pt>
              <c:pt idx="33">
                <c:v>32</c:v>
              </c:pt>
              <c:pt idx="34">
                <c:v>31</c:v>
              </c:pt>
              <c:pt idx="35">
                <c:v>30</c:v>
              </c:pt>
              <c:pt idx="36">
                <c:v>29</c:v>
              </c:pt>
              <c:pt idx="37">
                <c:v>28</c:v>
              </c:pt>
              <c:pt idx="38">
                <c:v>27</c:v>
              </c:pt>
              <c:pt idx="39">
                <c:v>26</c:v>
              </c:pt>
              <c:pt idx="40">
                <c:v>25</c:v>
              </c:pt>
              <c:pt idx="41">
                <c:v>24</c:v>
              </c:pt>
              <c:pt idx="42">
                <c:v>23</c:v>
              </c:pt>
              <c:pt idx="43">
                <c:v>22</c:v>
              </c:pt>
              <c:pt idx="44">
                <c:v>21</c:v>
              </c:pt>
              <c:pt idx="45">
                <c:v>20</c:v>
              </c:pt>
              <c:pt idx="46">
                <c:v>19</c:v>
              </c:pt>
              <c:pt idx="47">
                <c:v>18</c:v>
              </c:pt>
              <c:pt idx="48">
                <c:v>17</c:v>
              </c:pt>
              <c:pt idx="49">
                <c:v>16</c:v>
              </c:pt>
              <c:pt idx="50">
                <c:v>15</c:v>
              </c:pt>
              <c:pt idx="51">
                <c:v>14</c:v>
              </c:pt>
              <c:pt idx="52">
                <c:v>13</c:v>
              </c:pt>
              <c:pt idx="53">
                <c:v>12</c:v>
              </c:pt>
              <c:pt idx="54">
                <c:v>11</c:v>
              </c:pt>
              <c:pt idx="55">
                <c:v>10</c:v>
              </c:pt>
              <c:pt idx="56">
                <c:v>9</c:v>
              </c:pt>
              <c:pt idx="57">
                <c:v>8</c:v>
              </c:pt>
              <c:pt idx="58">
                <c:v>7</c:v>
              </c:pt>
              <c:pt idx="59">
                <c:v>6</c:v>
              </c:pt>
              <c:pt idx="60">
                <c:v>5</c:v>
              </c:pt>
              <c:pt idx="61">
                <c:v>4</c:v>
              </c:pt>
              <c:pt idx="62">
                <c:v>3</c:v>
              </c:pt>
              <c:pt idx="63">
                <c:v>2</c:v>
              </c:pt>
            </c:numLit>
          </c:cat>
          <c:val>
            <c:numRef>
              <c:f>'201'!$AF$13:$AF$76</c:f>
              <c:numCache>
                <c:formatCode>General</c:formatCode>
                <c:ptCount val="64"/>
                <c:pt idx="0">
                  <c:v>422.4425</c:v>
                </c:pt>
                <c:pt idx="1">
                  <c:v>422.4425</c:v>
                </c:pt>
                <c:pt idx="2">
                  <c:v>422.4425</c:v>
                </c:pt>
                <c:pt idx="3">
                  <c:v>422.4425</c:v>
                </c:pt>
                <c:pt idx="4">
                  <c:v>422.4425</c:v>
                </c:pt>
                <c:pt idx="5">
                  <c:v>422.4425</c:v>
                </c:pt>
                <c:pt idx="6">
                  <c:v>422.4425</c:v>
                </c:pt>
                <c:pt idx="7">
                  <c:v>422.4425</c:v>
                </c:pt>
                <c:pt idx="8">
                  <c:v>422.4425</c:v>
                </c:pt>
                <c:pt idx="9">
                  <c:v>422.4425</c:v>
                </c:pt>
                <c:pt idx="10">
                  <c:v>422.4425</c:v>
                </c:pt>
                <c:pt idx="11">
                  <c:v>422.4425</c:v>
                </c:pt>
                <c:pt idx="12">
                  <c:v>422.4425</c:v>
                </c:pt>
                <c:pt idx="13">
                  <c:v>422.4425</c:v>
                </c:pt>
                <c:pt idx="14">
                  <c:v>422.4425</c:v>
                </c:pt>
                <c:pt idx="15">
                  <c:v>422.4425</c:v>
                </c:pt>
                <c:pt idx="16">
                  <c:v>422.4425</c:v>
                </c:pt>
                <c:pt idx="17">
                  <c:v>422.4425</c:v>
                </c:pt>
                <c:pt idx="18">
                  <c:v>422.4425</c:v>
                </c:pt>
                <c:pt idx="19">
                  <c:v>422.4425</c:v>
                </c:pt>
                <c:pt idx="20">
                  <c:v>422.4425</c:v>
                </c:pt>
                <c:pt idx="21">
                  <c:v>422.4425</c:v>
                </c:pt>
                <c:pt idx="22">
                  <c:v>422.4425</c:v>
                </c:pt>
                <c:pt idx="23">
                  <c:v>422.4425</c:v>
                </c:pt>
                <c:pt idx="24">
                  <c:v>422.4425</c:v>
                </c:pt>
                <c:pt idx="25">
                  <c:v>422.4425</c:v>
                </c:pt>
                <c:pt idx="26">
                  <c:v>422.4425</c:v>
                </c:pt>
                <c:pt idx="27">
                  <c:v>422.4425</c:v>
                </c:pt>
                <c:pt idx="28">
                  <c:v>422.4425</c:v>
                </c:pt>
                <c:pt idx="29">
                  <c:v>422.4425</c:v>
                </c:pt>
                <c:pt idx="30">
                  <c:v>422.4425</c:v>
                </c:pt>
                <c:pt idx="31">
                  <c:v>422.4425</c:v>
                </c:pt>
                <c:pt idx="32">
                  <c:v>422.4425</c:v>
                </c:pt>
                <c:pt idx="33">
                  <c:v>422.4425</c:v>
                </c:pt>
                <c:pt idx="34">
                  <c:v>422.4425</c:v>
                </c:pt>
                <c:pt idx="35">
                  <c:v>422.4425</c:v>
                </c:pt>
                <c:pt idx="36">
                  <c:v>422.4425</c:v>
                </c:pt>
                <c:pt idx="37">
                  <c:v>422.4425</c:v>
                </c:pt>
                <c:pt idx="38">
                  <c:v>422.4425</c:v>
                </c:pt>
                <c:pt idx="39">
                  <c:v>422.4425</c:v>
                </c:pt>
                <c:pt idx="40">
                  <c:v>422.4425</c:v>
                </c:pt>
                <c:pt idx="41">
                  <c:v>422.4425</c:v>
                </c:pt>
                <c:pt idx="42">
                  <c:v>422.4425</c:v>
                </c:pt>
                <c:pt idx="43">
                  <c:v>422.4425</c:v>
                </c:pt>
                <c:pt idx="44">
                  <c:v>422.4425</c:v>
                </c:pt>
                <c:pt idx="45">
                  <c:v>422.4425</c:v>
                </c:pt>
                <c:pt idx="46">
                  <c:v>422.4425</c:v>
                </c:pt>
                <c:pt idx="47">
                  <c:v>422.4425</c:v>
                </c:pt>
                <c:pt idx="48">
                  <c:v>422.4425</c:v>
                </c:pt>
                <c:pt idx="49">
                  <c:v>422.4425</c:v>
                </c:pt>
                <c:pt idx="50">
                  <c:v>422.4425</c:v>
                </c:pt>
                <c:pt idx="51">
                  <c:v>422.4425</c:v>
                </c:pt>
                <c:pt idx="52">
                  <c:v>422.4425</c:v>
                </c:pt>
                <c:pt idx="53">
                  <c:v>422.4425</c:v>
                </c:pt>
                <c:pt idx="54">
                  <c:v>422.4425</c:v>
                </c:pt>
                <c:pt idx="55">
                  <c:v>422.4425</c:v>
                </c:pt>
                <c:pt idx="56">
                  <c:v>422.4425</c:v>
                </c:pt>
                <c:pt idx="57">
                  <c:v>422.4425</c:v>
                </c:pt>
                <c:pt idx="58">
                  <c:v>422.4425</c:v>
                </c:pt>
                <c:pt idx="59">
                  <c:v>422.4425</c:v>
                </c:pt>
                <c:pt idx="60">
                  <c:v>422.4425</c:v>
                </c:pt>
                <c:pt idx="61">
                  <c:v>422.4425</c:v>
                </c:pt>
                <c:pt idx="62">
                  <c:v>422.4425</c:v>
                </c:pt>
                <c:pt idx="63">
                  <c:v>422.4425</c:v>
                </c:pt>
              </c:numCache>
            </c:numRef>
          </c:val>
          <c:extLst>
            <c:ext xmlns:c16="http://schemas.microsoft.com/office/drawing/2014/chart" uri="{C3380CC4-5D6E-409C-BE32-E72D297353CC}">
              <c16:uniqueId val="{00000002-B4C0-4FBE-BD7D-B45F3AA1FE2A}"/>
            </c:ext>
          </c:extLst>
        </c:ser>
        <c:dLbls>
          <c:showLegendKey val="0"/>
          <c:showVal val="0"/>
          <c:showCatName val="0"/>
          <c:showSerName val="0"/>
          <c:showPercent val="0"/>
          <c:showBubbleSize val="0"/>
        </c:dLbls>
        <c:axId val="199794688"/>
        <c:axId val="199796224"/>
      </c:radarChart>
      <c:catAx>
        <c:axId val="199794688"/>
        <c:scaling>
          <c:orientation val="minMax"/>
        </c:scaling>
        <c:delete val="0"/>
        <c:axPos val="b"/>
        <c:majorGridlines/>
        <c:numFmt formatCode="General" sourceLinked="1"/>
        <c:majorTickMark val="out"/>
        <c:minorTickMark val="none"/>
        <c:tickLblPos val="nextTo"/>
        <c:txPr>
          <a:bodyPr/>
          <a:lstStyle/>
          <a:p>
            <a:pPr>
              <a:defRPr lang="ja-JP"/>
            </a:pPr>
            <a:endParaRPr lang="en-US"/>
          </a:p>
        </c:txPr>
        <c:crossAx val="199796224"/>
        <c:crosses val="autoZero"/>
        <c:auto val="1"/>
        <c:lblAlgn val="ctr"/>
        <c:lblOffset val="100"/>
        <c:noMultiLvlLbl val="0"/>
      </c:catAx>
      <c:valAx>
        <c:axId val="199796224"/>
        <c:scaling>
          <c:orientation val="minMax"/>
        </c:scaling>
        <c:delete val="0"/>
        <c:axPos val="l"/>
        <c:majorGridlines/>
        <c:numFmt formatCode="General" sourceLinked="1"/>
        <c:majorTickMark val="cross"/>
        <c:minorTickMark val="none"/>
        <c:tickLblPos val="nextTo"/>
        <c:txPr>
          <a:bodyPr/>
          <a:lstStyle/>
          <a:p>
            <a:pPr>
              <a:defRPr lang="ja-JP"/>
            </a:pPr>
            <a:endParaRPr lang="en-US"/>
          </a:p>
        </c:txPr>
        <c:crossAx val="199794688"/>
        <c:crosses val="autoZero"/>
        <c:crossBetween val="between"/>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'112'!$J$7</c:f>
              <c:strCache>
                <c:ptCount val="1"/>
                <c:pt idx="0">
                  <c:v>JHV723EJ: 112 Position</c:v>
                </c:pt>
              </c:strCache>
            </c:strRef>
          </c:tx>
          <c:spPr>
            <a:ln w="28575">
              <a:noFill/>
            </a:ln>
          </c:spPr>
          <c:xVal>
            <c:numRef>
              <c:f>'112'!$I$8:$I$24</c:f>
              <c:numCache>
                <c:formatCode>General</c:formatCode>
                <c:ptCount val="17"/>
                <c:pt idx="0">
                  <c:v>0</c:v>
                </c:pt>
                <c:pt idx="1">
                  <c:v>22.5</c:v>
                </c:pt>
                <c:pt idx="2">
                  <c:v>45</c:v>
                </c:pt>
                <c:pt idx="3">
                  <c:v>67.5</c:v>
                </c:pt>
                <c:pt idx="4">
                  <c:v>90</c:v>
                </c:pt>
                <c:pt idx="5">
                  <c:v>112.5</c:v>
                </c:pt>
                <c:pt idx="6">
                  <c:v>135</c:v>
                </c:pt>
                <c:pt idx="7">
                  <c:v>157.5</c:v>
                </c:pt>
                <c:pt idx="8">
                  <c:v>180</c:v>
                </c:pt>
                <c:pt idx="9">
                  <c:v>202.5</c:v>
                </c:pt>
                <c:pt idx="10">
                  <c:v>225</c:v>
                </c:pt>
                <c:pt idx="11">
                  <c:v>247.5</c:v>
                </c:pt>
                <c:pt idx="12">
                  <c:v>270</c:v>
                </c:pt>
                <c:pt idx="13">
                  <c:v>292.5</c:v>
                </c:pt>
                <c:pt idx="14">
                  <c:v>315</c:v>
                </c:pt>
                <c:pt idx="15">
                  <c:v>337.5</c:v>
                </c:pt>
                <c:pt idx="16">
                  <c:v>360</c:v>
                </c:pt>
              </c:numCache>
            </c:numRef>
          </c:xVal>
          <c:yVal>
            <c:numRef>
              <c:f>'112'!$K$8:$K$24</c:f>
              <c:numCache>
                <c:formatCode>General</c:formatCode>
                <c:ptCount val="17"/>
                <c:pt idx="0">
                  <c:v>-142.29300000000001</c:v>
                </c:pt>
                <c:pt idx="1">
                  <c:v>-142.31700000000001</c:v>
                </c:pt>
                <c:pt idx="2">
                  <c:v>-142.315</c:v>
                </c:pt>
                <c:pt idx="3">
                  <c:v>-142.30799999999999</c:v>
                </c:pt>
                <c:pt idx="4">
                  <c:v>-142.298</c:v>
                </c:pt>
                <c:pt idx="5">
                  <c:v>-142.304</c:v>
                </c:pt>
                <c:pt idx="6">
                  <c:v>-142.30000000000001</c:v>
                </c:pt>
                <c:pt idx="7">
                  <c:v>-142.298</c:v>
                </c:pt>
                <c:pt idx="8">
                  <c:v>-142.286</c:v>
                </c:pt>
                <c:pt idx="9">
                  <c:v>-142.27500000000001</c:v>
                </c:pt>
                <c:pt idx="10">
                  <c:v>-142.28700000000001</c:v>
                </c:pt>
                <c:pt idx="11">
                  <c:v>-142.309</c:v>
                </c:pt>
                <c:pt idx="12">
                  <c:v>-142.31200000000001</c:v>
                </c:pt>
                <c:pt idx="13">
                  <c:v>-142.292</c:v>
                </c:pt>
                <c:pt idx="14">
                  <c:v>-142.26900000000001</c:v>
                </c:pt>
                <c:pt idx="15">
                  <c:v>-142.274</c:v>
                </c:pt>
                <c:pt idx="16">
                  <c:v>-142.29300000000001</c:v>
                </c:pt>
              </c:numCache>
            </c:numRef>
          </c:yVal>
          <c:smooth val="0"/>
          <c:extLst>
            <c:ext xmlns:c16="http://schemas.microsoft.com/office/drawing/2014/chart" uri="{C3380CC4-5D6E-409C-BE32-E72D297353CC}">
              <c16:uniqueId val="{00000000-44BD-49D2-84E2-8ABB02583731}"/>
            </c:ext>
          </c:extLst>
        </c:ser>
        <c:ser>
          <c:idx val="1"/>
          <c:order val="1"/>
          <c:tx>
            <c:v>Shroud Segment位置（内挿）</c:v>
          </c:tx>
          <c:spPr>
            <a:ln w="28575">
              <a:noFill/>
            </a:ln>
          </c:spPr>
          <c:marker>
            <c:spPr>
              <a:noFill/>
            </c:spPr>
          </c:marker>
          <c:xVal>
            <c:numRef>
              <c:f>'112'!$J$35:$J$52</c:f>
              <c:numCache>
                <c:formatCode>0.00_);[Red]\(0.00\)</c:formatCode>
                <c:ptCount val="18"/>
                <c:pt idx="0">
                  <c:v>352.45</c:v>
                </c:pt>
                <c:pt idx="1">
                  <c:v>12.449999999999989</c:v>
                </c:pt>
                <c:pt idx="2">
                  <c:v>32.449999999999989</c:v>
                </c:pt>
                <c:pt idx="3">
                  <c:v>52.449999999999989</c:v>
                </c:pt>
                <c:pt idx="4">
                  <c:v>72.449999999999989</c:v>
                </c:pt>
                <c:pt idx="5">
                  <c:v>92.449999999999989</c:v>
                </c:pt>
                <c:pt idx="6">
                  <c:v>112.44999999999999</c:v>
                </c:pt>
                <c:pt idx="7">
                  <c:v>132.44999999999999</c:v>
                </c:pt>
                <c:pt idx="8">
                  <c:v>152.44999999999999</c:v>
                </c:pt>
                <c:pt idx="9">
                  <c:v>172.45</c:v>
                </c:pt>
                <c:pt idx="10">
                  <c:v>192.45</c:v>
                </c:pt>
                <c:pt idx="11">
                  <c:v>212.45</c:v>
                </c:pt>
                <c:pt idx="12">
                  <c:v>232.45</c:v>
                </c:pt>
                <c:pt idx="13">
                  <c:v>252.45</c:v>
                </c:pt>
                <c:pt idx="14">
                  <c:v>272.45</c:v>
                </c:pt>
                <c:pt idx="15">
                  <c:v>292.45</c:v>
                </c:pt>
                <c:pt idx="16">
                  <c:v>312.45</c:v>
                </c:pt>
                <c:pt idx="17">
                  <c:v>332.45</c:v>
                </c:pt>
              </c:numCache>
            </c:numRef>
          </c:xVal>
          <c:yVal>
            <c:numRef>
              <c:f>'112'!$O$35:$O$52</c:f>
              <c:numCache>
                <c:formatCode>0.000</c:formatCode>
                <c:ptCount val="18"/>
                <c:pt idx="0">
                  <c:v>-142.28662444444444</c:v>
                </c:pt>
                <c:pt idx="1">
                  <c:v>-142.30628000000002</c:v>
                </c:pt>
                <c:pt idx="2">
                  <c:v>-142.31611555555557</c:v>
                </c:pt>
                <c:pt idx="3">
                  <c:v>-142.31268222222221</c:v>
                </c:pt>
                <c:pt idx="4">
                  <c:v>-142.3058</c:v>
                </c:pt>
                <c:pt idx="5">
                  <c:v>-142.29865333333333</c:v>
                </c:pt>
                <c:pt idx="6">
                  <c:v>-142.30398666666667</c:v>
                </c:pt>
                <c:pt idx="7">
                  <c:v>-142.30045333333334</c:v>
                </c:pt>
                <c:pt idx="8">
                  <c:v>-142.29844888888888</c:v>
                </c:pt>
                <c:pt idx="9">
                  <c:v>-142.29002666666668</c:v>
                </c:pt>
                <c:pt idx="10">
                  <c:v>-142.27991333333333</c:v>
                </c:pt>
                <c:pt idx="11">
                  <c:v>-142.28030666666666</c:v>
                </c:pt>
                <c:pt idx="12">
                  <c:v>-142.29428444444446</c:v>
                </c:pt>
                <c:pt idx="13">
                  <c:v>-142.30966000000001</c:v>
                </c:pt>
                <c:pt idx="14">
                  <c:v>-142.30982222222224</c:v>
                </c:pt>
                <c:pt idx="15">
                  <c:v>-142.29204444444446</c:v>
                </c:pt>
                <c:pt idx="16">
                  <c:v>-142.27160666666668</c:v>
                </c:pt>
                <c:pt idx="17">
                  <c:v>-142.27287777777778</c:v>
                </c:pt>
              </c:numCache>
            </c:numRef>
          </c:yVal>
          <c:smooth val="0"/>
          <c:extLst>
            <c:ext xmlns:c16="http://schemas.microsoft.com/office/drawing/2014/chart" uri="{C3380CC4-5D6E-409C-BE32-E72D297353CC}">
              <c16:uniqueId val="{00000001-44BD-49D2-84E2-8ABB02583731}"/>
            </c:ext>
          </c:extLst>
        </c:ser>
        <c:ser>
          <c:idx val="2"/>
          <c:order val="2"/>
          <c:tx>
            <c:v>Max</c:v>
          </c:tx>
          <c:spPr>
            <a:ln w="19050">
              <a:solidFill>
                <a:srgbClr val="FF0000"/>
              </a:solidFill>
              <a:headEnd type="arrow"/>
              <a:tailEnd type="arrow"/>
            </a:ln>
          </c:spPr>
          <c:marker>
            <c:symbol val="none"/>
          </c:marker>
          <c:dLbls>
            <c:dLbl>
              <c:idx val="0"/>
              <c:numFmt formatCode="#,##0.000_ " sourceLinked="0"/>
              <c:spPr/>
              <c:txPr>
                <a:bodyPr/>
                <a:lstStyle/>
                <a:p>
                  <a:pPr>
                    <a:defRPr lang="ja-JP"/>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4BD-49D2-84E2-8ABB02583731}"/>
                </c:ext>
              </c:extLst>
            </c:dLbl>
            <c:dLbl>
              <c:idx val="1"/>
              <c:numFmt formatCode="#,##0.000_ " sourceLinked="0"/>
              <c:spPr/>
              <c:txPr>
                <a:bodyPr/>
                <a:lstStyle/>
                <a:p>
                  <a:pPr>
                    <a:defRPr lang="ja-JP"/>
                  </a:pPr>
                  <a:endParaRPr lang="en-US"/>
                </a:p>
              </c:txPr>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4BD-49D2-84E2-8ABB02583731}"/>
                </c:ext>
              </c:extLst>
            </c:dLbl>
            <c:spPr>
              <a:noFill/>
              <a:ln>
                <a:noFill/>
              </a:ln>
              <a:effectLst/>
            </c:spPr>
            <c:txPr>
              <a:bodyPr wrap="square" lIns="38100" tIns="19050" rIns="38100" bIns="19050" anchor="ctr">
                <a:spAutoFit/>
              </a:bodyPr>
              <a:lstStyle/>
              <a:p>
                <a:pPr>
                  <a:defRPr lang="ja-JP"/>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'112'!$S$35:$S$36</c:f>
              <c:numCache>
                <c:formatCode>General</c:formatCode>
                <c:ptCount val="2"/>
                <c:pt idx="0">
                  <c:v>292.45</c:v>
                </c:pt>
                <c:pt idx="1">
                  <c:v>292.45</c:v>
                </c:pt>
              </c:numCache>
            </c:numRef>
          </c:xVal>
          <c:yVal>
            <c:numRef>
              <c:f>'112'!$T$35:$T$36</c:f>
              <c:numCache>
                <c:formatCode>General</c:formatCode>
                <c:ptCount val="2"/>
                <c:pt idx="0">
                  <c:v>-142.29204444444446</c:v>
                </c:pt>
                <c:pt idx="1">
                  <c:v>-142.27160666666668</c:v>
                </c:pt>
              </c:numCache>
            </c:numRef>
          </c:yVal>
          <c:smooth val="0"/>
          <c:extLst>
            <c:ext xmlns:c16="http://schemas.microsoft.com/office/drawing/2014/chart" uri="{C3380CC4-5D6E-409C-BE32-E72D297353CC}">
              <c16:uniqueId val="{00000004-44BD-49D2-84E2-8ABB02583731}"/>
            </c:ext>
          </c:extLst>
        </c:ser>
        <c:dLbls>
          <c:showLegendKey val="0"/>
          <c:showVal val="0"/>
          <c:showCatName val="0"/>
          <c:showSerName val="0"/>
          <c:showPercent val="0"/>
          <c:showBubbleSize val="0"/>
        </c:dLbls>
        <c:axId val="197835392"/>
        <c:axId val="197837568"/>
      </c:scatterChart>
      <c:valAx>
        <c:axId val="197835392"/>
        <c:scaling>
          <c:orientation val="minMax"/>
          <c:max val="360"/>
          <c:min val="0"/>
        </c:scaling>
        <c:delete val="0"/>
        <c:axPos val="b"/>
        <c:majorGridlines/>
        <c:title>
          <c:tx>
            <c:rich>
              <a:bodyPr/>
              <a:lstStyle/>
              <a:p>
                <a:pPr>
                  <a:defRPr lang="ja-JP"/>
                </a:pPr>
                <a:r>
                  <a:rPr lang="ja-JP" altLang="en-US"/>
                  <a:t>周方向位置</a:t>
                </a:r>
                <a:r>
                  <a:rPr lang="ja-JP" altLang="en-US" baseline="0"/>
                  <a:t> </a:t>
                </a:r>
                <a:r>
                  <a:rPr lang="en-US" altLang="ja-JP" baseline="0"/>
                  <a:t>[deg.]</a:t>
                </a:r>
                <a:endParaRPr lang="ja-JP" altLang="en-US"/>
              </a:p>
            </c:rich>
          </c:tx>
          <c:overlay val="0"/>
        </c:title>
        <c:numFmt formatCode="General" sourceLinked="1"/>
        <c:majorTickMark val="out"/>
        <c:minorTickMark val="none"/>
        <c:tickLblPos val="low"/>
        <c:txPr>
          <a:bodyPr/>
          <a:lstStyle/>
          <a:p>
            <a:pPr>
              <a:defRPr lang="ja-JP"/>
            </a:pPr>
            <a:endParaRPr lang="en-US"/>
          </a:p>
        </c:txPr>
        <c:crossAx val="197837568"/>
        <c:crosses val="autoZero"/>
        <c:crossBetween val="midCat"/>
        <c:majorUnit val="30"/>
        <c:minorUnit val="10"/>
      </c:valAx>
      <c:valAx>
        <c:axId val="197837568"/>
        <c:scaling>
          <c:orientation val="minMax"/>
        </c:scaling>
        <c:delete val="0"/>
        <c:axPos val="l"/>
        <c:majorGridlines/>
        <c:title>
          <c:tx>
            <c:rich>
              <a:bodyPr rot="-5400000" vert="horz"/>
              <a:lstStyle/>
              <a:p>
                <a:pPr>
                  <a:defRPr lang="ja-JP" sz="1400"/>
                </a:pPr>
                <a:r>
                  <a:rPr lang="en-US" altLang="en-US" sz="1400"/>
                  <a:t>Axial Position from Datum B [mm]</a:t>
                </a:r>
              </a:p>
            </c:rich>
          </c:tx>
          <c:overlay val="0"/>
        </c:title>
        <c:numFmt formatCode="General" sourceLinked="1"/>
        <c:majorTickMark val="out"/>
        <c:minorTickMark val="none"/>
        <c:tickLblPos val="nextTo"/>
        <c:txPr>
          <a:bodyPr/>
          <a:lstStyle/>
          <a:p>
            <a:pPr>
              <a:defRPr lang="ja-JP"/>
            </a:pPr>
            <a:endParaRPr lang="en-US"/>
          </a:p>
        </c:txPr>
        <c:crossAx val="197835392"/>
        <c:crosses val="autoZero"/>
        <c:crossBetween val="midCat"/>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'118'!$J$7</c:f>
              <c:strCache>
                <c:ptCount val="1"/>
                <c:pt idx="0">
                  <c:v>JHV723EJ: 118 Position</c:v>
                </c:pt>
              </c:strCache>
            </c:strRef>
          </c:tx>
          <c:spPr>
            <a:ln w="28575">
              <a:noFill/>
            </a:ln>
          </c:spPr>
          <c:xVal>
            <c:numRef>
              <c:f>'118'!$I$8:$I$24</c:f>
              <c:numCache>
                <c:formatCode>General</c:formatCode>
                <c:ptCount val="17"/>
                <c:pt idx="0">
                  <c:v>0</c:v>
                </c:pt>
                <c:pt idx="1">
                  <c:v>22.5</c:v>
                </c:pt>
                <c:pt idx="2">
                  <c:v>45</c:v>
                </c:pt>
                <c:pt idx="3">
                  <c:v>67.5</c:v>
                </c:pt>
                <c:pt idx="4">
                  <c:v>90</c:v>
                </c:pt>
                <c:pt idx="5">
                  <c:v>112.5</c:v>
                </c:pt>
                <c:pt idx="6">
                  <c:v>135</c:v>
                </c:pt>
                <c:pt idx="7">
                  <c:v>157.5</c:v>
                </c:pt>
                <c:pt idx="8">
                  <c:v>180</c:v>
                </c:pt>
                <c:pt idx="9">
                  <c:v>202.5</c:v>
                </c:pt>
                <c:pt idx="10">
                  <c:v>225</c:v>
                </c:pt>
                <c:pt idx="11">
                  <c:v>247.5</c:v>
                </c:pt>
                <c:pt idx="12">
                  <c:v>270</c:v>
                </c:pt>
                <c:pt idx="13">
                  <c:v>292.5</c:v>
                </c:pt>
                <c:pt idx="14">
                  <c:v>315</c:v>
                </c:pt>
                <c:pt idx="15">
                  <c:v>337.5</c:v>
                </c:pt>
                <c:pt idx="16">
                  <c:v>360</c:v>
                </c:pt>
              </c:numCache>
            </c:numRef>
          </c:xVal>
          <c:yVal>
            <c:numRef>
              <c:f>'118'!$K$8:$K$24</c:f>
              <c:numCache>
                <c:formatCode>General</c:formatCode>
                <c:ptCount val="17"/>
                <c:pt idx="0">
                  <c:v>-69.403000000000006</c:v>
                </c:pt>
                <c:pt idx="1">
                  <c:v>-69.429000000000002</c:v>
                </c:pt>
                <c:pt idx="2">
                  <c:v>-69.429000000000002</c:v>
                </c:pt>
                <c:pt idx="3">
                  <c:v>-69.41</c:v>
                </c:pt>
                <c:pt idx="4">
                  <c:v>-69.405000000000001</c:v>
                </c:pt>
                <c:pt idx="5">
                  <c:v>-69.406999999999996</c:v>
                </c:pt>
                <c:pt idx="6">
                  <c:v>-69.41</c:v>
                </c:pt>
                <c:pt idx="7">
                  <c:v>-69.406000000000006</c:v>
                </c:pt>
                <c:pt idx="8">
                  <c:v>-69.391000000000005</c:v>
                </c:pt>
                <c:pt idx="9">
                  <c:v>-69.379000000000005</c:v>
                </c:pt>
                <c:pt idx="10">
                  <c:v>-69.394999999999996</c:v>
                </c:pt>
                <c:pt idx="11">
                  <c:v>-69.42</c:v>
                </c:pt>
                <c:pt idx="12">
                  <c:v>-69.427000000000007</c:v>
                </c:pt>
                <c:pt idx="13">
                  <c:v>-69.400000000000006</c:v>
                </c:pt>
                <c:pt idx="14">
                  <c:v>-69.373999999999995</c:v>
                </c:pt>
                <c:pt idx="15">
                  <c:v>-69.378</c:v>
                </c:pt>
                <c:pt idx="16">
                  <c:v>-69.403000000000006</c:v>
                </c:pt>
              </c:numCache>
            </c:numRef>
          </c:yVal>
          <c:smooth val="0"/>
          <c:extLst>
            <c:ext xmlns:c16="http://schemas.microsoft.com/office/drawing/2014/chart" uri="{C3380CC4-5D6E-409C-BE32-E72D297353CC}">
              <c16:uniqueId val="{00000000-51B8-4873-8B37-9DD87C999A98}"/>
            </c:ext>
          </c:extLst>
        </c:ser>
        <c:ser>
          <c:idx val="1"/>
          <c:order val="1"/>
          <c:tx>
            <c:v>Shroud Segment位置（内挿）</c:v>
          </c:tx>
          <c:spPr>
            <a:ln w="28575">
              <a:noFill/>
            </a:ln>
          </c:spPr>
          <c:marker>
            <c:spPr>
              <a:noFill/>
            </c:spPr>
          </c:marker>
          <c:xVal>
            <c:numRef>
              <c:f>'118'!$J$35:$J$57</c:f>
              <c:numCache>
                <c:formatCode>0.00_);[Red]\(0.00\)</c:formatCode>
                <c:ptCount val="23"/>
                <c:pt idx="0">
                  <c:v>353.49</c:v>
                </c:pt>
                <c:pt idx="1">
                  <c:v>9.1421739130435071</c:v>
                </c:pt>
                <c:pt idx="2">
                  <c:v>24.794347826086984</c:v>
                </c:pt>
                <c:pt idx="3">
                  <c:v>40.446521739130461</c:v>
                </c:pt>
                <c:pt idx="4">
                  <c:v>56.098695652173937</c:v>
                </c:pt>
                <c:pt idx="5">
                  <c:v>71.750869565217414</c:v>
                </c:pt>
                <c:pt idx="6">
                  <c:v>87.403043478260898</c:v>
                </c:pt>
                <c:pt idx="7">
                  <c:v>103.05521739130438</c:v>
                </c:pt>
                <c:pt idx="8">
                  <c:v>118.70739130434787</c:v>
                </c:pt>
                <c:pt idx="9">
                  <c:v>134.35956521739135</c:v>
                </c:pt>
                <c:pt idx="10">
                  <c:v>150.01173913043482</c:v>
                </c:pt>
                <c:pt idx="11">
                  <c:v>165.66391304347829</c:v>
                </c:pt>
                <c:pt idx="12">
                  <c:v>181.31608695652176</c:v>
                </c:pt>
                <c:pt idx="13">
                  <c:v>196.96826086956523</c:v>
                </c:pt>
                <c:pt idx="14">
                  <c:v>212.6204347826087</c:v>
                </c:pt>
                <c:pt idx="15">
                  <c:v>228.27260869565217</c:v>
                </c:pt>
                <c:pt idx="16">
                  <c:v>243.92478260869564</c:v>
                </c:pt>
                <c:pt idx="17">
                  <c:v>259.57695652173913</c:v>
                </c:pt>
                <c:pt idx="18">
                  <c:v>275.22913043478263</c:v>
                </c:pt>
                <c:pt idx="19">
                  <c:v>290.88130434782613</c:v>
                </c:pt>
                <c:pt idx="20">
                  <c:v>306.53347826086963</c:v>
                </c:pt>
                <c:pt idx="21">
                  <c:v>322.18565217391313</c:v>
                </c:pt>
                <c:pt idx="22">
                  <c:v>337.83782608695662</c:v>
                </c:pt>
              </c:numCache>
            </c:numRef>
          </c:xVal>
          <c:yVal>
            <c:numRef>
              <c:f>'118'!$O$35:$O$57</c:f>
              <c:numCache>
                <c:formatCode>0.000</c:formatCode>
                <c:ptCount val="23"/>
                <c:pt idx="0">
                  <c:v>-69.395766666666674</c:v>
                </c:pt>
                <c:pt idx="1">
                  <c:v>-69.413564289855074</c:v>
                </c:pt>
                <c:pt idx="2">
                  <c:v>-69.429000000000002</c:v>
                </c:pt>
                <c:pt idx="3">
                  <c:v>-69.429000000000002</c:v>
                </c:pt>
                <c:pt idx="4">
                  <c:v>-69.419627768115944</c:v>
                </c:pt>
                <c:pt idx="5">
                  <c:v>-69.409055362318838</c:v>
                </c:pt>
                <c:pt idx="6">
                  <c:v>-69.405577101449282</c:v>
                </c:pt>
                <c:pt idx="7">
                  <c:v>-69.406160463768117</c:v>
                </c:pt>
                <c:pt idx="8">
                  <c:v>-69.407827652173907</c:v>
                </c:pt>
                <c:pt idx="9">
                  <c:v>-69.409914608695644</c:v>
                </c:pt>
                <c:pt idx="10">
                  <c:v>-69.407331246376813</c:v>
                </c:pt>
                <c:pt idx="11">
                  <c:v>-69.400557391304361</c:v>
                </c:pt>
                <c:pt idx="12">
                  <c:v>-69.390298086956534</c:v>
                </c:pt>
                <c:pt idx="13">
                  <c:v>-69.381950260869573</c:v>
                </c:pt>
                <c:pt idx="14">
                  <c:v>-69.386196753623196</c:v>
                </c:pt>
                <c:pt idx="15">
                  <c:v>-69.398636231884055</c:v>
                </c:pt>
                <c:pt idx="16">
                  <c:v>-69.41602753623188</c:v>
                </c:pt>
                <c:pt idx="17">
                  <c:v>-69.42375727536232</c:v>
                </c:pt>
                <c:pt idx="18">
                  <c:v>-69.420725043478271</c:v>
                </c:pt>
                <c:pt idx="19">
                  <c:v>-69.401942434782612</c:v>
                </c:pt>
                <c:pt idx="20">
                  <c:v>-69.383783536231888</c:v>
                </c:pt>
                <c:pt idx="21">
                  <c:v>-69.375277449275359</c:v>
                </c:pt>
                <c:pt idx="22">
                  <c:v>-69.378375362318835</c:v>
                </c:pt>
              </c:numCache>
            </c:numRef>
          </c:yVal>
          <c:smooth val="0"/>
          <c:extLst>
            <c:ext xmlns:c16="http://schemas.microsoft.com/office/drawing/2014/chart" uri="{C3380CC4-5D6E-409C-BE32-E72D297353CC}">
              <c16:uniqueId val="{00000001-51B8-4873-8B37-9DD87C999A98}"/>
            </c:ext>
          </c:extLst>
        </c:ser>
        <c:ser>
          <c:idx val="2"/>
          <c:order val="2"/>
          <c:tx>
            <c:v>Max</c:v>
          </c:tx>
          <c:spPr>
            <a:ln w="19050">
              <a:solidFill>
                <a:srgbClr val="FF0000"/>
              </a:solidFill>
              <a:headEnd type="arrow"/>
              <a:tailEnd type="arrow"/>
            </a:ln>
          </c:spPr>
          <c:marker>
            <c:symbol val="none"/>
          </c:marker>
          <c:dLbls>
            <c:dLbl>
              <c:idx val="0"/>
              <c:numFmt formatCode="#,##0.000_ " sourceLinked="0"/>
              <c:spPr/>
              <c:txPr>
                <a:bodyPr/>
                <a:lstStyle/>
                <a:p>
                  <a:pPr>
                    <a:defRPr lang="ja-JP"/>
                  </a:pPr>
                  <a:endParaRPr lang="en-US"/>
                </a:p>
              </c:txPr>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1B8-4873-8B37-9DD87C999A98}"/>
                </c:ext>
              </c:extLst>
            </c:dLbl>
            <c:dLbl>
              <c:idx val="1"/>
              <c:numFmt formatCode="#,##0.000_ " sourceLinked="0"/>
              <c:spPr/>
              <c:txPr>
                <a:bodyPr/>
                <a:lstStyle/>
                <a:p>
                  <a:pPr>
                    <a:defRPr lang="ja-JP"/>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1B8-4873-8B37-9DD87C999A98}"/>
                </c:ext>
              </c:extLst>
            </c:dLbl>
            <c:spPr>
              <a:noFill/>
              <a:ln>
                <a:noFill/>
              </a:ln>
              <a:effectLst/>
            </c:spPr>
            <c:txPr>
              <a:bodyPr wrap="square" lIns="38100" tIns="19050" rIns="38100" bIns="19050" anchor="ctr">
                <a:spAutoFit/>
              </a:bodyPr>
              <a:lstStyle/>
              <a:p>
                <a:pPr>
                  <a:defRPr lang="ja-JP"/>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'118'!$S$35:$S$36</c:f>
              <c:numCache>
                <c:formatCode>General</c:formatCode>
                <c:ptCount val="2"/>
                <c:pt idx="0">
                  <c:v>275.22913043478263</c:v>
                </c:pt>
                <c:pt idx="1">
                  <c:v>275.22913043478263</c:v>
                </c:pt>
              </c:numCache>
            </c:numRef>
          </c:xVal>
          <c:yVal>
            <c:numRef>
              <c:f>'118'!$T$35:$T$36</c:f>
              <c:numCache>
                <c:formatCode>General</c:formatCode>
                <c:ptCount val="2"/>
                <c:pt idx="0">
                  <c:v>-69.420725043478271</c:v>
                </c:pt>
                <c:pt idx="1">
                  <c:v>-69.401942434782612</c:v>
                </c:pt>
              </c:numCache>
            </c:numRef>
          </c:yVal>
          <c:smooth val="0"/>
          <c:extLst>
            <c:ext xmlns:c16="http://schemas.microsoft.com/office/drawing/2014/chart" uri="{C3380CC4-5D6E-409C-BE32-E72D297353CC}">
              <c16:uniqueId val="{00000004-51B8-4873-8B37-9DD87C999A98}"/>
            </c:ext>
          </c:extLst>
        </c:ser>
        <c:dLbls>
          <c:showLegendKey val="0"/>
          <c:showVal val="0"/>
          <c:showCatName val="0"/>
          <c:showSerName val="0"/>
          <c:showPercent val="0"/>
          <c:showBubbleSize val="0"/>
        </c:dLbls>
        <c:axId val="198331776"/>
        <c:axId val="198333952"/>
      </c:scatterChart>
      <c:valAx>
        <c:axId val="198331776"/>
        <c:scaling>
          <c:orientation val="minMax"/>
          <c:max val="360"/>
          <c:min val="0"/>
        </c:scaling>
        <c:delete val="0"/>
        <c:axPos val="b"/>
        <c:majorGridlines/>
        <c:title>
          <c:tx>
            <c:rich>
              <a:bodyPr/>
              <a:lstStyle/>
              <a:p>
                <a:pPr>
                  <a:defRPr lang="ja-JP"/>
                </a:pPr>
                <a:r>
                  <a:rPr lang="ja-JP" altLang="en-US"/>
                  <a:t>周方向位置</a:t>
                </a:r>
                <a:r>
                  <a:rPr lang="ja-JP" altLang="en-US" baseline="0"/>
                  <a:t> </a:t>
                </a:r>
                <a:r>
                  <a:rPr lang="en-US" altLang="ja-JP" baseline="0"/>
                  <a:t>[deg.]</a:t>
                </a:r>
                <a:endParaRPr lang="ja-JP" altLang="en-US"/>
              </a:p>
            </c:rich>
          </c:tx>
          <c:overlay val="0"/>
        </c:title>
        <c:numFmt formatCode="General" sourceLinked="1"/>
        <c:majorTickMark val="out"/>
        <c:minorTickMark val="none"/>
        <c:tickLblPos val="low"/>
        <c:txPr>
          <a:bodyPr/>
          <a:lstStyle/>
          <a:p>
            <a:pPr>
              <a:defRPr lang="ja-JP"/>
            </a:pPr>
            <a:endParaRPr lang="en-US"/>
          </a:p>
        </c:txPr>
        <c:crossAx val="198333952"/>
        <c:crosses val="autoZero"/>
        <c:crossBetween val="midCat"/>
        <c:majorUnit val="30"/>
        <c:minorUnit val="10"/>
      </c:valAx>
      <c:valAx>
        <c:axId val="198333952"/>
        <c:scaling>
          <c:orientation val="minMax"/>
        </c:scaling>
        <c:delete val="0"/>
        <c:axPos val="l"/>
        <c:majorGridlines/>
        <c:title>
          <c:tx>
            <c:rich>
              <a:bodyPr rot="-5400000" vert="horz"/>
              <a:lstStyle/>
              <a:p>
                <a:pPr>
                  <a:defRPr lang="ja-JP" sz="1400"/>
                </a:pPr>
                <a:r>
                  <a:rPr lang="en-US" altLang="en-US" sz="1400"/>
                  <a:t>Axial Position from Datum B [mm]</a:t>
                </a:r>
              </a:p>
            </c:rich>
          </c:tx>
          <c:overlay val="0"/>
        </c:title>
        <c:numFmt formatCode="General" sourceLinked="1"/>
        <c:majorTickMark val="out"/>
        <c:minorTickMark val="none"/>
        <c:tickLblPos val="nextTo"/>
        <c:txPr>
          <a:bodyPr/>
          <a:lstStyle/>
          <a:p>
            <a:pPr>
              <a:defRPr lang="ja-JP"/>
            </a:pPr>
            <a:endParaRPr lang="en-US"/>
          </a:p>
        </c:txPr>
        <c:crossAx val="198331776"/>
        <c:crosses val="autoZero"/>
        <c:crossBetween val="midCat"/>
      </c:valAx>
    </c:plotArea>
    <c:legend>
      <c:legendPos val="r"/>
      <c:overlay val="0"/>
      <c:txPr>
        <a:bodyPr/>
        <a:lstStyle/>
        <a:p>
          <a:pPr>
            <a:defRPr lang="ja-JP"/>
          </a:pPr>
          <a:endParaRPr lang="en-U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'418'!$J$2</c:f>
          <c:strCache>
            <c:ptCount val="1"/>
            <c:pt idx="0">
              <c:v>JHV723EJ検査項目418</c:v>
            </c:pt>
          </c:strCache>
        </c:strRef>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tx>
            <c:strRef>
              <c:f>'418'!$J$2</c:f>
              <c:strCache>
                <c:ptCount val="1"/>
                <c:pt idx="0">
                  <c:v>JHV723EJ検査項目418</c:v>
                </c:pt>
              </c:strCache>
            </c:strRef>
          </c:tx>
          <c:spPr>
            <a:ln w="19050" cap="rnd">
              <a:solidFill>
                <a:srgbClr val="00FF00"/>
              </a:solidFill>
              <a:round/>
            </a:ln>
            <a:effectLst/>
          </c:spPr>
          <c:marker>
            <c:symbol val="circle"/>
            <c:size val="5"/>
            <c:spPr>
              <a:solidFill>
                <a:schemeClr val="bg1"/>
              </a:solidFill>
              <a:ln w="9525">
                <a:solidFill>
                  <a:srgbClr val="00FF00"/>
                </a:solidFill>
              </a:ln>
              <a:effectLst/>
            </c:spPr>
          </c:marker>
          <c:val>
            <c:numRef>
              <c:f>'418'!$J$3:$J$11</c:f>
              <c:numCache>
                <c:formatCode>General</c:formatCode>
                <c:ptCount val="9"/>
                <c:pt idx="0">
                  <c:v>380.476</c:v>
                </c:pt>
                <c:pt idx="1">
                  <c:v>380.476</c:v>
                </c:pt>
                <c:pt idx="2">
                  <c:v>380.47500000000002</c:v>
                </c:pt>
                <c:pt idx="3">
                  <c:v>380.423</c:v>
                </c:pt>
                <c:pt idx="4">
                  <c:v>380.41800000000001</c:v>
                </c:pt>
                <c:pt idx="5">
                  <c:v>380.46699999999998</c:v>
                </c:pt>
                <c:pt idx="6">
                  <c:v>380.50099999999998</c:v>
                </c:pt>
                <c:pt idx="7">
                  <c:v>380.488</c:v>
                </c:pt>
                <c:pt idx="8">
                  <c:v>380.46600000000001</c:v>
                </c:pt>
              </c:numCache>
            </c:numRef>
          </c:val>
          <c:extLst>
            <c:ext xmlns:c16="http://schemas.microsoft.com/office/drawing/2014/chart" uri="{C3380CC4-5D6E-409C-BE32-E72D297353CC}">
              <c16:uniqueId val="{00000000-E72D-4CB8-AF02-C805F19D03DE}"/>
            </c:ext>
          </c:extLst>
        </c:ser>
        <c:ser>
          <c:idx val="2"/>
          <c:order val="1"/>
          <c:tx>
            <c:strRef>
              <c:f>'418'!$L$2</c:f>
              <c:strCache>
                <c:ptCount val="1"/>
                <c:pt idx="0">
                  <c:v>Dwg Max</c:v>
                </c:pt>
              </c:strCache>
            </c:strRef>
          </c:tx>
          <c:spPr>
            <a:ln w="28575" cap="rnd">
              <a:solidFill>
                <a:srgbClr val="FF0000"/>
              </a:solidFill>
              <a:prstDash val="dash"/>
              <a:round/>
            </a:ln>
            <a:effectLst/>
          </c:spPr>
          <c:marker>
            <c:symbol val="none"/>
          </c:marker>
          <c:val>
            <c:numRef>
              <c:f>'418'!$L$3:$L$11</c:f>
              <c:numCache>
                <c:formatCode>General</c:formatCode>
                <c:ptCount val="9"/>
                <c:pt idx="0">
                  <c:v>380.63</c:v>
                </c:pt>
                <c:pt idx="1">
                  <c:v>380.63</c:v>
                </c:pt>
                <c:pt idx="2">
                  <c:v>380.63</c:v>
                </c:pt>
                <c:pt idx="3">
                  <c:v>380.63</c:v>
                </c:pt>
                <c:pt idx="4">
                  <c:v>380.63</c:v>
                </c:pt>
                <c:pt idx="5">
                  <c:v>380.63</c:v>
                </c:pt>
                <c:pt idx="6">
                  <c:v>380.63</c:v>
                </c:pt>
                <c:pt idx="7">
                  <c:v>380.63</c:v>
                </c:pt>
                <c:pt idx="8">
                  <c:v>380.63</c:v>
                </c:pt>
              </c:numCache>
            </c:numRef>
          </c:val>
          <c:extLst>
            <c:ext xmlns:c16="http://schemas.microsoft.com/office/drawing/2014/chart" uri="{C3380CC4-5D6E-409C-BE32-E72D297353CC}">
              <c16:uniqueId val="{00000002-E72D-4CB8-AF02-C805F19D03DE}"/>
            </c:ext>
          </c:extLst>
        </c:ser>
        <c:ser>
          <c:idx val="1"/>
          <c:order val="2"/>
          <c:tx>
            <c:strRef>
              <c:f>'418'!$K$2</c:f>
              <c:strCache>
                <c:ptCount val="1"/>
                <c:pt idx="0">
                  <c:v>Dwg Min</c:v>
                </c:pt>
              </c:strCache>
            </c:strRef>
          </c:tx>
          <c:spPr>
            <a:ln w="28575" cap="rnd">
              <a:solidFill>
                <a:srgbClr val="0000FF"/>
              </a:solidFill>
              <a:prstDash val="dash"/>
              <a:round/>
            </a:ln>
            <a:effectLst/>
          </c:spPr>
          <c:marker>
            <c:symbol val="none"/>
          </c:marker>
          <c:val>
            <c:numRef>
              <c:f>'418'!$K$3:$K$11</c:f>
              <c:numCache>
                <c:formatCode>General</c:formatCode>
                <c:ptCount val="9"/>
                <c:pt idx="0">
                  <c:v>380.37</c:v>
                </c:pt>
                <c:pt idx="1">
                  <c:v>380.37</c:v>
                </c:pt>
                <c:pt idx="2">
                  <c:v>380.37</c:v>
                </c:pt>
                <c:pt idx="3">
                  <c:v>380.37</c:v>
                </c:pt>
                <c:pt idx="4">
                  <c:v>380.37</c:v>
                </c:pt>
                <c:pt idx="5">
                  <c:v>380.37</c:v>
                </c:pt>
                <c:pt idx="6">
                  <c:v>380.37</c:v>
                </c:pt>
                <c:pt idx="7">
                  <c:v>380.37</c:v>
                </c:pt>
                <c:pt idx="8">
                  <c:v>380.37</c:v>
                </c:pt>
              </c:numCache>
            </c:numRef>
          </c:val>
          <c:extLst>
            <c:ext xmlns:c16="http://schemas.microsoft.com/office/drawing/2014/chart" uri="{C3380CC4-5D6E-409C-BE32-E72D297353CC}">
              <c16:uniqueId val="{00000001-E72D-4CB8-AF02-C805F19D03DE}"/>
            </c:ext>
          </c:extLst>
        </c:ser>
        <c:dLbls>
          <c:showLegendKey val="0"/>
          <c:showVal val="0"/>
          <c:showCatName val="0"/>
          <c:showSerName val="0"/>
          <c:showPercent val="0"/>
          <c:showBubbleSize val="0"/>
        </c:dLbls>
        <c:axId val="1568518736"/>
        <c:axId val="1768273248"/>
      </c:radarChart>
      <c:catAx>
        <c:axId val="15685187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crossAx val="1768273248"/>
        <c:crosses val="autoZero"/>
        <c:auto val="1"/>
        <c:lblAlgn val="ctr"/>
        <c:lblOffset val="100"/>
        <c:noMultiLvlLbl val="0"/>
      </c:catAx>
      <c:valAx>
        <c:axId val="1768273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crossAx val="1568518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emf"/><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7.png"/><Relationship Id="rId1" Type="http://schemas.openxmlformats.org/officeDocument/2006/relationships/hyperlink" Target="http://blog-imgs-11.fc2.com/i/m/a/imagingsolution/20070705230623.png" TargetMode="External"/><Relationship Id="rId6" Type="http://schemas.openxmlformats.org/officeDocument/2006/relationships/image" Target="../media/image9.emf"/><Relationship Id="rId5" Type="http://schemas.openxmlformats.org/officeDocument/2006/relationships/chart" Target="../charts/chart6.xml"/><Relationship Id="rId4"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7.png"/><Relationship Id="rId1" Type="http://schemas.openxmlformats.org/officeDocument/2006/relationships/hyperlink" Target="http://blog-imgs-11.fc2.com/i/m/a/imagingsolution/20070705230623.png" TargetMode="External"/><Relationship Id="rId6" Type="http://schemas.openxmlformats.org/officeDocument/2006/relationships/image" Target="../media/image13.emf"/><Relationship Id="rId5" Type="http://schemas.openxmlformats.org/officeDocument/2006/relationships/chart" Target="../charts/chart8.xml"/><Relationship Id="rId4" Type="http://schemas.openxmlformats.org/officeDocument/2006/relationships/image" Target="../media/image12.emf"/></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image" Target="../media/image7.png"/><Relationship Id="rId1" Type="http://schemas.openxmlformats.org/officeDocument/2006/relationships/hyperlink" Target="http://blog-imgs-11.fc2.com/i/m/a/imagingsolution/20070705230623.png" TargetMode="External"/><Relationship Id="rId6" Type="http://schemas.openxmlformats.org/officeDocument/2006/relationships/image" Target="../media/image17.emf"/><Relationship Id="rId5" Type="http://schemas.openxmlformats.org/officeDocument/2006/relationships/chart" Target="../charts/chart10.xml"/><Relationship Id="rId4" Type="http://schemas.openxmlformats.org/officeDocument/2006/relationships/image" Target="../media/image16.emf"/></Relationships>
</file>

<file path=xl/drawings/_rels/drawing7.x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chart" Target="../charts/chart13.xml"/><Relationship Id="rId1" Type="http://schemas.openxmlformats.org/officeDocument/2006/relationships/chart" Target="../charts/chart12.xml"/><Relationship Id="rId5" Type="http://schemas.openxmlformats.org/officeDocument/2006/relationships/image" Target="../media/image24.emf"/><Relationship Id="rId4" Type="http://schemas.openxmlformats.org/officeDocument/2006/relationships/image" Target="../media/image23.emf"/></Relationships>
</file>

<file path=xl/drawings/_rels/drawing9.xml.rels><?xml version="1.0" encoding="UTF-8" standalone="yes"?>
<Relationships xmlns="http://schemas.openxmlformats.org/package/2006/relationships"><Relationship Id="rId3" Type="http://schemas.openxmlformats.org/officeDocument/2006/relationships/hyperlink" Target="http://blog-imgs-11.fc2.com/i/m/a/imagingsolution/20070705230623.png" TargetMode="External"/><Relationship Id="rId2" Type="http://schemas.openxmlformats.org/officeDocument/2006/relationships/image" Target="../media/image28.emf"/><Relationship Id="rId1" Type="http://schemas.openxmlformats.org/officeDocument/2006/relationships/chart" Target="../charts/chart14.xml"/><Relationship Id="rId6" Type="http://schemas.openxmlformats.org/officeDocument/2006/relationships/image" Target="../media/image29.emf"/><Relationship Id="rId5" Type="http://schemas.openxmlformats.org/officeDocument/2006/relationships/chart" Target="../charts/chart15.xml"/><Relationship Id="rId4" Type="http://schemas.openxmlformats.org/officeDocument/2006/relationships/image" Target="../media/image7.png"/></Relationships>
</file>

<file path=xl/drawings/_rels/drawing10.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image" Target="../media/image32.emf"/><Relationship Id="rId1" Type="http://schemas.openxmlformats.org/officeDocument/2006/relationships/chart" Target="../charts/chart16.xml"/><Relationship Id="rId4" Type="http://schemas.openxmlformats.org/officeDocument/2006/relationships/image" Target="../media/image33.emf"/></Relationships>
</file>

<file path=xl/drawings/_rels/drawing11.x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image" Target="../media/image38.emf"/><Relationship Id="rId1" Type="http://schemas.openxmlformats.org/officeDocument/2006/relationships/chart" Target="../charts/chart19.xml"/><Relationship Id="rId4" Type="http://schemas.openxmlformats.org/officeDocument/2006/relationships/image" Target="../media/image39.emf"/></Relationships>
</file>

<file path=xl/drawings/_rels/drawing13.x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chart" Target="../charts/chart21.xml"/></Relationships>
</file>

<file path=xl/drawings/_rels/drawing14.x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chart" Target="../charts/chart22.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image" Target="../media/image46.emf"/><Relationship Id="rId1" Type="http://schemas.openxmlformats.org/officeDocument/2006/relationships/chart" Target="../charts/chart23.xml"/><Relationship Id="rId4" Type="http://schemas.openxmlformats.org/officeDocument/2006/relationships/image" Target="../media/image47.emf"/></Relationships>
</file>

<file path=xl/drawings/_rels/drawing16.x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2" Type="http://schemas.openxmlformats.org/officeDocument/2006/relationships/image" Target="../media/image52.emf"/><Relationship Id="rId1" Type="http://schemas.openxmlformats.org/officeDocument/2006/relationships/chart" Target="../charts/chart26.xml"/></Relationships>
</file>

<file path=xl/drawings/_rels/drawing18.x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chart" Target="../charts/chart27.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image" Target="../media/image56.emf"/><Relationship Id="rId1" Type="http://schemas.openxmlformats.org/officeDocument/2006/relationships/chart" Target="../charts/chart28.xml"/><Relationship Id="rId4" Type="http://schemas.openxmlformats.org/officeDocument/2006/relationships/image" Target="../media/image57.emf"/></Relationships>
</file>

<file path=xl/drawings/_rels/drawing20.xml.rels><?xml version="1.0" encoding="UTF-8" standalone="yes"?>
<Relationships xmlns="http://schemas.openxmlformats.org/package/2006/relationships"><Relationship Id="rId2" Type="http://schemas.openxmlformats.org/officeDocument/2006/relationships/image" Target="../media/image60.emf"/><Relationship Id="rId1" Type="http://schemas.openxmlformats.org/officeDocument/2006/relationships/chart" Target="../charts/chart30.xml"/></Relationships>
</file>

<file path=xl/drawings/_rels/drawing21.x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image" Target="../media/image64.emf"/><Relationship Id="rId1" Type="http://schemas.openxmlformats.org/officeDocument/2006/relationships/chart" Target="../charts/chart32.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image" Target="../media/image65.emf"/></Relationships>
</file>

<file path=xl/drawings/_rels/drawing23.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24.x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chart" Target="../charts/chart37.xml"/></Relationships>
</file>

<file path=xl/drawings/_rels/drawing25.xml.rels><?xml version="1.0" encoding="UTF-8" standalone="yes"?>
<Relationships xmlns="http://schemas.openxmlformats.org/package/2006/relationships"><Relationship Id="rId2" Type="http://schemas.openxmlformats.org/officeDocument/2006/relationships/image" Target="../media/image70.emf"/><Relationship Id="rId1"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40.xml"/><Relationship Id="rId2" Type="http://schemas.openxmlformats.org/officeDocument/2006/relationships/image" Target="../media/image72.emf"/><Relationship Id="rId1" Type="http://schemas.openxmlformats.org/officeDocument/2006/relationships/chart" Target="../charts/chart39.xml"/><Relationship Id="rId6" Type="http://schemas.openxmlformats.org/officeDocument/2006/relationships/image" Target="../media/image73.emf"/><Relationship Id="rId5" Type="http://schemas.openxmlformats.org/officeDocument/2006/relationships/chart" Target="../charts/chart42.xml"/><Relationship Id="rId4" Type="http://schemas.openxmlformats.org/officeDocument/2006/relationships/chart" Target="../charts/chart41.xml"/></Relationships>
</file>

<file path=xl/drawings/_rels/drawing27.x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chart" Target="../charts/chart43.xml"/></Relationships>
</file>

<file path=xl/drawings/_rels/drawing28.x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chart" Target="../charts/chart4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4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30.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4.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5.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4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61.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25.vml.rels><?xml version="1.0" encoding="UTF-8" standalone="yes"?>
<Relationships xmlns="http://schemas.openxmlformats.org/package/2006/relationships"><Relationship Id="rId2" Type="http://schemas.openxmlformats.org/officeDocument/2006/relationships/image" Target="../media/image75.emf"/><Relationship Id="rId1" Type="http://schemas.openxmlformats.org/officeDocument/2006/relationships/image" Target="../media/image74.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79.emf"/></Relationships>
</file>

<file path=xl/drawings/drawing1.xml><?xml version="1.0" encoding="utf-8"?>
<xdr:wsDr xmlns:xdr="http://schemas.openxmlformats.org/drawingml/2006/spreadsheetDrawing" xmlns:a="http://schemas.openxmlformats.org/drawingml/2006/main">
  <xdr:twoCellAnchor>
    <xdr:from>
      <xdr:col>13</xdr:col>
      <xdr:colOff>28575</xdr:colOff>
      <xdr:row>5</xdr:row>
      <xdr:rowOff>28575</xdr:rowOff>
    </xdr:from>
    <xdr:to>
      <xdr:col>19</xdr:col>
      <xdr:colOff>495300</xdr:colOff>
      <xdr:row>29</xdr:row>
      <xdr:rowOff>104775</xdr:rowOff>
    </xdr:to>
    <xdr:grpSp>
      <xdr:nvGrpSpPr>
        <xdr:cNvPr id="2" name="グループ化 1">
          <a:extLst>
            <a:ext uri="{FF2B5EF4-FFF2-40B4-BE49-F238E27FC236}">
              <a16:creationId xmlns:a16="http://schemas.microsoft.com/office/drawing/2014/main" id="{00000000-0008-0000-0000-000002000000}"/>
            </a:ext>
          </a:extLst>
        </xdr:cNvPr>
        <xdr:cNvGrpSpPr/>
      </xdr:nvGrpSpPr>
      <xdr:grpSpPr>
        <a:xfrm>
          <a:off x="7829550" y="981075"/>
          <a:ext cx="4067175" cy="4648200"/>
          <a:chOff x="8943975" y="885825"/>
          <a:chExt cx="4581525" cy="4257675"/>
        </a:xfrm>
      </xdr:grpSpPr>
      <xdr:graphicFrame macro="">
        <xdr:nvGraphicFramePr>
          <xdr:cNvPr id="3" name="グラフ 2">
            <a:extLst>
              <a:ext uri="{FF2B5EF4-FFF2-40B4-BE49-F238E27FC236}">
                <a16:creationId xmlns:a16="http://schemas.microsoft.com/office/drawing/2014/main" id="{00000000-0008-0000-0000-000003000000}"/>
              </a:ext>
            </a:extLst>
          </xdr:cNvPr>
          <xdr:cNvGraphicFramePr>
            <a:graphicFrameLocks/>
          </xdr:cNvGraphicFramePr>
        </xdr:nvGraphicFramePr>
        <xdr:xfrm>
          <a:off x="8943975" y="885825"/>
          <a:ext cx="4572000" cy="274320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pic>
            <xdr:nvPicPr>
              <xdr:cNvPr id="4" name="図 3">
                <a:extLst>
                  <a:ext uri="{FF2B5EF4-FFF2-40B4-BE49-F238E27FC236}">
                    <a16:creationId xmlns:a16="http://schemas.microsoft.com/office/drawing/2014/main" id="{00000000-0008-0000-0000-000004000000}"/>
                  </a:ext>
                </a:extLst>
              </xdr:cNvPr>
              <xdr:cNvPicPr>
                <a:picLocks noChangeAspect="1" noChangeArrowheads="1"/>
                <a:extLst>
                  <a:ext uri="{84589F7E-364E-4C9E-8A38-B11213B215E9}">
                    <a14:cameraTool cellRange="$J$18:$K$25" spid="_x0000_s22171"/>
                  </a:ext>
                </a:extLst>
              </xdr:cNvPicPr>
            </xdr:nvPicPr>
            <xdr:blipFill>
              <a:blip xmlns:r="http://schemas.openxmlformats.org/officeDocument/2006/relationships" r:embed="rId2"/>
              <a:srcRect/>
              <a:stretch>
                <a:fillRect/>
              </a:stretch>
            </xdr:blipFill>
            <xdr:spPr bwMode="auto">
              <a:xfrm>
                <a:off x="12144375" y="3695700"/>
                <a:ext cx="1381125" cy="14478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13</xdr:col>
      <xdr:colOff>101600</xdr:colOff>
      <xdr:row>34</xdr:row>
      <xdr:rowOff>114300</xdr:rowOff>
    </xdr:from>
    <xdr:to>
      <xdr:col>19</xdr:col>
      <xdr:colOff>559513</xdr:colOff>
      <xdr:row>50</xdr:row>
      <xdr:rowOff>134842</xdr:rowOff>
    </xdr:to>
    <xdr:graphicFrame macro="">
      <xdr:nvGraphicFramePr>
        <xdr:cNvPr id="5" name="graph20">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13</xdr:col>
      <xdr:colOff>66675</xdr:colOff>
      <xdr:row>5</xdr:row>
      <xdr:rowOff>28575</xdr:rowOff>
    </xdr:from>
    <xdr:to>
      <xdr:col>20</xdr:col>
      <xdr:colOff>333750</xdr:colOff>
      <xdr:row>29</xdr:row>
      <xdr:rowOff>57375</xdr:rowOff>
    </xdr:to>
    <xdr:grpSp>
      <xdr:nvGrpSpPr>
        <xdr:cNvPr id="2" name="graph5">
          <a:extLst>
            <a:ext uri="{FF2B5EF4-FFF2-40B4-BE49-F238E27FC236}">
              <a16:creationId xmlns:a16="http://schemas.microsoft.com/office/drawing/2014/main" id="{00000000-0008-0000-0100-000002000000}"/>
            </a:ext>
          </a:extLst>
        </xdr:cNvPr>
        <xdr:cNvGrpSpPr>
          <a:grpSpLocks noChangeAspect="1"/>
        </xdr:cNvGrpSpPr>
      </xdr:nvGrpSpPr>
      <xdr:grpSpPr>
        <a:xfrm>
          <a:off x="7867650" y="981075"/>
          <a:ext cx="4467600" cy="4600800"/>
          <a:chOff x="8982075" y="885825"/>
          <a:chExt cx="4572000" cy="4286250"/>
        </a:xfrm>
      </xdr:grpSpPr>
      <xdr:graphicFrame macro="">
        <xdr:nvGraphicFramePr>
          <xdr:cNvPr id="3" name="グラフ 2">
            <a:extLst>
              <a:ext uri="{FF2B5EF4-FFF2-40B4-BE49-F238E27FC236}">
                <a16:creationId xmlns:a16="http://schemas.microsoft.com/office/drawing/2014/main" id="{00000000-0008-0000-0100-000003000000}"/>
              </a:ext>
            </a:extLst>
          </xdr:cNvPr>
          <xdr:cNvGraphicFramePr>
            <a:graphicFrameLocks/>
          </xdr:cNvGraphicFramePr>
        </xdr:nvGraphicFramePr>
        <xdr:xfrm>
          <a:off x="8982075" y="885825"/>
          <a:ext cx="4572000" cy="274320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mc:Choice xmlns:a14="http://schemas.microsoft.com/office/drawing/2010/main" Requires="a14">
          <xdr:pic>
            <xdr:nvPicPr>
              <xdr:cNvPr id="4" name="図 3">
                <a:extLst>
                  <a:ext uri="{FF2B5EF4-FFF2-40B4-BE49-F238E27FC236}">
                    <a16:creationId xmlns:a16="http://schemas.microsoft.com/office/drawing/2014/main" id="{00000000-0008-0000-0100-000004000000}"/>
                  </a:ext>
                </a:extLst>
              </xdr:cNvPr>
              <xdr:cNvPicPr>
                <a:picLocks noChangeAspect="1" noChangeArrowheads="1"/>
                <a:extLst>
                  <a:ext uri="{84589F7E-364E-4C9E-8A38-B11213B215E9}">
                    <a14:cameraTool cellRange="$J$26:$K$33" spid="_x0000_s23195"/>
                  </a:ext>
                </a:extLst>
              </xdr:cNvPicPr>
            </xdr:nvPicPr>
            <xdr:blipFill>
              <a:blip xmlns:r="http://schemas.openxmlformats.org/officeDocument/2006/relationships" r:embed="rId2"/>
              <a:srcRect/>
              <a:stretch>
                <a:fillRect/>
              </a:stretch>
            </xdr:blipFill>
            <xdr:spPr bwMode="auto">
              <a:xfrm>
                <a:off x="12163425" y="3724275"/>
                <a:ext cx="1381125" cy="1447800"/>
              </a:xfrm>
              <a:prstGeom prst="rect">
                <a:avLst/>
              </a:prstGeom>
              <a:noFill/>
              <a:extLst>
                <a:ext uri="{909E8E84-426E-40DD-AFC4-6F175D3DCCD1}">
                  <a14:hiddenFill>
                    <a:solidFill>
                      <a:srgbClr val="FFFFFF"/>
                    </a:solidFill>
                  </a14:hiddenFill>
                </a:ext>
              </a:extLst>
            </xdr:spPr>
          </xdr:pic>
        </mc:Choice>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0</xdr:colOff>
      <xdr:row>5</xdr:row>
      <xdr:rowOff>0</xdr:rowOff>
    </xdr:from>
    <xdr:to>
      <xdr:col>19</xdr:col>
      <xdr:colOff>485775</xdr:colOff>
      <xdr:row>29</xdr:row>
      <xdr:rowOff>133350</xdr:rowOff>
    </xdr:to>
    <xdr:grpSp>
      <xdr:nvGrpSpPr>
        <xdr:cNvPr id="2" name="グループ化 1">
          <a:extLst>
            <a:ext uri="{FF2B5EF4-FFF2-40B4-BE49-F238E27FC236}">
              <a16:creationId xmlns:a16="http://schemas.microsoft.com/office/drawing/2014/main" id="{00000000-0008-0000-0200-000002000000}"/>
            </a:ext>
          </a:extLst>
        </xdr:cNvPr>
        <xdr:cNvGrpSpPr/>
      </xdr:nvGrpSpPr>
      <xdr:grpSpPr>
        <a:xfrm>
          <a:off x="7800975" y="952500"/>
          <a:ext cx="4086225" cy="4705350"/>
          <a:chOff x="8915400" y="857250"/>
          <a:chExt cx="4600575" cy="4276725"/>
        </a:xfrm>
      </xdr:grpSpPr>
      <xdr:graphicFrame macro="">
        <xdr:nvGraphicFramePr>
          <xdr:cNvPr id="3" name="グラフ 2">
            <a:extLst>
              <a:ext uri="{FF2B5EF4-FFF2-40B4-BE49-F238E27FC236}">
                <a16:creationId xmlns:a16="http://schemas.microsoft.com/office/drawing/2014/main" id="{00000000-0008-0000-0200-000003000000}"/>
              </a:ext>
            </a:extLst>
          </xdr:cNvPr>
          <xdr:cNvGraphicFramePr>
            <a:graphicFrameLocks/>
          </xdr:cNvGraphicFramePr>
        </xdr:nvGraphicFramePr>
        <xdr:xfrm>
          <a:off x="8915400" y="857250"/>
          <a:ext cx="4572000" cy="274320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pic>
            <xdr:nvPicPr>
              <xdr:cNvPr id="4" name="図 3">
                <a:extLst>
                  <a:ext uri="{FF2B5EF4-FFF2-40B4-BE49-F238E27FC236}">
                    <a16:creationId xmlns:a16="http://schemas.microsoft.com/office/drawing/2014/main" id="{00000000-0008-0000-0200-000004000000}"/>
                  </a:ext>
                </a:extLst>
              </xdr:cNvPr>
              <xdr:cNvPicPr>
                <a:picLocks noChangeAspect="1" noChangeArrowheads="1"/>
                <a:extLst>
                  <a:ext uri="{84589F7E-364E-4C9E-8A38-B11213B215E9}">
                    <a14:cameraTool cellRange="$J$26:$K$33" spid="_x0000_s24219"/>
                  </a:ext>
                </a:extLst>
              </xdr:cNvPicPr>
            </xdr:nvPicPr>
            <xdr:blipFill>
              <a:blip xmlns:r="http://schemas.openxmlformats.org/officeDocument/2006/relationships" r:embed="rId2"/>
              <a:srcRect/>
              <a:stretch>
                <a:fillRect/>
              </a:stretch>
            </xdr:blipFill>
            <xdr:spPr bwMode="auto">
              <a:xfrm>
                <a:off x="12134850" y="3686175"/>
                <a:ext cx="1381125" cy="14478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37</xdr:col>
      <xdr:colOff>550333</xdr:colOff>
      <xdr:row>4</xdr:row>
      <xdr:rowOff>112889</xdr:rowOff>
    </xdr:from>
    <xdr:to>
      <xdr:col>47</xdr:col>
      <xdr:colOff>225777</xdr:colOff>
      <xdr:row>20</xdr:row>
      <xdr:rowOff>71614</xdr:rowOff>
    </xdr:to>
    <xdr:pic>
      <xdr:nvPicPr>
        <xdr:cNvPr id="3" name="図 2" descr="円の最小二乗法">
          <a:hlinkClick xmlns:r="http://schemas.openxmlformats.org/officeDocument/2006/relationships" r:id="rId1"/>
          <a:extLst>
            <a:ext uri="{FF2B5EF4-FFF2-40B4-BE49-F238E27FC236}">
              <a16:creationId xmlns:a16="http://schemas.microsoft.com/office/drawing/2014/main" id="{2DF7F610-57BA-433B-95EA-DD20980239B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632833" y="773289"/>
          <a:ext cx="6063544" cy="2603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88900</xdr:colOff>
      <xdr:row>42</xdr:row>
      <xdr:rowOff>12700</xdr:rowOff>
    </xdr:from>
    <xdr:to>
      <xdr:col>24</xdr:col>
      <xdr:colOff>33107</xdr:colOff>
      <xdr:row>64</xdr:row>
      <xdr:rowOff>44507</xdr:rowOff>
    </xdr:to>
    <xdr:grpSp>
      <xdr:nvGrpSpPr>
        <xdr:cNvPr id="4" name="graph16">
          <a:extLst>
            <a:ext uri="{FF2B5EF4-FFF2-40B4-BE49-F238E27FC236}">
              <a16:creationId xmlns:a16="http://schemas.microsoft.com/office/drawing/2014/main" id="{5C6D8D5E-44B7-4E29-AFFF-0B7E14D3E6DF}"/>
            </a:ext>
          </a:extLst>
        </xdr:cNvPr>
        <xdr:cNvGrpSpPr>
          <a:grpSpLocks noChangeAspect="1"/>
        </xdr:cNvGrpSpPr>
      </xdr:nvGrpSpPr>
      <xdr:grpSpPr>
        <a:xfrm>
          <a:off x="10013950" y="8013700"/>
          <a:ext cx="4744807" cy="4222807"/>
          <a:chOff x="10045700" y="5746750"/>
          <a:chExt cx="4229100" cy="3454400"/>
        </a:xfrm>
      </xdr:grpSpPr>
      <xdr:graphicFrame macro="">
        <xdr:nvGraphicFramePr>
          <xdr:cNvPr id="5" name="グラフ 4">
            <a:extLst>
              <a:ext uri="{FF2B5EF4-FFF2-40B4-BE49-F238E27FC236}">
                <a16:creationId xmlns:a16="http://schemas.microsoft.com/office/drawing/2014/main" id="{498EB6CC-7DEB-44DE-9D83-C458CC53D4BA}"/>
              </a:ext>
            </a:extLst>
          </xdr:cNvPr>
          <xdr:cNvGraphicFramePr>
            <a:graphicFrameLocks/>
          </xdr:cNvGraphicFramePr>
        </xdr:nvGraphicFramePr>
        <xdr:xfrm>
          <a:off x="10045700" y="5746750"/>
          <a:ext cx="4229100" cy="2679643"/>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mc:Choice xmlns:a14="http://schemas.microsoft.com/office/drawing/2010/main" Requires="a14">
          <xdr:pic>
            <xdr:nvPicPr>
              <xdr:cNvPr id="6" name="図 5">
                <a:extLst>
                  <a:ext uri="{FF2B5EF4-FFF2-40B4-BE49-F238E27FC236}">
                    <a16:creationId xmlns:a16="http://schemas.microsoft.com/office/drawing/2014/main" id="{265EE476-4D4B-4750-9245-0C82BB122EA3}"/>
                  </a:ext>
                </a:extLst>
              </xdr:cNvPr>
              <xdr:cNvPicPr>
                <a:picLocks noChangeAspect="1" noChangeArrowheads="1"/>
                <a:extLst>
                  <a:ext uri="{84589F7E-364E-4C9E-8A38-B11213B215E9}">
                    <a14:cameraTool cellRange="$M$72:$P$75" spid="_x0000_s206938"/>
                  </a:ext>
                </a:extLst>
              </xdr:cNvPicPr>
            </xdr:nvPicPr>
            <xdr:blipFill>
              <a:blip xmlns:r="http://schemas.openxmlformats.org/officeDocument/2006/relationships" r:embed="rId4"/>
              <a:srcRect/>
              <a:stretch>
                <a:fillRect/>
              </a:stretch>
            </xdr:blipFill>
            <xdr:spPr bwMode="auto">
              <a:xfrm>
                <a:off x="10096500" y="8483600"/>
                <a:ext cx="2520950" cy="717550"/>
              </a:xfrm>
              <a:prstGeom prst="rect">
                <a:avLst/>
              </a:prstGeom>
              <a:noFill/>
              <a:extLst>
                <a:ext uri="{909E8E84-426E-40DD-AFC4-6F175D3DCCD1}">
                  <a14:hiddenFill>
                    <a:solidFill>
                      <a:srgbClr val="FFFFFF"/>
                    </a:solidFill>
                  </a14:hiddenFill>
                </a:ext>
              </a:extLst>
            </xdr:spPr>
          </xdr:pic>
        </mc:Choice>
        <mc:Fallback/>
      </mc:AlternateContent>
    </xdr:grpSp>
    <xdr:clientData/>
  </xdr:twoCellAnchor>
  <xdr:twoCellAnchor>
    <xdr:from>
      <xdr:col>16</xdr:col>
      <xdr:colOff>120650</xdr:colOff>
      <xdr:row>4</xdr:row>
      <xdr:rowOff>161925</xdr:rowOff>
    </xdr:from>
    <xdr:to>
      <xdr:col>23</xdr:col>
      <xdr:colOff>358932</xdr:colOff>
      <xdr:row>28</xdr:row>
      <xdr:rowOff>151132</xdr:rowOff>
    </xdr:to>
    <xdr:grpSp>
      <xdr:nvGrpSpPr>
        <xdr:cNvPr id="8" name="graph15">
          <a:extLst>
            <a:ext uri="{FF2B5EF4-FFF2-40B4-BE49-F238E27FC236}">
              <a16:creationId xmlns:a16="http://schemas.microsoft.com/office/drawing/2014/main" id="{47A0C805-973D-4B4A-888D-BAFBCBB61FE1}"/>
            </a:ext>
          </a:extLst>
        </xdr:cNvPr>
        <xdr:cNvGrpSpPr>
          <a:grpSpLocks noChangeAspect="1"/>
        </xdr:cNvGrpSpPr>
      </xdr:nvGrpSpPr>
      <xdr:grpSpPr>
        <a:xfrm>
          <a:off x="10045700" y="923925"/>
          <a:ext cx="4438807" cy="4561207"/>
          <a:chOff x="10179050" y="822325"/>
          <a:chExt cx="4232275" cy="4143375"/>
        </a:xfrm>
      </xdr:grpSpPr>
      <xdr:graphicFrame macro="">
        <xdr:nvGraphicFramePr>
          <xdr:cNvPr id="2" name="グラフ 1">
            <a:extLst>
              <a:ext uri="{FF2B5EF4-FFF2-40B4-BE49-F238E27FC236}">
                <a16:creationId xmlns:a16="http://schemas.microsoft.com/office/drawing/2014/main" id="{268854B7-52E3-4D67-8886-D1199A5AC7C4}"/>
              </a:ext>
            </a:extLst>
          </xdr:cNvPr>
          <xdr:cNvGraphicFramePr>
            <a:graphicFrameLocks/>
          </xdr:cNvGraphicFramePr>
        </xdr:nvGraphicFramePr>
        <xdr:xfrm>
          <a:off x="10182225" y="822325"/>
          <a:ext cx="4229100" cy="2679643"/>
        </xdr:xfrm>
        <a:graphic>
          <a:graphicData uri="http://schemas.openxmlformats.org/drawingml/2006/chart">
            <c:chart xmlns:c="http://schemas.openxmlformats.org/drawingml/2006/chart" xmlns:r="http://schemas.openxmlformats.org/officeDocument/2006/relationships" r:id="rId5"/>
          </a:graphicData>
        </a:graphic>
      </xdr:graphicFrame>
      <mc:AlternateContent xmlns:mc="http://schemas.openxmlformats.org/markup-compatibility/2006">
        <mc:Choice xmlns:a14="http://schemas.microsoft.com/office/drawing/2010/main" Requires="a14">
          <xdr:pic>
            <xdr:nvPicPr>
              <xdr:cNvPr id="7" name="図 6">
                <a:extLst>
                  <a:ext uri="{FF2B5EF4-FFF2-40B4-BE49-F238E27FC236}">
                    <a16:creationId xmlns:a16="http://schemas.microsoft.com/office/drawing/2014/main" id="{6D585EF2-E432-4CE5-9A4A-420F7CC974EC}"/>
                  </a:ext>
                </a:extLst>
              </xdr:cNvPr>
              <xdr:cNvPicPr>
                <a:picLocks noChangeAspect="1" noChangeArrowheads="1"/>
                <a:extLst>
                  <a:ext uri="{84589F7E-364E-4C9E-8A38-B11213B215E9}">
                    <a14:cameraTool cellRange="$M$26:$N$33" spid="_x0000_s206939"/>
                  </a:ext>
                </a:extLst>
              </xdr:cNvPicPr>
            </xdr:nvPicPr>
            <xdr:blipFill>
              <a:blip xmlns:r="http://schemas.openxmlformats.org/officeDocument/2006/relationships" r:embed="rId6"/>
              <a:srcRect/>
              <a:stretch>
                <a:fillRect/>
              </a:stretch>
            </xdr:blipFill>
            <xdr:spPr bwMode="auto">
              <a:xfrm>
                <a:off x="10179050" y="3549650"/>
                <a:ext cx="1263650" cy="1416050"/>
              </a:xfrm>
              <a:prstGeom prst="rect">
                <a:avLst/>
              </a:prstGeom>
              <a:noFill/>
              <a:extLst>
                <a:ext uri="{909E8E84-426E-40DD-AFC4-6F175D3DCCD1}">
                  <a14:hiddenFill>
                    <a:solidFill>
                      <a:srgbClr val="FFFFFF"/>
                    </a:solidFill>
                  </a14:hiddenFill>
                </a:ext>
              </a:extLst>
            </xdr:spPr>
          </xdr:pic>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37</xdr:col>
      <xdr:colOff>550333</xdr:colOff>
      <xdr:row>4</xdr:row>
      <xdr:rowOff>112889</xdr:rowOff>
    </xdr:from>
    <xdr:to>
      <xdr:col>47</xdr:col>
      <xdr:colOff>162277</xdr:colOff>
      <xdr:row>20</xdr:row>
      <xdr:rowOff>71614</xdr:rowOff>
    </xdr:to>
    <xdr:pic>
      <xdr:nvPicPr>
        <xdr:cNvPr id="3" name="図 2" descr="円の最小二乗法">
          <a:hlinkClick xmlns:r="http://schemas.openxmlformats.org/officeDocument/2006/relationships" r:id="rId1"/>
          <a:extLst>
            <a:ext uri="{FF2B5EF4-FFF2-40B4-BE49-F238E27FC236}">
              <a16:creationId xmlns:a16="http://schemas.microsoft.com/office/drawing/2014/main" id="{9CB6CBB2-4412-4220-AE2A-BF4C6A936EE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950333" y="773289"/>
          <a:ext cx="5961944" cy="2603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584200</xdr:colOff>
      <xdr:row>34</xdr:row>
      <xdr:rowOff>0</xdr:rowOff>
    </xdr:from>
    <xdr:to>
      <xdr:col>24</xdr:col>
      <xdr:colOff>452207</xdr:colOff>
      <xdr:row>56</xdr:row>
      <xdr:rowOff>31807</xdr:rowOff>
    </xdr:to>
    <xdr:grpSp>
      <xdr:nvGrpSpPr>
        <xdr:cNvPr id="4" name="graph18">
          <a:extLst>
            <a:ext uri="{FF2B5EF4-FFF2-40B4-BE49-F238E27FC236}">
              <a16:creationId xmlns:a16="http://schemas.microsoft.com/office/drawing/2014/main" id="{02686CD4-26C6-4B6E-848B-70DB70D6DCF1}"/>
            </a:ext>
          </a:extLst>
        </xdr:cNvPr>
        <xdr:cNvGrpSpPr>
          <a:grpSpLocks noChangeAspect="1"/>
        </xdr:cNvGrpSpPr>
      </xdr:nvGrpSpPr>
      <xdr:grpSpPr>
        <a:xfrm>
          <a:off x="10280650" y="6477000"/>
          <a:ext cx="4744807" cy="4222807"/>
          <a:chOff x="11131550" y="5765800"/>
          <a:chExt cx="4140200" cy="3429000"/>
        </a:xfrm>
      </xdr:grpSpPr>
      <xdr:graphicFrame macro="">
        <xdr:nvGraphicFramePr>
          <xdr:cNvPr id="5" name="グラフ 4">
            <a:extLst>
              <a:ext uri="{FF2B5EF4-FFF2-40B4-BE49-F238E27FC236}">
                <a16:creationId xmlns:a16="http://schemas.microsoft.com/office/drawing/2014/main" id="{B5762AD6-AD24-4809-9755-4CA0E80C53ED}"/>
              </a:ext>
            </a:extLst>
          </xdr:cNvPr>
          <xdr:cNvGraphicFramePr>
            <a:graphicFrameLocks/>
          </xdr:cNvGraphicFramePr>
        </xdr:nvGraphicFramePr>
        <xdr:xfrm>
          <a:off x="11156950" y="5765800"/>
          <a:ext cx="4114800" cy="2669577"/>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mc:Choice xmlns:a14="http://schemas.microsoft.com/office/drawing/2010/main" Requires="a14">
          <xdr:pic>
            <xdr:nvPicPr>
              <xdr:cNvPr id="6" name="図 5">
                <a:extLst>
                  <a:ext uri="{FF2B5EF4-FFF2-40B4-BE49-F238E27FC236}">
                    <a16:creationId xmlns:a16="http://schemas.microsoft.com/office/drawing/2014/main" id="{55483EE8-9294-4001-A5EA-286D9E6C4240}"/>
                  </a:ext>
                </a:extLst>
              </xdr:cNvPr>
              <xdr:cNvPicPr>
                <a:picLocks noChangeAspect="1" noChangeArrowheads="1"/>
                <a:extLst>
                  <a:ext uri="{84589F7E-364E-4C9E-8A38-B11213B215E9}">
                    <a14:cameraTool cellRange="$M$72:$P$75" spid="_x0000_s207962"/>
                  </a:ext>
                </a:extLst>
              </xdr:cNvPicPr>
            </xdr:nvPicPr>
            <xdr:blipFill>
              <a:blip xmlns:r="http://schemas.openxmlformats.org/officeDocument/2006/relationships" r:embed="rId4"/>
              <a:srcRect/>
              <a:stretch>
                <a:fillRect/>
              </a:stretch>
            </xdr:blipFill>
            <xdr:spPr bwMode="auto">
              <a:xfrm>
                <a:off x="11131550" y="8477250"/>
                <a:ext cx="2444750" cy="717550"/>
              </a:xfrm>
              <a:prstGeom prst="rect">
                <a:avLst/>
              </a:prstGeom>
              <a:noFill/>
              <a:extLst>
                <a:ext uri="{909E8E84-426E-40DD-AFC4-6F175D3DCCD1}">
                  <a14:hiddenFill>
                    <a:solidFill>
                      <a:srgbClr val="FFFFFF"/>
                    </a:solidFill>
                  </a14:hiddenFill>
                </a:ext>
              </a:extLst>
            </xdr:spPr>
          </xdr:pic>
        </mc:Choice>
        <mc:Fallback/>
      </mc:AlternateContent>
    </xdr:grpSp>
    <xdr:clientData/>
  </xdr:twoCellAnchor>
  <xdr:twoCellAnchor>
    <xdr:from>
      <xdr:col>16</xdr:col>
      <xdr:colOff>603250</xdr:colOff>
      <xdr:row>5</xdr:row>
      <xdr:rowOff>1</xdr:rowOff>
    </xdr:from>
    <xdr:to>
      <xdr:col>24</xdr:col>
      <xdr:colOff>165257</xdr:colOff>
      <xdr:row>28</xdr:row>
      <xdr:rowOff>179708</xdr:rowOff>
    </xdr:to>
    <xdr:grpSp>
      <xdr:nvGrpSpPr>
        <xdr:cNvPr id="8" name="graph17">
          <a:extLst>
            <a:ext uri="{FF2B5EF4-FFF2-40B4-BE49-F238E27FC236}">
              <a16:creationId xmlns:a16="http://schemas.microsoft.com/office/drawing/2014/main" id="{CE63B3C1-30EF-4736-89E3-E6C9132E11A3}"/>
            </a:ext>
          </a:extLst>
        </xdr:cNvPr>
        <xdr:cNvGrpSpPr>
          <a:grpSpLocks noChangeAspect="1"/>
        </xdr:cNvGrpSpPr>
      </xdr:nvGrpSpPr>
      <xdr:grpSpPr>
        <a:xfrm>
          <a:off x="10299700" y="952501"/>
          <a:ext cx="4438807" cy="4561207"/>
          <a:chOff x="10471150" y="825500"/>
          <a:chExt cx="4121150" cy="4140200"/>
        </a:xfrm>
      </xdr:grpSpPr>
      <xdr:graphicFrame macro="">
        <xdr:nvGraphicFramePr>
          <xdr:cNvPr id="2" name="グラフ 1">
            <a:extLst>
              <a:ext uri="{FF2B5EF4-FFF2-40B4-BE49-F238E27FC236}">
                <a16:creationId xmlns:a16="http://schemas.microsoft.com/office/drawing/2014/main" id="{B33B9CD1-3DB0-465F-90A4-389D00EA8E45}"/>
              </a:ext>
            </a:extLst>
          </xdr:cNvPr>
          <xdr:cNvGraphicFramePr>
            <a:graphicFrameLocks/>
          </xdr:cNvGraphicFramePr>
        </xdr:nvGraphicFramePr>
        <xdr:xfrm>
          <a:off x="10477500" y="825500"/>
          <a:ext cx="4114800" cy="2669577"/>
        </xdr:xfrm>
        <a:graphic>
          <a:graphicData uri="http://schemas.openxmlformats.org/drawingml/2006/chart">
            <c:chart xmlns:c="http://schemas.openxmlformats.org/drawingml/2006/chart" xmlns:r="http://schemas.openxmlformats.org/officeDocument/2006/relationships" r:id="rId5"/>
          </a:graphicData>
        </a:graphic>
      </xdr:graphicFrame>
      <mc:AlternateContent xmlns:mc="http://schemas.openxmlformats.org/markup-compatibility/2006">
        <mc:Choice xmlns:a14="http://schemas.microsoft.com/office/drawing/2010/main" Requires="a14">
          <xdr:pic>
            <xdr:nvPicPr>
              <xdr:cNvPr id="7" name="図 6">
                <a:extLst>
                  <a:ext uri="{FF2B5EF4-FFF2-40B4-BE49-F238E27FC236}">
                    <a16:creationId xmlns:a16="http://schemas.microsoft.com/office/drawing/2014/main" id="{BEAF7551-F7C6-4E26-A0AF-AB097BC5DA63}"/>
                  </a:ext>
                </a:extLst>
              </xdr:cNvPr>
              <xdr:cNvPicPr>
                <a:picLocks noChangeAspect="1" noChangeArrowheads="1"/>
                <a:extLst>
                  <a:ext uri="{84589F7E-364E-4C9E-8A38-B11213B215E9}">
                    <a14:cameraTool cellRange="$M$26:$N$33" spid="_x0000_s207963"/>
                  </a:ext>
                </a:extLst>
              </xdr:cNvPicPr>
            </xdr:nvPicPr>
            <xdr:blipFill>
              <a:blip xmlns:r="http://schemas.openxmlformats.org/officeDocument/2006/relationships" r:embed="rId6"/>
              <a:srcRect/>
              <a:stretch>
                <a:fillRect/>
              </a:stretch>
            </xdr:blipFill>
            <xdr:spPr bwMode="auto">
              <a:xfrm>
                <a:off x="10471150" y="3549650"/>
                <a:ext cx="1225550" cy="1416050"/>
              </a:xfrm>
              <a:prstGeom prst="rect">
                <a:avLst/>
              </a:prstGeom>
              <a:noFill/>
              <a:extLst>
                <a:ext uri="{909E8E84-426E-40DD-AFC4-6F175D3DCCD1}">
                  <a14:hiddenFill>
                    <a:solidFill>
                      <a:srgbClr val="FFFFFF"/>
                    </a:solidFill>
                  </a14:hiddenFill>
                </a:ext>
              </a:extLst>
            </xdr:spPr>
          </xdr:pic>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37</xdr:col>
      <xdr:colOff>550333</xdr:colOff>
      <xdr:row>4</xdr:row>
      <xdr:rowOff>112889</xdr:rowOff>
    </xdr:from>
    <xdr:to>
      <xdr:col>46</xdr:col>
      <xdr:colOff>517877</xdr:colOff>
      <xdr:row>20</xdr:row>
      <xdr:rowOff>68439</xdr:rowOff>
    </xdr:to>
    <xdr:pic>
      <xdr:nvPicPr>
        <xdr:cNvPr id="3" name="図 2" descr="円の最小二乗法">
          <a:hlinkClick xmlns:r="http://schemas.openxmlformats.org/officeDocument/2006/relationships" r:id="rId1"/>
          <a:extLst>
            <a:ext uri="{FF2B5EF4-FFF2-40B4-BE49-F238E27FC236}">
              <a16:creationId xmlns:a16="http://schemas.microsoft.com/office/drawing/2014/main" id="{C811DD66-345D-48EA-B366-76F49F5CF1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874133" y="773289"/>
          <a:ext cx="5707944" cy="2603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2117</xdr:colOff>
      <xdr:row>41</xdr:row>
      <xdr:rowOff>152400</xdr:rowOff>
    </xdr:from>
    <xdr:to>
      <xdr:col>24</xdr:col>
      <xdr:colOff>89199</xdr:colOff>
      <xdr:row>63</xdr:row>
      <xdr:rowOff>184207</xdr:rowOff>
    </xdr:to>
    <xdr:grpSp>
      <xdr:nvGrpSpPr>
        <xdr:cNvPr id="4" name="graph14">
          <a:extLst>
            <a:ext uri="{FF2B5EF4-FFF2-40B4-BE49-F238E27FC236}">
              <a16:creationId xmlns:a16="http://schemas.microsoft.com/office/drawing/2014/main" id="{390395E2-C609-4900-800E-47C90216AD25}"/>
            </a:ext>
          </a:extLst>
        </xdr:cNvPr>
        <xdr:cNvGrpSpPr>
          <a:grpSpLocks noChangeAspect="1"/>
        </xdr:cNvGrpSpPr>
      </xdr:nvGrpSpPr>
      <xdr:grpSpPr>
        <a:xfrm>
          <a:off x="10774892" y="7962900"/>
          <a:ext cx="4744807" cy="4222807"/>
          <a:chOff x="10428111" y="5453944"/>
          <a:chExt cx="4415367" cy="3456518"/>
        </a:xfrm>
      </xdr:grpSpPr>
      <xdr:graphicFrame macro="">
        <xdr:nvGraphicFramePr>
          <xdr:cNvPr id="5" name="グラフ 4">
            <a:extLst>
              <a:ext uri="{FF2B5EF4-FFF2-40B4-BE49-F238E27FC236}">
                <a16:creationId xmlns:a16="http://schemas.microsoft.com/office/drawing/2014/main" id="{C6FB4319-F077-4E11-9FA3-DA6D658CC5E1}"/>
              </a:ext>
            </a:extLst>
          </xdr:cNvPr>
          <xdr:cNvGraphicFramePr>
            <a:graphicFrameLocks/>
          </xdr:cNvGraphicFramePr>
        </xdr:nvGraphicFramePr>
        <xdr:xfrm>
          <a:off x="10442222" y="5453944"/>
          <a:ext cx="4401256" cy="2657230"/>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mc:Choice xmlns:a14="http://schemas.microsoft.com/office/drawing/2010/main" Requires="a14">
          <xdr:pic>
            <xdr:nvPicPr>
              <xdr:cNvPr id="6" name="図 5">
                <a:extLst>
                  <a:ext uri="{FF2B5EF4-FFF2-40B4-BE49-F238E27FC236}">
                    <a16:creationId xmlns:a16="http://schemas.microsoft.com/office/drawing/2014/main" id="{F8AE9DC6-7CCF-42A2-B717-F7FF516CC79C}"/>
                  </a:ext>
                </a:extLst>
              </xdr:cNvPr>
              <xdr:cNvPicPr>
                <a:picLocks noChangeAspect="1" noChangeArrowheads="1"/>
                <a:extLst>
                  <a:ext uri="{84589F7E-364E-4C9E-8A38-B11213B215E9}">
                    <a14:cameraTool cellRange="$M$72:$P$75" spid="_x0000_s208986"/>
                  </a:ext>
                </a:extLst>
              </xdr:cNvPicPr>
            </xdr:nvPicPr>
            <xdr:blipFill>
              <a:blip xmlns:r="http://schemas.openxmlformats.org/officeDocument/2006/relationships" r:embed="rId4"/>
              <a:srcRect/>
              <a:stretch>
                <a:fillRect/>
              </a:stretch>
            </xdr:blipFill>
            <xdr:spPr bwMode="auto">
              <a:xfrm>
                <a:off x="10428111" y="8198556"/>
                <a:ext cx="2433461" cy="711906"/>
              </a:xfrm>
              <a:prstGeom prst="rect">
                <a:avLst/>
              </a:prstGeom>
              <a:noFill/>
              <a:extLst>
                <a:ext uri="{909E8E84-426E-40DD-AFC4-6F175D3DCCD1}">
                  <a14:hiddenFill>
                    <a:solidFill>
                      <a:srgbClr val="FFFFFF"/>
                    </a:solidFill>
                  </a14:hiddenFill>
                </a:ext>
              </a:extLst>
            </xdr:spPr>
          </xdr:pic>
        </mc:Choice>
        <mc:Fallback/>
      </mc:AlternateContent>
    </xdr:grpSp>
    <xdr:clientData/>
  </xdr:twoCellAnchor>
  <xdr:twoCellAnchor>
    <xdr:from>
      <xdr:col>17</xdr:col>
      <xdr:colOff>0</xdr:colOff>
      <xdr:row>5</xdr:row>
      <xdr:rowOff>1</xdr:rowOff>
    </xdr:from>
    <xdr:to>
      <xdr:col>23</xdr:col>
      <xdr:colOff>524032</xdr:colOff>
      <xdr:row>28</xdr:row>
      <xdr:rowOff>179708</xdr:rowOff>
    </xdr:to>
    <xdr:grpSp>
      <xdr:nvGrpSpPr>
        <xdr:cNvPr id="8" name="graph13">
          <a:extLst>
            <a:ext uri="{FF2B5EF4-FFF2-40B4-BE49-F238E27FC236}">
              <a16:creationId xmlns:a16="http://schemas.microsoft.com/office/drawing/2014/main" id="{D3FFE047-DC16-4CB4-9040-F0812ADCFE0B}"/>
            </a:ext>
          </a:extLst>
        </xdr:cNvPr>
        <xdr:cNvGrpSpPr>
          <a:grpSpLocks noChangeAspect="1"/>
        </xdr:cNvGrpSpPr>
      </xdr:nvGrpSpPr>
      <xdr:grpSpPr>
        <a:xfrm>
          <a:off x="10772775" y="952501"/>
          <a:ext cx="4438807" cy="4561207"/>
          <a:chOff x="11087100" y="825500"/>
          <a:chExt cx="4413250" cy="4171950"/>
        </a:xfrm>
      </xdr:grpSpPr>
      <xdr:graphicFrame macro="">
        <xdr:nvGraphicFramePr>
          <xdr:cNvPr id="2" name="グラフ 1">
            <a:extLst>
              <a:ext uri="{FF2B5EF4-FFF2-40B4-BE49-F238E27FC236}">
                <a16:creationId xmlns:a16="http://schemas.microsoft.com/office/drawing/2014/main" id="{BC22E156-B823-43C4-8104-EFB043A1BC7A}"/>
              </a:ext>
            </a:extLst>
          </xdr:cNvPr>
          <xdr:cNvGraphicFramePr>
            <a:graphicFrameLocks/>
          </xdr:cNvGraphicFramePr>
        </xdr:nvGraphicFramePr>
        <xdr:xfrm>
          <a:off x="11087100" y="825500"/>
          <a:ext cx="4413250" cy="2698152"/>
        </xdr:xfrm>
        <a:graphic>
          <a:graphicData uri="http://schemas.openxmlformats.org/drawingml/2006/chart">
            <c:chart xmlns:c="http://schemas.openxmlformats.org/drawingml/2006/chart" xmlns:r="http://schemas.openxmlformats.org/officeDocument/2006/relationships" r:id="rId5"/>
          </a:graphicData>
        </a:graphic>
      </xdr:graphicFrame>
      <mc:AlternateContent xmlns:mc="http://schemas.openxmlformats.org/markup-compatibility/2006">
        <mc:Choice xmlns:a14="http://schemas.microsoft.com/office/drawing/2010/main" Requires="a14">
          <xdr:pic>
            <xdr:nvPicPr>
              <xdr:cNvPr id="7" name="図 6">
                <a:extLst>
                  <a:ext uri="{FF2B5EF4-FFF2-40B4-BE49-F238E27FC236}">
                    <a16:creationId xmlns:a16="http://schemas.microsoft.com/office/drawing/2014/main" id="{F6BBADC5-DB6D-4497-89B5-FB4B3846EDD4}"/>
                  </a:ext>
                </a:extLst>
              </xdr:cNvPr>
              <xdr:cNvPicPr>
                <a:picLocks noChangeAspect="1" noChangeArrowheads="1"/>
                <a:extLst>
                  <a:ext uri="{84589F7E-364E-4C9E-8A38-B11213B215E9}">
                    <a14:cameraTool cellRange="$M$26:$N$33" spid="_x0000_s208987"/>
                  </a:ext>
                </a:extLst>
              </xdr:cNvPicPr>
            </xdr:nvPicPr>
            <xdr:blipFill>
              <a:blip xmlns:r="http://schemas.openxmlformats.org/officeDocument/2006/relationships" r:embed="rId6"/>
              <a:srcRect/>
              <a:stretch>
                <a:fillRect/>
              </a:stretch>
            </xdr:blipFill>
            <xdr:spPr bwMode="auto">
              <a:xfrm>
                <a:off x="11099800" y="3581400"/>
                <a:ext cx="1225550" cy="1416050"/>
              </a:xfrm>
              <a:prstGeom prst="rect">
                <a:avLst/>
              </a:prstGeom>
              <a:noFill/>
              <a:extLst>
                <a:ext uri="{909E8E84-426E-40DD-AFC4-6F175D3DCCD1}">
                  <a14:hiddenFill>
                    <a:solidFill>
                      <a:srgbClr val="FFFFFF"/>
                    </a:solidFill>
                  </a14:hiddenFill>
                </a:ext>
              </a:extLst>
            </xdr:spPr>
          </xdr:pic>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17</xdr:col>
      <xdr:colOff>0</xdr:colOff>
      <xdr:row>2</xdr:row>
      <xdr:rowOff>0</xdr:rowOff>
    </xdr:from>
    <xdr:to>
      <xdr:col>24</xdr:col>
      <xdr:colOff>148825</xdr:colOff>
      <xdr:row>23</xdr:row>
      <xdr:rowOff>19050</xdr:rowOff>
    </xdr:to>
    <xdr:grpSp>
      <xdr:nvGrpSpPr>
        <xdr:cNvPr id="4" name="グループ化 3">
          <a:extLst>
            <a:ext uri="{FF2B5EF4-FFF2-40B4-BE49-F238E27FC236}">
              <a16:creationId xmlns:a16="http://schemas.microsoft.com/office/drawing/2014/main" id="{4A925BCF-2C9E-4E73-958E-11349926505C}"/>
            </a:ext>
          </a:extLst>
        </xdr:cNvPr>
        <xdr:cNvGrpSpPr/>
      </xdr:nvGrpSpPr>
      <xdr:grpSpPr>
        <a:xfrm>
          <a:off x="10048875" y="381000"/>
          <a:ext cx="4416025" cy="4019550"/>
          <a:chOff x="10179050" y="330200"/>
          <a:chExt cx="4416025" cy="3524250"/>
        </a:xfrm>
      </xdr:grpSpPr>
      <xdr:graphicFrame macro="">
        <xdr:nvGraphicFramePr>
          <xdr:cNvPr id="2" name="グラフ 1">
            <a:extLst>
              <a:ext uri="{FF2B5EF4-FFF2-40B4-BE49-F238E27FC236}">
                <a16:creationId xmlns:a16="http://schemas.microsoft.com/office/drawing/2014/main" id="{FB836C40-2981-465E-AC43-FFD0D25311BD}"/>
              </a:ext>
            </a:extLst>
          </xdr:cNvPr>
          <xdr:cNvGraphicFramePr>
            <a:graphicFrameLocks/>
          </xdr:cNvGraphicFramePr>
        </xdr:nvGraphicFramePr>
        <xdr:xfrm>
          <a:off x="10179050" y="330200"/>
          <a:ext cx="4416025" cy="2694113"/>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pic>
            <xdr:nvPicPr>
              <xdr:cNvPr id="3" name="図 2">
                <a:extLst>
                  <a:ext uri="{FF2B5EF4-FFF2-40B4-BE49-F238E27FC236}">
                    <a16:creationId xmlns:a16="http://schemas.microsoft.com/office/drawing/2014/main" id="{6E2833EF-22B1-48C8-A609-47411F62B183}"/>
                  </a:ext>
                </a:extLst>
              </xdr:cNvPr>
              <xdr:cNvPicPr>
                <a:picLocks noChangeAspect="1" noChangeArrowheads="1"/>
                <a:extLst>
                  <a:ext uri="{84589F7E-364E-4C9E-8A38-B11213B215E9}">
                    <a14:cameraTool cellRange="$L$21:$O$24" spid="_x0000_s104919"/>
                  </a:ext>
                </a:extLst>
              </xdr:cNvPicPr>
            </xdr:nvPicPr>
            <xdr:blipFill>
              <a:blip xmlns:r="http://schemas.openxmlformats.org/officeDocument/2006/relationships" r:embed="rId2"/>
              <a:srcRect/>
              <a:stretch>
                <a:fillRect/>
              </a:stretch>
            </xdr:blipFill>
            <xdr:spPr bwMode="auto">
              <a:xfrm>
                <a:off x="10179050" y="3136900"/>
                <a:ext cx="2444750" cy="71755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0</xdr:colOff>
      <xdr:row>9</xdr:row>
      <xdr:rowOff>0</xdr:rowOff>
    </xdr:from>
    <xdr:to>
      <xdr:col>27</xdr:col>
      <xdr:colOff>2389</xdr:colOff>
      <xdr:row>51</xdr:row>
      <xdr:rowOff>60586</xdr:rowOff>
    </xdr:to>
    <xdr:grpSp>
      <xdr:nvGrpSpPr>
        <xdr:cNvPr id="7" name="graph19">
          <a:extLst>
            <a:ext uri="{FF2B5EF4-FFF2-40B4-BE49-F238E27FC236}">
              <a16:creationId xmlns:a16="http://schemas.microsoft.com/office/drawing/2014/main" id="{48DB3A60-26EE-488C-A25C-484C8205E018}"/>
            </a:ext>
          </a:extLst>
        </xdr:cNvPr>
        <xdr:cNvGrpSpPr/>
      </xdr:nvGrpSpPr>
      <xdr:grpSpPr>
        <a:xfrm>
          <a:off x="4267200" y="1714500"/>
          <a:ext cx="12194389" cy="8137786"/>
          <a:chOff x="4267200" y="1574800"/>
          <a:chExt cx="12194389" cy="7172586"/>
        </a:xfrm>
      </xdr:grpSpPr>
      <xdr:graphicFrame macro="">
        <xdr:nvGraphicFramePr>
          <xdr:cNvPr id="2" name="グラフ 1">
            <a:extLst>
              <a:ext uri="{FF2B5EF4-FFF2-40B4-BE49-F238E27FC236}">
                <a16:creationId xmlns:a16="http://schemas.microsoft.com/office/drawing/2014/main" id="{4D0AA5F0-4BAB-443B-9037-104AEC12C3B0}"/>
              </a:ext>
            </a:extLst>
          </xdr:cNvPr>
          <xdr:cNvGraphicFramePr>
            <a:graphicFrameLocks/>
          </xdr:cNvGraphicFramePr>
        </xdr:nvGraphicFramePr>
        <xdr:xfrm>
          <a:off x="4267200" y="1574800"/>
          <a:ext cx="6096805" cy="5446022"/>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3" name="グラフ 2">
            <a:extLst>
              <a:ext uri="{FF2B5EF4-FFF2-40B4-BE49-F238E27FC236}">
                <a16:creationId xmlns:a16="http://schemas.microsoft.com/office/drawing/2014/main" id="{5B471E2D-25EE-4993-93D4-D25DC086AB52}"/>
              </a:ext>
            </a:extLst>
          </xdr:cNvPr>
          <xdr:cNvGraphicFramePr>
            <a:graphicFrameLocks/>
          </xdr:cNvGraphicFramePr>
        </xdr:nvGraphicFramePr>
        <xdr:xfrm>
          <a:off x="10390184" y="1574800"/>
          <a:ext cx="6071405" cy="5446022"/>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a14="http://schemas.microsoft.com/office/drawing/2010/main">
        <mc:Choice Requires="a14">
          <xdr:pic>
            <xdr:nvPicPr>
              <xdr:cNvPr id="4" name="図 3">
                <a:extLst>
                  <a:ext uri="{FF2B5EF4-FFF2-40B4-BE49-F238E27FC236}">
                    <a16:creationId xmlns:a16="http://schemas.microsoft.com/office/drawing/2014/main" id="{3171376E-1BA7-47EB-8C7E-88ECDE5F7389}"/>
                  </a:ext>
                </a:extLst>
              </xdr:cNvPr>
              <xdr:cNvPicPr>
                <a:picLocks noChangeAspect="1" noChangeArrowheads="1"/>
                <a:extLst>
                  <a:ext uri="{84589F7E-364E-4C9E-8A38-B11213B215E9}">
                    <a14:cameraTool cellRange="$A$20:$C$21" spid="_x0000_s152900"/>
                  </a:ext>
                </a:extLst>
              </xdr:cNvPicPr>
            </xdr:nvPicPr>
            <xdr:blipFill>
              <a:blip xmlns:r="http://schemas.openxmlformats.org/officeDocument/2006/relationships" r:embed="rId3"/>
              <a:srcRect/>
              <a:stretch>
                <a:fillRect/>
              </a:stretch>
            </xdr:blipFill>
            <xdr:spPr bwMode="auto">
              <a:xfrm>
                <a:off x="8489950" y="6534150"/>
                <a:ext cx="1835150" cy="425450"/>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5" name="図 4">
                <a:extLst>
                  <a:ext uri="{FF2B5EF4-FFF2-40B4-BE49-F238E27FC236}">
                    <a16:creationId xmlns:a16="http://schemas.microsoft.com/office/drawing/2014/main" id="{E356B32C-4766-4BFD-8E6C-7AEE883408E9}"/>
                  </a:ext>
                </a:extLst>
              </xdr:cNvPr>
              <xdr:cNvPicPr>
                <a:picLocks noChangeAspect="1" noChangeArrowheads="1"/>
                <a:extLst>
                  <a:ext uri="{84589F7E-364E-4C9E-8A38-B11213B215E9}">
                    <a14:cameraTool cellRange="$D$22:$F$23" spid="_x0000_s152901"/>
                  </a:ext>
                </a:extLst>
              </xdr:cNvPicPr>
            </xdr:nvPicPr>
            <xdr:blipFill>
              <a:blip xmlns:r="http://schemas.openxmlformats.org/officeDocument/2006/relationships" r:embed="rId4"/>
              <a:srcRect/>
              <a:stretch>
                <a:fillRect/>
              </a:stretch>
            </xdr:blipFill>
            <xdr:spPr bwMode="auto">
              <a:xfrm>
                <a:off x="14554200" y="6546850"/>
                <a:ext cx="1835150" cy="425450"/>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6" name="図 5">
                <a:extLst>
                  <a:ext uri="{FF2B5EF4-FFF2-40B4-BE49-F238E27FC236}">
                    <a16:creationId xmlns:a16="http://schemas.microsoft.com/office/drawing/2014/main" id="{9BACCB02-493A-44BC-AFC2-22F49DF1A392}"/>
                  </a:ext>
                </a:extLst>
              </xdr:cNvPr>
              <xdr:cNvPicPr>
                <a:picLocks noChangeAspect="1" noChangeArrowheads="1"/>
                <a:extLst>
                  <a:ext uri="{84589F7E-364E-4C9E-8A38-B11213B215E9}">
                    <a14:cameraTool cellRange="$H$2:$P$8" spid="_x0000_s152902"/>
                  </a:ext>
                </a:extLst>
              </xdr:cNvPicPr>
            </xdr:nvPicPr>
            <xdr:blipFill>
              <a:blip xmlns:r="http://schemas.openxmlformats.org/officeDocument/2006/relationships" r:embed="rId5"/>
              <a:srcRect/>
              <a:stretch>
                <a:fillRect/>
              </a:stretch>
            </xdr:blipFill>
            <xdr:spPr bwMode="auto">
              <a:xfrm>
                <a:off x="4273550" y="7092950"/>
                <a:ext cx="7264400" cy="1654436"/>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wsDr>
</file>

<file path=xl/drawings/drawing9.xml><?xml version="1.0" encoding="utf-8"?>
<xdr:wsDr xmlns:xdr="http://schemas.openxmlformats.org/drawingml/2006/spreadsheetDrawing" xmlns:a="http://schemas.openxmlformats.org/drawingml/2006/main">
  <xdr:twoCellAnchor>
    <xdr:from>
      <xdr:col>16</xdr:col>
      <xdr:colOff>0</xdr:colOff>
      <xdr:row>5</xdr:row>
      <xdr:rowOff>0</xdr:rowOff>
    </xdr:from>
    <xdr:to>
      <xdr:col>23</xdr:col>
      <xdr:colOff>306682</xdr:colOff>
      <xdr:row>28</xdr:row>
      <xdr:rowOff>172507</xdr:rowOff>
    </xdr:to>
    <xdr:grpSp>
      <xdr:nvGrpSpPr>
        <xdr:cNvPr id="2" name="graph6">
          <a:extLst>
            <a:ext uri="{FF2B5EF4-FFF2-40B4-BE49-F238E27FC236}">
              <a16:creationId xmlns:a16="http://schemas.microsoft.com/office/drawing/2014/main" id="{00000000-0008-0000-0400-000002000000}"/>
            </a:ext>
          </a:extLst>
        </xdr:cNvPr>
        <xdr:cNvGrpSpPr>
          <a:grpSpLocks noChangeAspect="1"/>
        </xdr:cNvGrpSpPr>
      </xdr:nvGrpSpPr>
      <xdr:grpSpPr>
        <a:xfrm>
          <a:off x="9601200" y="952500"/>
          <a:ext cx="4507207" cy="4554007"/>
          <a:chOff x="8915400" y="857250"/>
          <a:chExt cx="4610100" cy="4248150"/>
        </a:xfrm>
      </xdr:grpSpPr>
      <xdr:graphicFrame macro="">
        <xdr:nvGraphicFramePr>
          <xdr:cNvPr id="3" name="グラフ 2">
            <a:extLst>
              <a:ext uri="{FF2B5EF4-FFF2-40B4-BE49-F238E27FC236}">
                <a16:creationId xmlns:a16="http://schemas.microsoft.com/office/drawing/2014/main" id="{00000000-0008-0000-0400-000003000000}"/>
              </a:ext>
            </a:extLst>
          </xdr:cNvPr>
          <xdr:cNvGraphicFramePr>
            <a:graphicFrameLocks/>
          </xdr:cNvGraphicFramePr>
        </xdr:nvGraphicFramePr>
        <xdr:xfrm>
          <a:off x="8915400" y="857250"/>
          <a:ext cx="4572000" cy="274320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mc:Choice xmlns:a14="http://schemas.microsoft.com/office/drawing/2010/main" Requires="a14">
          <xdr:pic>
            <xdr:nvPicPr>
              <xdr:cNvPr id="4" name="図 3">
                <a:extLst>
                  <a:ext uri="{FF2B5EF4-FFF2-40B4-BE49-F238E27FC236}">
                    <a16:creationId xmlns:a16="http://schemas.microsoft.com/office/drawing/2014/main" id="{00000000-0008-0000-0400-000004000000}"/>
                  </a:ext>
                </a:extLst>
              </xdr:cNvPr>
              <xdr:cNvPicPr>
                <a:picLocks noChangeAspect="1" noChangeArrowheads="1"/>
                <a:extLst>
                  <a:ext uri="{84589F7E-364E-4C9E-8A38-B11213B215E9}">
                    <a14:cameraTool cellRange="$M$18:$N$25" spid="_x0000_s177357"/>
                  </a:ext>
                </a:extLst>
              </xdr:cNvPicPr>
            </xdr:nvPicPr>
            <xdr:blipFill>
              <a:blip xmlns:r="http://schemas.openxmlformats.org/officeDocument/2006/relationships" r:embed="rId2"/>
              <a:srcRect/>
              <a:stretch>
                <a:fillRect/>
              </a:stretch>
            </xdr:blipFill>
            <xdr:spPr bwMode="auto">
              <a:xfrm>
                <a:off x="12144375" y="3657600"/>
                <a:ext cx="1381125" cy="1447800"/>
              </a:xfrm>
              <a:prstGeom prst="rect">
                <a:avLst/>
              </a:prstGeom>
              <a:noFill/>
              <a:extLst>
                <a:ext uri="{909E8E84-426E-40DD-AFC4-6F175D3DCCD1}">
                  <a14:hiddenFill>
                    <a:solidFill>
                      <a:srgbClr val="FFFFFF"/>
                    </a:solidFill>
                  </a14:hiddenFill>
                </a:ext>
              </a:extLst>
            </xdr:spPr>
          </xdr:pic>
        </mc:Choice>
        <mc:Fallback/>
      </mc:AlternateContent>
    </xdr:grpSp>
    <xdr:clientData/>
  </xdr:twoCellAnchor>
  <xdr:twoCellAnchor editAs="oneCell">
    <xdr:from>
      <xdr:col>37</xdr:col>
      <xdr:colOff>550333</xdr:colOff>
      <xdr:row>4</xdr:row>
      <xdr:rowOff>112889</xdr:rowOff>
    </xdr:from>
    <xdr:to>
      <xdr:col>46</xdr:col>
      <xdr:colOff>600427</xdr:colOff>
      <xdr:row>20</xdr:row>
      <xdr:rowOff>49389</xdr:rowOff>
    </xdr:to>
    <xdr:pic>
      <xdr:nvPicPr>
        <xdr:cNvPr id="6" name="図 5" descr="円の最小二乗法">
          <a:hlinkClick xmlns:r="http://schemas.openxmlformats.org/officeDocument/2006/relationships" r:id="rId3"/>
          <a:extLst>
            <a:ext uri="{FF2B5EF4-FFF2-40B4-BE49-F238E27FC236}">
              <a16:creationId xmlns:a16="http://schemas.microsoft.com/office/drawing/2014/main" id="{A22605F7-006F-43C0-B7BA-1B0F4945D5E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509133" y="773289"/>
          <a:ext cx="5707944" cy="2603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12700</xdr:colOff>
      <xdr:row>34</xdr:row>
      <xdr:rowOff>12700</xdr:rowOff>
    </xdr:from>
    <xdr:to>
      <xdr:col>22</xdr:col>
      <xdr:colOff>485434</xdr:colOff>
      <xdr:row>54</xdr:row>
      <xdr:rowOff>82550</xdr:rowOff>
    </xdr:to>
    <xdr:grpSp>
      <xdr:nvGrpSpPr>
        <xdr:cNvPr id="9" name="グループ化 8">
          <a:extLst>
            <a:ext uri="{FF2B5EF4-FFF2-40B4-BE49-F238E27FC236}">
              <a16:creationId xmlns:a16="http://schemas.microsoft.com/office/drawing/2014/main" id="{50E54818-5675-4720-AA4E-0934F0A24AB3}"/>
            </a:ext>
          </a:extLst>
        </xdr:cNvPr>
        <xdr:cNvGrpSpPr/>
      </xdr:nvGrpSpPr>
      <xdr:grpSpPr>
        <a:xfrm>
          <a:off x="9613900" y="6489700"/>
          <a:ext cx="4073184" cy="3879850"/>
          <a:chOff x="10071100" y="5753100"/>
          <a:chExt cx="4244634" cy="3460750"/>
        </a:xfrm>
      </xdr:grpSpPr>
      <xdr:graphicFrame macro="">
        <xdr:nvGraphicFramePr>
          <xdr:cNvPr id="7" name="グラフ 6">
            <a:extLst>
              <a:ext uri="{FF2B5EF4-FFF2-40B4-BE49-F238E27FC236}">
                <a16:creationId xmlns:a16="http://schemas.microsoft.com/office/drawing/2014/main" id="{15BEE3C9-5225-4AB1-A25A-A75B7B3B0C03}"/>
              </a:ext>
            </a:extLst>
          </xdr:cNvPr>
          <xdr:cNvGraphicFramePr>
            <a:graphicFrameLocks/>
          </xdr:cNvGraphicFramePr>
        </xdr:nvGraphicFramePr>
        <xdr:xfrm>
          <a:off x="10083800" y="5753100"/>
          <a:ext cx="4231934" cy="2683743"/>
        </xdr:xfrm>
        <a:graphic>
          <a:graphicData uri="http://schemas.openxmlformats.org/drawingml/2006/chart">
            <c:chart xmlns:c="http://schemas.openxmlformats.org/drawingml/2006/chart" xmlns:r="http://schemas.openxmlformats.org/officeDocument/2006/relationships" r:id="rId5"/>
          </a:graphicData>
        </a:graphic>
      </xdr:graphicFrame>
      <mc:AlternateContent xmlns:mc="http://schemas.openxmlformats.org/markup-compatibility/2006" xmlns:a14="http://schemas.microsoft.com/office/drawing/2010/main">
        <mc:Choice Requires="a14">
          <xdr:pic>
            <xdr:nvPicPr>
              <xdr:cNvPr id="8" name="図 7">
                <a:extLst>
                  <a:ext uri="{FF2B5EF4-FFF2-40B4-BE49-F238E27FC236}">
                    <a16:creationId xmlns:a16="http://schemas.microsoft.com/office/drawing/2014/main" id="{FDA0A410-4343-486F-BFAD-6D51E67EBD6C}"/>
                  </a:ext>
                </a:extLst>
              </xdr:cNvPr>
              <xdr:cNvPicPr>
                <a:picLocks noChangeAspect="1" noChangeArrowheads="1"/>
                <a:extLst>
                  <a:ext uri="{84589F7E-364E-4C9E-8A38-B11213B215E9}">
                    <a14:cameraTool cellRange="$M$56:$P$59" spid="_x0000_s177358"/>
                  </a:ext>
                </a:extLst>
              </xdr:cNvPicPr>
            </xdr:nvPicPr>
            <xdr:blipFill>
              <a:blip xmlns:r="http://schemas.openxmlformats.org/officeDocument/2006/relationships" r:embed="rId6"/>
              <a:srcRect/>
              <a:stretch>
                <a:fillRect/>
              </a:stretch>
            </xdr:blipFill>
            <xdr:spPr bwMode="auto">
              <a:xfrm>
                <a:off x="10071100" y="8496300"/>
                <a:ext cx="2520950" cy="71755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0</xdr:colOff>
      <xdr:row>5</xdr:row>
      <xdr:rowOff>0</xdr:rowOff>
    </xdr:from>
    <xdr:to>
      <xdr:col>20</xdr:col>
      <xdr:colOff>267075</xdr:colOff>
      <xdr:row>29</xdr:row>
      <xdr:rowOff>28800</xdr:rowOff>
    </xdr:to>
    <xdr:grpSp>
      <xdr:nvGrpSpPr>
        <xdr:cNvPr id="2" name="graph7">
          <a:extLst>
            <a:ext uri="{FF2B5EF4-FFF2-40B4-BE49-F238E27FC236}">
              <a16:creationId xmlns:a16="http://schemas.microsoft.com/office/drawing/2014/main" id="{00000000-0008-0000-0500-000002000000}"/>
            </a:ext>
          </a:extLst>
        </xdr:cNvPr>
        <xdr:cNvGrpSpPr>
          <a:grpSpLocks noChangeAspect="1"/>
        </xdr:cNvGrpSpPr>
      </xdr:nvGrpSpPr>
      <xdr:grpSpPr>
        <a:xfrm>
          <a:off x="7800975" y="952500"/>
          <a:ext cx="4467600" cy="4600800"/>
          <a:chOff x="8915400" y="857250"/>
          <a:chExt cx="4591050" cy="4276725"/>
        </a:xfrm>
      </xdr:grpSpPr>
      <xdr:graphicFrame macro="">
        <xdr:nvGraphicFramePr>
          <xdr:cNvPr id="3" name="グラフ 2">
            <a:extLst>
              <a:ext uri="{FF2B5EF4-FFF2-40B4-BE49-F238E27FC236}">
                <a16:creationId xmlns:a16="http://schemas.microsoft.com/office/drawing/2014/main" id="{00000000-0008-0000-0500-000003000000}"/>
              </a:ext>
            </a:extLst>
          </xdr:cNvPr>
          <xdr:cNvGraphicFramePr>
            <a:graphicFrameLocks/>
          </xdr:cNvGraphicFramePr>
        </xdr:nvGraphicFramePr>
        <xdr:xfrm>
          <a:off x="8915400" y="857250"/>
          <a:ext cx="4572000" cy="274320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mc:Choice xmlns:a14="http://schemas.microsoft.com/office/drawing/2010/main" Requires="a14">
          <xdr:pic>
            <xdr:nvPicPr>
              <xdr:cNvPr id="4" name="図 3">
                <a:extLst>
                  <a:ext uri="{FF2B5EF4-FFF2-40B4-BE49-F238E27FC236}">
                    <a16:creationId xmlns:a16="http://schemas.microsoft.com/office/drawing/2014/main" id="{00000000-0008-0000-0500-000004000000}"/>
                  </a:ext>
                </a:extLst>
              </xdr:cNvPr>
              <xdr:cNvPicPr>
                <a:picLocks noChangeAspect="1" noChangeArrowheads="1"/>
                <a:extLst>
                  <a:ext uri="{84589F7E-364E-4C9E-8A38-B11213B215E9}">
                    <a14:cameraTool cellRange="$J$26:$K$33" spid="_x0000_s130357"/>
                  </a:ext>
                </a:extLst>
              </xdr:cNvPicPr>
            </xdr:nvPicPr>
            <xdr:blipFill>
              <a:blip xmlns:r="http://schemas.openxmlformats.org/officeDocument/2006/relationships" r:embed="rId2"/>
              <a:srcRect/>
              <a:stretch>
                <a:fillRect/>
              </a:stretch>
            </xdr:blipFill>
            <xdr:spPr bwMode="auto">
              <a:xfrm>
                <a:off x="12125325" y="3686175"/>
                <a:ext cx="1381125" cy="1447800"/>
              </a:xfrm>
              <a:prstGeom prst="rect">
                <a:avLst/>
              </a:prstGeom>
              <a:noFill/>
              <a:extLst>
                <a:ext uri="{909E8E84-426E-40DD-AFC4-6F175D3DCCD1}">
                  <a14:hiddenFill>
                    <a:solidFill>
                      <a:srgbClr val="FFFFFF"/>
                    </a:solidFill>
                  </a14:hiddenFill>
                </a:ext>
              </a:extLst>
            </xdr:spPr>
          </xdr:pic>
        </mc:Choice>
        <mc:Fallback/>
      </mc:AlternateContent>
    </xdr:grpSp>
    <xdr:clientData/>
  </xdr:twoCellAnchor>
  <xdr:twoCellAnchor>
    <xdr:from>
      <xdr:col>13</xdr:col>
      <xdr:colOff>0</xdr:colOff>
      <xdr:row>60</xdr:row>
      <xdr:rowOff>0</xdr:rowOff>
    </xdr:from>
    <xdr:to>
      <xdr:col>20</xdr:col>
      <xdr:colOff>306682</xdr:colOff>
      <xdr:row>83</xdr:row>
      <xdr:rowOff>172507</xdr:rowOff>
    </xdr:to>
    <xdr:grpSp>
      <xdr:nvGrpSpPr>
        <xdr:cNvPr id="5" name="graph8">
          <a:extLst>
            <a:ext uri="{FF2B5EF4-FFF2-40B4-BE49-F238E27FC236}">
              <a16:creationId xmlns:a16="http://schemas.microsoft.com/office/drawing/2014/main" id="{00000000-0008-0000-0500-000005000000}"/>
            </a:ext>
          </a:extLst>
        </xdr:cNvPr>
        <xdr:cNvGrpSpPr>
          <a:grpSpLocks noChangeAspect="1"/>
        </xdr:cNvGrpSpPr>
      </xdr:nvGrpSpPr>
      <xdr:grpSpPr>
        <a:xfrm>
          <a:off x="7800975" y="11430000"/>
          <a:ext cx="4507207" cy="4554007"/>
          <a:chOff x="8915400" y="10353675"/>
          <a:chExt cx="4591050" cy="4267200"/>
        </a:xfrm>
      </xdr:grpSpPr>
      <xdr:graphicFrame macro="">
        <xdr:nvGraphicFramePr>
          <xdr:cNvPr id="6" name="グラフ 5">
            <a:extLst>
              <a:ext uri="{FF2B5EF4-FFF2-40B4-BE49-F238E27FC236}">
                <a16:creationId xmlns:a16="http://schemas.microsoft.com/office/drawing/2014/main" id="{00000000-0008-0000-0500-000006000000}"/>
              </a:ext>
            </a:extLst>
          </xdr:cNvPr>
          <xdr:cNvGraphicFramePr>
            <a:graphicFrameLocks/>
          </xdr:cNvGraphicFramePr>
        </xdr:nvGraphicFramePr>
        <xdr:xfrm>
          <a:off x="8915400" y="10353675"/>
          <a:ext cx="4572000" cy="2743200"/>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mc:Choice xmlns:a14="http://schemas.microsoft.com/office/drawing/2010/main" Requires="a14">
          <xdr:pic>
            <xdr:nvPicPr>
              <xdr:cNvPr id="7" name="図 6">
                <a:extLst>
                  <a:ext uri="{FF2B5EF4-FFF2-40B4-BE49-F238E27FC236}">
                    <a16:creationId xmlns:a16="http://schemas.microsoft.com/office/drawing/2014/main" id="{00000000-0008-0000-0500-000007000000}"/>
                  </a:ext>
                </a:extLst>
              </xdr:cNvPr>
              <xdr:cNvPicPr>
                <a:picLocks noChangeAspect="1" noChangeArrowheads="1"/>
                <a:extLst>
                  <a:ext uri="{84589F7E-364E-4C9E-8A38-B11213B215E9}">
                    <a14:cameraTool cellRange="$J$81:$K$88" spid="_x0000_s130358"/>
                  </a:ext>
                </a:extLst>
              </xdr:cNvPicPr>
            </xdr:nvPicPr>
            <xdr:blipFill>
              <a:blip xmlns:r="http://schemas.openxmlformats.org/officeDocument/2006/relationships" r:embed="rId4"/>
              <a:srcRect/>
              <a:stretch>
                <a:fillRect/>
              </a:stretch>
            </xdr:blipFill>
            <xdr:spPr bwMode="auto">
              <a:xfrm>
                <a:off x="12125325" y="13173075"/>
                <a:ext cx="1381125" cy="1447800"/>
              </a:xfrm>
              <a:prstGeom prst="rect">
                <a:avLst/>
              </a:prstGeom>
              <a:noFill/>
              <a:extLst>
                <a:ext uri="{909E8E84-426E-40DD-AFC4-6F175D3DCCD1}">
                  <a14:hiddenFill>
                    <a:solidFill>
                      <a:srgbClr val="FFFFFF"/>
                    </a:solidFill>
                  </a14:hiddenFill>
                </a:ext>
              </a:extLst>
            </xdr:spPr>
          </xdr:pic>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120650</xdr:colOff>
      <xdr:row>0</xdr:row>
      <xdr:rowOff>171450</xdr:rowOff>
    </xdr:from>
    <xdr:to>
      <xdr:col>18</xdr:col>
      <xdr:colOff>61850</xdr:colOff>
      <xdr:row>23</xdr:row>
      <xdr:rowOff>153150</xdr:rowOff>
    </xdr:to>
    <xdr:grpSp>
      <xdr:nvGrpSpPr>
        <xdr:cNvPr id="4" name="graph9">
          <a:extLst>
            <a:ext uri="{FF2B5EF4-FFF2-40B4-BE49-F238E27FC236}">
              <a16:creationId xmlns:a16="http://schemas.microsoft.com/office/drawing/2014/main" id="{B95B4F9B-BF7F-4DA0-8E3C-A37246A87326}"/>
            </a:ext>
          </a:extLst>
        </xdr:cNvPr>
        <xdr:cNvGrpSpPr>
          <a:grpSpLocks noChangeAspect="1"/>
        </xdr:cNvGrpSpPr>
      </xdr:nvGrpSpPr>
      <xdr:grpSpPr>
        <a:xfrm>
          <a:off x="6569075" y="171450"/>
          <a:ext cx="4208400" cy="4363200"/>
          <a:chOff x="6826250" y="171450"/>
          <a:chExt cx="4286250" cy="3994150"/>
        </a:xfrm>
      </xdr:grpSpPr>
      <xdr:graphicFrame macro="">
        <xdr:nvGraphicFramePr>
          <xdr:cNvPr id="2" name="グラフ 1">
            <a:extLst>
              <a:ext uri="{FF2B5EF4-FFF2-40B4-BE49-F238E27FC236}">
                <a16:creationId xmlns:a16="http://schemas.microsoft.com/office/drawing/2014/main" id="{6D3E0418-D209-42AC-B76A-04355C488EC6}"/>
              </a:ext>
            </a:extLst>
          </xdr:cNvPr>
          <xdr:cNvGraphicFramePr>
            <a:graphicFrameLocks/>
          </xdr:cNvGraphicFramePr>
        </xdr:nvGraphicFramePr>
        <xdr:xfrm>
          <a:off x="6826250" y="171450"/>
          <a:ext cx="4230523" cy="2854756"/>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mc:Choice xmlns:a14="http://schemas.microsoft.com/office/drawing/2010/main" Requires="a14">
          <xdr:pic>
            <xdr:nvPicPr>
              <xdr:cNvPr id="3" name="図 2">
                <a:extLst>
                  <a:ext uri="{FF2B5EF4-FFF2-40B4-BE49-F238E27FC236}">
                    <a16:creationId xmlns:a16="http://schemas.microsoft.com/office/drawing/2014/main" id="{5DBB0E12-35F1-406E-A98F-F85E7E8E3BE4}"/>
                  </a:ext>
                </a:extLst>
              </xdr:cNvPr>
              <xdr:cNvPicPr>
                <a:picLocks noChangeAspect="1" noChangeArrowheads="1"/>
                <a:extLst>
                  <a:ext uri="{84589F7E-364E-4C9E-8A38-B11213B215E9}">
                    <a14:cameraTool cellRange="$E$19:$K$24" spid="_x0000_s86576"/>
                  </a:ext>
                </a:extLst>
              </xdr:cNvPicPr>
            </xdr:nvPicPr>
            <xdr:blipFill>
              <a:blip xmlns:r="http://schemas.openxmlformats.org/officeDocument/2006/relationships" r:embed="rId2"/>
              <a:srcRect/>
              <a:stretch>
                <a:fillRect/>
              </a:stretch>
            </xdr:blipFill>
            <xdr:spPr bwMode="auto">
              <a:xfrm>
                <a:off x="6838950" y="3079750"/>
                <a:ext cx="4273550" cy="1085850"/>
              </a:xfrm>
              <a:prstGeom prst="rect">
                <a:avLst/>
              </a:prstGeom>
              <a:noFill/>
              <a:extLst>
                <a:ext uri="{909E8E84-426E-40DD-AFC4-6F175D3DCCD1}">
                  <a14:hiddenFill>
                    <a:solidFill>
                      <a:srgbClr val="FFFFFF"/>
                    </a:solidFill>
                  </a14:hiddenFill>
                </a:ext>
              </a:extLst>
            </xdr:spPr>
          </xdr:pic>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9</xdr:col>
      <xdr:colOff>571500</xdr:colOff>
      <xdr:row>0</xdr:row>
      <xdr:rowOff>50800</xdr:rowOff>
    </xdr:from>
    <xdr:to>
      <xdr:col>17</xdr:col>
      <xdr:colOff>392707</xdr:colOff>
      <xdr:row>20</xdr:row>
      <xdr:rowOff>13606</xdr:rowOff>
    </xdr:to>
    <xdr:grpSp>
      <xdr:nvGrpSpPr>
        <xdr:cNvPr id="5" name="graph10">
          <a:extLst>
            <a:ext uri="{FF2B5EF4-FFF2-40B4-BE49-F238E27FC236}">
              <a16:creationId xmlns:a16="http://schemas.microsoft.com/office/drawing/2014/main" id="{0177AD57-5581-4012-890E-54AB2108C795}"/>
            </a:ext>
          </a:extLst>
        </xdr:cNvPr>
        <xdr:cNvGrpSpPr>
          <a:grpSpLocks noChangeAspect="1"/>
        </xdr:cNvGrpSpPr>
      </xdr:nvGrpSpPr>
      <xdr:grpSpPr>
        <a:xfrm>
          <a:off x="6057900" y="50800"/>
          <a:ext cx="4698007" cy="3772806"/>
          <a:chOff x="6057900" y="50800"/>
          <a:chExt cx="4249573" cy="3194050"/>
        </a:xfrm>
      </xdr:grpSpPr>
      <xdr:graphicFrame macro="">
        <xdr:nvGraphicFramePr>
          <xdr:cNvPr id="2" name="グラフ 1">
            <a:extLst>
              <a:ext uri="{FF2B5EF4-FFF2-40B4-BE49-F238E27FC236}">
                <a16:creationId xmlns:a16="http://schemas.microsoft.com/office/drawing/2014/main" id="{1FE42D08-159A-470E-804A-87043722EFDE}"/>
              </a:ext>
            </a:extLst>
          </xdr:cNvPr>
          <xdr:cNvGraphicFramePr>
            <a:graphicFrameLocks/>
          </xdr:cNvGraphicFramePr>
        </xdr:nvGraphicFramePr>
        <xdr:xfrm>
          <a:off x="6076950" y="50800"/>
          <a:ext cx="4230523" cy="2664256"/>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mc:Choice xmlns:a14="http://schemas.microsoft.com/office/drawing/2010/main" Requires="a14">
          <xdr:pic>
            <xdr:nvPicPr>
              <xdr:cNvPr id="4" name="図 3">
                <a:extLst>
                  <a:ext uri="{FF2B5EF4-FFF2-40B4-BE49-F238E27FC236}">
                    <a16:creationId xmlns:a16="http://schemas.microsoft.com/office/drawing/2014/main" id="{81C874AE-D1BB-4DE8-A2FE-D4B448126EC2}"/>
                  </a:ext>
                </a:extLst>
              </xdr:cNvPr>
              <xdr:cNvPicPr>
                <a:picLocks noChangeAspect="1" noChangeArrowheads="1"/>
                <a:extLst>
                  <a:ext uri="{84589F7E-364E-4C9E-8A38-B11213B215E9}">
                    <a14:cameraTool cellRange="$E$18:$I$19" spid="_x0000_s88043"/>
                  </a:ext>
                </a:extLst>
              </xdr:cNvPicPr>
            </xdr:nvPicPr>
            <xdr:blipFill>
              <a:blip xmlns:r="http://schemas.openxmlformats.org/officeDocument/2006/relationships" r:embed="rId2"/>
              <a:srcRect/>
              <a:stretch>
                <a:fillRect/>
              </a:stretch>
            </xdr:blipFill>
            <xdr:spPr bwMode="auto">
              <a:xfrm>
                <a:off x="6057900" y="2743200"/>
                <a:ext cx="4233222" cy="501650"/>
              </a:xfrm>
              <a:prstGeom prst="rect">
                <a:avLst/>
              </a:prstGeom>
              <a:noFill/>
              <a:extLst>
                <a:ext uri="{909E8E84-426E-40DD-AFC4-6F175D3DCCD1}">
                  <a14:hiddenFill>
                    <a:solidFill>
                      <a:srgbClr val="FFFFFF"/>
                    </a:solidFill>
                  </a14:hiddenFill>
                </a:ext>
              </a:extLst>
            </xdr:spPr>
          </xdr:pic>
        </mc:Choice>
        <mc:Fallback/>
      </mc:AlternateContent>
    </xdr:grpSp>
    <xdr:clientData/>
  </xdr:twoCellAnchor>
  <xdr:twoCellAnchor>
    <xdr:from>
      <xdr:col>9</xdr:col>
      <xdr:colOff>609599</xdr:colOff>
      <xdr:row>20</xdr:row>
      <xdr:rowOff>69850</xdr:rowOff>
    </xdr:from>
    <xdr:to>
      <xdr:col>17</xdr:col>
      <xdr:colOff>430806</xdr:colOff>
      <xdr:row>40</xdr:row>
      <xdr:rowOff>32656</xdr:rowOff>
    </xdr:to>
    <xdr:grpSp>
      <xdr:nvGrpSpPr>
        <xdr:cNvPr id="7" name="graph11">
          <a:extLst>
            <a:ext uri="{FF2B5EF4-FFF2-40B4-BE49-F238E27FC236}">
              <a16:creationId xmlns:a16="http://schemas.microsoft.com/office/drawing/2014/main" id="{341DF2A5-8107-45E8-9723-198E2D749A86}"/>
            </a:ext>
          </a:extLst>
        </xdr:cNvPr>
        <xdr:cNvGrpSpPr>
          <a:grpSpLocks noChangeAspect="1"/>
        </xdr:cNvGrpSpPr>
      </xdr:nvGrpSpPr>
      <xdr:grpSpPr>
        <a:xfrm>
          <a:off x="6095999" y="3879850"/>
          <a:ext cx="4698007" cy="3772806"/>
          <a:chOff x="6095999" y="3397250"/>
          <a:chExt cx="4230524" cy="3194050"/>
        </a:xfrm>
      </xdr:grpSpPr>
      <xdr:graphicFrame macro="">
        <xdr:nvGraphicFramePr>
          <xdr:cNvPr id="3" name="グラフ 2">
            <a:extLst>
              <a:ext uri="{FF2B5EF4-FFF2-40B4-BE49-F238E27FC236}">
                <a16:creationId xmlns:a16="http://schemas.microsoft.com/office/drawing/2014/main" id="{BA653888-A895-4E88-AF0A-861B5620BC66}"/>
              </a:ext>
            </a:extLst>
          </xdr:cNvPr>
          <xdr:cNvGraphicFramePr>
            <a:graphicFrameLocks/>
          </xdr:cNvGraphicFramePr>
        </xdr:nvGraphicFramePr>
        <xdr:xfrm>
          <a:off x="6096000" y="3397250"/>
          <a:ext cx="4230523" cy="2651556"/>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mc:Choice xmlns:a14="http://schemas.microsoft.com/office/drawing/2010/main" Requires="a14">
          <xdr:pic>
            <xdr:nvPicPr>
              <xdr:cNvPr id="6" name="図 5">
                <a:extLst>
                  <a:ext uri="{FF2B5EF4-FFF2-40B4-BE49-F238E27FC236}">
                    <a16:creationId xmlns:a16="http://schemas.microsoft.com/office/drawing/2014/main" id="{8D929196-6DCC-421A-B753-87B1632E082C}"/>
                  </a:ext>
                </a:extLst>
              </xdr:cNvPr>
              <xdr:cNvPicPr>
                <a:picLocks noChangeAspect="1" noChangeArrowheads="1"/>
                <a:extLst>
                  <a:ext uri="{84589F7E-364E-4C9E-8A38-B11213B215E9}">
                    <a14:cameraTool cellRange="$E$38:$I$39" spid="_x0000_s88044"/>
                  </a:ext>
                </a:extLst>
              </xdr:cNvPicPr>
            </xdr:nvPicPr>
            <xdr:blipFill>
              <a:blip xmlns:r="http://schemas.openxmlformats.org/officeDocument/2006/relationships" r:embed="rId4"/>
              <a:srcRect/>
              <a:stretch>
                <a:fillRect/>
              </a:stretch>
            </xdr:blipFill>
            <xdr:spPr bwMode="auto">
              <a:xfrm>
                <a:off x="6095999" y="6096000"/>
                <a:ext cx="4179637" cy="495300"/>
              </a:xfrm>
              <a:prstGeom prst="rect">
                <a:avLst/>
              </a:prstGeom>
              <a:noFill/>
              <a:extLst>
                <a:ext uri="{909E8E84-426E-40DD-AFC4-6F175D3DCCD1}">
                  <a14:hiddenFill>
                    <a:solidFill>
                      <a:srgbClr val="FFFFFF"/>
                    </a:solidFill>
                  </a14:hiddenFill>
                </a:ext>
              </a:extLst>
            </xdr:spPr>
          </xdr:pic>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0</xdr:colOff>
      <xdr:row>5</xdr:row>
      <xdr:rowOff>0</xdr:rowOff>
    </xdr:from>
    <xdr:to>
      <xdr:col>19</xdr:col>
      <xdr:colOff>485775</xdr:colOff>
      <xdr:row>29</xdr:row>
      <xdr:rowOff>123825</xdr:rowOff>
    </xdr:to>
    <xdr:grpSp>
      <xdr:nvGrpSpPr>
        <xdr:cNvPr id="2" name="グループ化 1">
          <a:extLst>
            <a:ext uri="{FF2B5EF4-FFF2-40B4-BE49-F238E27FC236}">
              <a16:creationId xmlns:a16="http://schemas.microsoft.com/office/drawing/2014/main" id="{00000000-0008-0000-0700-000002000000}"/>
            </a:ext>
          </a:extLst>
        </xdr:cNvPr>
        <xdr:cNvGrpSpPr/>
      </xdr:nvGrpSpPr>
      <xdr:grpSpPr>
        <a:xfrm>
          <a:off x="7800975" y="952500"/>
          <a:ext cx="4086225" cy="4695825"/>
          <a:chOff x="8915400" y="857250"/>
          <a:chExt cx="4600575" cy="4267200"/>
        </a:xfrm>
      </xdr:grpSpPr>
      <xdr:graphicFrame macro="">
        <xdr:nvGraphicFramePr>
          <xdr:cNvPr id="3" name="グラフ 2">
            <a:extLst>
              <a:ext uri="{FF2B5EF4-FFF2-40B4-BE49-F238E27FC236}">
                <a16:creationId xmlns:a16="http://schemas.microsoft.com/office/drawing/2014/main" id="{00000000-0008-0000-0700-000003000000}"/>
              </a:ext>
            </a:extLst>
          </xdr:cNvPr>
          <xdr:cNvGraphicFramePr>
            <a:graphicFrameLocks/>
          </xdr:cNvGraphicFramePr>
        </xdr:nvGraphicFramePr>
        <xdr:xfrm>
          <a:off x="8915400" y="857250"/>
          <a:ext cx="4572000" cy="274320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pic>
            <xdr:nvPicPr>
              <xdr:cNvPr id="4" name="図 3">
                <a:extLst>
                  <a:ext uri="{FF2B5EF4-FFF2-40B4-BE49-F238E27FC236}">
                    <a16:creationId xmlns:a16="http://schemas.microsoft.com/office/drawing/2014/main" id="{00000000-0008-0000-0700-000004000000}"/>
                  </a:ext>
                </a:extLst>
              </xdr:cNvPr>
              <xdr:cNvPicPr>
                <a:picLocks noChangeAspect="1" noChangeArrowheads="1"/>
                <a:extLst>
                  <a:ext uri="{84589F7E-364E-4C9E-8A38-B11213B215E9}">
                    <a14:cameraTool cellRange="$J$26:$K$33" spid="_x0000_s28315"/>
                  </a:ext>
                </a:extLst>
              </xdr:cNvPicPr>
            </xdr:nvPicPr>
            <xdr:blipFill>
              <a:blip xmlns:r="http://schemas.openxmlformats.org/officeDocument/2006/relationships" r:embed="rId2"/>
              <a:srcRect/>
              <a:stretch>
                <a:fillRect/>
              </a:stretch>
            </xdr:blipFill>
            <xdr:spPr bwMode="auto">
              <a:xfrm>
                <a:off x="12134850" y="3676650"/>
                <a:ext cx="1381125" cy="14478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0</xdr:colOff>
      <xdr:row>5</xdr:row>
      <xdr:rowOff>0</xdr:rowOff>
    </xdr:from>
    <xdr:to>
      <xdr:col>19</xdr:col>
      <xdr:colOff>485775</xdr:colOff>
      <xdr:row>29</xdr:row>
      <xdr:rowOff>95250</xdr:rowOff>
    </xdr:to>
    <xdr:grpSp>
      <xdr:nvGrpSpPr>
        <xdr:cNvPr id="2" name="グループ化 1">
          <a:extLst>
            <a:ext uri="{FF2B5EF4-FFF2-40B4-BE49-F238E27FC236}">
              <a16:creationId xmlns:a16="http://schemas.microsoft.com/office/drawing/2014/main" id="{00000000-0008-0000-0600-000002000000}"/>
            </a:ext>
          </a:extLst>
        </xdr:cNvPr>
        <xdr:cNvGrpSpPr/>
      </xdr:nvGrpSpPr>
      <xdr:grpSpPr>
        <a:xfrm>
          <a:off x="7800975" y="952500"/>
          <a:ext cx="4086225" cy="4667250"/>
          <a:chOff x="8915400" y="857250"/>
          <a:chExt cx="4600575" cy="4238625"/>
        </a:xfrm>
      </xdr:grpSpPr>
      <xdr:graphicFrame macro="">
        <xdr:nvGraphicFramePr>
          <xdr:cNvPr id="3" name="グラフ 2">
            <a:extLst>
              <a:ext uri="{FF2B5EF4-FFF2-40B4-BE49-F238E27FC236}">
                <a16:creationId xmlns:a16="http://schemas.microsoft.com/office/drawing/2014/main" id="{00000000-0008-0000-0600-000003000000}"/>
              </a:ext>
            </a:extLst>
          </xdr:cNvPr>
          <xdr:cNvGraphicFramePr>
            <a:graphicFrameLocks/>
          </xdr:cNvGraphicFramePr>
        </xdr:nvGraphicFramePr>
        <xdr:xfrm>
          <a:off x="8915400" y="857250"/>
          <a:ext cx="4572000" cy="274320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pic>
            <xdr:nvPicPr>
              <xdr:cNvPr id="4" name="図 3">
                <a:extLst>
                  <a:ext uri="{FF2B5EF4-FFF2-40B4-BE49-F238E27FC236}">
                    <a16:creationId xmlns:a16="http://schemas.microsoft.com/office/drawing/2014/main" id="{00000000-0008-0000-0600-000004000000}"/>
                  </a:ext>
                </a:extLst>
              </xdr:cNvPr>
              <xdr:cNvPicPr>
                <a:picLocks noChangeAspect="1" noChangeArrowheads="1"/>
                <a:extLst>
                  <a:ext uri="{84589F7E-364E-4C9E-8A38-B11213B215E9}">
                    <a14:cameraTool cellRange="$J$26:$K$33" spid="_x0000_s27291"/>
                  </a:ext>
                </a:extLst>
              </xdr:cNvPicPr>
            </xdr:nvPicPr>
            <xdr:blipFill>
              <a:blip xmlns:r="http://schemas.openxmlformats.org/officeDocument/2006/relationships" r:embed="rId2"/>
              <a:srcRect/>
              <a:stretch>
                <a:fillRect/>
              </a:stretch>
            </xdr:blipFill>
            <xdr:spPr bwMode="auto">
              <a:xfrm>
                <a:off x="12134850" y="3648075"/>
                <a:ext cx="1381125" cy="14478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wsDr>
</file>

<file path=xl/drawings/drawing15.xml><?xml version="1.0" encoding="utf-8"?>
<xdr:wsDr xmlns:xdr="http://schemas.openxmlformats.org/drawingml/2006/spreadsheetDrawing" xmlns:a="http://schemas.openxmlformats.org/drawingml/2006/main">
  <xdr:twoCellAnchor>
    <xdr:from>
      <xdr:col>13</xdr:col>
      <xdr:colOff>0</xdr:colOff>
      <xdr:row>5</xdr:row>
      <xdr:rowOff>0</xdr:rowOff>
    </xdr:from>
    <xdr:to>
      <xdr:col>19</xdr:col>
      <xdr:colOff>495300</xdr:colOff>
      <xdr:row>29</xdr:row>
      <xdr:rowOff>114300</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7800975" y="952500"/>
          <a:ext cx="4095750" cy="4686300"/>
          <a:chOff x="8915400" y="857250"/>
          <a:chExt cx="4610100" cy="4257675"/>
        </a:xfrm>
      </xdr:grpSpPr>
      <xdr:graphicFrame macro="">
        <xdr:nvGraphicFramePr>
          <xdr:cNvPr id="3" name="グラフ 2">
            <a:extLst>
              <a:ext uri="{FF2B5EF4-FFF2-40B4-BE49-F238E27FC236}">
                <a16:creationId xmlns:a16="http://schemas.microsoft.com/office/drawing/2014/main" id="{00000000-0008-0000-0800-000003000000}"/>
              </a:ext>
            </a:extLst>
          </xdr:cNvPr>
          <xdr:cNvGraphicFramePr>
            <a:graphicFrameLocks/>
          </xdr:cNvGraphicFramePr>
        </xdr:nvGraphicFramePr>
        <xdr:xfrm>
          <a:off x="8915400" y="857250"/>
          <a:ext cx="4572000" cy="274320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pic>
            <xdr:nvPicPr>
              <xdr:cNvPr id="4" name="図 3">
                <a:extLst>
                  <a:ext uri="{FF2B5EF4-FFF2-40B4-BE49-F238E27FC236}">
                    <a16:creationId xmlns:a16="http://schemas.microsoft.com/office/drawing/2014/main" id="{00000000-0008-0000-0800-000004000000}"/>
                  </a:ext>
                </a:extLst>
              </xdr:cNvPr>
              <xdr:cNvPicPr>
                <a:picLocks noChangeAspect="1" noChangeArrowheads="1"/>
                <a:extLst>
                  <a:ext uri="{84589F7E-364E-4C9E-8A38-B11213B215E9}">
                    <a14:cameraTool cellRange="$J$26:$K$33" spid="_x0000_s131381"/>
                  </a:ext>
                </a:extLst>
              </xdr:cNvPicPr>
            </xdr:nvPicPr>
            <xdr:blipFill>
              <a:blip xmlns:r="http://schemas.openxmlformats.org/officeDocument/2006/relationships" r:embed="rId2"/>
              <a:srcRect/>
              <a:stretch>
                <a:fillRect/>
              </a:stretch>
            </xdr:blipFill>
            <xdr:spPr bwMode="auto">
              <a:xfrm>
                <a:off x="12144375" y="3667125"/>
                <a:ext cx="1381125" cy="14478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13</xdr:col>
      <xdr:colOff>0</xdr:colOff>
      <xdr:row>60</xdr:row>
      <xdr:rowOff>0</xdr:rowOff>
    </xdr:from>
    <xdr:to>
      <xdr:col>19</xdr:col>
      <xdr:colOff>485775</xdr:colOff>
      <xdr:row>84</xdr:row>
      <xdr:rowOff>123825</xdr:rowOff>
    </xdr:to>
    <xdr:grpSp>
      <xdr:nvGrpSpPr>
        <xdr:cNvPr id="5" name="グループ化 4">
          <a:extLst>
            <a:ext uri="{FF2B5EF4-FFF2-40B4-BE49-F238E27FC236}">
              <a16:creationId xmlns:a16="http://schemas.microsoft.com/office/drawing/2014/main" id="{00000000-0008-0000-0800-000005000000}"/>
            </a:ext>
          </a:extLst>
        </xdr:cNvPr>
        <xdr:cNvGrpSpPr/>
      </xdr:nvGrpSpPr>
      <xdr:grpSpPr>
        <a:xfrm>
          <a:off x="7800975" y="11430000"/>
          <a:ext cx="4086225" cy="4695825"/>
          <a:chOff x="8915400" y="10353675"/>
          <a:chExt cx="4600575" cy="4267200"/>
        </a:xfrm>
      </xdr:grpSpPr>
      <xdr:graphicFrame macro="">
        <xdr:nvGraphicFramePr>
          <xdr:cNvPr id="6" name="グラフ 5">
            <a:extLst>
              <a:ext uri="{FF2B5EF4-FFF2-40B4-BE49-F238E27FC236}">
                <a16:creationId xmlns:a16="http://schemas.microsoft.com/office/drawing/2014/main" id="{00000000-0008-0000-0800-000006000000}"/>
              </a:ext>
            </a:extLst>
          </xdr:cNvPr>
          <xdr:cNvGraphicFramePr>
            <a:graphicFrameLocks/>
          </xdr:cNvGraphicFramePr>
        </xdr:nvGraphicFramePr>
        <xdr:xfrm>
          <a:off x="8915400" y="10353675"/>
          <a:ext cx="4572000" cy="2743200"/>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xmlns:a14="http://schemas.microsoft.com/office/drawing/2010/main">
        <mc:Choice Requires="a14">
          <xdr:pic>
            <xdr:nvPicPr>
              <xdr:cNvPr id="7" name="図 6">
                <a:extLst>
                  <a:ext uri="{FF2B5EF4-FFF2-40B4-BE49-F238E27FC236}">
                    <a16:creationId xmlns:a16="http://schemas.microsoft.com/office/drawing/2014/main" id="{00000000-0008-0000-0800-000007000000}"/>
                  </a:ext>
                </a:extLst>
              </xdr:cNvPr>
              <xdr:cNvPicPr>
                <a:picLocks noChangeAspect="1" noChangeArrowheads="1"/>
                <a:extLst>
                  <a:ext uri="{84589F7E-364E-4C9E-8A38-B11213B215E9}">
                    <a14:cameraTool cellRange="$J$81:$K$88" spid="_x0000_s131382"/>
                  </a:ext>
                </a:extLst>
              </xdr:cNvPicPr>
            </xdr:nvPicPr>
            <xdr:blipFill>
              <a:blip xmlns:r="http://schemas.openxmlformats.org/officeDocument/2006/relationships" r:embed="rId4"/>
              <a:srcRect/>
              <a:stretch>
                <a:fillRect/>
              </a:stretch>
            </xdr:blipFill>
            <xdr:spPr bwMode="auto">
              <a:xfrm>
                <a:off x="12134850" y="13173075"/>
                <a:ext cx="1381125" cy="14478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0</xdr:colOff>
      <xdr:row>5</xdr:row>
      <xdr:rowOff>0</xdr:rowOff>
    </xdr:from>
    <xdr:to>
      <xdr:col>19</xdr:col>
      <xdr:colOff>485775</xdr:colOff>
      <xdr:row>29</xdr:row>
      <xdr:rowOff>114300</xdr:rowOff>
    </xdr:to>
    <xdr:grpSp>
      <xdr:nvGrpSpPr>
        <xdr:cNvPr id="2" name="グループ化 1">
          <a:extLst>
            <a:ext uri="{FF2B5EF4-FFF2-40B4-BE49-F238E27FC236}">
              <a16:creationId xmlns:a16="http://schemas.microsoft.com/office/drawing/2014/main" id="{00000000-0008-0000-0900-000002000000}"/>
            </a:ext>
          </a:extLst>
        </xdr:cNvPr>
        <xdr:cNvGrpSpPr/>
      </xdr:nvGrpSpPr>
      <xdr:grpSpPr>
        <a:xfrm>
          <a:off x="7800975" y="952500"/>
          <a:ext cx="4086225" cy="4686300"/>
          <a:chOff x="8915400" y="857250"/>
          <a:chExt cx="4600575" cy="4257675"/>
        </a:xfrm>
      </xdr:grpSpPr>
      <xdr:graphicFrame macro="">
        <xdr:nvGraphicFramePr>
          <xdr:cNvPr id="3" name="グラフ 2">
            <a:extLst>
              <a:ext uri="{FF2B5EF4-FFF2-40B4-BE49-F238E27FC236}">
                <a16:creationId xmlns:a16="http://schemas.microsoft.com/office/drawing/2014/main" id="{00000000-0008-0000-0900-000003000000}"/>
              </a:ext>
            </a:extLst>
          </xdr:cNvPr>
          <xdr:cNvGraphicFramePr>
            <a:graphicFrameLocks/>
          </xdr:cNvGraphicFramePr>
        </xdr:nvGraphicFramePr>
        <xdr:xfrm>
          <a:off x="8915400" y="857250"/>
          <a:ext cx="4572000" cy="274320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pic>
            <xdr:nvPicPr>
              <xdr:cNvPr id="4" name="図 3">
                <a:extLst>
                  <a:ext uri="{FF2B5EF4-FFF2-40B4-BE49-F238E27FC236}">
                    <a16:creationId xmlns:a16="http://schemas.microsoft.com/office/drawing/2014/main" id="{00000000-0008-0000-0900-000004000000}"/>
                  </a:ext>
                </a:extLst>
              </xdr:cNvPr>
              <xdr:cNvPicPr>
                <a:picLocks noChangeAspect="1" noChangeArrowheads="1"/>
                <a:extLst>
                  <a:ext uri="{84589F7E-364E-4C9E-8A38-B11213B215E9}">
                    <a14:cameraTool cellRange="$J$26:$K$33" spid="_x0000_s30363"/>
                  </a:ext>
                </a:extLst>
              </xdr:cNvPicPr>
            </xdr:nvPicPr>
            <xdr:blipFill>
              <a:blip xmlns:r="http://schemas.openxmlformats.org/officeDocument/2006/relationships" r:embed="rId2"/>
              <a:srcRect/>
              <a:stretch>
                <a:fillRect/>
              </a:stretch>
            </xdr:blipFill>
            <xdr:spPr bwMode="auto">
              <a:xfrm>
                <a:off x="12134850" y="3667125"/>
                <a:ext cx="1381125" cy="14478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0</xdr:colOff>
      <xdr:row>5</xdr:row>
      <xdr:rowOff>0</xdr:rowOff>
    </xdr:from>
    <xdr:to>
      <xdr:col>19</xdr:col>
      <xdr:colOff>476250</xdr:colOff>
      <xdr:row>29</xdr:row>
      <xdr:rowOff>133350</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7800975" y="952500"/>
          <a:ext cx="4076700" cy="4705350"/>
          <a:chOff x="8915400" y="857250"/>
          <a:chExt cx="4591050" cy="4276725"/>
        </a:xfrm>
      </xdr:grpSpPr>
      <xdr:graphicFrame macro="">
        <xdr:nvGraphicFramePr>
          <xdr:cNvPr id="3" name="グラフ 2">
            <a:extLst>
              <a:ext uri="{FF2B5EF4-FFF2-40B4-BE49-F238E27FC236}">
                <a16:creationId xmlns:a16="http://schemas.microsoft.com/office/drawing/2014/main" id="{00000000-0008-0000-0A00-000003000000}"/>
              </a:ext>
            </a:extLst>
          </xdr:cNvPr>
          <xdr:cNvGraphicFramePr>
            <a:graphicFrameLocks/>
          </xdr:cNvGraphicFramePr>
        </xdr:nvGraphicFramePr>
        <xdr:xfrm>
          <a:off x="8915400" y="857250"/>
          <a:ext cx="4572000" cy="274320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pic>
            <xdr:nvPicPr>
              <xdr:cNvPr id="4" name="図 3">
                <a:extLst>
                  <a:ext uri="{FF2B5EF4-FFF2-40B4-BE49-F238E27FC236}">
                    <a16:creationId xmlns:a16="http://schemas.microsoft.com/office/drawing/2014/main" id="{00000000-0008-0000-0A00-000004000000}"/>
                  </a:ext>
                </a:extLst>
              </xdr:cNvPr>
              <xdr:cNvPicPr>
                <a:picLocks noChangeAspect="1" noChangeArrowheads="1"/>
                <a:extLst>
                  <a:ext uri="{84589F7E-364E-4C9E-8A38-B11213B215E9}">
                    <a14:cameraTool cellRange="$J$26:$K$33" spid="_x0000_s31387"/>
                  </a:ext>
                </a:extLst>
              </xdr:cNvPicPr>
            </xdr:nvPicPr>
            <xdr:blipFill>
              <a:blip xmlns:r="http://schemas.openxmlformats.org/officeDocument/2006/relationships" r:embed="rId2"/>
              <a:srcRect/>
              <a:stretch>
                <a:fillRect/>
              </a:stretch>
            </xdr:blipFill>
            <xdr:spPr bwMode="auto">
              <a:xfrm>
                <a:off x="12125325" y="3686175"/>
                <a:ext cx="1381125" cy="14478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0</xdr:colOff>
      <xdr:row>5</xdr:row>
      <xdr:rowOff>0</xdr:rowOff>
    </xdr:from>
    <xdr:to>
      <xdr:col>19</xdr:col>
      <xdr:colOff>485775</xdr:colOff>
      <xdr:row>29</xdr:row>
      <xdr:rowOff>123825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7800975" y="952500"/>
          <a:ext cx="4086225" cy="4695825"/>
          <a:chOff x="8915400" y="857250"/>
          <a:chExt cx="4600575" cy="4267200"/>
        </a:xfrm>
      </xdr:grpSpPr>
      <xdr:graphicFrame macro="">
        <xdr:nvGraphicFramePr>
          <xdr:cNvPr id="3" name="グラフ 2">
            <a:extLst>
              <a:ext uri="{FF2B5EF4-FFF2-40B4-BE49-F238E27FC236}">
                <a16:creationId xmlns:a16="http://schemas.microsoft.com/office/drawing/2014/main" id="{00000000-0008-0000-0B00-000003000000}"/>
              </a:ext>
            </a:extLst>
          </xdr:cNvPr>
          <xdr:cNvGraphicFramePr>
            <a:graphicFrameLocks/>
          </xdr:cNvGraphicFramePr>
        </xdr:nvGraphicFramePr>
        <xdr:xfrm>
          <a:off x="8915400" y="857250"/>
          <a:ext cx="4572000" cy="274320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pic>
            <xdr:nvPicPr>
              <xdr:cNvPr id="4" name="図 3">
                <a:extLst>
                  <a:ext uri="{FF2B5EF4-FFF2-40B4-BE49-F238E27FC236}">
                    <a16:creationId xmlns:a16="http://schemas.microsoft.com/office/drawing/2014/main" id="{00000000-0008-0000-0B00-000004000000}"/>
                  </a:ext>
                </a:extLst>
              </xdr:cNvPr>
              <xdr:cNvPicPr>
                <a:picLocks noChangeAspect="1" noChangeArrowheads="1"/>
                <a:extLst>
                  <a:ext uri="{84589F7E-364E-4C9E-8A38-B11213B215E9}">
                    <a14:cameraTool cellRange="$J$26:$K$33" spid="_x0000_s32411"/>
                  </a:ext>
                </a:extLst>
              </xdr:cNvPicPr>
            </xdr:nvPicPr>
            <xdr:blipFill>
              <a:blip xmlns:r="http://schemas.openxmlformats.org/officeDocument/2006/relationships" r:embed="rId2"/>
              <a:srcRect/>
              <a:stretch>
                <a:fillRect/>
              </a:stretch>
            </xdr:blipFill>
            <xdr:spPr bwMode="auto">
              <a:xfrm>
                <a:off x="12134850" y="3676650"/>
                <a:ext cx="1381125" cy="14478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0</xdr:colOff>
      <xdr:row>5</xdr:row>
      <xdr:rowOff>0</xdr:rowOff>
    </xdr:from>
    <xdr:to>
      <xdr:col>19</xdr:col>
      <xdr:colOff>495300</xdr:colOff>
      <xdr:row>29</xdr:row>
      <xdr:rowOff>171450</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7800975" y="952500"/>
          <a:ext cx="4095750" cy="4743450"/>
          <a:chOff x="8915400" y="857250"/>
          <a:chExt cx="4610100" cy="4314825"/>
        </a:xfrm>
      </xdr:grpSpPr>
      <xdr:graphicFrame macro="">
        <xdr:nvGraphicFramePr>
          <xdr:cNvPr id="3" name="グラフ 2">
            <a:extLst>
              <a:ext uri="{FF2B5EF4-FFF2-40B4-BE49-F238E27FC236}">
                <a16:creationId xmlns:a16="http://schemas.microsoft.com/office/drawing/2014/main" id="{00000000-0008-0000-0C00-000003000000}"/>
              </a:ext>
            </a:extLst>
          </xdr:cNvPr>
          <xdr:cNvGraphicFramePr>
            <a:graphicFrameLocks/>
          </xdr:cNvGraphicFramePr>
        </xdr:nvGraphicFramePr>
        <xdr:xfrm>
          <a:off x="8915400" y="857250"/>
          <a:ext cx="4572000" cy="274320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pic>
            <xdr:nvPicPr>
              <xdr:cNvPr id="4" name="図 3">
                <a:extLst>
                  <a:ext uri="{FF2B5EF4-FFF2-40B4-BE49-F238E27FC236}">
                    <a16:creationId xmlns:a16="http://schemas.microsoft.com/office/drawing/2014/main" id="{00000000-0008-0000-0C00-000004000000}"/>
                  </a:ext>
                </a:extLst>
              </xdr:cNvPr>
              <xdr:cNvPicPr>
                <a:picLocks noChangeAspect="1" noChangeArrowheads="1"/>
                <a:extLst>
                  <a:ext uri="{84589F7E-364E-4C9E-8A38-B11213B215E9}">
                    <a14:cameraTool cellRange="$J$26:$K$33" spid="_x0000_s132405"/>
                  </a:ext>
                </a:extLst>
              </xdr:cNvPicPr>
            </xdr:nvPicPr>
            <xdr:blipFill>
              <a:blip xmlns:r="http://schemas.openxmlformats.org/officeDocument/2006/relationships" r:embed="rId2"/>
              <a:srcRect/>
              <a:stretch>
                <a:fillRect/>
              </a:stretch>
            </xdr:blipFill>
            <xdr:spPr bwMode="auto">
              <a:xfrm>
                <a:off x="12144375" y="3724275"/>
                <a:ext cx="1381125" cy="14478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13</xdr:col>
      <xdr:colOff>0</xdr:colOff>
      <xdr:row>60</xdr:row>
      <xdr:rowOff>0</xdr:rowOff>
    </xdr:from>
    <xdr:to>
      <xdr:col>19</xdr:col>
      <xdr:colOff>485775</xdr:colOff>
      <xdr:row>84</xdr:row>
      <xdr:rowOff>123825</xdr:rowOff>
    </xdr:to>
    <xdr:grpSp>
      <xdr:nvGrpSpPr>
        <xdr:cNvPr id="5" name="グループ化 4">
          <a:extLst>
            <a:ext uri="{FF2B5EF4-FFF2-40B4-BE49-F238E27FC236}">
              <a16:creationId xmlns:a16="http://schemas.microsoft.com/office/drawing/2014/main" id="{00000000-0008-0000-0C00-000005000000}"/>
            </a:ext>
          </a:extLst>
        </xdr:cNvPr>
        <xdr:cNvGrpSpPr/>
      </xdr:nvGrpSpPr>
      <xdr:grpSpPr>
        <a:xfrm>
          <a:off x="7800975" y="11430000"/>
          <a:ext cx="4086225" cy="4695825"/>
          <a:chOff x="8915400" y="10353675"/>
          <a:chExt cx="4600575" cy="4267200"/>
        </a:xfrm>
      </xdr:grpSpPr>
      <xdr:graphicFrame macro="">
        <xdr:nvGraphicFramePr>
          <xdr:cNvPr id="6" name="グラフ 5">
            <a:extLst>
              <a:ext uri="{FF2B5EF4-FFF2-40B4-BE49-F238E27FC236}">
                <a16:creationId xmlns:a16="http://schemas.microsoft.com/office/drawing/2014/main" id="{00000000-0008-0000-0C00-000006000000}"/>
              </a:ext>
            </a:extLst>
          </xdr:cNvPr>
          <xdr:cNvGraphicFramePr>
            <a:graphicFrameLocks/>
          </xdr:cNvGraphicFramePr>
        </xdr:nvGraphicFramePr>
        <xdr:xfrm>
          <a:off x="8915400" y="10353675"/>
          <a:ext cx="4572000" cy="2743200"/>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xmlns:a14="http://schemas.microsoft.com/office/drawing/2010/main">
        <mc:Choice Requires="a14">
          <xdr:pic>
            <xdr:nvPicPr>
              <xdr:cNvPr id="7" name="図 6">
                <a:extLst>
                  <a:ext uri="{FF2B5EF4-FFF2-40B4-BE49-F238E27FC236}">
                    <a16:creationId xmlns:a16="http://schemas.microsoft.com/office/drawing/2014/main" id="{00000000-0008-0000-0C00-000007000000}"/>
                  </a:ext>
                </a:extLst>
              </xdr:cNvPr>
              <xdr:cNvPicPr>
                <a:picLocks noChangeAspect="1" noChangeArrowheads="1"/>
                <a:extLst>
                  <a:ext uri="{84589F7E-364E-4C9E-8A38-B11213B215E9}">
                    <a14:cameraTool cellRange="$J$81:$K$88" spid="_x0000_s132406"/>
                  </a:ext>
                </a:extLst>
              </xdr:cNvPicPr>
            </xdr:nvPicPr>
            <xdr:blipFill>
              <a:blip xmlns:r="http://schemas.openxmlformats.org/officeDocument/2006/relationships" r:embed="rId4"/>
              <a:srcRect/>
              <a:stretch>
                <a:fillRect/>
              </a:stretch>
            </xdr:blipFill>
            <xdr:spPr bwMode="auto">
              <a:xfrm>
                <a:off x="12134850" y="13173075"/>
                <a:ext cx="1381125" cy="14478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0</xdr:colOff>
      <xdr:row>5</xdr:row>
      <xdr:rowOff>0</xdr:rowOff>
    </xdr:from>
    <xdr:to>
      <xdr:col>19</xdr:col>
      <xdr:colOff>485775</xdr:colOff>
      <xdr:row>29</xdr:row>
      <xdr:rowOff>142875</xdr:rowOff>
    </xdr:to>
    <xdr:grpSp>
      <xdr:nvGrpSpPr>
        <xdr:cNvPr id="2" name="グループ化 1">
          <a:extLst>
            <a:ext uri="{FF2B5EF4-FFF2-40B4-BE49-F238E27FC236}">
              <a16:creationId xmlns:a16="http://schemas.microsoft.com/office/drawing/2014/main" id="{00000000-0008-0000-0D00-000002000000}"/>
            </a:ext>
          </a:extLst>
        </xdr:cNvPr>
        <xdr:cNvGrpSpPr/>
      </xdr:nvGrpSpPr>
      <xdr:grpSpPr>
        <a:xfrm>
          <a:off x="7800975" y="952500"/>
          <a:ext cx="4086225" cy="4714875"/>
          <a:chOff x="8915400" y="857250"/>
          <a:chExt cx="4600575" cy="4286250"/>
        </a:xfrm>
      </xdr:grpSpPr>
      <xdr:graphicFrame macro="">
        <xdr:nvGraphicFramePr>
          <xdr:cNvPr id="3" name="グラフ 2">
            <a:extLst>
              <a:ext uri="{FF2B5EF4-FFF2-40B4-BE49-F238E27FC236}">
                <a16:creationId xmlns:a16="http://schemas.microsoft.com/office/drawing/2014/main" id="{00000000-0008-0000-0D00-000003000000}"/>
              </a:ext>
            </a:extLst>
          </xdr:cNvPr>
          <xdr:cNvGraphicFramePr>
            <a:graphicFrameLocks/>
          </xdr:cNvGraphicFramePr>
        </xdr:nvGraphicFramePr>
        <xdr:xfrm>
          <a:off x="8915400" y="857250"/>
          <a:ext cx="4572000" cy="274320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pic>
            <xdr:nvPicPr>
              <xdr:cNvPr id="4" name="図 3">
                <a:extLst>
                  <a:ext uri="{FF2B5EF4-FFF2-40B4-BE49-F238E27FC236}">
                    <a16:creationId xmlns:a16="http://schemas.microsoft.com/office/drawing/2014/main" id="{00000000-0008-0000-0D00-000004000000}"/>
                  </a:ext>
                </a:extLst>
              </xdr:cNvPr>
              <xdr:cNvPicPr>
                <a:picLocks noChangeAspect="1" noChangeArrowheads="1"/>
                <a:extLst>
                  <a:ext uri="{84589F7E-364E-4C9E-8A38-B11213B215E9}">
                    <a14:cameraTool cellRange="$J$26:$K$33" spid="_x0000_s34459"/>
                  </a:ext>
                </a:extLst>
              </xdr:cNvPicPr>
            </xdr:nvPicPr>
            <xdr:blipFill>
              <a:blip xmlns:r="http://schemas.openxmlformats.org/officeDocument/2006/relationships" r:embed="rId2"/>
              <a:srcRect/>
              <a:stretch>
                <a:fillRect/>
              </a:stretch>
            </xdr:blipFill>
            <xdr:spPr bwMode="auto">
              <a:xfrm>
                <a:off x="12134850" y="3695700"/>
                <a:ext cx="1381125" cy="14478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0</xdr:colOff>
      <xdr:row>5</xdr:row>
      <xdr:rowOff>0</xdr:rowOff>
    </xdr:from>
    <xdr:to>
      <xdr:col>19</xdr:col>
      <xdr:colOff>485775</xdr:colOff>
      <xdr:row>29</xdr:row>
      <xdr:rowOff>114300</xdr:rowOff>
    </xdr:to>
    <xdr:grpSp>
      <xdr:nvGrpSpPr>
        <xdr:cNvPr id="2" name="グループ化 1">
          <a:extLst>
            <a:ext uri="{FF2B5EF4-FFF2-40B4-BE49-F238E27FC236}">
              <a16:creationId xmlns:a16="http://schemas.microsoft.com/office/drawing/2014/main" id="{00000000-0008-0000-0E00-000002000000}"/>
            </a:ext>
          </a:extLst>
        </xdr:cNvPr>
        <xdr:cNvGrpSpPr/>
      </xdr:nvGrpSpPr>
      <xdr:grpSpPr>
        <a:xfrm>
          <a:off x="7800975" y="952500"/>
          <a:ext cx="4086225" cy="4686300"/>
          <a:chOff x="8915400" y="857250"/>
          <a:chExt cx="4600575" cy="4257675"/>
        </a:xfrm>
      </xdr:grpSpPr>
      <xdr:graphicFrame macro="">
        <xdr:nvGraphicFramePr>
          <xdr:cNvPr id="3" name="グラフ 2">
            <a:extLst>
              <a:ext uri="{FF2B5EF4-FFF2-40B4-BE49-F238E27FC236}">
                <a16:creationId xmlns:a16="http://schemas.microsoft.com/office/drawing/2014/main" id="{00000000-0008-0000-0E00-000003000000}"/>
              </a:ext>
            </a:extLst>
          </xdr:cNvPr>
          <xdr:cNvGraphicFramePr>
            <a:graphicFrameLocks/>
          </xdr:cNvGraphicFramePr>
        </xdr:nvGraphicFramePr>
        <xdr:xfrm>
          <a:off x="8915400" y="857250"/>
          <a:ext cx="4572000" cy="274320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pic>
            <xdr:nvPicPr>
              <xdr:cNvPr id="4" name="図 3">
                <a:extLst>
                  <a:ext uri="{FF2B5EF4-FFF2-40B4-BE49-F238E27FC236}">
                    <a16:creationId xmlns:a16="http://schemas.microsoft.com/office/drawing/2014/main" id="{00000000-0008-0000-0E00-000004000000}"/>
                  </a:ext>
                </a:extLst>
              </xdr:cNvPr>
              <xdr:cNvPicPr>
                <a:picLocks noChangeAspect="1" noChangeArrowheads="1"/>
                <a:extLst>
                  <a:ext uri="{84589F7E-364E-4C9E-8A38-B11213B215E9}">
                    <a14:cameraTool cellRange="$J$26:$K$33" spid="_x0000_s35483"/>
                  </a:ext>
                </a:extLst>
              </xdr:cNvPicPr>
            </xdr:nvPicPr>
            <xdr:blipFill>
              <a:blip xmlns:r="http://schemas.openxmlformats.org/officeDocument/2006/relationships" r:embed="rId2"/>
              <a:srcRect/>
              <a:stretch>
                <a:fillRect/>
              </a:stretch>
            </xdr:blipFill>
            <xdr:spPr bwMode="auto">
              <a:xfrm>
                <a:off x="12134850" y="3667125"/>
                <a:ext cx="1381125" cy="14478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0</xdr:colOff>
      <xdr:row>5</xdr:row>
      <xdr:rowOff>0</xdr:rowOff>
    </xdr:from>
    <xdr:to>
      <xdr:col>19</xdr:col>
      <xdr:colOff>495300</xdr:colOff>
      <xdr:row>29</xdr:row>
      <xdr:rowOff>114300</xdr:rowOff>
    </xdr:to>
    <xdr:grpSp>
      <xdr:nvGrpSpPr>
        <xdr:cNvPr id="2" name="グループ化 1">
          <a:extLst>
            <a:ext uri="{FF2B5EF4-FFF2-40B4-BE49-F238E27FC236}">
              <a16:creationId xmlns:a16="http://schemas.microsoft.com/office/drawing/2014/main" id="{00000000-0008-0000-0F00-000002000000}"/>
            </a:ext>
          </a:extLst>
        </xdr:cNvPr>
        <xdr:cNvGrpSpPr/>
      </xdr:nvGrpSpPr>
      <xdr:grpSpPr>
        <a:xfrm>
          <a:off x="7800975" y="952500"/>
          <a:ext cx="4095750" cy="4686300"/>
          <a:chOff x="8915400" y="857250"/>
          <a:chExt cx="4610100" cy="4257675"/>
        </a:xfrm>
      </xdr:grpSpPr>
      <xdr:graphicFrame macro="">
        <xdr:nvGraphicFramePr>
          <xdr:cNvPr id="3" name="グラフ 2">
            <a:extLst>
              <a:ext uri="{FF2B5EF4-FFF2-40B4-BE49-F238E27FC236}">
                <a16:creationId xmlns:a16="http://schemas.microsoft.com/office/drawing/2014/main" id="{00000000-0008-0000-0F00-000003000000}"/>
              </a:ext>
            </a:extLst>
          </xdr:cNvPr>
          <xdr:cNvGraphicFramePr>
            <a:graphicFrameLocks/>
          </xdr:cNvGraphicFramePr>
        </xdr:nvGraphicFramePr>
        <xdr:xfrm>
          <a:off x="8915400" y="857250"/>
          <a:ext cx="4572000" cy="274320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pic>
            <xdr:nvPicPr>
              <xdr:cNvPr id="4" name="図 3">
                <a:extLst>
                  <a:ext uri="{FF2B5EF4-FFF2-40B4-BE49-F238E27FC236}">
                    <a16:creationId xmlns:a16="http://schemas.microsoft.com/office/drawing/2014/main" id="{00000000-0008-0000-0F00-000004000000}"/>
                  </a:ext>
                </a:extLst>
              </xdr:cNvPr>
              <xdr:cNvPicPr>
                <a:picLocks noChangeAspect="1" noChangeArrowheads="1"/>
                <a:extLst>
                  <a:ext uri="{84589F7E-364E-4C9E-8A38-B11213B215E9}">
                    <a14:cameraTool cellRange="$J$26:$K$33" spid="_x0000_s133429"/>
                  </a:ext>
                </a:extLst>
              </xdr:cNvPicPr>
            </xdr:nvPicPr>
            <xdr:blipFill>
              <a:blip xmlns:r="http://schemas.openxmlformats.org/officeDocument/2006/relationships" r:embed="rId2"/>
              <a:srcRect/>
              <a:stretch>
                <a:fillRect/>
              </a:stretch>
            </xdr:blipFill>
            <xdr:spPr bwMode="auto">
              <a:xfrm>
                <a:off x="12144375" y="3667125"/>
                <a:ext cx="1381125" cy="14478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13</xdr:col>
      <xdr:colOff>0</xdr:colOff>
      <xdr:row>60</xdr:row>
      <xdr:rowOff>0</xdr:rowOff>
    </xdr:from>
    <xdr:to>
      <xdr:col>19</xdr:col>
      <xdr:colOff>485775</xdr:colOff>
      <xdr:row>84</xdr:row>
      <xdr:rowOff>142875</xdr:rowOff>
    </xdr:to>
    <xdr:grpSp>
      <xdr:nvGrpSpPr>
        <xdr:cNvPr id="5" name="グループ化 4">
          <a:extLst>
            <a:ext uri="{FF2B5EF4-FFF2-40B4-BE49-F238E27FC236}">
              <a16:creationId xmlns:a16="http://schemas.microsoft.com/office/drawing/2014/main" id="{00000000-0008-0000-0F00-000005000000}"/>
            </a:ext>
          </a:extLst>
        </xdr:cNvPr>
        <xdr:cNvGrpSpPr/>
      </xdr:nvGrpSpPr>
      <xdr:grpSpPr>
        <a:xfrm>
          <a:off x="7800975" y="11430000"/>
          <a:ext cx="4086225" cy="4714875"/>
          <a:chOff x="8915400" y="10353675"/>
          <a:chExt cx="4600575" cy="4286250"/>
        </a:xfrm>
      </xdr:grpSpPr>
      <xdr:graphicFrame macro="">
        <xdr:nvGraphicFramePr>
          <xdr:cNvPr id="6" name="グラフ 5">
            <a:extLst>
              <a:ext uri="{FF2B5EF4-FFF2-40B4-BE49-F238E27FC236}">
                <a16:creationId xmlns:a16="http://schemas.microsoft.com/office/drawing/2014/main" id="{00000000-0008-0000-0F00-000006000000}"/>
              </a:ext>
            </a:extLst>
          </xdr:cNvPr>
          <xdr:cNvGraphicFramePr>
            <a:graphicFrameLocks/>
          </xdr:cNvGraphicFramePr>
        </xdr:nvGraphicFramePr>
        <xdr:xfrm>
          <a:off x="8915400" y="10353675"/>
          <a:ext cx="4572000" cy="2743200"/>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xmlns:a14="http://schemas.microsoft.com/office/drawing/2010/main">
        <mc:Choice Requires="a14">
          <xdr:pic>
            <xdr:nvPicPr>
              <xdr:cNvPr id="7" name="図 6">
                <a:extLst>
                  <a:ext uri="{FF2B5EF4-FFF2-40B4-BE49-F238E27FC236}">
                    <a16:creationId xmlns:a16="http://schemas.microsoft.com/office/drawing/2014/main" id="{00000000-0008-0000-0F00-000007000000}"/>
                  </a:ext>
                </a:extLst>
              </xdr:cNvPr>
              <xdr:cNvPicPr>
                <a:picLocks noChangeAspect="1" noChangeArrowheads="1"/>
                <a:extLst>
                  <a:ext uri="{84589F7E-364E-4C9E-8A38-B11213B215E9}">
                    <a14:cameraTool cellRange="$J$81:$K$88" spid="_x0000_s133430"/>
                  </a:ext>
                </a:extLst>
              </xdr:cNvPicPr>
            </xdr:nvPicPr>
            <xdr:blipFill>
              <a:blip xmlns:r="http://schemas.openxmlformats.org/officeDocument/2006/relationships" r:embed="rId4"/>
              <a:srcRect/>
              <a:stretch>
                <a:fillRect/>
              </a:stretch>
            </xdr:blipFill>
            <xdr:spPr bwMode="auto">
              <a:xfrm>
                <a:off x="12134850" y="13192125"/>
                <a:ext cx="1381125" cy="14478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25</xdr:col>
      <xdr:colOff>3174</xdr:colOff>
      <xdr:row>5</xdr:row>
      <xdr:rowOff>31750</xdr:rowOff>
    </xdr:from>
    <xdr:to>
      <xdr:col>31</xdr:col>
      <xdr:colOff>571524</xdr:colOff>
      <xdr:row>20</xdr:row>
      <xdr:rowOff>86650</xdr:rowOff>
    </xdr:to>
    <xdr:graphicFrame macro="">
      <xdr:nvGraphicFramePr>
        <xdr:cNvPr id="9" name="graph1">
          <a:extLst>
            <a:ext uri="{FF2B5EF4-FFF2-40B4-BE49-F238E27FC236}">
              <a16:creationId xmlns:a16="http://schemas.microsoft.com/office/drawing/2014/main" id="{00000000-0008-0000-0F00-00000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3174</xdr:colOff>
      <xdr:row>60</xdr:row>
      <xdr:rowOff>31750</xdr:rowOff>
    </xdr:from>
    <xdr:to>
      <xdr:col>31</xdr:col>
      <xdr:colOff>571524</xdr:colOff>
      <xdr:row>75</xdr:row>
      <xdr:rowOff>86650</xdr:rowOff>
    </xdr:to>
    <xdr:graphicFrame macro="">
      <xdr:nvGraphicFramePr>
        <xdr:cNvPr id="12" name="graph2">
          <a:extLst>
            <a:ext uri="{FF2B5EF4-FFF2-40B4-BE49-F238E27FC236}">
              <a16:creationId xmlns:a16="http://schemas.microsoft.com/office/drawing/2014/main" id="{00000000-0008-0000-0F00-00000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2</xdr:col>
      <xdr:colOff>504825</xdr:colOff>
      <xdr:row>2</xdr:row>
      <xdr:rowOff>57150</xdr:rowOff>
    </xdr:from>
    <xdr:to>
      <xdr:col>7</xdr:col>
      <xdr:colOff>676275</xdr:colOff>
      <xdr:row>15</xdr:row>
      <xdr:rowOff>147638</xdr:rowOff>
    </xdr:to>
    <xdr:graphicFrame macro="">
      <xdr:nvGraphicFramePr>
        <xdr:cNvPr id="8" name="グラフ 7">
          <a:extLst>
            <a:ext uri="{FF2B5EF4-FFF2-40B4-BE49-F238E27FC236}">
              <a16:creationId xmlns:a16="http://schemas.microsoft.com/office/drawing/2014/main" id="{0611EB8E-CF98-425F-A376-D405058626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0</xdr:colOff>
      <xdr:row>5</xdr:row>
      <xdr:rowOff>0</xdr:rowOff>
    </xdr:from>
    <xdr:to>
      <xdr:col>19</xdr:col>
      <xdr:colOff>485775</xdr:colOff>
      <xdr:row>29</xdr:row>
      <xdr:rowOff>133350</xdr:rowOff>
    </xdr:to>
    <xdr:grpSp>
      <xdr:nvGrpSpPr>
        <xdr:cNvPr id="2" name="グループ化 1">
          <a:extLst>
            <a:ext uri="{FF2B5EF4-FFF2-40B4-BE49-F238E27FC236}">
              <a16:creationId xmlns:a16="http://schemas.microsoft.com/office/drawing/2014/main" id="{00000000-0008-0000-1100-000002000000}"/>
            </a:ext>
          </a:extLst>
        </xdr:cNvPr>
        <xdr:cNvGrpSpPr/>
      </xdr:nvGrpSpPr>
      <xdr:grpSpPr>
        <a:xfrm>
          <a:off x="7800975" y="952500"/>
          <a:ext cx="4086225" cy="4705350"/>
          <a:chOff x="8915400" y="857250"/>
          <a:chExt cx="4600575" cy="4276725"/>
        </a:xfrm>
      </xdr:grpSpPr>
      <xdr:graphicFrame macro="">
        <xdr:nvGraphicFramePr>
          <xdr:cNvPr id="3" name="グラフ 2">
            <a:extLst>
              <a:ext uri="{FF2B5EF4-FFF2-40B4-BE49-F238E27FC236}">
                <a16:creationId xmlns:a16="http://schemas.microsoft.com/office/drawing/2014/main" id="{00000000-0008-0000-1100-000003000000}"/>
              </a:ext>
            </a:extLst>
          </xdr:cNvPr>
          <xdr:cNvGraphicFramePr>
            <a:graphicFrameLocks/>
          </xdr:cNvGraphicFramePr>
        </xdr:nvGraphicFramePr>
        <xdr:xfrm>
          <a:off x="8915400" y="857250"/>
          <a:ext cx="4572000" cy="274320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pic>
            <xdr:nvPicPr>
              <xdr:cNvPr id="4" name="図 3">
                <a:extLst>
                  <a:ext uri="{FF2B5EF4-FFF2-40B4-BE49-F238E27FC236}">
                    <a16:creationId xmlns:a16="http://schemas.microsoft.com/office/drawing/2014/main" id="{00000000-0008-0000-1100-000004000000}"/>
                  </a:ext>
                </a:extLst>
              </xdr:cNvPr>
              <xdr:cNvPicPr>
                <a:picLocks noChangeAspect="1" noChangeArrowheads="1"/>
                <a:extLst>
                  <a:ext uri="{84589F7E-364E-4C9E-8A38-B11213B215E9}">
                    <a14:cameraTool cellRange="$J$26:$K$33" spid="_x0000_s37531"/>
                  </a:ext>
                </a:extLst>
              </xdr:cNvPicPr>
            </xdr:nvPicPr>
            <xdr:blipFill>
              <a:blip xmlns:r="http://schemas.openxmlformats.org/officeDocument/2006/relationships" r:embed="rId2"/>
              <a:srcRect/>
              <a:stretch>
                <a:fillRect/>
              </a:stretch>
            </xdr:blipFill>
            <xdr:spPr bwMode="auto">
              <a:xfrm>
                <a:off x="12134850" y="3686175"/>
                <a:ext cx="1381125" cy="14478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0</xdr:colOff>
      <xdr:row>5</xdr:row>
      <xdr:rowOff>0</xdr:rowOff>
    </xdr:from>
    <xdr:to>
      <xdr:col>19</xdr:col>
      <xdr:colOff>485775</xdr:colOff>
      <xdr:row>29</xdr:row>
      <xdr:rowOff>123825</xdr:rowOff>
    </xdr:to>
    <xdr:grpSp>
      <xdr:nvGrpSpPr>
        <xdr:cNvPr id="2" name="グループ化 1">
          <a:extLst>
            <a:ext uri="{FF2B5EF4-FFF2-40B4-BE49-F238E27FC236}">
              <a16:creationId xmlns:a16="http://schemas.microsoft.com/office/drawing/2014/main" id="{00000000-0008-0000-1200-000002000000}"/>
            </a:ext>
          </a:extLst>
        </xdr:cNvPr>
        <xdr:cNvGrpSpPr/>
      </xdr:nvGrpSpPr>
      <xdr:grpSpPr>
        <a:xfrm>
          <a:off x="7800975" y="952500"/>
          <a:ext cx="4086225" cy="4695825"/>
          <a:chOff x="8915400" y="857250"/>
          <a:chExt cx="4600575" cy="4267200"/>
        </a:xfrm>
      </xdr:grpSpPr>
      <xdr:graphicFrame macro="">
        <xdr:nvGraphicFramePr>
          <xdr:cNvPr id="3" name="グラフ 2">
            <a:extLst>
              <a:ext uri="{FF2B5EF4-FFF2-40B4-BE49-F238E27FC236}">
                <a16:creationId xmlns:a16="http://schemas.microsoft.com/office/drawing/2014/main" id="{00000000-0008-0000-1200-000003000000}"/>
              </a:ext>
            </a:extLst>
          </xdr:cNvPr>
          <xdr:cNvGraphicFramePr>
            <a:graphicFrameLocks/>
          </xdr:cNvGraphicFramePr>
        </xdr:nvGraphicFramePr>
        <xdr:xfrm>
          <a:off x="8915400" y="857250"/>
          <a:ext cx="4572000" cy="274320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pic>
            <xdr:nvPicPr>
              <xdr:cNvPr id="4" name="図 3">
                <a:extLst>
                  <a:ext uri="{FF2B5EF4-FFF2-40B4-BE49-F238E27FC236}">
                    <a16:creationId xmlns:a16="http://schemas.microsoft.com/office/drawing/2014/main" id="{00000000-0008-0000-1200-000004000000}"/>
                  </a:ext>
                </a:extLst>
              </xdr:cNvPr>
              <xdr:cNvPicPr>
                <a:picLocks noChangeAspect="1" noChangeArrowheads="1"/>
                <a:extLst>
                  <a:ext uri="{84589F7E-364E-4C9E-8A38-B11213B215E9}">
                    <a14:cameraTool cellRange="$J$26:$K$33" spid="_x0000_s38555"/>
                  </a:ext>
                </a:extLst>
              </xdr:cNvPicPr>
            </xdr:nvPicPr>
            <xdr:blipFill>
              <a:blip xmlns:r="http://schemas.openxmlformats.org/officeDocument/2006/relationships" r:embed="rId2"/>
              <a:srcRect/>
              <a:stretch>
                <a:fillRect/>
              </a:stretch>
            </xdr:blipFill>
            <xdr:spPr bwMode="auto">
              <a:xfrm>
                <a:off x="12134850" y="3676650"/>
                <a:ext cx="1381125" cy="14478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0</xdr:colOff>
      <xdr:row>5</xdr:row>
      <xdr:rowOff>0</xdr:rowOff>
    </xdr:from>
    <xdr:to>
      <xdr:col>20</xdr:col>
      <xdr:colOff>284032</xdr:colOff>
      <xdr:row>29</xdr:row>
      <xdr:rowOff>21607</xdr:rowOff>
    </xdr:to>
    <xdr:grpSp>
      <xdr:nvGrpSpPr>
        <xdr:cNvPr id="2" name="graph21">
          <a:extLst>
            <a:ext uri="{FF2B5EF4-FFF2-40B4-BE49-F238E27FC236}">
              <a16:creationId xmlns:a16="http://schemas.microsoft.com/office/drawing/2014/main" id="{00000000-0008-0000-1300-000002000000}"/>
            </a:ext>
          </a:extLst>
        </xdr:cNvPr>
        <xdr:cNvGrpSpPr>
          <a:grpSpLocks noChangeAspect="1"/>
        </xdr:cNvGrpSpPr>
      </xdr:nvGrpSpPr>
      <xdr:grpSpPr>
        <a:xfrm>
          <a:off x="7829550" y="952500"/>
          <a:ext cx="4503607" cy="4593607"/>
          <a:chOff x="8915400" y="857250"/>
          <a:chExt cx="4591050" cy="4248150"/>
        </a:xfrm>
      </xdr:grpSpPr>
      <xdr:graphicFrame macro="">
        <xdr:nvGraphicFramePr>
          <xdr:cNvPr id="3" name="グラフ 2">
            <a:extLst>
              <a:ext uri="{FF2B5EF4-FFF2-40B4-BE49-F238E27FC236}">
                <a16:creationId xmlns:a16="http://schemas.microsoft.com/office/drawing/2014/main" id="{00000000-0008-0000-1300-000003000000}"/>
              </a:ext>
            </a:extLst>
          </xdr:cNvPr>
          <xdr:cNvGraphicFramePr>
            <a:graphicFrameLocks/>
          </xdr:cNvGraphicFramePr>
        </xdr:nvGraphicFramePr>
        <xdr:xfrm>
          <a:off x="8915400" y="857250"/>
          <a:ext cx="4572000" cy="274320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mc:Choice xmlns:a14="http://schemas.microsoft.com/office/drawing/2010/main" Requires="a14">
          <xdr:pic>
            <xdr:nvPicPr>
              <xdr:cNvPr id="4" name="図 3">
                <a:extLst>
                  <a:ext uri="{FF2B5EF4-FFF2-40B4-BE49-F238E27FC236}">
                    <a16:creationId xmlns:a16="http://schemas.microsoft.com/office/drawing/2014/main" id="{00000000-0008-0000-1300-000004000000}"/>
                  </a:ext>
                </a:extLst>
              </xdr:cNvPr>
              <xdr:cNvPicPr>
                <a:picLocks noChangeAspect="1" noChangeArrowheads="1"/>
                <a:extLst>
                  <a:ext uri="{84589F7E-364E-4C9E-8A38-B11213B215E9}">
                    <a14:cameraTool cellRange="$J$26:$K$33" spid="_x0000_s200898"/>
                  </a:ext>
                </a:extLst>
              </xdr:cNvPicPr>
            </xdr:nvPicPr>
            <xdr:blipFill>
              <a:blip xmlns:r="http://schemas.openxmlformats.org/officeDocument/2006/relationships" r:embed="rId2"/>
              <a:srcRect/>
              <a:stretch>
                <a:fillRect/>
              </a:stretch>
            </xdr:blipFill>
            <xdr:spPr bwMode="auto">
              <a:xfrm>
                <a:off x="12125325" y="3657600"/>
                <a:ext cx="1381125" cy="1447800"/>
              </a:xfrm>
              <a:prstGeom prst="rect">
                <a:avLst/>
              </a:prstGeom>
              <a:noFill/>
              <a:extLst>
                <a:ext uri="{909E8E84-426E-40DD-AFC4-6F175D3DCCD1}">
                  <a14:hiddenFill>
                    <a:solidFill>
                      <a:srgbClr val="FFFFFF"/>
                    </a:solidFill>
                  </a14:hiddenFill>
                </a:ext>
              </a:extLst>
            </xdr:spPr>
          </xdr:pic>
        </mc:Choice>
        <mc:Fallback/>
      </mc:AlternateContent>
    </xdr:grpSp>
    <xdr:clientData/>
  </xdr:twoCellAnchor>
  <xdr:twoCellAnchor>
    <xdr:from>
      <xdr:col>13</xdr:col>
      <xdr:colOff>0</xdr:colOff>
      <xdr:row>42</xdr:row>
      <xdr:rowOff>0</xdr:rowOff>
    </xdr:from>
    <xdr:to>
      <xdr:col>19</xdr:col>
      <xdr:colOff>458623</xdr:colOff>
      <xdr:row>57</xdr:row>
      <xdr:rowOff>8543</xdr:rowOff>
    </xdr:to>
    <xdr:graphicFrame macro="">
      <xdr:nvGraphicFramePr>
        <xdr:cNvPr id="5" name="graph3">
          <a:extLst>
            <a:ext uri="{FF2B5EF4-FFF2-40B4-BE49-F238E27FC236}">
              <a16:creationId xmlns:a16="http://schemas.microsoft.com/office/drawing/2014/main" id="{00000000-0008-0000-13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66</xdr:row>
      <xdr:rowOff>0</xdr:rowOff>
    </xdr:from>
    <xdr:to>
      <xdr:col>19</xdr:col>
      <xdr:colOff>458623</xdr:colOff>
      <xdr:row>81</xdr:row>
      <xdr:rowOff>8543</xdr:rowOff>
    </xdr:to>
    <xdr:graphicFrame macro="">
      <xdr:nvGraphicFramePr>
        <xdr:cNvPr id="6" name="graph4">
          <a:extLst>
            <a:ext uri="{FF2B5EF4-FFF2-40B4-BE49-F238E27FC236}">
              <a16:creationId xmlns:a16="http://schemas.microsoft.com/office/drawing/2014/main" id="{00000000-0008-0000-13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33</xdr:col>
      <xdr:colOff>0</xdr:colOff>
      <xdr:row>1</xdr:row>
      <xdr:rowOff>0</xdr:rowOff>
    </xdr:from>
    <xdr:to>
      <xdr:col>39</xdr:col>
      <xdr:colOff>596900</xdr:colOff>
      <xdr:row>22</xdr:row>
      <xdr:rowOff>133350</xdr:rowOff>
    </xdr:to>
    <xdr:grpSp>
      <xdr:nvGrpSpPr>
        <xdr:cNvPr id="9" name="グループ化 8">
          <a:extLst>
            <a:ext uri="{FF2B5EF4-FFF2-40B4-BE49-F238E27FC236}">
              <a16:creationId xmlns:a16="http://schemas.microsoft.com/office/drawing/2014/main" id="{7A9DB0E4-CD66-4A11-BD40-C436E868C4D4}"/>
            </a:ext>
          </a:extLst>
        </xdr:cNvPr>
        <xdr:cNvGrpSpPr/>
      </xdr:nvGrpSpPr>
      <xdr:grpSpPr>
        <a:xfrm>
          <a:off x="20145375" y="190500"/>
          <a:ext cx="4197350" cy="4133850"/>
          <a:chOff x="21101050" y="165100"/>
          <a:chExt cx="4368800" cy="3651250"/>
        </a:xfrm>
      </xdr:grpSpPr>
      <xdr:graphicFrame macro="">
        <xdr:nvGraphicFramePr>
          <xdr:cNvPr id="7" name="グラフ 6">
            <a:extLst>
              <a:ext uri="{FF2B5EF4-FFF2-40B4-BE49-F238E27FC236}">
                <a16:creationId xmlns:a16="http://schemas.microsoft.com/office/drawing/2014/main" id="{02F4FDFA-0FB6-47B3-B663-AE3C0939D2BD}"/>
              </a:ext>
            </a:extLst>
          </xdr:cNvPr>
          <xdr:cNvGraphicFramePr>
            <a:graphicFrameLocks/>
          </xdr:cNvGraphicFramePr>
        </xdr:nvGraphicFramePr>
        <xdr:xfrm>
          <a:off x="21101050" y="165100"/>
          <a:ext cx="4368800" cy="2908300"/>
        </xdr:xfrm>
        <a:graphic>
          <a:graphicData uri="http://schemas.openxmlformats.org/drawingml/2006/chart">
            <c:chart xmlns:c="http://schemas.openxmlformats.org/drawingml/2006/chart" xmlns:r="http://schemas.openxmlformats.org/officeDocument/2006/relationships" r:id="rId5"/>
          </a:graphicData>
        </a:graphic>
      </xdr:graphicFrame>
      <mc:AlternateContent xmlns:mc="http://schemas.openxmlformats.org/markup-compatibility/2006" xmlns:a14="http://schemas.microsoft.com/office/drawing/2010/main">
        <mc:Choice Requires="a14">
          <xdr:pic>
            <xdr:nvPicPr>
              <xdr:cNvPr id="8" name="図 7">
                <a:extLst>
                  <a:ext uri="{FF2B5EF4-FFF2-40B4-BE49-F238E27FC236}">
                    <a16:creationId xmlns:a16="http://schemas.microsoft.com/office/drawing/2014/main" id="{11B43D0E-EEB3-46C3-9E44-40D24C906834}"/>
                  </a:ext>
                </a:extLst>
              </xdr:cNvPr>
              <xdr:cNvPicPr>
                <a:picLocks noChangeAspect="1" noChangeArrowheads="1"/>
                <a:extLst>
                  <a:ext uri="{84589F7E-364E-4C9E-8A38-B11213B215E9}">
                    <a14:cameraTool cellRange="$AE$7:$AF$10" spid="_x0000_s200899"/>
                  </a:ext>
                </a:extLst>
              </xdr:cNvPicPr>
            </xdr:nvPicPr>
            <xdr:blipFill>
              <a:blip xmlns:r="http://schemas.openxmlformats.org/officeDocument/2006/relationships" r:embed="rId6"/>
              <a:srcRect/>
              <a:stretch>
                <a:fillRect/>
              </a:stretch>
            </xdr:blipFill>
            <xdr:spPr bwMode="auto">
              <a:xfrm>
                <a:off x="24206200" y="3098800"/>
                <a:ext cx="1263650" cy="71755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wsDr>
</file>

<file path=xl/drawings/drawing27.xml><?xml version="1.0" encoding="utf-8"?>
<xdr:wsDr xmlns:xdr="http://schemas.openxmlformats.org/drawingml/2006/spreadsheetDrawing" xmlns:a="http://schemas.openxmlformats.org/drawingml/2006/main">
  <xdr:twoCellAnchor>
    <xdr:from>
      <xdr:col>12</xdr:col>
      <xdr:colOff>15875</xdr:colOff>
      <xdr:row>2</xdr:row>
      <xdr:rowOff>12700</xdr:rowOff>
    </xdr:from>
    <xdr:to>
      <xdr:col>21</xdr:col>
      <xdr:colOff>585789</xdr:colOff>
      <xdr:row>25</xdr:row>
      <xdr:rowOff>82550</xdr:rowOff>
    </xdr:to>
    <xdr:grpSp>
      <xdr:nvGrpSpPr>
        <xdr:cNvPr id="4" name="graph11">
          <a:extLst>
            <a:ext uri="{FF2B5EF4-FFF2-40B4-BE49-F238E27FC236}">
              <a16:creationId xmlns:a16="http://schemas.microsoft.com/office/drawing/2014/main" id="{FCCFAB4F-8EDA-4FFF-98C0-59D8C319891B}"/>
            </a:ext>
          </a:extLst>
        </xdr:cNvPr>
        <xdr:cNvGrpSpPr/>
      </xdr:nvGrpSpPr>
      <xdr:grpSpPr>
        <a:xfrm>
          <a:off x="6302375" y="393700"/>
          <a:ext cx="5922964" cy="4451350"/>
          <a:chOff x="6619875" y="342900"/>
          <a:chExt cx="6196014" cy="4108450"/>
        </a:xfrm>
      </xdr:grpSpPr>
      <xdr:graphicFrame macro="">
        <xdr:nvGraphicFramePr>
          <xdr:cNvPr id="2" name="グラフ 1">
            <a:extLst>
              <a:ext uri="{FF2B5EF4-FFF2-40B4-BE49-F238E27FC236}">
                <a16:creationId xmlns:a16="http://schemas.microsoft.com/office/drawing/2014/main" id="{00000000-0008-0000-1400-000002000000}"/>
              </a:ext>
            </a:extLst>
          </xdr:cNvPr>
          <xdr:cNvGraphicFramePr>
            <a:graphicFrameLocks/>
          </xdr:cNvGraphicFramePr>
        </xdr:nvGraphicFramePr>
        <xdr:xfrm>
          <a:off x="6619875" y="342900"/>
          <a:ext cx="6196014" cy="344805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pic>
            <xdr:nvPicPr>
              <xdr:cNvPr id="3" name="図 2">
                <a:extLst>
                  <a:ext uri="{FF2B5EF4-FFF2-40B4-BE49-F238E27FC236}">
                    <a16:creationId xmlns:a16="http://schemas.microsoft.com/office/drawing/2014/main" id="{06FFC0BF-1249-40A2-8EC6-66C753A2E4B7}"/>
                  </a:ext>
                </a:extLst>
              </xdr:cNvPr>
              <xdr:cNvPicPr>
                <a:picLocks noChangeAspect="1" noChangeArrowheads="1"/>
                <a:extLst>
                  <a:ext uri="{84589F7E-364E-4C9E-8A38-B11213B215E9}">
                    <a14:cameraTool cellRange="$S$54:$AA$56" spid="_x0000_s82478"/>
                  </a:ext>
                </a:extLst>
              </xdr:cNvPicPr>
            </xdr:nvPicPr>
            <xdr:blipFill>
              <a:blip xmlns:r="http://schemas.openxmlformats.org/officeDocument/2006/relationships" r:embed="rId2"/>
              <a:srcRect/>
              <a:stretch>
                <a:fillRect/>
              </a:stretch>
            </xdr:blipFill>
            <xdr:spPr bwMode="auto">
              <a:xfrm>
                <a:off x="6629400" y="3848100"/>
                <a:ext cx="6138956" cy="60325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wsDr>
</file>

<file path=xl/drawings/drawing28.xml><?xml version="1.0" encoding="utf-8"?>
<xdr:wsDr xmlns:xdr="http://schemas.openxmlformats.org/drawingml/2006/spreadsheetDrawing" xmlns:a="http://schemas.openxmlformats.org/drawingml/2006/main">
  <xdr:twoCellAnchor>
    <xdr:from>
      <xdr:col>11</xdr:col>
      <xdr:colOff>584199</xdr:colOff>
      <xdr:row>3</xdr:row>
      <xdr:rowOff>0</xdr:rowOff>
    </xdr:from>
    <xdr:to>
      <xdr:col>21</xdr:col>
      <xdr:colOff>471489</xdr:colOff>
      <xdr:row>26</xdr:row>
      <xdr:rowOff>82550</xdr:rowOff>
    </xdr:to>
    <xdr:grpSp>
      <xdr:nvGrpSpPr>
        <xdr:cNvPr id="4" name="graph12">
          <a:extLst>
            <a:ext uri="{FF2B5EF4-FFF2-40B4-BE49-F238E27FC236}">
              <a16:creationId xmlns:a16="http://schemas.microsoft.com/office/drawing/2014/main" id="{AEFA0A8A-BFA6-412B-9A5F-9162E652AF9A}"/>
            </a:ext>
          </a:extLst>
        </xdr:cNvPr>
        <xdr:cNvGrpSpPr/>
      </xdr:nvGrpSpPr>
      <xdr:grpSpPr>
        <a:xfrm>
          <a:off x="6327774" y="571500"/>
          <a:ext cx="5830890" cy="4464050"/>
          <a:chOff x="6616699" y="495300"/>
          <a:chExt cx="6122990" cy="4133850"/>
        </a:xfrm>
      </xdr:grpSpPr>
      <xdr:graphicFrame macro="">
        <xdr:nvGraphicFramePr>
          <xdr:cNvPr id="2" name="グラフ 1">
            <a:extLst>
              <a:ext uri="{FF2B5EF4-FFF2-40B4-BE49-F238E27FC236}">
                <a16:creationId xmlns:a16="http://schemas.microsoft.com/office/drawing/2014/main" id="{00000000-0008-0000-1600-000002000000}"/>
              </a:ext>
            </a:extLst>
          </xdr:cNvPr>
          <xdr:cNvGraphicFramePr>
            <a:graphicFrameLocks/>
          </xdr:cNvGraphicFramePr>
        </xdr:nvGraphicFramePr>
        <xdr:xfrm>
          <a:off x="6642100" y="495300"/>
          <a:ext cx="6097589" cy="3451225"/>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pic>
            <xdr:nvPicPr>
              <xdr:cNvPr id="3" name="図 2">
                <a:extLst>
                  <a:ext uri="{FF2B5EF4-FFF2-40B4-BE49-F238E27FC236}">
                    <a16:creationId xmlns:a16="http://schemas.microsoft.com/office/drawing/2014/main" id="{A19E2B21-4536-4CB8-95BC-EA48C49CFE65}"/>
                  </a:ext>
                </a:extLst>
              </xdr:cNvPr>
              <xdr:cNvPicPr>
                <a:picLocks noChangeAspect="1" noChangeArrowheads="1"/>
                <a:extLst>
                  <a:ext uri="{84589F7E-364E-4C9E-8A38-B11213B215E9}">
                    <a14:cameraTool cellRange="$S$59:$AA$61" spid="_x0000_s83502"/>
                  </a:ext>
                </a:extLst>
              </xdr:cNvPicPr>
            </xdr:nvPicPr>
            <xdr:blipFill>
              <a:blip xmlns:r="http://schemas.openxmlformats.org/officeDocument/2006/relationships" r:embed="rId2"/>
              <a:srcRect/>
              <a:stretch>
                <a:fillRect/>
              </a:stretch>
            </xdr:blipFill>
            <xdr:spPr bwMode="auto">
              <a:xfrm>
                <a:off x="6616699" y="4032250"/>
                <a:ext cx="6074335" cy="596900"/>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205740</xdr:colOff>
      <xdr:row>1</xdr:row>
      <xdr:rowOff>133350</xdr:rowOff>
    </xdr:from>
    <xdr:to>
      <xdr:col>20</xdr:col>
      <xdr:colOff>510540</xdr:colOff>
      <xdr:row>18</xdr:row>
      <xdr:rowOff>26670</xdr:rowOff>
    </xdr:to>
    <xdr:graphicFrame macro="">
      <xdr:nvGraphicFramePr>
        <xdr:cNvPr id="2" name="グラフ 1">
          <a:extLst>
            <a:ext uri="{FF2B5EF4-FFF2-40B4-BE49-F238E27FC236}">
              <a16:creationId xmlns:a16="http://schemas.microsoft.com/office/drawing/2014/main" id="{60F25F8A-D512-4E24-BCC2-0F86433A3F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59"/>
  <sheetViews>
    <sheetView topLeftCell="A19" zoomScaleNormal="100" workbookViewId="0">
      <selection activeCell="K57" sqref="K57"/>
    </sheetView>
  </sheetViews>
  <sheetFormatPr defaultColWidth="9" defaultRowHeight="15"/>
  <cols>
    <col min="1" max="16384" width="9" style="1"/>
  </cols>
  <sheetData>
    <row r="1" spans="1:13">
      <c r="A1" s="1" t="s">
        <v>166</v>
      </c>
    </row>
    <row r="2" spans="1:13">
      <c r="A2" s="1" t="s">
        <v>160</v>
      </c>
      <c r="B2" s="1" t="s">
        <v>164</v>
      </c>
      <c r="C2" s="1">
        <v>844.96299999999997</v>
      </c>
      <c r="D2" s="1" t="s">
        <v>196</v>
      </c>
      <c r="E2" s="1">
        <v>844.93600000000004</v>
      </c>
    </row>
    <row r="3" spans="1:13">
      <c r="A3" s="1" t="s">
        <v>167</v>
      </c>
      <c r="B3" s="1" t="s">
        <v>162</v>
      </c>
      <c r="C3" s="1">
        <v>2.7E-2</v>
      </c>
      <c r="D3" s="1" t="s">
        <v>163</v>
      </c>
      <c r="E3" s="1">
        <v>5.0999999999999997E-2</v>
      </c>
      <c r="F3" s="1" t="s">
        <v>158</v>
      </c>
    </row>
    <row r="4" spans="1:13">
      <c r="A4" s="2" t="s">
        <v>168</v>
      </c>
      <c r="B4" s="1" t="s">
        <v>169</v>
      </c>
      <c r="C4" s="1">
        <v>-5.0999999999999997E-2</v>
      </c>
    </row>
    <row r="6" spans="1:13">
      <c r="A6" s="1" t="s">
        <v>1301</v>
      </c>
      <c r="C6" s="1" t="s">
        <v>161</v>
      </c>
      <c r="H6" s="3"/>
      <c r="I6" s="3" t="str">
        <f>CONCATENATE(A6," : ",MID(A1,11,3))</f>
        <v>JHV723EJ : 101</v>
      </c>
      <c r="J6" s="3"/>
      <c r="K6" s="3" t="s">
        <v>0</v>
      </c>
      <c r="L6" s="3" t="s">
        <v>1</v>
      </c>
      <c r="M6" s="3" t="s">
        <v>2</v>
      </c>
    </row>
    <row r="7" spans="1:13">
      <c r="A7" s="1" t="s">
        <v>159</v>
      </c>
      <c r="B7" s="1" t="s">
        <v>170</v>
      </c>
      <c r="C7" s="1">
        <v>422.40300000000002</v>
      </c>
      <c r="H7" s="4">
        <v>1</v>
      </c>
      <c r="I7" s="3" t="str">
        <f>CONCATENATE("点A(", H7,"/8)")</f>
        <v>点A(1/8)</v>
      </c>
      <c r="J7" s="3">
        <f>MATCH(I7, A$7:A$53, 0)</f>
        <v>2</v>
      </c>
      <c r="K7" s="3">
        <f ca="1">OFFSET(C$6, J7-1, 0)</f>
        <v>422.40300000000002</v>
      </c>
      <c r="L7" s="3">
        <f>($E$2+$C$4)/2</f>
        <v>422.4425</v>
      </c>
      <c r="M7" s="3">
        <f>($E$2+$E$3)/2</f>
        <v>422.49350000000004</v>
      </c>
    </row>
    <row r="8" spans="1:13">
      <c r="A8" s="1" t="s">
        <v>295</v>
      </c>
      <c r="B8" s="1" t="s">
        <v>171</v>
      </c>
      <c r="C8" s="1">
        <v>-2E-3</v>
      </c>
      <c r="H8" s="4">
        <v>8</v>
      </c>
      <c r="I8" s="3" t="str">
        <f t="shared" ref="I8:I14" si="0">CONCATENATE("点A(", H8,"/8)")</f>
        <v>点A(8/8)</v>
      </c>
      <c r="J8" s="3">
        <f>MATCH(I8, A$7:A$53, 0)</f>
        <v>23</v>
      </c>
      <c r="K8" s="3">
        <f ca="1">OFFSET(C$6, J8-1, 0)</f>
        <v>422.41899999999998</v>
      </c>
      <c r="L8" s="3">
        <f>L7</f>
        <v>422.4425</v>
      </c>
      <c r="M8" s="3">
        <f>M7</f>
        <v>422.49350000000004</v>
      </c>
    </row>
    <row r="9" spans="1:13">
      <c r="A9" s="2" t="s">
        <v>172</v>
      </c>
      <c r="B9" s="1" t="s">
        <v>157</v>
      </c>
      <c r="C9" s="1">
        <v>-2.569</v>
      </c>
      <c r="H9" s="3">
        <v>7</v>
      </c>
      <c r="I9" s="3" t="str">
        <f t="shared" si="0"/>
        <v>点A(7/8)</v>
      </c>
      <c r="J9" s="3">
        <f t="shared" ref="J9:J14" si="1">MATCH(I9, A$7:A$53, 0)</f>
        <v>20</v>
      </c>
      <c r="K9" s="3">
        <f t="shared" ref="K9:K14" ca="1" si="2">OFFSET(C$6, J9-1, 0)</f>
        <v>422.387</v>
      </c>
      <c r="L9" s="3">
        <f t="shared" ref="L9:M14" si="3">L8</f>
        <v>422.4425</v>
      </c>
      <c r="M9" s="3">
        <f t="shared" si="3"/>
        <v>422.49350000000004</v>
      </c>
    </row>
    <row r="10" spans="1:13">
      <c r="A10" s="1" t="s">
        <v>159</v>
      </c>
      <c r="B10" s="1" t="s">
        <v>170</v>
      </c>
      <c r="C10" s="1">
        <v>422.40499999999997</v>
      </c>
      <c r="H10" s="3">
        <v>6</v>
      </c>
      <c r="I10" s="3" t="str">
        <f t="shared" si="0"/>
        <v>点A(6/8)</v>
      </c>
      <c r="J10" s="3">
        <f t="shared" si="1"/>
        <v>17</v>
      </c>
      <c r="K10" s="3">
        <f t="shared" ca="1" si="2"/>
        <v>422.47800000000001</v>
      </c>
      <c r="L10" s="3">
        <f t="shared" si="3"/>
        <v>422.4425</v>
      </c>
      <c r="M10" s="3">
        <f t="shared" si="3"/>
        <v>422.49350000000004</v>
      </c>
    </row>
    <row r="11" spans="1:13">
      <c r="A11" s="1" t="s">
        <v>296</v>
      </c>
      <c r="B11" s="1" t="s">
        <v>171</v>
      </c>
      <c r="C11" s="1">
        <v>2E-3</v>
      </c>
      <c r="H11" s="3">
        <v>5</v>
      </c>
      <c r="I11" s="3" t="str">
        <f t="shared" si="0"/>
        <v>点A(5/8)</v>
      </c>
      <c r="J11" s="3">
        <f t="shared" si="1"/>
        <v>14</v>
      </c>
      <c r="K11" s="3">
        <f t="shared" ca="1" si="2"/>
        <v>422.51600000000002</v>
      </c>
      <c r="L11" s="3">
        <f t="shared" si="3"/>
        <v>422.4425</v>
      </c>
      <c r="M11" s="3">
        <f t="shared" si="3"/>
        <v>422.49350000000004</v>
      </c>
    </row>
    <row r="12" spans="1:13">
      <c r="A12" s="2" t="s">
        <v>173</v>
      </c>
      <c r="B12" s="1" t="s">
        <v>157</v>
      </c>
      <c r="C12" s="1">
        <v>-2.524</v>
      </c>
      <c r="H12" s="3">
        <v>4</v>
      </c>
      <c r="I12" s="3" t="str">
        <f t="shared" si="0"/>
        <v>点A(4/8)</v>
      </c>
      <c r="J12" s="3">
        <f t="shared" si="1"/>
        <v>11</v>
      </c>
      <c r="K12" s="3">
        <f t="shared" ca="1" si="2"/>
        <v>422.58300000000003</v>
      </c>
      <c r="L12" s="3">
        <f t="shared" si="3"/>
        <v>422.4425</v>
      </c>
      <c r="M12" s="3">
        <f t="shared" si="3"/>
        <v>422.49350000000004</v>
      </c>
    </row>
    <row r="13" spans="1:13">
      <c r="A13" s="1" t="s">
        <v>159</v>
      </c>
      <c r="B13" s="1" t="s">
        <v>170</v>
      </c>
      <c r="C13" s="1">
        <v>422.66800000000001</v>
      </c>
      <c r="H13" s="3">
        <v>3</v>
      </c>
      <c r="I13" s="3" t="str">
        <f t="shared" si="0"/>
        <v>点A(3/8)</v>
      </c>
      <c r="J13" s="3">
        <f t="shared" si="1"/>
        <v>8</v>
      </c>
      <c r="K13" s="3">
        <f t="shared" ca="1" si="2"/>
        <v>422.66800000000001</v>
      </c>
      <c r="L13" s="3">
        <f t="shared" si="3"/>
        <v>422.4425</v>
      </c>
      <c r="M13" s="3">
        <f t="shared" si="3"/>
        <v>422.49350000000004</v>
      </c>
    </row>
    <row r="14" spans="1:13">
      <c r="A14" s="1" t="s">
        <v>297</v>
      </c>
      <c r="B14" s="1" t="s">
        <v>171</v>
      </c>
      <c r="C14" s="1">
        <v>-1E-3</v>
      </c>
      <c r="H14" s="3">
        <v>2</v>
      </c>
      <c r="I14" s="3" t="str">
        <f t="shared" si="0"/>
        <v>点A(2/8)</v>
      </c>
      <c r="J14" s="3">
        <f t="shared" si="1"/>
        <v>5</v>
      </c>
      <c r="K14" s="3">
        <f t="shared" ca="1" si="2"/>
        <v>422.40499999999997</v>
      </c>
      <c r="L14" s="3">
        <f t="shared" si="3"/>
        <v>422.4425</v>
      </c>
      <c r="M14" s="3">
        <f t="shared" si="3"/>
        <v>422.49350000000004</v>
      </c>
    </row>
    <row r="15" spans="1:13">
      <c r="A15" s="2" t="s">
        <v>174</v>
      </c>
      <c r="B15" s="1" t="s">
        <v>157</v>
      </c>
      <c r="C15" s="1">
        <v>-2.5950000000000002</v>
      </c>
      <c r="H15" s="3"/>
      <c r="I15" s="3"/>
      <c r="J15" s="3"/>
      <c r="K15" s="3"/>
      <c r="L15" s="3"/>
      <c r="M15" s="3"/>
    </row>
    <row r="16" spans="1:13">
      <c r="A16" s="1" t="s">
        <v>159</v>
      </c>
      <c r="B16" s="1" t="s">
        <v>170</v>
      </c>
      <c r="C16" s="1">
        <v>422.58300000000003</v>
      </c>
      <c r="H16" s="3"/>
      <c r="I16" s="3"/>
      <c r="J16" s="5" t="s">
        <v>3</v>
      </c>
      <c r="K16" s="3" t="str">
        <f>"&gt;"&amp;TEXT(($E$2+$E$3)/2, "0.###")</f>
        <v>&gt;422.494</v>
      </c>
      <c r="L16" s="3"/>
      <c r="M16" s="3"/>
    </row>
    <row r="17" spans="1:13">
      <c r="A17" s="1" t="s">
        <v>298</v>
      </c>
      <c r="B17" s="1" t="s">
        <v>171</v>
      </c>
      <c r="C17" s="1">
        <v>0</v>
      </c>
      <c r="H17" s="3"/>
      <c r="I17" s="3"/>
      <c r="J17" s="6" t="s">
        <v>4</v>
      </c>
      <c r="K17" s="3" t="str">
        <f>"&lt;"&amp;TEXT(($E$2+$C$4)/2, "0.###")</f>
        <v>&lt;422.443</v>
      </c>
      <c r="L17" s="3"/>
      <c r="M17" s="3"/>
    </row>
    <row r="18" spans="1:13">
      <c r="A18" s="2" t="s">
        <v>184</v>
      </c>
      <c r="B18" s="1" t="s">
        <v>157</v>
      </c>
      <c r="C18" s="1">
        <v>-2.536</v>
      </c>
      <c r="H18" s="3"/>
      <c r="I18" s="3"/>
      <c r="J18" s="7"/>
      <c r="K18" s="8" t="s">
        <v>5</v>
      </c>
      <c r="L18" s="3"/>
      <c r="M18" s="3"/>
    </row>
    <row r="19" spans="1:13">
      <c r="A19" s="1" t="s">
        <v>159</v>
      </c>
      <c r="B19" s="1" t="s">
        <v>170</v>
      </c>
      <c r="C19" s="1">
        <v>422.51600000000002</v>
      </c>
      <c r="E19" s="35"/>
      <c r="H19" s="3"/>
      <c r="I19" s="3"/>
      <c r="J19" s="9" t="s">
        <v>6</v>
      </c>
      <c r="K19" s="10">
        <f ca="1">AVERAGE(K7:K14)*2</f>
        <v>844.96475000000009</v>
      </c>
      <c r="L19" s="3"/>
      <c r="M19" s="3"/>
    </row>
    <row r="20" spans="1:13">
      <c r="A20" s="1" t="s">
        <v>299</v>
      </c>
      <c r="B20" s="1" t="s">
        <v>171</v>
      </c>
      <c r="C20" s="1">
        <v>-1E-3</v>
      </c>
      <c r="H20" s="3"/>
      <c r="I20" s="3"/>
      <c r="J20" s="9"/>
      <c r="K20" s="11" t="str">
        <f ca="1">IF(K19&lt;$E$2+$C$4, "U/Min "&amp;TEXT($E$2+$C$4-K19, "0.###"), IF(K19&gt;$E$2+$E$3, "O/Max "&amp;TEXT(K19-$E$2-$E$3, "0.###"), "-"))</f>
        <v>-</v>
      </c>
      <c r="L20" s="3"/>
      <c r="M20" s="3"/>
    </row>
    <row r="21" spans="1:13">
      <c r="A21" s="2" t="s">
        <v>185</v>
      </c>
      <c r="B21" s="1" t="s">
        <v>157</v>
      </c>
      <c r="C21" s="1">
        <v>-2.544</v>
      </c>
      <c r="H21" s="3"/>
      <c r="I21" s="3"/>
      <c r="J21" s="9" t="s">
        <v>7</v>
      </c>
      <c r="K21" s="10">
        <f ca="1">MAX(K7:K14)-MIN(K7:K14)</f>
        <v>0.28100000000000591</v>
      </c>
      <c r="L21" s="3"/>
      <c r="M21" s="3"/>
    </row>
    <row r="22" spans="1:13">
      <c r="A22" s="1" t="s">
        <v>159</v>
      </c>
      <c r="B22" s="1" t="s">
        <v>170</v>
      </c>
      <c r="C22" s="1">
        <v>422.47800000000001</v>
      </c>
      <c r="H22" s="3"/>
      <c r="I22" s="3"/>
      <c r="J22" s="9"/>
      <c r="K22" s="11" t="str">
        <f ca="1">IF(K21&gt;0.64, "O/Max "&amp;TEXT(K21-0.13, "0.###"), "-")</f>
        <v>-</v>
      </c>
      <c r="L22" s="3"/>
      <c r="M22" s="3"/>
    </row>
    <row r="23" spans="1:13">
      <c r="A23" s="1" t="s">
        <v>300</v>
      </c>
      <c r="B23" s="1" t="s">
        <v>171</v>
      </c>
      <c r="C23" s="1">
        <v>2E-3</v>
      </c>
      <c r="H23" s="3"/>
      <c r="I23" s="3"/>
      <c r="J23" s="9" t="s">
        <v>8</v>
      </c>
      <c r="K23" s="12">
        <f ca="1">COUNTIF(K7:K14, $K16)</f>
        <v>3</v>
      </c>
      <c r="L23" s="3"/>
      <c r="M23" s="3"/>
    </row>
    <row r="24" spans="1:13">
      <c r="A24" s="2" t="s">
        <v>175</v>
      </c>
      <c r="B24" s="1" t="s">
        <v>157</v>
      </c>
      <c r="C24" s="1">
        <v>-2.573</v>
      </c>
      <c r="H24" s="3"/>
      <c r="I24" s="3"/>
      <c r="J24" s="13" t="s">
        <v>9</v>
      </c>
      <c r="K24" s="12">
        <f ca="1">COUNTIF(K7:K14, $K17)</f>
        <v>4</v>
      </c>
      <c r="L24" s="3"/>
      <c r="M24" s="3"/>
    </row>
    <row r="25" spans="1:13">
      <c r="A25" s="1" t="s">
        <v>159</v>
      </c>
      <c r="B25" s="1" t="s">
        <v>170</v>
      </c>
      <c r="C25" s="1">
        <v>422.387</v>
      </c>
      <c r="H25" s="3"/>
      <c r="I25" s="3"/>
      <c r="J25" s="12"/>
      <c r="K25" s="14" t="str">
        <f ca="1">TEXT(K23+K24,"0")&amp;"/8"</f>
        <v>7/8</v>
      </c>
      <c r="L25" s="3"/>
      <c r="M25" s="3"/>
    </row>
    <row r="26" spans="1:13">
      <c r="A26" s="1" t="s">
        <v>301</v>
      </c>
      <c r="B26" s="1" t="s">
        <v>171</v>
      </c>
      <c r="C26" s="1">
        <v>-1E-3</v>
      </c>
      <c r="J26" s="15" t="s">
        <v>90</v>
      </c>
      <c r="K26" s="15"/>
    </row>
    <row r="27" spans="1:13">
      <c r="A27" s="2" t="s">
        <v>176</v>
      </c>
      <c r="B27" s="1" t="s">
        <v>157</v>
      </c>
      <c r="C27" s="1">
        <v>-2.5750000000000002</v>
      </c>
      <c r="J27" s="15" t="s">
        <v>91</v>
      </c>
      <c r="K27" s="16">
        <f ca="1">MAX(K7:K14)*2</f>
        <v>845.33600000000001</v>
      </c>
    </row>
    <row r="28" spans="1:13">
      <c r="A28" s="1" t="s">
        <v>159</v>
      </c>
      <c r="B28" s="1" t="s">
        <v>170</v>
      </c>
      <c r="C28" s="1">
        <v>422.41899999999998</v>
      </c>
      <c r="J28" s="15" t="s">
        <v>92</v>
      </c>
      <c r="K28" s="16">
        <f ca="1">MIN(K7:K14)*2</f>
        <v>844.774</v>
      </c>
    </row>
    <row r="29" spans="1:13">
      <c r="A29" s="1" t="s">
        <v>302</v>
      </c>
      <c r="B29" s="1" t="s">
        <v>171</v>
      </c>
      <c r="C29" s="1">
        <v>0</v>
      </c>
    </row>
    <row r="30" spans="1:13">
      <c r="A30" s="2"/>
    </row>
    <row r="32" spans="1:13">
      <c r="A32" s="41"/>
    </row>
    <row r="33" spans="1:13">
      <c r="A33" s="41"/>
    </row>
    <row r="34" spans="1:13">
      <c r="A34" s="41"/>
      <c r="G34" s="3"/>
    </row>
    <row r="35" spans="1:13">
      <c r="A35" s="41" t="s">
        <v>1302</v>
      </c>
      <c r="C35" s="1" t="s">
        <v>303</v>
      </c>
      <c r="H35" s="3"/>
      <c r="I35" s="3" t="str">
        <f>CONCATENATE(A35," : ",MID(A1,11,3), C35)</f>
        <v>JHV723EJ : 101再計算</v>
      </c>
      <c r="J35" s="3"/>
      <c r="K35" s="3" t="s">
        <v>0</v>
      </c>
      <c r="L35" s="3" t="s">
        <v>1</v>
      </c>
      <c r="M35" s="3" t="s">
        <v>2</v>
      </c>
    </row>
    <row r="36" spans="1:13">
      <c r="A36" s="41" t="s">
        <v>304</v>
      </c>
      <c r="B36" s="1" t="s">
        <v>305</v>
      </c>
      <c r="C36" s="1">
        <v>422.47300000000001</v>
      </c>
      <c r="H36" s="4">
        <v>1</v>
      </c>
      <c r="I36" s="3" t="str">
        <f>CONCATENATE("点A再(", H36,"/8)")</f>
        <v>点A再(1/8)</v>
      </c>
      <c r="J36" s="3">
        <f>MATCH(I36, A$7:A$59, 0)</f>
        <v>31</v>
      </c>
      <c r="K36" s="3">
        <f ca="1">OFFSET(C$6, J36-1, 0)</f>
        <v>422.47300000000001</v>
      </c>
      <c r="L36" s="3">
        <f>($E$2+$C$4)/2</f>
        <v>422.4425</v>
      </c>
      <c r="M36" s="3">
        <f>($E$2+$E$3)/2</f>
        <v>422.49350000000004</v>
      </c>
    </row>
    <row r="37" spans="1:13">
      <c r="A37" s="41" t="s">
        <v>306</v>
      </c>
      <c r="B37" s="1" t="s">
        <v>307</v>
      </c>
      <c r="C37" s="1">
        <v>-2.1000000000000001E-2</v>
      </c>
      <c r="H37" s="4">
        <v>8</v>
      </c>
      <c r="I37" s="3" t="str">
        <f>CONCATENATE("点A再(", H37,"/8)")</f>
        <v>点A再(8/8)</v>
      </c>
      <c r="J37" s="3">
        <f t="shared" ref="J37:J43" si="4">MATCH(I37, A$7:A$59, 0)</f>
        <v>52</v>
      </c>
      <c r="K37" s="3">
        <f t="shared" ref="K37:K43" ca="1" si="5">OFFSET(C$6, J37-1, 0)</f>
        <v>422.529</v>
      </c>
      <c r="L37" s="3">
        <f>L36</f>
        <v>422.4425</v>
      </c>
      <c r="M37" s="3">
        <f>M36</f>
        <v>422.49350000000004</v>
      </c>
    </row>
    <row r="38" spans="1:13">
      <c r="A38" s="42" t="s">
        <v>308</v>
      </c>
      <c r="B38" s="1" t="s">
        <v>165</v>
      </c>
      <c r="C38" s="1">
        <v>-1.996</v>
      </c>
      <c r="H38" s="3">
        <v>7</v>
      </c>
      <c r="I38" s="3" t="str">
        <f t="shared" ref="I38:I43" si="6">CONCATENATE("点A再(", H38,"/8)")</f>
        <v>点A再(7/8)</v>
      </c>
      <c r="J38" s="3">
        <f t="shared" si="4"/>
        <v>49</v>
      </c>
      <c r="K38" s="3">
        <f t="shared" ca="1" si="5"/>
        <v>422.47399999999999</v>
      </c>
      <c r="L38" s="3">
        <f t="shared" ref="L38:M38" si="7">L37</f>
        <v>422.4425</v>
      </c>
      <c r="M38" s="3">
        <f t="shared" si="7"/>
        <v>422.49350000000004</v>
      </c>
    </row>
    <row r="39" spans="1:13">
      <c r="A39" s="41" t="s">
        <v>304</v>
      </c>
      <c r="B39" s="1" t="s">
        <v>305</v>
      </c>
      <c r="C39" s="1">
        <v>422.39400000000001</v>
      </c>
      <c r="H39" s="3">
        <v>6</v>
      </c>
      <c r="I39" s="3" t="str">
        <f t="shared" si="6"/>
        <v>点A再(6/8)</v>
      </c>
      <c r="J39" s="3">
        <f t="shared" si="4"/>
        <v>46</v>
      </c>
      <c r="K39" s="3">
        <f t="shared" ca="1" si="5"/>
        <v>422.49</v>
      </c>
      <c r="L39" s="3">
        <f t="shared" ref="L39:M39" si="8">L38</f>
        <v>422.4425</v>
      </c>
      <c r="M39" s="3">
        <f t="shared" si="8"/>
        <v>422.49350000000004</v>
      </c>
    </row>
    <row r="40" spans="1:13">
      <c r="A40" s="41" t="s">
        <v>309</v>
      </c>
      <c r="B40" s="1" t="s">
        <v>307</v>
      </c>
      <c r="C40" s="1">
        <v>44.975999999999999</v>
      </c>
      <c r="H40" s="3">
        <v>5</v>
      </c>
      <c r="I40" s="3" t="str">
        <f t="shared" si="6"/>
        <v>点A再(5/8)</v>
      </c>
      <c r="J40" s="3">
        <f t="shared" si="4"/>
        <v>43</v>
      </c>
      <c r="K40" s="3">
        <f t="shared" ca="1" si="5"/>
        <v>422.44600000000003</v>
      </c>
      <c r="L40" s="3">
        <f t="shared" ref="L40:M40" si="9">L39</f>
        <v>422.4425</v>
      </c>
      <c r="M40" s="3">
        <f t="shared" si="9"/>
        <v>422.49350000000004</v>
      </c>
    </row>
    <row r="41" spans="1:13">
      <c r="A41" s="42" t="s">
        <v>310</v>
      </c>
      <c r="B41" s="1" t="s">
        <v>165</v>
      </c>
      <c r="C41" s="1">
        <v>-1.964</v>
      </c>
      <c r="H41" s="3">
        <v>4</v>
      </c>
      <c r="I41" s="3" t="str">
        <f t="shared" si="6"/>
        <v>点A再(4/8)</v>
      </c>
      <c r="J41" s="3">
        <f t="shared" si="4"/>
        <v>40</v>
      </c>
      <c r="K41" s="3">
        <f t="shared" ca="1" si="5"/>
        <v>422.47199999999998</v>
      </c>
      <c r="L41" s="3">
        <f t="shared" ref="L41:M41" si="10">L40</f>
        <v>422.4425</v>
      </c>
      <c r="M41" s="3">
        <f t="shared" si="10"/>
        <v>422.49350000000004</v>
      </c>
    </row>
    <row r="42" spans="1:13">
      <c r="A42" s="41" t="s">
        <v>304</v>
      </c>
      <c r="B42" s="1" t="s">
        <v>305</v>
      </c>
      <c r="C42" s="1">
        <v>422.58199999999999</v>
      </c>
      <c r="H42" s="3">
        <v>3</v>
      </c>
      <c r="I42" s="3" t="str">
        <f t="shared" si="6"/>
        <v>点A再(3/8)</v>
      </c>
      <c r="J42" s="3">
        <f t="shared" si="4"/>
        <v>37</v>
      </c>
      <c r="K42" s="3">
        <f t="shared" ca="1" si="5"/>
        <v>422.58199999999999</v>
      </c>
      <c r="L42" s="3">
        <f t="shared" ref="L42:M42" si="11">L41</f>
        <v>422.4425</v>
      </c>
      <c r="M42" s="3">
        <f t="shared" si="11"/>
        <v>422.49350000000004</v>
      </c>
    </row>
    <row r="43" spans="1:13">
      <c r="A43" s="41" t="s">
        <v>311</v>
      </c>
      <c r="B43" s="1" t="s">
        <v>307</v>
      </c>
      <c r="C43" s="1">
        <v>89.980999999999995</v>
      </c>
      <c r="H43" s="3">
        <v>2</v>
      </c>
      <c r="I43" s="3" t="str">
        <f t="shared" si="6"/>
        <v>点A再(2/8)</v>
      </c>
      <c r="J43" s="3">
        <f t="shared" si="4"/>
        <v>34</v>
      </c>
      <c r="K43" s="3">
        <f t="shared" ca="1" si="5"/>
        <v>422.39400000000001</v>
      </c>
      <c r="L43" s="3">
        <f t="shared" ref="L43:M43" si="12">L42</f>
        <v>422.4425</v>
      </c>
      <c r="M43" s="3">
        <f t="shared" si="12"/>
        <v>422.49350000000004</v>
      </c>
    </row>
    <row r="44" spans="1:13">
      <c r="A44" s="42" t="s">
        <v>312</v>
      </c>
      <c r="B44" s="1" t="s">
        <v>165</v>
      </c>
      <c r="C44" s="1">
        <v>-2.0470000000000002</v>
      </c>
      <c r="H44" s="3"/>
      <c r="I44" s="3"/>
      <c r="J44" s="3"/>
      <c r="K44" s="3"/>
      <c r="L44" s="3"/>
      <c r="M44" s="3"/>
    </row>
    <row r="45" spans="1:13">
      <c r="A45" s="41" t="s">
        <v>304</v>
      </c>
      <c r="B45" s="1" t="s">
        <v>305</v>
      </c>
      <c r="C45" s="1">
        <v>422.47199999999998</v>
      </c>
      <c r="H45" s="3"/>
      <c r="I45" s="3"/>
      <c r="J45" s="5" t="s">
        <v>3</v>
      </c>
      <c r="K45" s="3" t="str">
        <f>"&gt;"&amp;TEXT(($E$2+$E$3)/2, "0.###")</f>
        <v>&gt;422.494</v>
      </c>
      <c r="L45" s="3"/>
      <c r="M45" s="3"/>
    </row>
    <row r="46" spans="1:13">
      <c r="A46" s="41" t="s">
        <v>313</v>
      </c>
      <c r="B46" s="1" t="s">
        <v>307</v>
      </c>
      <c r="C46" s="1">
        <v>134.99299999999999</v>
      </c>
      <c r="H46" s="3"/>
      <c r="I46" s="3"/>
      <c r="J46" s="6" t="s">
        <v>4</v>
      </c>
      <c r="K46" s="3" t="str">
        <f>"&lt;"&amp;TEXT(($E$2+$C$4)/2, "0.###")</f>
        <v>&lt;422.443</v>
      </c>
      <c r="L46" s="3"/>
      <c r="M46" s="3"/>
    </row>
    <row r="47" spans="1:13">
      <c r="A47" s="42" t="s">
        <v>314</v>
      </c>
      <c r="B47" s="1" t="s">
        <v>165</v>
      </c>
      <c r="C47" s="1">
        <v>-1.99</v>
      </c>
      <c r="H47" s="3"/>
      <c r="I47" s="3"/>
      <c r="J47" s="7"/>
      <c r="K47" s="8" t="s">
        <v>0</v>
      </c>
      <c r="L47" s="3"/>
      <c r="M47" s="3"/>
    </row>
    <row r="48" spans="1:13">
      <c r="A48" s="41" t="s">
        <v>304</v>
      </c>
      <c r="B48" s="1" t="s">
        <v>305</v>
      </c>
      <c r="C48" s="1">
        <v>422.44600000000003</v>
      </c>
      <c r="H48" s="3"/>
      <c r="I48" s="3"/>
      <c r="J48" s="9" t="s">
        <v>6</v>
      </c>
      <c r="K48" s="10">
        <f ca="1">AVERAGE(K36:K43)*2</f>
        <v>844.96499999999992</v>
      </c>
      <c r="L48" s="3"/>
      <c r="M48" s="3"/>
    </row>
    <row r="49" spans="1:13">
      <c r="A49" s="41" t="s">
        <v>315</v>
      </c>
      <c r="B49" s="1" t="s">
        <v>307</v>
      </c>
      <c r="C49" s="1">
        <v>-179.99700000000001</v>
      </c>
      <c r="H49" s="3"/>
      <c r="I49" s="3"/>
      <c r="J49" s="9"/>
      <c r="K49" s="11" t="str">
        <f ca="1">IF(K48&lt;$E$2+$C$4, "U/Min "&amp;TEXT($E$2+$C$4-K48, "0.###"), IF(K48&gt;$E$2+$E$3, "O/Max "&amp;TEXT(K48-$E$2-$E$3, "0.###"), "-"))</f>
        <v>-</v>
      </c>
      <c r="L49" s="3"/>
      <c r="M49" s="3"/>
    </row>
    <row r="50" spans="1:13">
      <c r="A50" s="42" t="s">
        <v>316</v>
      </c>
      <c r="B50" s="1" t="s">
        <v>165</v>
      </c>
      <c r="C50" s="1">
        <v>-1.99</v>
      </c>
      <c r="H50" s="3"/>
      <c r="I50" s="3"/>
      <c r="J50" s="9" t="s">
        <v>7</v>
      </c>
      <c r="K50" s="10">
        <f ca="1">MAX(K36:K43)-MIN(K36:K43)</f>
        <v>0.18799999999998818</v>
      </c>
      <c r="L50" s="3"/>
      <c r="M50" s="3"/>
    </row>
    <row r="51" spans="1:13">
      <c r="A51" s="41" t="s">
        <v>304</v>
      </c>
      <c r="B51" s="1" t="s">
        <v>305</v>
      </c>
      <c r="C51" s="1">
        <v>422.49</v>
      </c>
      <c r="H51" s="3"/>
      <c r="I51" s="3"/>
      <c r="J51" s="9"/>
      <c r="K51" s="11" t="str">
        <f ca="1">IF(K50&gt;0.64, "O/Max "&amp;TEXT(K50-0.13, "0.###"), "-")</f>
        <v>-</v>
      </c>
      <c r="L51" s="3"/>
      <c r="M51" s="3"/>
    </row>
    <row r="52" spans="1:13">
      <c r="A52" s="41" t="s">
        <v>317</v>
      </c>
      <c r="B52" s="1" t="s">
        <v>307</v>
      </c>
      <c r="C52" s="1">
        <v>-134.994</v>
      </c>
      <c r="H52" s="3"/>
      <c r="I52" s="3"/>
      <c r="J52" s="9" t="s">
        <v>8</v>
      </c>
      <c r="K52" s="12">
        <f ca="1">COUNTIF(K36:K43, $K45)</f>
        <v>2</v>
      </c>
      <c r="L52" s="3"/>
      <c r="M52" s="3"/>
    </row>
    <row r="53" spans="1:13">
      <c r="A53" s="42" t="s">
        <v>318</v>
      </c>
      <c r="B53" s="1" t="s">
        <v>165</v>
      </c>
      <c r="C53" s="1">
        <v>-2.004</v>
      </c>
      <c r="H53" s="3"/>
      <c r="I53" s="3"/>
      <c r="J53" s="13" t="s">
        <v>9</v>
      </c>
      <c r="K53" s="12">
        <f ca="1">COUNTIF(K36:K43, $K46)</f>
        <v>1</v>
      </c>
      <c r="L53" s="3"/>
      <c r="M53" s="3"/>
    </row>
    <row r="54" spans="1:13">
      <c r="A54" s="41" t="s">
        <v>304</v>
      </c>
      <c r="B54" s="1" t="s">
        <v>305</v>
      </c>
      <c r="C54" s="1">
        <v>422.47399999999999</v>
      </c>
      <c r="H54" s="3"/>
      <c r="I54" s="3"/>
      <c r="J54" s="12"/>
      <c r="K54" s="14" t="str">
        <f ca="1">TEXT(K52+K53,"0")&amp;"/8"</f>
        <v>3/8</v>
      </c>
      <c r="L54" s="3"/>
      <c r="M54" s="3"/>
    </row>
    <row r="55" spans="1:13">
      <c r="A55" s="41" t="s">
        <v>319</v>
      </c>
      <c r="B55" s="1" t="s">
        <v>307</v>
      </c>
      <c r="C55" s="1">
        <v>-90</v>
      </c>
      <c r="J55" s="15" t="s">
        <v>90</v>
      </c>
      <c r="K55" s="15"/>
    </row>
    <row r="56" spans="1:13">
      <c r="A56" s="2" t="s">
        <v>320</v>
      </c>
      <c r="B56" s="1" t="s">
        <v>165</v>
      </c>
      <c r="C56" s="1">
        <v>-1.9950000000000001</v>
      </c>
      <c r="J56" s="15" t="s">
        <v>91</v>
      </c>
      <c r="K56" s="16">
        <f ca="1">MAX(K36:K43)*2</f>
        <v>845.16399999999999</v>
      </c>
    </row>
    <row r="57" spans="1:13">
      <c r="A57" s="1" t="s">
        <v>304</v>
      </c>
      <c r="B57" s="1" t="s">
        <v>305</v>
      </c>
      <c r="C57" s="1">
        <v>422.529</v>
      </c>
      <c r="J57" s="15" t="s">
        <v>92</v>
      </c>
      <c r="K57" s="16">
        <f ca="1">MIN(K36:K43)*2</f>
        <v>844.78800000000001</v>
      </c>
    </row>
    <row r="58" spans="1:13">
      <c r="A58" s="1" t="s">
        <v>321</v>
      </c>
      <c r="B58" s="1" t="s">
        <v>307</v>
      </c>
      <c r="C58" s="1">
        <v>-45.011000000000003</v>
      </c>
    </row>
    <row r="59" spans="1:13">
      <c r="A59" s="2" t="s">
        <v>322</v>
      </c>
      <c r="B59" s="1" t="s">
        <v>165</v>
      </c>
      <c r="C59" s="1">
        <v>-2.0230000000000001</v>
      </c>
    </row>
  </sheetData>
  <phoneticPr fontId="1"/>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54"/>
  <sheetViews>
    <sheetView workbookViewId="0">
      <selection activeCell="K24" sqref="K24"/>
    </sheetView>
  </sheetViews>
  <sheetFormatPr defaultColWidth="9" defaultRowHeight="15"/>
  <cols>
    <col min="1" max="16384" width="9" style="1"/>
  </cols>
  <sheetData>
    <row r="1" spans="1:13">
      <c r="A1" s="1" t="s">
        <v>178</v>
      </c>
      <c r="L1" s="1">
        <v>716.64</v>
      </c>
      <c r="M1" s="1">
        <v>0.05</v>
      </c>
    </row>
    <row r="2" spans="1:13">
      <c r="A2" s="1" t="s">
        <v>179</v>
      </c>
      <c r="B2" s="1" t="s">
        <v>158</v>
      </c>
      <c r="D2" s="1" t="s">
        <v>158</v>
      </c>
      <c r="L2" s="1">
        <v>2.02</v>
      </c>
      <c r="M2" s="1">
        <v>2.5000000000000001E-2</v>
      </c>
    </row>
    <row r="3" spans="1:13">
      <c r="A3" s="1" t="s">
        <v>323</v>
      </c>
      <c r="B3" s="1" t="s">
        <v>162</v>
      </c>
      <c r="C3" s="1">
        <v>0.215</v>
      </c>
      <c r="D3" s="1" t="s">
        <v>180</v>
      </c>
      <c r="E3" s="1">
        <v>0.13</v>
      </c>
      <c r="F3" s="1" t="s">
        <v>1299</v>
      </c>
      <c r="G3" s="1">
        <v>8.5000000000000006E-2</v>
      </c>
    </row>
    <row r="4" spans="1:13">
      <c r="A4" s="2" t="s">
        <v>324</v>
      </c>
      <c r="B4" s="1" t="s">
        <v>158</v>
      </c>
    </row>
    <row r="6" spans="1:13">
      <c r="A6" s="1" t="s">
        <v>1301</v>
      </c>
      <c r="C6" s="1" t="s">
        <v>161</v>
      </c>
      <c r="H6" s="3"/>
      <c r="I6" s="3" t="str">
        <f>CONCATENATE(A6," : ",MID(A1,11,3))</f>
        <v>JHV723EJ : 105</v>
      </c>
      <c r="J6" s="3"/>
      <c r="K6" s="3" t="s">
        <v>10</v>
      </c>
      <c r="L6" s="3" t="s">
        <v>11</v>
      </c>
      <c r="M6" s="3" t="s">
        <v>12</v>
      </c>
    </row>
    <row r="7" spans="1:13">
      <c r="A7" s="1" t="s">
        <v>159</v>
      </c>
      <c r="B7" s="1" t="s">
        <v>170</v>
      </c>
      <c r="C7" s="1">
        <v>356.15899999999999</v>
      </c>
      <c r="H7" s="4">
        <v>1</v>
      </c>
      <c r="I7" s="3" t="str">
        <f>CONCATENATE("点105(", H7,"/16)")</f>
        <v>点105(1/16)</v>
      </c>
      <c r="J7" s="3">
        <f>MATCH(I7, A$7:A$54, 0)</f>
        <v>2</v>
      </c>
      <c r="K7" s="3">
        <f ca="1">OFFSET(C$6, J7-1, 0)</f>
        <v>356.15899999999999</v>
      </c>
      <c r="L7" s="3">
        <f>(L1-M1)/2-(L2+M2)</f>
        <v>356.25</v>
      </c>
      <c r="M7" s="3">
        <f>(L1+M1)/2-(L2-M2)</f>
        <v>356.34999999999997</v>
      </c>
    </row>
    <row r="8" spans="1:13">
      <c r="A8" s="1" t="s">
        <v>325</v>
      </c>
      <c r="B8" s="1" t="s">
        <v>171</v>
      </c>
      <c r="C8" s="1">
        <v>0</v>
      </c>
      <c r="H8" s="4">
        <v>16</v>
      </c>
      <c r="I8" s="3" t="str">
        <f t="shared" ref="I8:I22" si="0">CONCATENATE("点105(", H8,"/16)")</f>
        <v>点105(16/16)</v>
      </c>
      <c r="J8" s="3">
        <f t="shared" ref="J8:J22" si="1">MATCH(I8, A$7:A$54, 0)</f>
        <v>47</v>
      </c>
      <c r="K8" s="3">
        <f t="shared" ref="K8:K22" ca="1" si="2">OFFSET(C$6, J8-1, 0)</f>
        <v>356.17500000000001</v>
      </c>
      <c r="L8" s="3">
        <f>L7</f>
        <v>356.25</v>
      </c>
      <c r="M8" s="3">
        <f>M7</f>
        <v>356.34999999999997</v>
      </c>
    </row>
    <row r="9" spans="1:13">
      <c r="A9" s="2" t="s">
        <v>326</v>
      </c>
      <c r="B9" s="1" t="s">
        <v>157</v>
      </c>
      <c r="C9" s="1">
        <v>-240.875</v>
      </c>
      <c r="H9" s="4">
        <v>15</v>
      </c>
      <c r="I9" s="3" t="str">
        <f t="shared" si="0"/>
        <v>点105(15/16)</v>
      </c>
      <c r="J9" s="3">
        <f t="shared" si="1"/>
        <v>44</v>
      </c>
      <c r="K9" s="3">
        <f t="shared" ca="1" si="2"/>
        <v>356.26499999999999</v>
      </c>
      <c r="L9" s="3">
        <f t="shared" ref="L9:M22" si="3">L8</f>
        <v>356.25</v>
      </c>
      <c r="M9" s="3">
        <f t="shared" si="3"/>
        <v>356.34999999999997</v>
      </c>
    </row>
    <row r="10" spans="1:13">
      <c r="A10" s="1" t="s">
        <v>159</v>
      </c>
      <c r="B10" s="1" t="s">
        <v>170</v>
      </c>
      <c r="C10" s="1">
        <v>356.23500000000001</v>
      </c>
      <c r="H10" s="4">
        <v>14</v>
      </c>
      <c r="I10" s="3" t="str">
        <f t="shared" si="0"/>
        <v>点105(14/16)</v>
      </c>
      <c r="J10" s="3">
        <f t="shared" si="1"/>
        <v>41</v>
      </c>
      <c r="K10" s="3">
        <f t="shared" ca="1" si="2"/>
        <v>356.35599999999999</v>
      </c>
      <c r="L10" s="3">
        <f t="shared" si="3"/>
        <v>356.25</v>
      </c>
      <c r="M10" s="3">
        <f t="shared" si="3"/>
        <v>356.34999999999997</v>
      </c>
    </row>
    <row r="11" spans="1:13">
      <c r="A11" s="1" t="s">
        <v>327</v>
      </c>
      <c r="B11" s="1" t="s">
        <v>171</v>
      </c>
      <c r="C11" s="1">
        <v>-1E-3</v>
      </c>
      <c r="H11" s="4">
        <v>13</v>
      </c>
      <c r="I11" s="3" t="str">
        <f t="shared" si="0"/>
        <v>点105(13/16)</v>
      </c>
      <c r="J11" s="3">
        <f t="shared" si="1"/>
        <v>38</v>
      </c>
      <c r="K11" s="3">
        <f t="shared" ca="1" si="2"/>
        <v>356.375</v>
      </c>
      <c r="L11" s="3">
        <f t="shared" si="3"/>
        <v>356.25</v>
      </c>
      <c r="M11" s="3">
        <f t="shared" si="3"/>
        <v>356.34999999999997</v>
      </c>
    </row>
    <row r="12" spans="1:13">
      <c r="A12" s="2" t="s">
        <v>328</v>
      </c>
      <c r="B12" s="1" t="s">
        <v>157</v>
      </c>
      <c r="C12" s="1">
        <v>-240.875</v>
      </c>
      <c r="H12" s="4">
        <v>12</v>
      </c>
      <c r="I12" s="3" t="str">
        <f t="shared" si="0"/>
        <v>点105(12/16)</v>
      </c>
      <c r="J12" s="3">
        <f t="shared" si="1"/>
        <v>35</v>
      </c>
      <c r="K12" s="3">
        <f t="shared" ca="1" si="2"/>
        <v>356.34199999999998</v>
      </c>
      <c r="L12" s="3">
        <f t="shared" si="3"/>
        <v>356.25</v>
      </c>
      <c r="M12" s="3">
        <f t="shared" si="3"/>
        <v>356.34999999999997</v>
      </c>
    </row>
    <row r="13" spans="1:13">
      <c r="A13" s="1" t="s">
        <v>159</v>
      </c>
      <c r="B13" s="1" t="s">
        <v>170</v>
      </c>
      <c r="C13" s="1">
        <v>356.31</v>
      </c>
      <c r="H13" s="4">
        <v>11</v>
      </c>
      <c r="I13" s="3" t="str">
        <f t="shared" si="0"/>
        <v>点105(11/16)</v>
      </c>
      <c r="J13" s="3">
        <f t="shared" si="1"/>
        <v>32</v>
      </c>
      <c r="K13" s="3">
        <f t="shared" ca="1" si="2"/>
        <v>356.27800000000002</v>
      </c>
      <c r="L13" s="3">
        <f t="shared" si="3"/>
        <v>356.25</v>
      </c>
      <c r="M13" s="3">
        <f t="shared" si="3"/>
        <v>356.34999999999997</v>
      </c>
    </row>
    <row r="14" spans="1:13">
      <c r="A14" s="1" t="s">
        <v>329</v>
      </c>
      <c r="B14" s="1" t="s">
        <v>171</v>
      </c>
      <c r="C14" s="1">
        <v>0</v>
      </c>
      <c r="H14" s="4">
        <v>10</v>
      </c>
      <c r="I14" s="3" t="str">
        <f t="shared" si="0"/>
        <v>点105(10/16)</v>
      </c>
      <c r="J14" s="3">
        <f t="shared" si="1"/>
        <v>29</v>
      </c>
      <c r="K14" s="3">
        <f t="shared" ca="1" si="2"/>
        <v>356.24</v>
      </c>
      <c r="L14" s="3">
        <f t="shared" si="3"/>
        <v>356.25</v>
      </c>
      <c r="M14" s="3">
        <f t="shared" si="3"/>
        <v>356.34999999999997</v>
      </c>
    </row>
    <row r="15" spans="1:13">
      <c r="A15" s="2" t="s">
        <v>330</v>
      </c>
      <c r="B15" s="1" t="s">
        <v>157</v>
      </c>
      <c r="C15" s="1">
        <v>-240.874</v>
      </c>
      <c r="H15" s="4">
        <v>9</v>
      </c>
      <c r="I15" s="3" t="str">
        <f t="shared" si="0"/>
        <v>点105(9/16)</v>
      </c>
      <c r="J15" s="3">
        <f t="shared" si="1"/>
        <v>26</v>
      </c>
      <c r="K15" s="3">
        <f t="shared" ca="1" si="2"/>
        <v>356.24900000000002</v>
      </c>
      <c r="L15" s="3">
        <f t="shared" si="3"/>
        <v>356.25</v>
      </c>
      <c r="M15" s="3">
        <f t="shared" si="3"/>
        <v>356.34999999999997</v>
      </c>
    </row>
    <row r="16" spans="1:13">
      <c r="A16" s="1" t="s">
        <v>159</v>
      </c>
      <c r="B16" s="1" t="s">
        <v>170</v>
      </c>
      <c r="C16" s="1">
        <v>356.32799999999997</v>
      </c>
      <c r="H16" s="4">
        <v>8</v>
      </c>
      <c r="I16" s="3" t="str">
        <f t="shared" si="0"/>
        <v>点105(8/16)</v>
      </c>
      <c r="J16" s="3">
        <f t="shared" si="1"/>
        <v>23</v>
      </c>
      <c r="K16" s="3">
        <f t="shared" ca="1" si="2"/>
        <v>356.298</v>
      </c>
      <c r="L16" s="3">
        <f t="shared" si="3"/>
        <v>356.25</v>
      </c>
      <c r="M16" s="3">
        <f t="shared" si="3"/>
        <v>356.34999999999997</v>
      </c>
    </row>
    <row r="17" spans="1:13">
      <c r="A17" s="1" t="s">
        <v>331</v>
      </c>
      <c r="B17" s="1" t="s">
        <v>171</v>
      </c>
      <c r="C17" s="1">
        <v>0</v>
      </c>
      <c r="H17" s="4">
        <v>7</v>
      </c>
      <c r="I17" s="3" t="str">
        <f t="shared" si="0"/>
        <v>点105(7/16)</v>
      </c>
      <c r="J17" s="3">
        <f t="shared" si="1"/>
        <v>20</v>
      </c>
      <c r="K17" s="3">
        <f t="shared" ca="1" si="2"/>
        <v>356.32100000000003</v>
      </c>
      <c r="L17" s="3">
        <f t="shared" si="3"/>
        <v>356.25</v>
      </c>
      <c r="M17" s="3">
        <f t="shared" si="3"/>
        <v>356.34999999999997</v>
      </c>
    </row>
    <row r="18" spans="1:13">
      <c r="A18" s="2" t="s">
        <v>332</v>
      </c>
      <c r="B18" s="1" t="s">
        <v>157</v>
      </c>
      <c r="C18" s="1">
        <v>-240.875</v>
      </c>
      <c r="H18" s="4">
        <v>6</v>
      </c>
      <c r="I18" s="3" t="str">
        <f t="shared" si="0"/>
        <v>点105(6/16)</v>
      </c>
      <c r="J18" s="3">
        <f t="shared" si="1"/>
        <v>17</v>
      </c>
      <c r="K18" s="3">
        <f t="shared" ca="1" si="2"/>
        <v>356.30599999999998</v>
      </c>
      <c r="L18" s="3">
        <f t="shared" si="3"/>
        <v>356.25</v>
      </c>
      <c r="M18" s="3">
        <f t="shared" si="3"/>
        <v>356.34999999999997</v>
      </c>
    </row>
    <row r="19" spans="1:13">
      <c r="A19" s="1" t="s">
        <v>159</v>
      </c>
      <c r="B19" s="1" t="s">
        <v>170</v>
      </c>
      <c r="C19" s="1">
        <v>356.30500000000001</v>
      </c>
      <c r="H19" s="4">
        <v>5</v>
      </c>
      <c r="I19" s="3" t="str">
        <f t="shared" si="0"/>
        <v>点105(5/16)</v>
      </c>
      <c r="J19" s="3">
        <f t="shared" si="1"/>
        <v>14</v>
      </c>
      <c r="K19" s="3">
        <f t="shared" ca="1" si="2"/>
        <v>356.30500000000001</v>
      </c>
      <c r="L19" s="3">
        <f t="shared" si="3"/>
        <v>356.25</v>
      </c>
      <c r="M19" s="3">
        <f t="shared" si="3"/>
        <v>356.34999999999997</v>
      </c>
    </row>
    <row r="20" spans="1:13">
      <c r="A20" s="1" t="s">
        <v>333</v>
      </c>
      <c r="B20" s="1" t="s">
        <v>171</v>
      </c>
      <c r="C20" s="1">
        <v>0</v>
      </c>
      <c r="H20" s="4">
        <v>4</v>
      </c>
      <c r="I20" s="3" t="str">
        <f t="shared" si="0"/>
        <v>点105(4/16)</v>
      </c>
      <c r="J20" s="3">
        <f t="shared" si="1"/>
        <v>11</v>
      </c>
      <c r="K20" s="3">
        <f t="shared" ca="1" si="2"/>
        <v>356.32799999999997</v>
      </c>
      <c r="L20" s="3">
        <f t="shared" si="3"/>
        <v>356.25</v>
      </c>
      <c r="M20" s="3">
        <f t="shared" si="3"/>
        <v>356.34999999999997</v>
      </c>
    </row>
    <row r="21" spans="1:13">
      <c r="A21" s="2" t="s">
        <v>334</v>
      </c>
      <c r="B21" s="1" t="s">
        <v>157</v>
      </c>
      <c r="C21" s="1">
        <v>-240.876</v>
      </c>
      <c r="H21" s="4">
        <v>3</v>
      </c>
      <c r="I21" s="3" t="str">
        <f t="shared" si="0"/>
        <v>点105(3/16)</v>
      </c>
      <c r="J21" s="3">
        <f t="shared" si="1"/>
        <v>8</v>
      </c>
      <c r="K21" s="3">
        <f t="shared" ca="1" si="2"/>
        <v>356.31</v>
      </c>
      <c r="L21" s="3">
        <f t="shared" si="3"/>
        <v>356.25</v>
      </c>
      <c r="M21" s="3">
        <f t="shared" si="3"/>
        <v>356.34999999999997</v>
      </c>
    </row>
    <row r="22" spans="1:13">
      <c r="A22" s="1" t="s">
        <v>159</v>
      </c>
      <c r="B22" s="1" t="s">
        <v>170</v>
      </c>
      <c r="C22" s="1">
        <v>356.30599999999998</v>
      </c>
      <c r="H22" s="4">
        <v>2</v>
      </c>
      <c r="I22" s="3" t="str">
        <f t="shared" si="0"/>
        <v>点105(2/16)</v>
      </c>
      <c r="J22" s="3">
        <f t="shared" si="1"/>
        <v>5</v>
      </c>
      <c r="K22" s="3">
        <f t="shared" ca="1" si="2"/>
        <v>356.23500000000001</v>
      </c>
      <c r="L22" s="3">
        <f t="shared" si="3"/>
        <v>356.25</v>
      </c>
      <c r="M22" s="3">
        <f t="shared" si="3"/>
        <v>356.34999999999997</v>
      </c>
    </row>
    <row r="23" spans="1:13">
      <c r="A23" s="1" t="s">
        <v>335</v>
      </c>
      <c r="B23" s="1" t="s">
        <v>171</v>
      </c>
      <c r="C23" s="1">
        <v>-2E-3</v>
      </c>
      <c r="H23" s="3"/>
      <c r="I23" s="3"/>
      <c r="J23" s="3"/>
      <c r="K23" s="3"/>
      <c r="L23" s="3"/>
      <c r="M23" s="3"/>
    </row>
    <row r="24" spans="1:13">
      <c r="A24" s="2" t="s">
        <v>336</v>
      </c>
      <c r="B24" s="1" t="s">
        <v>157</v>
      </c>
      <c r="C24" s="1">
        <v>-240.875</v>
      </c>
      <c r="H24" s="3"/>
      <c r="I24" s="3"/>
      <c r="J24" s="5" t="s">
        <v>3</v>
      </c>
      <c r="K24" s="3" t="str">
        <f>"&gt;"&amp;TEXT(M7, "0.###")</f>
        <v>&gt;356.35</v>
      </c>
      <c r="L24" s="3"/>
      <c r="M24" s="3"/>
    </row>
    <row r="25" spans="1:13">
      <c r="A25" s="1" t="s">
        <v>159</v>
      </c>
      <c r="B25" s="1" t="s">
        <v>170</v>
      </c>
      <c r="C25" s="1">
        <v>356.32100000000003</v>
      </c>
      <c r="H25" s="3"/>
      <c r="I25" s="3"/>
      <c r="J25" s="6" t="s">
        <v>4</v>
      </c>
      <c r="K25" s="3" t="str">
        <f>"&lt;"&amp;TEXT(L7, "0.###")</f>
        <v>&lt;356.25</v>
      </c>
      <c r="L25" s="3"/>
      <c r="M25" s="3"/>
    </row>
    <row r="26" spans="1:13">
      <c r="A26" s="1" t="s">
        <v>337</v>
      </c>
      <c r="B26" s="1" t="s">
        <v>171</v>
      </c>
      <c r="C26" s="1">
        <v>-1E-3</v>
      </c>
      <c r="H26" s="3"/>
      <c r="I26" s="3"/>
      <c r="J26" s="7"/>
      <c r="K26" s="8" t="s">
        <v>5</v>
      </c>
      <c r="L26" s="3"/>
      <c r="M26" s="3"/>
    </row>
    <row r="27" spans="1:13">
      <c r="A27" s="2" t="s">
        <v>338</v>
      </c>
      <c r="B27" s="1" t="s">
        <v>157</v>
      </c>
      <c r="C27" s="1">
        <v>-240.875</v>
      </c>
      <c r="H27" s="3"/>
      <c r="I27" s="3"/>
      <c r="J27" s="9" t="s">
        <v>6</v>
      </c>
      <c r="K27" s="10">
        <f ca="1">AVERAGE(K7:K22)*2</f>
        <v>712.56774999999993</v>
      </c>
      <c r="L27" s="3"/>
      <c r="M27" s="3"/>
    </row>
    <row r="28" spans="1:13">
      <c r="A28" s="1" t="s">
        <v>159</v>
      </c>
      <c r="B28" s="1" t="s">
        <v>170</v>
      </c>
      <c r="C28" s="1">
        <v>356.298</v>
      </c>
      <c r="H28" s="3"/>
      <c r="I28" s="3"/>
      <c r="J28" s="9"/>
      <c r="K28" s="11" t="str">
        <f ca="1">IF(K27&lt;L7*2, "U/Min "&amp;TEXT(L7*2-K27, "0.###"), IF(K27&gt;M7*2, "O/Max "&amp;TEXT(K27-M7*2, "0.###"), "-"))</f>
        <v>-</v>
      </c>
      <c r="L28" s="3"/>
      <c r="M28" s="3"/>
    </row>
    <row r="29" spans="1:13">
      <c r="A29" s="1" t="s">
        <v>339</v>
      </c>
      <c r="B29" s="1" t="s">
        <v>171</v>
      </c>
      <c r="C29" s="1">
        <v>0</v>
      </c>
      <c r="H29" s="3"/>
      <c r="I29" s="3"/>
      <c r="J29" s="9" t="s">
        <v>13</v>
      </c>
      <c r="K29" s="10">
        <f ca="1">MAX(K7:K22)-MIN(K7:K22)</f>
        <v>0.21600000000000819</v>
      </c>
      <c r="L29" s="3"/>
      <c r="M29" s="3"/>
    </row>
    <row r="30" spans="1:13">
      <c r="A30" s="2" t="s">
        <v>340</v>
      </c>
      <c r="B30" s="1" t="s">
        <v>157</v>
      </c>
      <c r="C30" s="1">
        <v>-240.875</v>
      </c>
      <c r="H30" s="3"/>
      <c r="I30" s="3"/>
      <c r="J30" s="9"/>
      <c r="K30" s="11" t="str">
        <f ca="1">IF(K29&gt;0.13, "O/Max "&amp;TEXT(K29-0.13, "0.###"), "-")</f>
        <v>O/Max 0.086</v>
      </c>
      <c r="L30" s="3"/>
      <c r="M30" s="3"/>
    </row>
    <row r="31" spans="1:13">
      <c r="A31" s="1" t="s">
        <v>159</v>
      </c>
      <c r="B31" s="1" t="s">
        <v>170</v>
      </c>
      <c r="C31" s="1">
        <v>356.24900000000002</v>
      </c>
      <c r="H31" s="3"/>
      <c r="I31" s="3"/>
      <c r="J31" s="9" t="s">
        <v>14</v>
      </c>
      <c r="K31" s="12">
        <f ca="1">COUNTIF(K7:K22, $K24)</f>
        <v>2</v>
      </c>
      <c r="L31" s="3"/>
      <c r="M31" s="3"/>
    </row>
    <row r="32" spans="1:13">
      <c r="A32" s="1" t="s">
        <v>341</v>
      </c>
      <c r="B32" s="1" t="s">
        <v>171</v>
      </c>
      <c r="C32" s="1">
        <v>0</v>
      </c>
      <c r="H32" s="3"/>
      <c r="I32" s="3"/>
      <c r="J32" s="13" t="s">
        <v>9</v>
      </c>
      <c r="K32" s="12">
        <f ca="1">COUNTIF(K7:K22, $K25)</f>
        <v>5</v>
      </c>
      <c r="L32" s="3"/>
      <c r="M32" s="3"/>
    </row>
    <row r="33" spans="1:13">
      <c r="A33" s="2" t="s">
        <v>342</v>
      </c>
      <c r="B33" s="1" t="s">
        <v>157</v>
      </c>
      <c r="C33" s="1">
        <v>-240.875</v>
      </c>
      <c r="H33" s="3"/>
      <c r="I33" s="3"/>
      <c r="J33" s="12"/>
      <c r="K33" s="14" t="str">
        <f ca="1">TEXT(K31+K32,"0")&amp;"/16"</f>
        <v>7/16</v>
      </c>
      <c r="L33" s="3"/>
      <c r="M33" s="3"/>
    </row>
    <row r="34" spans="1:13">
      <c r="A34" s="1" t="s">
        <v>159</v>
      </c>
      <c r="B34" s="1" t="s">
        <v>170</v>
      </c>
      <c r="C34" s="1">
        <v>356.24</v>
      </c>
      <c r="J34" s="15" t="s">
        <v>90</v>
      </c>
      <c r="K34" s="15"/>
    </row>
    <row r="35" spans="1:13">
      <c r="A35" s="1" t="s">
        <v>343</v>
      </c>
      <c r="B35" s="1" t="s">
        <v>171</v>
      </c>
      <c r="C35" s="1">
        <v>0</v>
      </c>
      <c r="J35" s="15" t="s">
        <v>91</v>
      </c>
      <c r="K35" s="16">
        <f ca="1">MAX(K7:K22)*2</f>
        <v>712.75</v>
      </c>
    </row>
    <row r="36" spans="1:13">
      <c r="A36" s="2" t="s">
        <v>344</v>
      </c>
      <c r="B36" s="1" t="s">
        <v>157</v>
      </c>
      <c r="C36" s="1">
        <v>-240.876</v>
      </c>
      <c r="J36" s="15" t="s">
        <v>92</v>
      </c>
      <c r="K36" s="16">
        <f ca="1">MIN(K7:K22)*2</f>
        <v>712.31799999999998</v>
      </c>
    </row>
    <row r="37" spans="1:13">
      <c r="A37" s="1" t="s">
        <v>159</v>
      </c>
      <c r="B37" s="1" t="s">
        <v>170</v>
      </c>
      <c r="C37" s="1">
        <v>356.27800000000002</v>
      </c>
    </row>
    <row r="38" spans="1:13">
      <c r="A38" s="1" t="s">
        <v>345</v>
      </c>
      <c r="B38" s="1" t="s">
        <v>171</v>
      </c>
      <c r="C38" s="1">
        <v>2E-3</v>
      </c>
    </row>
    <row r="39" spans="1:13">
      <c r="A39" s="2" t="s">
        <v>346</v>
      </c>
      <c r="B39" s="1" t="s">
        <v>157</v>
      </c>
      <c r="C39" s="1">
        <v>-240.875</v>
      </c>
    </row>
    <row r="40" spans="1:13">
      <c r="A40" s="1" t="s">
        <v>159</v>
      </c>
      <c r="B40" s="1" t="s">
        <v>170</v>
      </c>
      <c r="C40" s="1">
        <v>356.34199999999998</v>
      </c>
    </row>
    <row r="41" spans="1:13">
      <c r="A41" s="1" t="s">
        <v>347</v>
      </c>
      <c r="B41" s="1" t="s">
        <v>171</v>
      </c>
      <c r="C41" s="1">
        <v>0</v>
      </c>
    </row>
    <row r="42" spans="1:13">
      <c r="A42" s="2" t="s">
        <v>348</v>
      </c>
      <c r="B42" s="1" t="s">
        <v>157</v>
      </c>
      <c r="C42" s="1">
        <v>-240.875</v>
      </c>
    </row>
    <row r="43" spans="1:13">
      <c r="A43" s="1" t="s">
        <v>159</v>
      </c>
      <c r="B43" s="1" t="s">
        <v>170</v>
      </c>
      <c r="C43" s="1">
        <v>356.375</v>
      </c>
    </row>
    <row r="44" spans="1:13">
      <c r="A44" s="1" t="s">
        <v>349</v>
      </c>
      <c r="B44" s="1" t="s">
        <v>171</v>
      </c>
      <c r="C44" s="1">
        <v>0</v>
      </c>
    </row>
    <row r="45" spans="1:13">
      <c r="A45" s="2" t="s">
        <v>350</v>
      </c>
      <c r="B45" s="1" t="s">
        <v>157</v>
      </c>
      <c r="C45" s="1">
        <v>-240.874</v>
      </c>
    </row>
    <row r="46" spans="1:13">
      <c r="A46" s="1" t="s">
        <v>159</v>
      </c>
      <c r="B46" s="1" t="s">
        <v>170</v>
      </c>
      <c r="C46" s="1">
        <v>356.35599999999999</v>
      </c>
    </row>
    <row r="47" spans="1:13">
      <c r="A47" s="1" t="s">
        <v>351</v>
      </c>
      <c r="B47" s="1" t="s">
        <v>171</v>
      </c>
      <c r="C47" s="1">
        <v>-1E-3</v>
      </c>
    </row>
    <row r="48" spans="1:13">
      <c r="A48" s="2" t="s">
        <v>352</v>
      </c>
      <c r="B48" s="1" t="s">
        <v>157</v>
      </c>
      <c r="C48" s="1">
        <v>-240.875</v>
      </c>
    </row>
    <row r="49" spans="1:3">
      <c r="A49" s="1" t="s">
        <v>159</v>
      </c>
      <c r="B49" s="1" t="s">
        <v>170</v>
      </c>
      <c r="C49" s="1">
        <v>356.26499999999999</v>
      </c>
    </row>
    <row r="50" spans="1:3">
      <c r="A50" s="1" t="s">
        <v>353</v>
      </c>
      <c r="B50" s="1" t="s">
        <v>171</v>
      </c>
      <c r="C50" s="1">
        <v>-1E-3</v>
      </c>
    </row>
    <row r="51" spans="1:3">
      <c r="A51" s="2" t="s">
        <v>354</v>
      </c>
      <c r="B51" s="1" t="s">
        <v>157</v>
      </c>
      <c r="C51" s="1">
        <v>-240.875</v>
      </c>
    </row>
    <row r="52" spans="1:3">
      <c r="A52" s="1" t="s">
        <v>159</v>
      </c>
      <c r="B52" s="1" t="s">
        <v>170</v>
      </c>
      <c r="C52" s="1">
        <v>356.17500000000001</v>
      </c>
    </row>
    <row r="53" spans="1:3">
      <c r="A53" s="1" t="s">
        <v>355</v>
      </c>
      <c r="B53" s="1" t="s">
        <v>171</v>
      </c>
      <c r="C53" s="1">
        <v>-3.0000000000000001E-3</v>
      </c>
    </row>
    <row r="54" spans="1:3">
      <c r="A54" s="2" t="s">
        <v>356</v>
      </c>
      <c r="B54" s="1" t="s">
        <v>157</v>
      </c>
      <c r="C54" s="1">
        <v>-240.875</v>
      </c>
    </row>
  </sheetData>
  <phoneticPr fontId="1"/>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M54"/>
  <sheetViews>
    <sheetView workbookViewId="0">
      <selection activeCell="H7" sqref="H7:H22"/>
    </sheetView>
  </sheetViews>
  <sheetFormatPr defaultColWidth="9" defaultRowHeight="15"/>
  <cols>
    <col min="1" max="16384" width="9" style="1"/>
  </cols>
  <sheetData>
    <row r="1" spans="1:13">
      <c r="A1" s="1" t="s">
        <v>357</v>
      </c>
    </row>
    <row r="2" spans="1:13">
      <c r="A2" s="1" t="s">
        <v>160</v>
      </c>
      <c r="B2" s="1" t="s">
        <v>164</v>
      </c>
      <c r="C2" s="1">
        <v>761.61199999999997</v>
      </c>
      <c r="D2" s="1" t="s">
        <v>196</v>
      </c>
      <c r="E2" s="1">
        <v>761.56799999999998</v>
      </c>
      <c r="L2" s="1" t="s">
        <v>15</v>
      </c>
    </row>
    <row r="3" spans="1:13">
      <c r="A3" s="1" t="s">
        <v>358</v>
      </c>
      <c r="B3" s="1" t="s">
        <v>162</v>
      </c>
      <c r="C3" s="1">
        <v>4.3999999999999997E-2</v>
      </c>
      <c r="D3" s="1" t="s">
        <v>163</v>
      </c>
      <c r="E3" s="1">
        <v>0.05</v>
      </c>
      <c r="F3" s="1" t="s">
        <v>158</v>
      </c>
    </row>
    <row r="4" spans="1:13">
      <c r="A4" s="2" t="s">
        <v>359</v>
      </c>
      <c r="B4" s="1" t="s">
        <v>169</v>
      </c>
      <c r="C4" s="1">
        <v>-0.05</v>
      </c>
    </row>
    <row r="6" spans="1:13">
      <c r="A6" s="1" t="s">
        <v>1301</v>
      </c>
      <c r="C6" s="1" t="s">
        <v>360</v>
      </c>
      <c r="H6" s="3"/>
      <c r="I6" s="3" t="str">
        <f>CONCATENATE(A6," : ",MID(A1,11,3))</f>
        <v>JHV723EJ : 206</v>
      </c>
      <c r="J6" s="3"/>
      <c r="K6" s="3" t="s">
        <v>16</v>
      </c>
      <c r="L6" s="3" t="s">
        <v>1</v>
      </c>
      <c r="M6" s="3" t="s">
        <v>2</v>
      </c>
    </row>
    <row r="7" spans="1:13">
      <c r="A7" s="1" t="s">
        <v>159</v>
      </c>
      <c r="B7" s="1" t="s">
        <v>170</v>
      </c>
      <c r="C7" s="1">
        <v>380.791</v>
      </c>
      <c r="H7" s="4">
        <v>1</v>
      </c>
      <c r="I7" s="3" t="str">
        <f>CONCATENATE("点C(", H7,"/16)")</f>
        <v>点C(1/16)</v>
      </c>
      <c r="J7" s="3">
        <f>MATCH(I7, A$7:A$54, 0)</f>
        <v>2</v>
      </c>
      <c r="K7" s="3">
        <f ca="1">OFFSET(C$6, J7-1, 0)</f>
        <v>380.791</v>
      </c>
      <c r="L7" s="3">
        <f>($E$2+$C$4)/2</f>
        <v>380.75900000000001</v>
      </c>
      <c r="M7" s="3">
        <f>($E$2+$E$3)/2</f>
        <v>380.80899999999997</v>
      </c>
    </row>
    <row r="8" spans="1:13">
      <c r="A8" s="1" t="s">
        <v>181</v>
      </c>
      <c r="B8" s="1" t="s">
        <v>171</v>
      </c>
      <c r="C8" s="1">
        <v>0</v>
      </c>
      <c r="H8" s="4">
        <v>2</v>
      </c>
      <c r="I8" s="3" t="str">
        <f t="shared" ref="I8:I22" si="0">CONCATENATE("点C(", H8,"/16)")</f>
        <v>点C(2/16)</v>
      </c>
      <c r="J8" s="3">
        <f t="shared" ref="J8:J22" si="1">MATCH(I8, A$7:A$54, 0)</f>
        <v>5</v>
      </c>
      <c r="K8" s="3">
        <f t="shared" ref="K8:K22" ca="1" si="2">OFFSET(C$6, J8-1, 0)</f>
        <v>380.80500000000001</v>
      </c>
      <c r="L8" s="3">
        <f>L7</f>
        <v>380.75900000000001</v>
      </c>
      <c r="M8" s="3">
        <f>M7</f>
        <v>380.80899999999997</v>
      </c>
    </row>
    <row r="9" spans="1:13">
      <c r="A9" s="2" t="s">
        <v>172</v>
      </c>
      <c r="B9" s="1" t="s">
        <v>157</v>
      </c>
      <c r="C9" s="1">
        <v>-3</v>
      </c>
      <c r="H9" s="4">
        <v>3</v>
      </c>
      <c r="I9" s="3" t="str">
        <f t="shared" si="0"/>
        <v>点C(3/16)</v>
      </c>
      <c r="J9" s="3">
        <f t="shared" si="1"/>
        <v>8</v>
      </c>
      <c r="K9" s="3">
        <f t="shared" ca="1" si="2"/>
        <v>380.85899999999998</v>
      </c>
      <c r="L9" s="3">
        <f t="shared" ref="L9:M22" si="3">L8</f>
        <v>380.75900000000001</v>
      </c>
      <c r="M9" s="3">
        <f t="shared" si="3"/>
        <v>380.80899999999997</v>
      </c>
    </row>
    <row r="10" spans="1:13">
      <c r="A10" s="1" t="s">
        <v>159</v>
      </c>
      <c r="B10" s="1" t="s">
        <v>170</v>
      </c>
      <c r="C10" s="1">
        <v>380.80500000000001</v>
      </c>
      <c r="H10" s="4">
        <v>4</v>
      </c>
      <c r="I10" s="3" t="str">
        <f t="shared" si="0"/>
        <v>点C(4/16)</v>
      </c>
      <c r="J10" s="3">
        <f t="shared" si="1"/>
        <v>11</v>
      </c>
      <c r="K10" s="3">
        <f t="shared" ca="1" si="2"/>
        <v>380.892</v>
      </c>
      <c r="L10" s="3">
        <f t="shared" si="3"/>
        <v>380.75900000000001</v>
      </c>
      <c r="M10" s="3">
        <f t="shared" si="3"/>
        <v>380.80899999999997</v>
      </c>
    </row>
    <row r="11" spans="1:13">
      <c r="A11" s="1" t="s">
        <v>182</v>
      </c>
      <c r="B11" s="1" t="s">
        <v>171</v>
      </c>
      <c r="C11" s="1">
        <v>-1E-3</v>
      </c>
      <c r="H11" s="4">
        <v>5</v>
      </c>
      <c r="I11" s="3" t="str">
        <f t="shared" si="0"/>
        <v>点C(5/16)</v>
      </c>
      <c r="J11" s="3">
        <f t="shared" si="1"/>
        <v>14</v>
      </c>
      <c r="K11" s="3">
        <f t="shared" ca="1" si="2"/>
        <v>380.86399999999998</v>
      </c>
      <c r="L11" s="3">
        <f t="shared" si="3"/>
        <v>380.75900000000001</v>
      </c>
      <c r="M11" s="3">
        <f t="shared" si="3"/>
        <v>380.80899999999997</v>
      </c>
    </row>
    <row r="12" spans="1:13">
      <c r="A12" s="2" t="s">
        <v>173</v>
      </c>
      <c r="B12" s="1" t="s">
        <v>157</v>
      </c>
      <c r="C12" s="1">
        <v>-3</v>
      </c>
      <c r="H12" s="4">
        <v>6</v>
      </c>
      <c r="I12" s="3" t="str">
        <f t="shared" si="0"/>
        <v>点C(6/16)</v>
      </c>
      <c r="J12" s="3">
        <f t="shared" si="1"/>
        <v>17</v>
      </c>
      <c r="K12" s="3">
        <f t="shared" ca="1" si="2"/>
        <v>380.79599999999999</v>
      </c>
      <c r="L12" s="3">
        <f t="shared" si="3"/>
        <v>380.75900000000001</v>
      </c>
      <c r="M12" s="3">
        <f t="shared" si="3"/>
        <v>380.80899999999997</v>
      </c>
    </row>
    <row r="13" spans="1:13">
      <c r="A13" s="1" t="s">
        <v>159</v>
      </c>
      <c r="B13" s="1" t="s">
        <v>170</v>
      </c>
      <c r="C13" s="1">
        <v>380.85899999999998</v>
      </c>
      <c r="H13" s="4">
        <v>7</v>
      </c>
      <c r="I13" s="3" t="str">
        <f t="shared" si="0"/>
        <v>点C(7/16)</v>
      </c>
      <c r="J13" s="3">
        <f t="shared" si="1"/>
        <v>20</v>
      </c>
      <c r="K13" s="3">
        <f t="shared" ca="1" si="2"/>
        <v>380.72300000000001</v>
      </c>
      <c r="L13" s="3">
        <f t="shared" si="3"/>
        <v>380.75900000000001</v>
      </c>
      <c r="M13" s="3">
        <f t="shared" si="3"/>
        <v>380.80899999999997</v>
      </c>
    </row>
    <row r="14" spans="1:13">
      <c r="A14" s="1" t="s">
        <v>361</v>
      </c>
      <c r="B14" s="1" t="s">
        <v>171</v>
      </c>
      <c r="C14" s="1">
        <v>-1E-3</v>
      </c>
      <c r="H14" s="4">
        <v>8</v>
      </c>
      <c r="I14" s="3" t="str">
        <f t="shared" si="0"/>
        <v>点C(8/16)</v>
      </c>
      <c r="J14" s="3">
        <f t="shared" si="1"/>
        <v>23</v>
      </c>
      <c r="K14" s="3">
        <f t="shared" ca="1" si="2"/>
        <v>380.69</v>
      </c>
      <c r="L14" s="3">
        <f t="shared" si="3"/>
        <v>380.75900000000001</v>
      </c>
      <c r="M14" s="3">
        <f t="shared" si="3"/>
        <v>380.80899999999997</v>
      </c>
    </row>
    <row r="15" spans="1:13">
      <c r="A15" s="2" t="s">
        <v>174</v>
      </c>
      <c r="B15" s="1" t="s">
        <v>157</v>
      </c>
      <c r="C15" s="1">
        <v>-3.0009999999999999</v>
      </c>
      <c r="H15" s="4">
        <v>9</v>
      </c>
      <c r="I15" s="3" t="str">
        <f t="shared" si="0"/>
        <v>点C(9/16)</v>
      </c>
      <c r="J15" s="3">
        <f t="shared" si="1"/>
        <v>26</v>
      </c>
      <c r="K15" s="3">
        <f t="shared" ca="1" si="2"/>
        <v>380.70400000000001</v>
      </c>
      <c r="L15" s="3">
        <f t="shared" si="3"/>
        <v>380.75900000000001</v>
      </c>
      <c r="M15" s="3">
        <f t="shared" si="3"/>
        <v>380.80899999999997</v>
      </c>
    </row>
    <row r="16" spans="1:13">
      <c r="A16" s="1" t="s">
        <v>159</v>
      </c>
      <c r="B16" s="1" t="s">
        <v>170</v>
      </c>
      <c r="C16" s="1">
        <v>380.892</v>
      </c>
      <c r="H16" s="4">
        <v>10</v>
      </c>
      <c r="I16" s="3" t="str">
        <f t="shared" si="0"/>
        <v>点C(10/16)</v>
      </c>
      <c r="J16" s="3">
        <f t="shared" si="1"/>
        <v>29</v>
      </c>
      <c r="K16" s="3">
        <f t="shared" ca="1" si="2"/>
        <v>380.75</v>
      </c>
      <c r="L16" s="3">
        <f t="shared" si="3"/>
        <v>380.75900000000001</v>
      </c>
      <c r="M16" s="3">
        <f t="shared" si="3"/>
        <v>380.80899999999997</v>
      </c>
    </row>
    <row r="17" spans="1:13">
      <c r="A17" s="1" t="s">
        <v>183</v>
      </c>
      <c r="B17" s="1" t="s">
        <v>171</v>
      </c>
      <c r="C17" s="1">
        <v>2E-3</v>
      </c>
      <c r="H17" s="4">
        <v>11</v>
      </c>
      <c r="I17" s="3" t="str">
        <f t="shared" si="0"/>
        <v>点C(11/16)</v>
      </c>
      <c r="J17" s="3">
        <f t="shared" si="1"/>
        <v>32</v>
      </c>
      <c r="K17" s="3">
        <f t="shared" ca="1" si="2"/>
        <v>380.78199999999998</v>
      </c>
      <c r="L17" s="3">
        <f t="shared" si="3"/>
        <v>380.75900000000001</v>
      </c>
      <c r="M17" s="3">
        <f t="shared" si="3"/>
        <v>380.80899999999997</v>
      </c>
    </row>
    <row r="18" spans="1:13">
      <c r="A18" s="2" t="s">
        <v>184</v>
      </c>
      <c r="B18" s="1" t="s">
        <v>157</v>
      </c>
      <c r="C18" s="1">
        <v>-3</v>
      </c>
      <c r="H18" s="4">
        <v>12</v>
      </c>
      <c r="I18" s="3" t="str">
        <f t="shared" si="0"/>
        <v>点C(12/16)</v>
      </c>
      <c r="J18" s="3">
        <f t="shared" si="1"/>
        <v>35</v>
      </c>
      <c r="K18" s="3">
        <f t="shared" ca="1" si="2"/>
        <v>380.79500000000002</v>
      </c>
      <c r="L18" s="3">
        <f t="shared" si="3"/>
        <v>380.75900000000001</v>
      </c>
      <c r="M18" s="3">
        <f t="shared" si="3"/>
        <v>380.80899999999997</v>
      </c>
    </row>
    <row r="19" spans="1:13">
      <c r="A19" s="1" t="s">
        <v>159</v>
      </c>
      <c r="B19" s="1" t="s">
        <v>170</v>
      </c>
      <c r="C19" s="1">
        <v>380.86399999999998</v>
      </c>
      <c r="H19" s="4">
        <v>13</v>
      </c>
      <c r="I19" s="3" t="str">
        <f t="shared" si="0"/>
        <v>点C(13/16)</v>
      </c>
      <c r="J19" s="3">
        <f t="shared" si="1"/>
        <v>38</v>
      </c>
      <c r="K19" s="3">
        <f t="shared" ca="1" si="2"/>
        <v>380.82299999999998</v>
      </c>
      <c r="L19" s="3">
        <f t="shared" si="3"/>
        <v>380.75900000000001</v>
      </c>
      <c r="M19" s="3">
        <f t="shared" si="3"/>
        <v>380.80899999999997</v>
      </c>
    </row>
    <row r="20" spans="1:13">
      <c r="A20" s="1" t="s">
        <v>362</v>
      </c>
      <c r="B20" s="1" t="s">
        <v>171</v>
      </c>
      <c r="C20" s="1">
        <v>1E-3</v>
      </c>
      <c r="H20" s="4">
        <v>14</v>
      </c>
      <c r="I20" s="3" t="str">
        <f t="shared" si="0"/>
        <v>点C(14/16)</v>
      </c>
      <c r="J20" s="3">
        <f t="shared" si="1"/>
        <v>41</v>
      </c>
      <c r="K20" s="3">
        <f t="shared" ca="1" si="2"/>
        <v>380.87599999999998</v>
      </c>
      <c r="L20" s="3">
        <f t="shared" si="3"/>
        <v>380.75900000000001</v>
      </c>
      <c r="M20" s="3">
        <f t="shared" si="3"/>
        <v>380.80899999999997</v>
      </c>
    </row>
    <row r="21" spans="1:13">
      <c r="A21" s="2" t="s">
        <v>185</v>
      </c>
      <c r="B21" s="1" t="s">
        <v>157</v>
      </c>
      <c r="C21" s="1">
        <v>-3.0009999999999999</v>
      </c>
      <c r="H21" s="4">
        <v>15</v>
      </c>
      <c r="I21" s="3" t="str">
        <f t="shared" si="0"/>
        <v>点C(15/16)</v>
      </c>
      <c r="J21" s="3">
        <f t="shared" si="1"/>
        <v>44</v>
      </c>
      <c r="K21" s="3">
        <f t="shared" ca="1" si="2"/>
        <v>380.89600000000002</v>
      </c>
      <c r="L21" s="3">
        <f t="shared" si="3"/>
        <v>380.75900000000001</v>
      </c>
      <c r="M21" s="3">
        <f t="shared" si="3"/>
        <v>380.80899999999997</v>
      </c>
    </row>
    <row r="22" spans="1:13">
      <c r="A22" s="1" t="s">
        <v>159</v>
      </c>
      <c r="B22" s="1" t="s">
        <v>170</v>
      </c>
      <c r="C22" s="1">
        <v>380.79599999999999</v>
      </c>
      <c r="H22" s="4">
        <v>16</v>
      </c>
      <c r="I22" s="3" t="str">
        <f t="shared" si="0"/>
        <v>点C(16/16)</v>
      </c>
      <c r="J22" s="3">
        <f t="shared" si="1"/>
        <v>47</v>
      </c>
      <c r="K22" s="3">
        <f t="shared" ca="1" si="2"/>
        <v>380.851</v>
      </c>
      <c r="L22" s="3">
        <f t="shared" si="3"/>
        <v>380.75900000000001</v>
      </c>
      <c r="M22" s="3">
        <f t="shared" si="3"/>
        <v>380.80899999999997</v>
      </c>
    </row>
    <row r="23" spans="1:13">
      <c r="A23" s="1" t="s">
        <v>186</v>
      </c>
      <c r="B23" s="1" t="s">
        <v>171</v>
      </c>
      <c r="C23" s="1">
        <v>-2E-3</v>
      </c>
      <c r="H23" s="3"/>
      <c r="I23" s="3"/>
      <c r="J23" s="3"/>
      <c r="K23" s="3"/>
      <c r="L23" s="3"/>
      <c r="M23" s="3"/>
    </row>
    <row r="24" spans="1:13">
      <c r="A24" s="2" t="s">
        <v>175</v>
      </c>
      <c r="B24" s="1" t="s">
        <v>157</v>
      </c>
      <c r="C24" s="1">
        <v>-3.0009999999999999</v>
      </c>
      <c r="H24" s="3"/>
      <c r="I24" s="3"/>
      <c r="J24" s="5" t="s">
        <v>3</v>
      </c>
      <c r="K24" s="3" t="str">
        <f>"&gt;"&amp;TEXT(($E$2+$E$3)/2, "0.###")</f>
        <v>&gt;380.809</v>
      </c>
      <c r="L24" s="3"/>
      <c r="M24" s="3"/>
    </row>
    <row r="25" spans="1:13">
      <c r="A25" s="1" t="s">
        <v>159</v>
      </c>
      <c r="B25" s="1" t="s">
        <v>170</v>
      </c>
      <c r="C25" s="1">
        <v>380.72300000000001</v>
      </c>
      <c r="H25" s="3"/>
      <c r="I25" s="3"/>
      <c r="J25" s="6" t="s">
        <v>17</v>
      </c>
      <c r="K25" s="3" t="str">
        <f>"&lt;"&amp;TEXT(($E$2+$C$4)/2, "0.###")</f>
        <v>&lt;380.759</v>
      </c>
      <c r="L25" s="3"/>
      <c r="M25" s="3"/>
    </row>
    <row r="26" spans="1:13">
      <c r="A26" s="1" t="s">
        <v>187</v>
      </c>
      <c r="B26" s="1" t="s">
        <v>171</v>
      </c>
      <c r="C26" s="1">
        <v>1E-3</v>
      </c>
      <c r="H26" s="3"/>
      <c r="I26" s="3"/>
      <c r="J26" s="7"/>
      <c r="K26" s="8" t="s">
        <v>18</v>
      </c>
      <c r="L26" s="3"/>
      <c r="M26" s="3"/>
    </row>
    <row r="27" spans="1:13">
      <c r="A27" s="2" t="s">
        <v>176</v>
      </c>
      <c r="B27" s="1" t="s">
        <v>157</v>
      </c>
      <c r="C27" s="1">
        <v>-3</v>
      </c>
      <c r="H27" s="3"/>
      <c r="I27" s="3"/>
      <c r="J27" s="9" t="s">
        <v>6</v>
      </c>
      <c r="K27" s="10">
        <f ca="1">AVERAGE(K7:K22)*2</f>
        <v>761.61212499999999</v>
      </c>
      <c r="L27" s="3"/>
      <c r="M27" s="3"/>
    </row>
    <row r="28" spans="1:13">
      <c r="A28" s="1" t="s">
        <v>159</v>
      </c>
      <c r="B28" s="1" t="s">
        <v>170</v>
      </c>
      <c r="C28" s="1">
        <v>380.69</v>
      </c>
      <c r="H28" s="3"/>
      <c r="I28" s="3"/>
      <c r="J28" s="9"/>
      <c r="K28" s="11" t="str">
        <f ca="1">IF(K27&lt;$E$2+$C$4, "U/Min "&amp;TEXT($E$2+$C$4-K27, "0.###"), IF(K27&gt;$E$2+$E$3, "O/Max "&amp;TEXT(K27-$E$2-$E$3, "0.###"), "-"))</f>
        <v>-</v>
      </c>
      <c r="L28" s="3"/>
      <c r="M28" s="3"/>
    </row>
    <row r="29" spans="1:13">
      <c r="A29" s="1" t="s">
        <v>188</v>
      </c>
      <c r="B29" s="1" t="s">
        <v>171</v>
      </c>
      <c r="C29" s="1">
        <v>1E-3</v>
      </c>
      <c r="H29" s="3"/>
      <c r="I29" s="3"/>
      <c r="J29" s="9" t="s">
        <v>13</v>
      </c>
      <c r="K29" s="10">
        <f ca="1">MAX(K7:K22)-MIN(K7:K22)</f>
        <v>0.20600000000001728</v>
      </c>
      <c r="L29" s="3"/>
      <c r="M29" s="3"/>
    </row>
    <row r="30" spans="1:13">
      <c r="A30" s="2" t="s">
        <v>177</v>
      </c>
      <c r="B30" s="1" t="s">
        <v>157</v>
      </c>
      <c r="C30" s="1">
        <v>-3</v>
      </c>
      <c r="H30" s="3"/>
      <c r="I30" s="3"/>
      <c r="J30" s="9"/>
      <c r="K30" s="11" t="str">
        <f ca="1">IF(K29&gt;0.64, "O/Max "&amp;TEXT(K29-0.13, "0.###"), "-")</f>
        <v>-</v>
      </c>
      <c r="L30" s="3"/>
      <c r="M30" s="3"/>
    </row>
    <row r="31" spans="1:13">
      <c r="A31" s="1" t="s">
        <v>159</v>
      </c>
      <c r="B31" s="1" t="s">
        <v>170</v>
      </c>
      <c r="C31" s="1">
        <v>380.70400000000001</v>
      </c>
      <c r="H31" s="3"/>
      <c r="I31" s="3"/>
      <c r="J31" s="9" t="s">
        <v>14</v>
      </c>
      <c r="K31" s="12">
        <f ca="1">COUNTIF(K7:K22, $K24)</f>
        <v>7</v>
      </c>
      <c r="L31" s="3"/>
      <c r="M31" s="3"/>
    </row>
    <row r="32" spans="1:13">
      <c r="A32" s="1" t="s">
        <v>189</v>
      </c>
      <c r="B32" s="1" t="s">
        <v>171</v>
      </c>
      <c r="C32" s="1">
        <v>0</v>
      </c>
      <c r="H32" s="3"/>
      <c r="I32" s="3"/>
      <c r="J32" s="13" t="s">
        <v>9</v>
      </c>
      <c r="K32" s="12">
        <f ca="1">COUNTIF(K7:K22, $K25)</f>
        <v>4</v>
      </c>
      <c r="L32" s="3"/>
      <c r="M32" s="3"/>
    </row>
    <row r="33" spans="1:13">
      <c r="A33" s="2" t="s">
        <v>363</v>
      </c>
      <c r="B33" s="1" t="s">
        <v>157</v>
      </c>
      <c r="C33" s="1">
        <v>-3</v>
      </c>
      <c r="H33" s="3"/>
      <c r="I33" s="3"/>
      <c r="J33" s="12"/>
      <c r="K33" s="14" t="str">
        <f ca="1">TEXT(K31+K32,"0")&amp;"/16"</f>
        <v>11/16</v>
      </c>
      <c r="L33" s="3"/>
      <c r="M33" s="3"/>
    </row>
    <row r="34" spans="1:13">
      <c r="A34" s="1" t="s">
        <v>159</v>
      </c>
      <c r="B34" s="1" t="s">
        <v>170</v>
      </c>
      <c r="C34" s="1">
        <v>380.75</v>
      </c>
    </row>
    <row r="35" spans="1:13">
      <c r="A35" s="1" t="s">
        <v>364</v>
      </c>
      <c r="B35" s="1" t="s">
        <v>171</v>
      </c>
      <c r="C35" s="1">
        <v>1E-3</v>
      </c>
    </row>
    <row r="36" spans="1:13">
      <c r="A36" s="2" t="s">
        <v>365</v>
      </c>
      <c r="B36" s="1" t="s">
        <v>157</v>
      </c>
      <c r="C36" s="1">
        <v>-3.0009999999999999</v>
      </c>
    </row>
    <row r="37" spans="1:13">
      <c r="A37" s="1" t="s">
        <v>159</v>
      </c>
      <c r="B37" s="1" t="s">
        <v>170</v>
      </c>
      <c r="C37" s="1">
        <v>380.78199999999998</v>
      </c>
    </row>
    <row r="38" spans="1:13">
      <c r="A38" s="1" t="s">
        <v>190</v>
      </c>
      <c r="B38" s="1" t="s">
        <v>171</v>
      </c>
      <c r="C38" s="1">
        <v>0</v>
      </c>
    </row>
    <row r="39" spans="1:13">
      <c r="A39" s="2" t="s">
        <v>191</v>
      </c>
      <c r="B39" s="1" t="s">
        <v>157</v>
      </c>
      <c r="C39" s="1">
        <v>-3</v>
      </c>
    </row>
    <row r="40" spans="1:13">
      <c r="A40" s="1" t="s">
        <v>159</v>
      </c>
      <c r="B40" s="1" t="s">
        <v>170</v>
      </c>
      <c r="C40" s="1">
        <v>380.79500000000002</v>
      </c>
    </row>
    <row r="41" spans="1:13">
      <c r="A41" s="1" t="s">
        <v>366</v>
      </c>
      <c r="B41" s="1" t="s">
        <v>171</v>
      </c>
      <c r="C41" s="1">
        <v>1.2999999999999999E-2</v>
      </c>
    </row>
    <row r="42" spans="1:13">
      <c r="A42" s="2" t="s">
        <v>192</v>
      </c>
      <c r="B42" s="1" t="s">
        <v>157</v>
      </c>
      <c r="C42" s="1">
        <v>-2.9990000000000001</v>
      </c>
    </row>
    <row r="43" spans="1:13">
      <c r="A43" s="1" t="s">
        <v>159</v>
      </c>
      <c r="B43" s="1" t="s">
        <v>170</v>
      </c>
      <c r="C43" s="1">
        <v>380.82299999999998</v>
      </c>
    </row>
    <row r="44" spans="1:13">
      <c r="A44" s="1" t="s">
        <v>367</v>
      </c>
      <c r="B44" s="1" t="s">
        <v>171</v>
      </c>
      <c r="C44" s="1">
        <v>2E-3</v>
      </c>
    </row>
    <row r="45" spans="1:13">
      <c r="A45" s="2" t="s">
        <v>368</v>
      </c>
      <c r="B45" s="1" t="s">
        <v>157</v>
      </c>
      <c r="C45" s="1">
        <v>-3</v>
      </c>
    </row>
    <row r="46" spans="1:13">
      <c r="A46" s="1" t="s">
        <v>159</v>
      </c>
      <c r="B46" s="1" t="s">
        <v>170</v>
      </c>
      <c r="C46" s="1">
        <v>380.87599999999998</v>
      </c>
    </row>
    <row r="47" spans="1:13">
      <c r="A47" s="1" t="s">
        <v>369</v>
      </c>
      <c r="B47" s="1" t="s">
        <v>171</v>
      </c>
      <c r="C47" s="1">
        <v>-3.0000000000000001E-3</v>
      </c>
    </row>
    <row r="48" spans="1:13">
      <c r="A48" s="2" t="s">
        <v>193</v>
      </c>
      <c r="B48" s="1" t="s">
        <v>157</v>
      </c>
      <c r="C48" s="1">
        <v>-3</v>
      </c>
    </row>
    <row r="49" spans="1:3">
      <c r="A49" s="1" t="s">
        <v>159</v>
      </c>
      <c r="B49" s="1" t="s">
        <v>170</v>
      </c>
      <c r="C49" s="1">
        <v>380.89600000000002</v>
      </c>
    </row>
    <row r="50" spans="1:3">
      <c r="A50" s="1" t="s">
        <v>194</v>
      </c>
      <c r="B50" s="1" t="s">
        <v>171</v>
      </c>
      <c r="C50" s="1">
        <v>2E-3</v>
      </c>
    </row>
    <row r="51" spans="1:3">
      <c r="A51" s="2" t="s">
        <v>195</v>
      </c>
      <c r="B51" s="1" t="s">
        <v>157</v>
      </c>
      <c r="C51" s="1">
        <v>-3</v>
      </c>
    </row>
    <row r="52" spans="1:3">
      <c r="A52" s="1" t="s">
        <v>159</v>
      </c>
      <c r="B52" s="1" t="s">
        <v>170</v>
      </c>
      <c r="C52" s="1">
        <v>380.851</v>
      </c>
    </row>
    <row r="53" spans="1:3">
      <c r="A53" s="1" t="s">
        <v>370</v>
      </c>
      <c r="B53" s="1" t="s">
        <v>171</v>
      </c>
      <c r="C53" s="1">
        <v>5.0000000000000001E-3</v>
      </c>
    </row>
    <row r="54" spans="1:3">
      <c r="A54" s="2" t="s">
        <v>371</v>
      </c>
      <c r="B54" s="1" t="s">
        <v>157</v>
      </c>
      <c r="C54" s="1">
        <v>-3</v>
      </c>
    </row>
  </sheetData>
  <phoneticPr fontId="1"/>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6"/>
  <dimension ref="A1:AV124"/>
  <sheetViews>
    <sheetView topLeftCell="A40" workbookViewId="0">
      <selection activeCell="O74" sqref="O74"/>
    </sheetView>
  </sheetViews>
  <sheetFormatPr defaultColWidth="9" defaultRowHeight="15"/>
  <cols>
    <col min="1" max="6" width="9" style="1"/>
    <col min="8" max="8" width="13.85546875" bestFit="1" customWidth="1"/>
    <col min="9" max="25" width="9" style="1"/>
    <col min="26" max="26" width="12.42578125" bestFit="1" customWidth="1"/>
    <col min="27" max="27" width="13.85546875" bestFit="1" customWidth="1"/>
    <col min="28" max="28" width="11.140625" style="45" bestFit="1" customWidth="1"/>
    <col min="29" max="29" width="10" style="45" bestFit="1" customWidth="1"/>
    <col min="30" max="31" width="11.140625" style="45" bestFit="1" customWidth="1"/>
    <col min="32" max="32" width="10" style="45" bestFit="1" customWidth="1"/>
    <col min="33" max="36" width="11.140625" style="45" bestFit="1" customWidth="1"/>
    <col min="37" max="37" width="10.140625" bestFit="1" customWidth="1"/>
    <col min="39" max="39" width="10.85546875" customWidth="1"/>
    <col min="41" max="43" width="9.140625" bestFit="1" customWidth="1"/>
    <col min="45" max="45" width="9.140625" bestFit="1" customWidth="1"/>
    <col min="49" max="16384" width="9" style="1"/>
  </cols>
  <sheetData>
    <row r="1" spans="1:37">
      <c r="A1" s="1" t="s">
        <v>372</v>
      </c>
    </row>
    <row r="2" spans="1:37">
      <c r="A2" s="1" t="s">
        <v>160</v>
      </c>
      <c r="B2" s="1" t="s">
        <v>164</v>
      </c>
      <c r="C2" s="1">
        <v>725.45399999999995</v>
      </c>
      <c r="D2" s="1" t="s">
        <v>196</v>
      </c>
      <c r="E2" s="1">
        <v>725.4</v>
      </c>
      <c r="L2" s="46" t="s">
        <v>1132</v>
      </c>
    </row>
    <row r="3" spans="1:37">
      <c r="A3" s="1" t="s">
        <v>373</v>
      </c>
      <c r="B3" s="1" t="s">
        <v>162</v>
      </c>
      <c r="C3" s="1">
        <v>5.3999999999999999E-2</v>
      </c>
      <c r="D3" s="1" t="s">
        <v>163</v>
      </c>
      <c r="E3" s="1">
        <v>0.13</v>
      </c>
      <c r="F3" s="1" t="s">
        <v>158</v>
      </c>
      <c r="AA3" s="47" t="s">
        <v>1133</v>
      </c>
    </row>
    <row r="4" spans="1:37">
      <c r="A4" s="2" t="s">
        <v>374</v>
      </c>
      <c r="B4" s="1" t="s">
        <v>169</v>
      </c>
      <c r="C4" s="1">
        <v>-0.13</v>
      </c>
    </row>
    <row r="6" spans="1:37">
      <c r="A6" s="1" t="s">
        <v>1301</v>
      </c>
      <c r="C6" s="1" t="s">
        <v>360</v>
      </c>
      <c r="I6" t="s">
        <v>1134</v>
      </c>
      <c r="K6" s="3"/>
      <c r="L6" s="3" t="str">
        <f>CONCATENATE(A6," : ",MID(A1,11,3), "-RSP.I")</f>
        <v>JHV723EJ : 225-RSP.I</v>
      </c>
      <c r="M6" s="3"/>
      <c r="N6" s="3" t="s">
        <v>0</v>
      </c>
      <c r="O6" s="3" t="s">
        <v>1</v>
      </c>
      <c r="P6" s="3" t="s">
        <v>2</v>
      </c>
      <c r="AB6" s="48" t="s">
        <v>1135</v>
      </c>
      <c r="AC6" s="48" t="s">
        <v>1136</v>
      </c>
      <c r="AD6" s="48" t="s">
        <v>1137</v>
      </c>
      <c r="AE6" s="48" t="s">
        <v>1138</v>
      </c>
      <c r="AF6" s="48" t="s">
        <v>1139</v>
      </c>
      <c r="AG6" s="48" t="s">
        <v>1140</v>
      </c>
      <c r="AH6" s="48" t="s">
        <v>1141</v>
      </c>
      <c r="AI6" s="48" t="s">
        <v>1142</v>
      </c>
      <c r="AJ6" s="48" t="s">
        <v>1143</v>
      </c>
      <c r="AK6" s="49">
        <v>1</v>
      </c>
    </row>
    <row r="7" spans="1:37">
      <c r="A7" s="1" t="s">
        <v>375</v>
      </c>
      <c r="B7" s="1" t="s">
        <v>170</v>
      </c>
      <c r="C7" s="1">
        <v>362.65</v>
      </c>
      <c r="G7">
        <v>90</v>
      </c>
      <c r="H7" s="50">
        <f>C7*SIN(RADIANS(G7+C8))</f>
        <v>362.65</v>
      </c>
      <c r="I7" s="51">
        <f>H7-$AO$35</f>
        <v>362.64880933134936</v>
      </c>
      <c r="K7" s="3">
        <v>1</v>
      </c>
      <c r="L7" s="3" t="str">
        <f>CONCATENATE("点225(", K7,"/16)")</f>
        <v>点225(1/16)</v>
      </c>
      <c r="M7" s="3">
        <f>MATCH(L7, A$7:A$54, 0)</f>
        <v>2</v>
      </c>
      <c r="N7" s="3">
        <f ca="1">OFFSET(C$6, M7-1, 0)</f>
        <v>362.65</v>
      </c>
      <c r="O7" s="3">
        <f>($E$2+$C$4)/2</f>
        <v>362.63499999999999</v>
      </c>
      <c r="P7" s="3">
        <f>($E$2+$E$3)/2</f>
        <v>362.76499999999999</v>
      </c>
      <c r="Z7" s="52" t="s">
        <v>1144</v>
      </c>
      <c r="AA7" s="50">
        <f>H7</f>
        <v>362.65</v>
      </c>
      <c r="AB7" s="45">
        <f>AA8^3</f>
        <v>1.0963247241410196E-41</v>
      </c>
      <c r="AC7" s="45">
        <f>AA8^2</f>
        <v>4.9350641865397444E-28</v>
      </c>
      <c r="AD7" s="45">
        <f>AA8</f>
        <v>2.2215004358630552E-14</v>
      </c>
      <c r="AE7" s="45">
        <f>AA7^3</f>
        <v>47693922.909624994</v>
      </c>
      <c r="AF7" s="45">
        <f>AA7^2</f>
        <v>131515.02249999999</v>
      </c>
      <c r="AG7" s="45">
        <f>AA7</f>
        <v>362.65</v>
      </c>
      <c r="AH7" s="45">
        <f>AA8^2*AA7</f>
        <v>1.7897010272486381E-25</v>
      </c>
      <c r="AI7" s="45">
        <f>AA8*AA7</f>
        <v>8.0562713306573688E-12</v>
      </c>
      <c r="AJ7" s="45">
        <f>AA8*AA7^2</f>
        <v>2.9216067980628948E-9</v>
      </c>
      <c r="AK7">
        <v>1</v>
      </c>
    </row>
    <row r="8" spans="1:37">
      <c r="A8" s="1" t="s">
        <v>1196</v>
      </c>
      <c r="B8" s="1" t="s">
        <v>171</v>
      </c>
      <c r="C8" s="1">
        <v>0</v>
      </c>
      <c r="H8" s="50">
        <f>C7*COS(RADIANS(G7+C8))</f>
        <v>2.2215004358630552E-14</v>
      </c>
      <c r="I8" s="51">
        <f>H8-$AO$34</f>
        <v>3.9390595918965456E-3</v>
      </c>
      <c r="K8" s="3">
        <v>2</v>
      </c>
      <c r="L8" s="3" t="str">
        <f t="shared" ref="L8:L22" si="0">CONCATENATE("点225(", K8,"/16)")</f>
        <v>点225(2/16)</v>
      </c>
      <c r="M8" s="3">
        <f t="shared" ref="M8:M22" si="1">MATCH(L8, A$7:A$54, 0)</f>
        <v>5</v>
      </c>
      <c r="N8" s="3">
        <f t="shared" ref="N8:N15" ca="1" si="2">OFFSET(C$6, M8-1, 0)</f>
        <v>362.66500000000002</v>
      </c>
      <c r="O8" s="3">
        <f>O7</f>
        <v>362.63499999999999</v>
      </c>
      <c r="P8" s="3">
        <f>P7</f>
        <v>362.76499999999999</v>
      </c>
      <c r="Z8" s="52" t="s">
        <v>1145</v>
      </c>
      <c r="AA8" s="50">
        <f>H8</f>
        <v>2.2215004358630552E-14</v>
      </c>
    </row>
    <row r="9" spans="1:37">
      <c r="A9" s="2" t="s">
        <v>376</v>
      </c>
      <c r="B9" s="1" t="s">
        <v>157</v>
      </c>
      <c r="C9" s="1">
        <v>-8.4</v>
      </c>
      <c r="H9" s="50"/>
      <c r="I9" s="51"/>
      <c r="K9" s="3">
        <v>3</v>
      </c>
      <c r="L9" s="3" t="str">
        <f t="shared" si="0"/>
        <v>点225(3/16)</v>
      </c>
      <c r="M9" s="3">
        <f t="shared" si="1"/>
        <v>8</v>
      </c>
      <c r="N9" s="3">
        <f t="shared" ca="1" si="2"/>
        <v>362.74</v>
      </c>
      <c r="O9" s="3">
        <f t="shared" ref="O9:P15" si="3">O8</f>
        <v>362.63499999999999</v>
      </c>
      <c r="P9" s="3">
        <f t="shared" si="3"/>
        <v>362.76499999999999</v>
      </c>
      <c r="Z9" s="52"/>
      <c r="AA9" s="50"/>
    </row>
    <row r="10" spans="1:37">
      <c r="A10" s="1" t="s">
        <v>375</v>
      </c>
      <c r="B10" s="1" t="s">
        <v>170</v>
      </c>
      <c r="C10" s="1">
        <v>362.66500000000002</v>
      </c>
      <c r="G10">
        <f>G7+360/16</f>
        <v>112.5</v>
      </c>
      <c r="H10" s="50">
        <f>C10*SIN(RADIANS(G10+C11))</f>
        <v>335.05877065820584</v>
      </c>
      <c r="I10" s="51">
        <f>H10-$AO$35</f>
        <v>335.05757998955522</v>
      </c>
      <c r="K10" s="3">
        <v>4</v>
      </c>
      <c r="L10" s="3" t="str">
        <f t="shared" si="0"/>
        <v>点225(4/16)</v>
      </c>
      <c r="M10" s="3">
        <f t="shared" si="1"/>
        <v>11</v>
      </c>
      <c r="N10" s="3">
        <f t="shared" ca="1" si="2"/>
        <v>362.79500000000002</v>
      </c>
      <c r="O10" s="3">
        <f t="shared" si="3"/>
        <v>362.63499999999999</v>
      </c>
      <c r="P10" s="3">
        <f t="shared" si="3"/>
        <v>362.76499999999999</v>
      </c>
      <c r="Z10" s="52" t="s">
        <v>1144</v>
      </c>
      <c r="AA10" s="50">
        <f>H10</f>
        <v>335.05877065820584</v>
      </c>
      <c r="AB10" s="45">
        <f>AA11^3</f>
        <v>-2673227.4753942648</v>
      </c>
      <c r="AC10" s="45">
        <f>AA11^2</f>
        <v>19261.522430011839</v>
      </c>
      <c r="AD10" s="45">
        <f>AA11</f>
        <v>-138.78588699868527</v>
      </c>
      <c r="AE10" s="45">
        <f>AA10^3</f>
        <v>37615165.082814664</v>
      </c>
      <c r="AF10" s="45">
        <f>AA10^2</f>
        <v>112264.37979498818</v>
      </c>
      <c r="AG10" s="45">
        <f>AA10</f>
        <v>335.05877065820584</v>
      </c>
      <c r="AH10" s="45">
        <f>AA11^2*AA10</f>
        <v>6453742.0264052246</v>
      </c>
      <c r="AI10" s="45">
        <f>AA11*AA10</f>
        <v>-46501.428682488164</v>
      </c>
      <c r="AJ10" s="45">
        <f>AA11*AA10^2</f>
        <v>-15580711.528204717</v>
      </c>
      <c r="AK10">
        <v>1</v>
      </c>
    </row>
    <row r="11" spans="1:37">
      <c r="A11" s="1" t="s">
        <v>1197</v>
      </c>
      <c r="B11" s="1" t="s">
        <v>171</v>
      </c>
      <c r="C11" s="1">
        <v>0</v>
      </c>
      <c r="H11" s="50">
        <f>C10*COS(RADIANS(G10+C11))</f>
        <v>-138.78588699868527</v>
      </c>
      <c r="I11" s="51">
        <f>H11-$AO$34</f>
        <v>-138.78194793909339</v>
      </c>
      <c r="K11" s="3">
        <v>5</v>
      </c>
      <c r="L11" s="3" t="str">
        <f t="shared" si="0"/>
        <v>点225(5/16)</v>
      </c>
      <c r="M11" s="3">
        <f t="shared" si="1"/>
        <v>14</v>
      </c>
      <c r="N11" s="3">
        <f t="shared" ca="1" si="2"/>
        <v>362.79399999999998</v>
      </c>
      <c r="O11" s="3">
        <f t="shared" si="3"/>
        <v>362.63499999999999</v>
      </c>
      <c r="P11" s="3">
        <f t="shared" si="3"/>
        <v>362.76499999999999</v>
      </c>
      <c r="Z11" s="52" t="s">
        <v>1145</v>
      </c>
      <c r="AA11" s="50">
        <f>H11</f>
        <v>-138.78588699868527</v>
      </c>
    </row>
    <row r="12" spans="1:37">
      <c r="A12" s="2" t="s">
        <v>377</v>
      </c>
      <c r="B12" s="1" t="s">
        <v>157</v>
      </c>
      <c r="C12" s="1">
        <v>-8.4</v>
      </c>
      <c r="H12" s="50"/>
      <c r="I12" s="51"/>
      <c r="K12" s="3">
        <v>6</v>
      </c>
      <c r="L12" s="3" t="str">
        <f t="shared" si="0"/>
        <v>点225(6/16)</v>
      </c>
      <c r="M12" s="3">
        <f t="shared" si="1"/>
        <v>17</v>
      </c>
      <c r="N12" s="3">
        <f t="shared" ca="1" si="2"/>
        <v>362.75099999999998</v>
      </c>
      <c r="O12" s="3">
        <f t="shared" si="3"/>
        <v>362.63499999999999</v>
      </c>
      <c r="P12" s="3">
        <f t="shared" si="3"/>
        <v>362.76499999999999</v>
      </c>
      <c r="Z12" s="52"/>
      <c r="AA12" s="50"/>
    </row>
    <row r="13" spans="1:37">
      <c r="A13" s="1" t="s">
        <v>375</v>
      </c>
      <c r="B13" s="1" t="s">
        <v>170</v>
      </c>
      <c r="C13" s="1">
        <v>362.74</v>
      </c>
      <c r="G13">
        <f t="shared" ref="G13" si="4">G10+360/16</f>
        <v>135</v>
      </c>
      <c r="H13" s="50">
        <f t="shared" ref="H13" si="5">C13*SIN(RADIANS(G13+C14))</f>
        <v>256.49591380760825</v>
      </c>
      <c r="I13" s="51">
        <f>H13-$AO$35</f>
        <v>256.49472313895762</v>
      </c>
      <c r="K13" s="3">
        <v>7</v>
      </c>
      <c r="L13" s="3" t="str">
        <f t="shared" si="0"/>
        <v>点225(7/16)</v>
      </c>
      <c r="M13" s="3">
        <f t="shared" si="1"/>
        <v>20</v>
      </c>
      <c r="N13" s="3">
        <f t="shared" ca="1" si="2"/>
        <v>362.70100000000002</v>
      </c>
      <c r="O13" s="3">
        <f t="shared" si="3"/>
        <v>362.63499999999999</v>
      </c>
      <c r="P13" s="3">
        <f t="shared" si="3"/>
        <v>362.76499999999999</v>
      </c>
      <c r="Z13" s="52" t="s">
        <v>1144</v>
      </c>
      <c r="AA13" s="50">
        <f>H13</f>
        <v>256.49591380760825</v>
      </c>
      <c r="AB13" s="45">
        <f>AA14^3</f>
        <v>-16874905.618474089</v>
      </c>
      <c r="AC13" s="45">
        <f>AA14^2</f>
        <v>65790.1538</v>
      </c>
      <c r="AD13" s="45">
        <f>AA14</f>
        <v>-256.49591380760825</v>
      </c>
      <c r="AE13" s="45">
        <f>AA13^3</f>
        <v>16874905.618474089</v>
      </c>
      <c r="AF13" s="45">
        <f>AA13^2</f>
        <v>65790.1538</v>
      </c>
      <c r="AG13" s="45">
        <f>AA13</f>
        <v>256.49591380760825</v>
      </c>
      <c r="AH13" s="45">
        <f>AA14^2*AA13</f>
        <v>16874905.618474089</v>
      </c>
      <c r="AI13" s="45">
        <f>AA14*AA13</f>
        <v>-65790.1538</v>
      </c>
      <c r="AJ13" s="45">
        <f>AA14*AA13^2</f>
        <v>-16874905.618474089</v>
      </c>
      <c r="AK13">
        <v>1</v>
      </c>
    </row>
    <row r="14" spans="1:37">
      <c r="A14" s="1" t="s">
        <v>1198</v>
      </c>
      <c r="B14" s="1" t="s">
        <v>171</v>
      </c>
      <c r="C14" s="1">
        <v>0</v>
      </c>
      <c r="H14" s="50">
        <f t="shared" ref="H14" si="6">C13*COS(RADIANS(G13+C14))</f>
        <v>-256.49591380760825</v>
      </c>
      <c r="I14" s="51">
        <f>H14-$AO$34</f>
        <v>-256.49197474801639</v>
      </c>
      <c r="K14" s="3">
        <v>8</v>
      </c>
      <c r="L14" s="3" t="str">
        <f t="shared" si="0"/>
        <v>点225(8/16)</v>
      </c>
      <c r="M14" s="3">
        <f t="shared" si="1"/>
        <v>23</v>
      </c>
      <c r="N14" s="3">
        <f t="shared" ca="1" si="2"/>
        <v>362.67599999999999</v>
      </c>
      <c r="O14" s="3">
        <f t="shared" si="3"/>
        <v>362.63499999999999</v>
      </c>
      <c r="P14" s="3">
        <f t="shared" si="3"/>
        <v>362.76499999999999</v>
      </c>
      <c r="Z14" s="52" t="s">
        <v>1145</v>
      </c>
      <c r="AA14" s="50">
        <f>H14</f>
        <v>-256.49591380760825</v>
      </c>
    </row>
    <row r="15" spans="1:37">
      <c r="A15" s="2" t="s">
        <v>378</v>
      </c>
      <c r="B15" s="1" t="s">
        <v>157</v>
      </c>
      <c r="C15" s="1">
        <v>-8.4</v>
      </c>
      <c r="H15" s="50"/>
      <c r="I15" s="51"/>
      <c r="K15" s="3">
        <v>9</v>
      </c>
      <c r="L15" s="3" t="str">
        <f t="shared" si="0"/>
        <v>点225(9/16)</v>
      </c>
      <c r="M15" s="3">
        <f t="shared" si="1"/>
        <v>26</v>
      </c>
      <c r="N15" s="3">
        <f t="shared" ca="1" si="2"/>
        <v>362.69400000000002</v>
      </c>
      <c r="O15" s="3">
        <f t="shared" si="3"/>
        <v>362.63499999999999</v>
      </c>
      <c r="P15" s="3">
        <f t="shared" si="3"/>
        <v>362.76499999999999</v>
      </c>
      <c r="Z15" s="52"/>
      <c r="AA15" s="50"/>
    </row>
    <row r="16" spans="1:37">
      <c r="A16" s="1" t="s">
        <v>375</v>
      </c>
      <c r="B16" s="1" t="s">
        <v>170</v>
      </c>
      <c r="C16" s="1">
        <v>362.79500000000002</v>
      </c>
      <c r="G16">
        <f t="shared" ref="G16" si="7">G13+360/16</f>
        <v>157.5</v>
      </c>
      <c r="H16" s="50">
        <f t="shared" ref="H16" si="8">C16*SIN(RADIANS(G16+C17))</f>
        <v>138.83563584489281</v>
      </c>
      <c r="I16" s="51">
        <f>H16-$AO$35</f>
        <v>138.83444517624218</v>
      </c>
      <c r="K16" s="3">
        <v>10</v>
      </c>
      <c r="L16" s="3" t="str">
        <f t="shared" si="0"/>
        <v>点225(10/16)</v>
      </c>
      <c r="M16" s="3">
        <f t="shared" si="1"/>
        <v>29</v>
      </c>
      <c r="N16" s="3">
        <f t="shared" ref="N16:N22" ca="1" si="9">OFFSET(C$6, M16-1, 0)</f>
        <v>362.72699999999998</v>
      </c>
      <c r="O16" s="3">
        <f t="shared" ref="O16:P16" si="10">O15</f>
        <v>362.63499999999999</v>
      </c>
      <c r="P16" s="3">
        <f t="shared" si="10"/>
        <v>362.76499999999999</v>
      </c>
      <c r="Z16" s="52" t="s">
        <v>1144</v>
      </c>
      <c r="AA16" s="50">
        <f>H16</f>
        <v>138.83563584489281</v>
      </c>
      <c r="AB16" s="45">
        <f>AA17^3</f>
        <v>-37655629.901729874</v>
      </c>
      <c r="AC16" s="45">
        <f>AA17^2</f>
        <v>112344.87824454434</v>
      </c>
      <c r="AD16" s="45">
        <f>AA17</f>
        <v>-335.17887499743227</v>
      </c>
      <c r="AE16" s="45">
        <f>AA16^3</f>
        <v>2676103.2215321064</v>
      </c>
      <c r="AF16" s="45">
        <f>AA16^2</f>
        <v>19275.333780455683</v>
      </c>
      <c r="AG16" s="45">
        <f>AA16</f>
        <v>138.83563584489281</v>
      </c>
      <c r="AH16" s="45">
        <f>AA17^2*AA16</f>
        <v>15597472.604998378</v>
      </c>
      <c r="AI16" s="45">
        <f>AA17*AA16</f>
        <v>-46534.77223204435</v>
      </c>
      <c r="AJ16" s="45">
        <f>AA17*AA16^2</f>
        <v>-6460684.6917331386</v>
      </c>
      <c r="AK16">
        <v>1</v>
      </c>
    </row>
    <row r="17" spans="1:45">
      <c r="A17" s="1" t="s">
        <v>1199</v>
      </c>
      <c r="B17" s="1" t="s">
        <v>171</v>
      </c>
      <c r="C17" s="1">
        <v>0</v>
      </c>
      <c r="H17" s="50">
        <f t="shared" ref="H17" si="11">C16*COS(RADIANS(G16+C17))</f>
        <v>-335.17887499743227</v>
      </c>
      <c r="I17" s="51">
        <f>H17-$AO$34</f>
        <v>-335.17493593784042</v>
      </c>
      <c r="K17" s="3">
        <v>11</v>
      </c>
      <c r="L17" s="3" t="str">
        <f t="shared" si="0"/>
        <v>点225(11/16)</v>
      </c>
      <c r="M17" s="3">
        <f t="shared" si="1"/>
        <v>32</v>
      </c>
      <c r="N17" s="3">
        <f t="shared" ca="1" si="9"/>
        <v>362.74299999999999</v>
      </c>
      <c r="O17" s="3">
        <f t="shared" ref="O17:P17" si="12">O16</f>
        <v>362.63499999999999</v>
      </c>
      <c r="P17" s="3">
        <f t="shared" si="12"/>
        <v>362.76499999999999</v>
      </c>
      <c r="Z17" s="52" t="s">
        <v>1145</v>
      </c>
      <c r="AA17" s="50">
        <f>H17</f>
        <v>-335.17887499743227</v>
      </c>
    </row>
    <row r="18" spans="1:45">
      <c r="A18" s="2" t="s">
        <v>379</v>
      </c>
      <c r="B18" s="1" t="s">
        <v>157</v>
      </c>
      <c r="C18" s="1">
        <v>-8.4</v>
      </c>
      <c r="H18" s="50"/>
      <c r="I18" s="51"/>
      <c r="K18" s="3">
        <v>12</v>
      </c>
      <c r="L18" s="3" t="str">
        <f t="shared" si="0"/>
        <v>点225(12/16)</v>
      </c>
      <c r="M18" s="3">
        <f t="shared" si="1"/>
        <v>35</v>
      </c>
      <c r="N18" s="3">
        <f t="shared" ca="1" si="9"/>
        <v>362.72399999999999</v>
      </c>
      <c r="O18" s="3">
        <f t="shared" ref="O18:P18" si="13">O17</f>
        <v>362.63499999999999</v>
      </c>
      <c r="P18" s="3">
        <f t="shared" si="13"/>
        <v>362.76499999999999</v>
      </c>
      <c r="Z18" s="52"/>
      <c r="AA18" s="50"/>
    </row>
    <row r="19" spans="1:45">
      <c r="A19" s="1" t="s">
        <v>375</v>
      </c>
      <c r="B19" s="1" t="s">
        <v>170</v>
      </c>
      <c r="C19" s="1">
        <v>362.79399999999998</v>
      </c>
      <c r="G19">
        <f t="shared" ref="G19" si="14">G16+360/16</f>
        <v>180</v>
      </c>
      <c r="H19" s="50">
        <f t="shared" ref="H19" si="15">C19*SIN(RADIANS(G19+C20))</f>
        <v>4.4447650855011786E-14</v>
      </c>
      <c r="I19" s="51">
        <f>H19-$AO$35</f>
        <v>-1.1906686505875747E-3</v>
      </c>
      <c r="K19" s="3">
        <v>13</v>
      </c>
      <c r="L19" s="3" t="str">
        <f t="shared" si="0"/>
        <v>点225(13/16)</v>
      </c>
      <c r="M19" s="3">
        <f t="shared" si="1"/>
        <v>38</v>
      </c>
      <c r="N19" s="3">
        <f t="shared" ca="1" si="9"/>
        <v>362.72899999999998</v>
      </c>
      <c r="O19" s="3">
        <f t="shared" ref="O19:P19" si="16">O18</f>
        <v>362.63499999999999</v>
      </c>
      <c r="P19" s="3">
        <f t="shared" si="16"/>
        <v>362.76499999999999</v>
      </c>
      <c r="Z19" s="52" t="s">
        <v>1144</v>
      </c>
      <c r="AA19" s="50">
        <f>H19</f>
        <v>4.4447650855011786E-14</v>
      </c>
      <c r="AB19" s="45">
        <f>AA20^3</f>
        <v>-47750759.962062173</v>
      </c>
      <c r="AC19" s="45">
        <f>AA20^2</f>
        <v>131619.48643599998</v>
      </c>
      <c r="AD19" s="45">
        <f>AA20</f>
        <v>-362.79399999999998</v>
      </c>
      <c r="AE19" s="45">
        <f>AA19^3</f>
        <v>8.7810497521254915E-41</v>
      </c>
      <c r="AF19" s="45">
        <f>AA19^2</f>
        <v>1.9755936665290301E-27</v>
      </c>
      <c r="AG19" s="45">
        <f>AA19</f>
        <v>4.4447650855011786E-14</v>
      </c>
      <c r="AH19" s="45">
        <f>AA20^2*AA19</f>
        <v>5.8501769788232867E-9</v>
      </c>
      <c r="AI19" s="45">
        <f>AA20*AA19</f>
        <v>-1.6125341044293146E-11</v>
      </c>
      <c r="AJ19" s="45">
        <f>AA20*AA19^2</f>
        <v>-7.167335286547329E-25</v>
      </c>
      <c r="AK19">
        <v>1</v>
      </c>
    </row>
    <row r="20" spans="1:45">
      <c r="A20" s="1" t="s">
        <v>1200</v>
      </c>
      <c r="B20" s="1" t="s">
        <v>171</v>
      </c>
      <c r="C20" s="1">
        <v>0</v>
      </c>
      <c r="H20" s="50">
        <f t="shared" ref="H20" si="17">C19*COS(RADIANS(G19+C20))</f>
        <v>-362.79399999999998</v>
      </c>
      <c r="I20" s="51">
        <f>H20-$AO$34</f>
        <v>-362.79006094040813</v>
      </c>
      <c r="K20" s="3">
        <v>14</v>
      </c>
      <c r="L20" s="3" t="str">
        <f t="shared" si="0"/>
        <v>点225(14/16)</v>
      </c>
      <c r="M20" s="3">
        <f t="shared" si="1"/>
        <v>41</v>
      </c>
      <c r="N20" s="3">
        <f t="shared" ca="1" si="9"/>
        <v>362.76299999999998</v>
      </c>
      <c r="O20" s="3">
        <f t="shared" ref="O20:P20" si="18">O19</f>
        <v>362.63499999999999</v>
      </c>
      <c r="P20" s="3">
        <f t="shared" si="18"/>
        <v>362.76499999999999</v>
      </c>
      <c r="Z20" s="52" t="s">
        <v>1145</v>
      </c>
      <c r="AA20" s="50">
        <f>H20</f>
        <v>-362.79399999999998</v>
      </c>
    </row>
    <row r="21" spans="1:45">
      <c r="A21" s="2" t="s">
        <v>380</v>
      </c>
      <c r="B21" s="1" t="s">
        <v>157</v>
      </c>
      <c r="C21" s="1">
        <v>-8.4</v>
      </c>
      <c r="H21" s="50"/>
      <c r="I21" s="51"/>
      <c r="K21" s="3">
        <v>15</v>
      </c>
      <c r="L21" s="3" t="str">
        <f t="shared" si="0"/>
        <v>点225(15/16)</v>
      </c>
      <c r="M21" s="3">
        <f t="shared" si="1"/>
        <v>44</v>
      </c>
      <c r="N21" s="3">
        <f t="shared" ca="1" si="9"/>
        <v>362.77</v>
      </c>
      <c r="O21" s="3">
        <f t="shared" ref="O21:P21" si="19">O20</f>
        <v>362.63499999999999</v>
      </c>
      <c r="P21" s="3">
        <f t="shared" si="19"/>
        <v>362.76499999999999</v>
      </c>
      <c r="Z21" s="52"/>
      <c r="AA21" s="50"/>
    </row>
    <row r="22" spans="1:45">
      <c r="A22" s="1" t="s">
        <v>375</v>
      </c>
      <c r="B22" s="1" t="s">
        <v>170</v>
      </c>
      <c r="C22" s="1">
        <v>362.75099999999998</v>
      </c>
      <c r="G22">
        <f t="shared" ref="G22" si="20">G19+360/16</f>
        <v>202.5</v>
      </c>
      <c r="H22" s="50">
        <f t="shared" ref="H22" si="21">C22*SIN(RADIANS(G22+C23))</f>
        <v>-138.81879777386862</v>
      </c>
      <c r="I22" s="51">
        <f>H22-$AO$35</f>
        <v>-138.81998844251925</v>
      </c>
      <c r="K22" s="3">
        <v>16</v>
      </c>
      <c r="L22" s="3" t="str">
        <f t="shared" si="0"/>
        <v>点225(16/16)</v>
      </c>
      <c r="M22" s="3">
        <f t="shared" si="1"/>
        <v>47</v>
      </c>
      <c r="N22" s="3">
        <f t="shared" ca="1" si="9"/>
        <v>362.71100000000001</v>
      </c>
      <c r="O22" s="3">
        <f t="shared" ref="O22:P22" si="22">O21</f>
        <v>362.63499999999999</v>
      </c>
      <c r="P22" s="3">
        <f t="shared" si="22"/>
        <v>362.76499999999999</v>
      </c>
      <c r="Z22" s="52" t="s">
        <v>1144</v>
      </c>
      <c r="AA22" s="50">
        <f>H22</f>
        <v>-138.81879777386862</v>
      </c>
      <c r="AB22" s="45">
        <f>AA23^3</f>
        <v>-37641930.869656995</v>
      </c>
      <c r="AC22" s="45">
        <f>AA23^2</f>
        <v>112317.62938561775</v>
      </c>
      <c r="AD22" s="45">
        <f>AA23</f>
        <v>-335.13822429800177</v>
      </c>
      <c r="AE22" s="45">
        <f>AA22^3</f>
        <v>-2675129.6612980054</v>
      </c>
      <c r="AF22" s="45">
        <f>AA22^2</f>
        <v>19270.658615382232</v>
      </c>
      <c r="AG22" s="45">
        <f>AA22</f>
        <v>-138.81879777386862</v>
      </c>
      <c r="AH22" s="45">
        <f>AA23^2*AA22</f>
        <v>-15591798.280122394</v>
      </c>
      <c r="AI22" s="45">
        <f>AA23*AA22</f>
        <v>46523.485385117732</v>
      </c>
      <c r="AJ22" s="45">
        <f>AA23*AA22^2</f>
        <v>-6458334.3094121907</v>
      </c>
      <c r="AK22">
        <v>1</v>
      </c>
      <c r="AM22" t="s">
        <v>1146</v>
      </c>
      <c r="AO22" s="53">
        <f>AC54</f>
        <v>1052697.4632209439</v>
      </c>
      <c r="AP22" s="53">
        <f>AI54</f>
        <v>-6.9178663323473302</v>
      </c>
      <c r="AQ22" s="53">
        <f>AD54</f>
        <v>-3.1476911233056626E-2</v>
      </c>
      <c r="AR22" s="54" t="s">
        <v>1147</v>
      </c>
      <c r="AS22" s="53">
        <f>-(AB54+AJ54)</f>
        <v>12434.738835904282</v>
      </c>
    </row>
    <row r="23" spans="1:45">
      <c r="A23" s="1" t="s">
        <v>1201</v>
      </c>
      <c r="B23" s="1" t="s">
        <v>171</v>
      </c>
      <c r="C23" s="1">
        <v>0</v>
      </c>
      <c r="H23" s="50">
        <f t="shared" ref="H23" si="23">C22*COS(RADIANS(G22+C23))</f>
        <v>-335.13822429800177</v>
      </c>
      <c r="I23" s="51">
        <f>H23-$AO$34</f>
        <v>-335.13428523840992</v>
      </c>
      <c r="K23" s="3"/>
      <c r="L23" s="3"/>
      <c r="M23" s="3"/>
      <c r="N23" s="3"/>
      <c r="O23" s="3"/>
      <c r="P23" s="3"/>
      <c r="Z23" s="52" t="s">
        <v>1145</v>
      </c>
      <c r="AA23" s="50">
        <f>H23</f>
        <v>-335.13822429800177</v>
      </c>
      <c r="AM23" t="s">
        <v>1148</v>
      </c>
      <c r="AN23" s="55" t="s">
        <v>1149</v>
      </c>
      <c r="AO23" s="53">
        <f>AI54</f>
        <v>-6.9178663323473302</v>
      </c>
      <c r="AP23" s="53">
        <f>AF54</f>
        <v>1052437.3143640559</v>
      </c>
      <c r="AQ23" s="53">
        <f>AG54</f>
        <v>9.4870250670169298E-3</v>
      </c>
      <c r="AR23" s="56"/>
      <c r="AS23" s="53">
        <f>-(AH54+AE54)</f>
        <v>-3754.4793838271871</v>
      </c>
    </row>
    <row r="24" spans="1:45">
      <c r="A24" s="2" t="s">
        <v>381</v>
      </c>
      <c r="B24" s="1" t="s">
        <v>157</v>
      </c>
      <c r="C24" s="1">
        <v>-8.4</v>
      </c>
      <c r="H24" s="50"/>
      <c r="I24" s="51"/>
      <c r="K24" s="3"/>
      <c r="L24" s="3"/>
      <c r="M24" s="5" t="s">
        <v>3</v>
      </c>
      <c r="N24" s="3" t="str">
        <f>"&gt;"&amp;TEXT(($E$2+$E$3)/2, "0.###")</f>
        <v>&gt;362.765</v>
      </c>
      <c r="O24" s="3"/>
      <c r="P24" s="3"/>
      <c r="Z24" s="52"/>
      <c r="AA24" s="50"/>
      <c r="AM24" t="s">
        <v>1150</v>
      </c>
      <c r="AO24" s="53">
        <f>AD54</f>
        <v>-3.1476911233056626E-2</v>
      </c>
      <c r="AP24" s="53">
        <f>AG54</f>
        <v>9.4870250670169298E-3</v>
      </c>
      <c r="AQ24" s="53">
        <f>AK54</f>
        <v>16</v>
      </c>
      <c r="AR24" s="56"/>
      <c r="AS24" s="53">
        <f>-(AC54+AF54)</f>
        <v>-2105134.7775849998</v>
      </c>
    </row>
    <row r="25" spans="1:45">
      <c r="A25" s="1" t="s">
        <v>375</v>
      </c>
      <c r="B25" s="1" t="s">
        <v>170</v>
      </c>
      <c r="C25" s="1">
        <v>362.70100000000002</v>
      </c>
      <c r="G25">
        <f t="shared" ref="G25" si="24">G22+360/16</f>
        <v>225</v>
      </c>
      <c r="H25" s="50">
        <f t="shared" ref="H25" si="25">C25*SIN(RADIANS(G25+C26))</f>
        <v>-256.46833664314198</v>
      </c>
      <c r="I25" s="51">
        <f>H25-$AO$35</f>
        <v>-256.4695273117926</v>
      </c>
      <c r="K25" s="3"/>
      <c r="L25" s="3"/>
      <c r="M25" s="6" t="s">
        <v>4</v>
      </c>
      <c r="N25" s="3" t="str">
        <f>"&lt;"&amp;TEXT(($E$2+$C$4)/2, "0.###")</f>
        <v>&lt;362.635</v>
      </c>
      <c r="O25" s="3"/>
      <c r="P25" s="3"/>
      <c r="Z25" s="52" t="s">
        <v>1144</v>
      </c>
      <c r="AA25" s="50">
        <f>H25</f>
        <v>-256.46833664314198</v>
      </c>
      <c r="AB25" s="45">
        <f>AA26^3</f>
        <v>-16869463.285973746</v>
      </c>
      <c r="AC25" s="45">
        <f>AA26^2</f>
        <v>65776.007700500035</v>
      </c>
      <c r="AD25" s="45">
        <f>AA26</f>
        <v>-256.46833664314204</v>
      </c>
      <c r="AE25" s="45">
        <f>AA25^3</f>
        <v>-16869463.285973735</v>
      </c>
      <c r="AF25" s="45">
        <f>AA25^2</f>
        <v>65776.007700500006</v>
      </c>
      <c r="AG25" s="45">
        <f>AA25</f>
        <v>-256.46833664314198</v>
      </c>
      <c r="AH25" s="45">
        <f>AA26^2*AA25</f>
        <v>-16869463.285973743</v>
      </c>
      <c r="AI25" s="45">
        <f>AA26*AA25</f>
        <v>65776.00770050002</v>
      </c>
      <c r="AJ25" s="45">
        <f>AA26*AA25^2</f>
        <v>-16869463.285973739</v>
      </c>
      <c r="AK25">
        <v>1</v>
      </c>
      <c r="AO25" s="56"/>
      <c r="AP25" s="56"/>
      <c r="AQ25" s="56"/>
      <c r="AR25" s="56"/>
      <c r="AS25" s="56"/>
    </row>
    <row r="26" spans="1:45">
      <c r="A26" s="1" t="s">
        <v>1202</v>
      </c>
      <c r="B26" s="1" t="s">
        <v>171</v>
      </c>
      <c r="C26" s="1">
        <v>0</v>
      </c>
      <c r="H26" s="50">
        <f t="shared" ref="H26" si="26">C25*COS(RADIANS(G25+C26))</f>
        <v>-256.46833664314204</v>
      </c>
      <c r="I26" s="51">
        <f>H26-$AO$34</f>
        <v>-256.46439758355018</v>
      </c>
      <c r="K26" s="3"/>
      <c r="L26" s="3"/>
      <c r="M26" s="7"/>
      <c r="N26" s="8" t="s">
        <v>0</v>
      </c>
      <c r="O26" s="3"/>
      <c r="P26" s="3"/>
      <c r="Z26" s="52" t="s">
        <v>1145</v>
      </c>
      <c r="AA26" s="50">
        <f>H26</f>
        <v>-256.46833664314204</v>
      </c>
      <c r="AO26" s="53">
        <f>INDEX(MINVERSE($AO$22:$AQ$24),1,1)</f>
        <v>9.4994054326141851E-7</v>
      </c>
      <c r="AP26" s="53">
        <f>INDEX(MINVERSE($AO$22:$AQ$24),1,2)</f>
        <v>6.2441191344301374E-12</v>
      </c>
      <c r="AQ26" s="53">
        <f>INDEX(MINVERSE($AO$22:$AQ$24),1,3)</f>
        <v>1.8688209324254069E-9</v>
      </c>
      <c r="AR26" s="56"/>
      <c r="AS26" s="53">
        <f>AS22</f>
        <v>12434.738835904282</v>
      </c>
    </row>
    <row r="27" spans="1:45">
      <c r="A27" s="2" t="s">
        <v>382</v>
      </c>
      <c r="B27" s="1" t="s">
        <v>157</v>
      </c>
      <c r="C27" s="1">
        <v>-8.4</v>
      </c>
      <c r="H27" s="50"/>
      <c r="I27" s="51"/>
      <c r="L27" s="3"/>
      <c r="M27" s="9" t="s">
        <v>6</v>
      </c>
      <c r="N27" s="10">
        <f ca="1">AVERAGE(N7:N22)*2</f>
        <v>725.45412500000009</v>
      </c>
      <c r="O27" s="3"/>
      <c r="P27" s="3"/>
      <c r="Z27" s="52"/>
      <c r="AA27" s="50"/>
      <c r="AO27" s="53">
        <f>INDEX(MINVERSE($AO$22:$AQ$24),2,1)</f>
        <v>6.2441191344301382E-12</v>
      </c>
      <c r="AP27" s="53">
        <f>INDEX(MINVERSE($AO$22:$AQ$24),2,2)</f>
        <v>9.5017535619477638E-7</v>
      </c>
      <c r="AQ27" s="53">
        <f>INDEX(MINVERSE($AO$22:$AQ$24),2,3)</f>
        <v>-5.6338380479361633E-10</v>
      </c>
      <c r="AR27" s="56"/>
      <c r="AS27" s="53">
        <f t="shared" ref="AS27:AS28" si="27">AS23</f>
        <v>-3754.4793838271871</v>
      </c>
    </row>
    <row r="28" spans="1:45">
      <c r="A28" s="1" t="s">
        <v>375</v>
      </c>
      <c r="B28" s="1" t="s">
        <v>170</v>
      </c>
      <c r="C28" s="1">
        <v>362.67599999999999</v>
      </c>
      <c r="G28">
        <f t="shared" ref="G28" si="28">G25+360/16</f>
        <v>247.5</v>
      </c>
      <c r="H28" s="50">
        <f t="shared" ref="H28" si="29">C28*SIN(RADIANS(G28+C29))</f>
        <v>-335.06893333306346</v>
      </c>
      <c r="I28" s="51">
        <f>H28-$AO$35</f>
        <v>-335.07012400171408</v>
      </c>
      <c r="L28" s="3"/>
      <c r="M28" s="9"/>
      <c r="N28" s="11" t="str">
        <f ca="1">IF(N27&lt;$E$2+$C$4, "U/Min "&amp;TEXT($E$2+$C$4-N27, "0.###"), IF(N27&gt;$E$2+$E$3, "O/Max "&amp;TEXT(N27-$E$2-$E$3, "0.###"), "-"))</f>
        <v>-</v>
      </c>
      <c r="O28" s="3"/>
      <c r="P28" s="3"/>
      <c r="Z28" s="52" t="s">
        <v>1144</v>
      </c>
      <c r="AA28" s="50">
        <f>H28</f>
        <v>-335.06893333306346</v>
      </c>
      <c r="AB28" s="45">
        <f>AA29^3</f>
        <v>-2673470.727934239</v>
      </c>
      <c r="AC28" s="45">
        <f>AA29^2</f>
        <v>19262.690891043061</v>
      </c>
      <c r="AD28" s="45">
        <f>AA29</f>
        <v>-138.7900965164412</v>
      </c>
      <c r="AE28" s="45">
        <f>AA28^3</f>
        <v>-37618587.905800126</v>
      </c>
      <c r="AF28" s="45">
        <f>AA28^2</f>
        <v>112271.19008495692</v>
      </c>
      <c r="AG28" s="45">
        <f>AA28</f>
        <v>-335.06893333306346</v>
      </c>
      <c r="AH28" s="45">
        <f>AA29^2*AA28</f>
        <v>-6454329.2899863161</v>
      </c>
      <c r="AI28" s="45">
        <f>AA29*AA28</f>
        <v>46504.249596956877</v>
      </c>
      <c r="AJ28" s="45">
        <f>AA29*AA28^2</f>
        <v>-15582129.307906887</v>
      </c>
      <c r="AK28">
        <v>1</v>
      </c>
      <c r="AO28" s="53">
        <f>INDEX(MINVERSE($AO$22:$AQ$24),3,1)</f>
        <v>1.8688209324254069E-9</v>
      </c>
      <c r="AP28" s="53">
        <f>INDEX(MINVERSE($AO$22:$AQ$24),3,2)</f>
        <v>-5.6338380479361633E-10</v>
      </c>
      <c r="AQ28" s="53">
        <f>INDEX(MINVERSE($AO$22:$AQ$24),3,3)</f>
        <v>6.2500000004010597E-2</v>
      </c>
      <c r="AR28" s="56"/>
      <c r="AS28" s="53">
        <f t="shared" si="27"/>
        <v>-2105134.7775849998</v>
      </c>
    </row>
    <row r="29" spans="1:45">
      <c r="A29" s="1" t="s">
        <v>1203</v>
      </c>
      <c r="B29" s="1" t="s">
        <v>171</v>
      </c>
      <c r="C29" s="1">
        <v>0</v>
      </c>
      <c r="H29" s="50">
        <f t="shared" ref="H29" si="30">C28*COS(RADIANS(G28+C29))</f>
        <v>-138.7900965164412</v>
      </c>
      <c r="I29" s="51">
        <f>H29-$AO$34</f>
        <v>-138.78615745684931</v>
      </c>
      <c r="L29" s="3"/>
      <c r="M29" s="9" t="s">
        <v>7</v>
      </c>
      <c r="N29" s="10">
        <f ca="1">MAX(N7:N22)-MIN(N7:N22)</f>
        <v>0.14500000000003865</v>
      </c>
      <c r="O29" s="3"/>
      <c r="P29" s="3"/>
      <c r="Z29" s="52" t="s">
        <v>1145</v>
      </c>
      <c r="AA29" s="50">
        <f>H29</f>
        <v>-138.7900965164412</v>
      </c>
      <c r="AO29" s="56"/>
      <c r="AP29" s="56"/>
      <c r="AQ29" s="56"/>
      <c r="AR29" s="56"/>
      <c r="AS29" s="56"/>
    </row>
    <row r="30" spans="1:45">
      <c r="A30" s="2" t="s">
        <v>383</v>
      </c>
      <c r="B30" s="1" t="s">
        <v>157</v>
      </c>
      <c r="C30" s="1">
        <v>-8.4</v>
      </c>
      <c r="H30" s="50"/>
      <c r="I30"/>
      <c r="L30" s="3"/>
      <c r="M30" s="9"/>
      <c r="N30" s="11" t="str">
        <f ca="1">IF(N29&gt;0.64, "O/Max "&amp;TEXT(N29-0.13, "0.###"), "-")</f>
        <v>-</v>
      </c>
      <c r="O30" s="3"/>
      <c r="P30" s="3"/>
      <c r="Z30" s="52"/>
      <c r="AA30" s="50"/>
      <c r="AO30" s="53">
        <f>AO26*AS26+AP26*AS27+AQ26*AS28</f>
        <v>7.8781191837486615E-3</v>
      </c>
      <c r="AP30" s="56"/>
      <c r="AQ30" s="56"/>
      <c r="AR30" s="56"/>
      <c r="AS30" s="56"/>
    </row>
    <row r="31" spans="1:45">
      <c r="A31" s="1" t="s">
        <v>375</v>
      </c>
      <c r="B31" s="1" t="s">
        <v>170</v>
      </c>
      <c r="C31" s="1">
        <v>362.69400000000002</v>
      </c>
      <c r="G31">
        <f t="shared" ref="G31" si="31">G28+360/16</f>
        <v>270</v>
      </c>
      <c r="H31" s="50">
        <f t="shared" ref="H31" si="32">C31*SIN(RADIANS(G31+C32))</f>
        <v>-362.69400000000002</v>
      </c>
      <c r="I31" s="51">
        <f>H31-$AO$35</f>
        <v>-362.69519066865064</v>
      </c>
      <c r="L31" s="3"/>
      <c r="M31" s="9" t="s">
        <v>8</v>
      </c>
      <c r="N31" s="12">
        <f ca="1">COUNTIF(N7:N22, $N24)</f>
        <v>3</v>
      </c>
      <c r="O31" s="3"/>
      <c r="P31" s="3"/>
      <c r="Z31" s="52" t="s">
        <v>1144</v>
      </c>
      <c r="AA31" s="50">
        <f>H31</f>
        <v>-362.69400000000002</v>
      </c>
      <c r="AB31" s="45">
        <f>AA32^3</f>
        <v>-2.9611543163017754E-40</v>
      </c>
      <c r="AC31" s="45">
        <f>AA32^2</f>
        <v>4.4426356137281648E-27</v>
      </c>
      <c r="AD31" s="45">
        <f>AA32</f>
        <v>-6.6653099055694062E-14</v>
      </c>
      <c r="AE31" s="45">
        <f>AA31^3</f>
        <v>-47711284.99895139</v>
      </c>
      <c r="AF31" s="45">
        <f>AA31^2</f>
        <v>131546.93763600002</v>
      </c>
      <c r="AG31" s="45">
        <f>AA31</f>
        <v>-362.69400000000002</v>
      </c>
      <c r="AH31" s="45">
        <f>AA32^2*AA31</f>
        <v>-1.6113172812855231E-24</v>
      </c>
      <c r="AI31" s="45">
        <f>AA32*AA31</f>
        <v>2.4174679108905904E-11</v>
      </c>
      <c r="AJ31" s="45">
        <f>AA32*AA31^2</f>
        <v>-8.7680110647255178E-9</v>
      </c>
      <c r="AK31">
        <v>1</v>
      </c>
      <c r="AO31" s="53">
        <f>AO27*AS26+AP27*AS27+AQ27*AS28</f>
        <v>-2.3813373012640448E-3</v>
      </c>
      <c r="AP31" s="56"/>
      <c r="AQ31" s="56"/>
      <c r="AR31" s="56"/>
      <c r="AS31" s="56"/>
    </row>
    <row r="32" spans="1:45">
      <c r="A32" s="1" t="s">
        <v>1204</v>
      </c>
      <c r="B32" s="1" t="s">
        <v>171</v>
      </c>
      <c r="C32" s="1">
        <v>0</v>
      </c>
      <c r="H32" s="50">
        <f t="shared" ref="H32" si="33">C31*COS(RADIANS(G31+C32))</f>
        <v>-6.6653099055694062E-14</v>
      </c>
      <c r="I32" s="51">
        <f>H32-$AO$34</f>
        <v>3.9390595918076775E-3</v>
      </c>
      <c r="L32" s="3"/>
      <c r="M32" s="9" t="s">
        <v>9</v>
      </c>
      <c r="N32" s="12">
        <f ca="1">COUNTIF(N7:N22, $N25)</f>
        <v>0</v>
      </c>
      <c r="O32" s="3"/>
      <c r="P32" s="3"/>
      <c r="Z32" s="52" t="s">
        <v>1145</v>
      </c>
      <c r="AA32" s="50">
        <f>H32</f>
        <v>-6.6653099055694062E-14</v>
      </c>
      <c r="AO32" s="53">
        <f>AO28*AS26+AP28*AS27+AQ28*AS28</f>
        <v>-131570.92358215182</v>
      </c>
      <c r="AP32" s="56"/>
      <c r="AQ32" s="56"/>
      <c r="AR32" s="56"/>
      <c r="AS32" s="56"/>
    </row>
    <row r="33" spans="1:41">
      <c r="A33" s="2" t="s">
        <v>384</v>
      </c>
      <c r="B33" s="1" t="s">
        <v>157</v>
      </c>
      <c r="C33" s="1">
        <v>-8.4</v>
      </c>
      <c r="H33" s="50"/>
      <c r="L33" s="3"/>
      <c r="M33" s="12"/>
      <c r="N33" s="14" t="str">
        <f ca="1">TEXT(N31+N32,"0")&amp;"/16"</f>
        <v>3/16</v>
      </c>
      <c r="O33" s="3"/>
      <c r="P33" s="3"/>
      <c r="Z33" s="52"/>
      <c r="AA33" s="50"/>
    </row>
    <row r="34" spans="1:41">
      <c r="A34" s="1" t="s">
        <v>375</v>
      </c>
      <c r="B34" s="1" t="s">
        <v>170</v>
      </c>
      <c r="C34" s="1">
        <v>362.72699999999998</v>
      </c>
      <c r="G34">
        <f t="shared" ref="G34" si="34">G31+360/16</f>
        <v>292.5</v>
      </c>
      <c r="H34" s="50">
        <f t="shared" ref="H34" si="35">C34*SIN(RADIANS(G34+C35))</f>
        <v>-335.11605118922142</v>
      </c>
      <c r="I34" s="51">
        <f t="shared" ref="I34" si="36">H34-$AO$35</f>
        <v>-335.11724185787205</v>
      </c>
      <c r="M34" s="15"/>
      <c r="N34" s="15"/>
      <c r="Z34" s="52" t="s">
        <v>1144</v>
      </c>
      <c r="AA34" s="50">
        <f t="shared" ref="AA34:AA35" si="37">H34</f>
        <v>-335.11605118922142</v>
      </c>
      <c r="AB34" s="45">
        <f t="shared" ref="AB34" si="38">AA35^3</f>
        <v>2674598.7279783203</v>
      </c>
      <c r="AC34" s="45">
        <f t="shared" ref="AC34" si="39">AA35^2</f>
        <v>19268.108764343087</v>
      </c>
      <c r="AD34" s="45">
        <f t="shared" ref="AD34" si="40">AA35</f>
        <v>138.80961337149199</v>
      </c>
      <c r="AE34" s="45">
        <f t="shared" ref="AE34" si="41">AA34^3</f>
        <v>-37634460.070911996</v>
      </c>
      <c r="AF34" s="45">
        <f t="shared" ref="AF34" si="42">AA34^2</f>
        <v>112302.76776465688</v>
      </c>
      <c r="AG34" s="45">
        <f t="shared" ref="AG34" si="43">AA34</f>
        <v>-335.11605118922142</v>
      </c>
      <c r="AH34" s="45">
        <f t="shared" ref="AH34" si="44">AA35^2*AA34</f>
        <v>-6457052.5229910836</v>
      </c>
      <c r="AI34" s="45">
        <f t="shared" ref="AI34" si="45">AA35*AA34</f>
        <v>-46517.329500156942</v>
      </c>
      <c r="AJ34" s="45">
        <f t="shared" ref="AJ34" si="46">AA35*AA34^2</f>
        <v>15588703.773960475</v>
      </c>
      <c r="AK34">
        <v>1</v>
      </c>
      <c r="AM34" t="s">
        <v>1151</v>
      </c>
      <c r="AO34" s="57">
        <f>AO30/-2</f>
        <v>-3.9390595918743308E-3</v>
      </c>
    </row>
    <row r="35" spans="1:41">
      <c r="A35" s="1" t="s">
        <v>1222</v>
      </c>
      <c r="B35" s="1" t="s">
        <v>171</v>
      </c>
      <c r="C35" s="1">
        <v>0</v>
      </c>
      <c r="H35" s="50">
        <f t="shared" ref="H35" si="47">C34*COS(RADIANS(G34+C35))</f>
        <v>138.80961337149199</v>
      </c>
      <c r="I35" s="51">
        <f t="shared" ref="I35" si="48">H35-$AO$34</f>
        <v>138.81355243108388</v>
      </c>
      <c r="M35" s="15"/>
      <c r="N35" s="16"/>
      <c r="V35" s="58"/>
      <c r="Z35" s="52" t="s">
        <v>1145</v>
      </c>
      <c r="AA35" s="50">
        <f t="shared" si="37"/>
        <v>138.80961337149199</v>
      </c>
      <c r="AM35" t="s">
        <v>1153</v>
      </c>
      <c r="AO35" s="59">
        <f>AO31/-2</f>
        <v>1.1906686506320224E-3</v>
      </c>
    </row>
    <row r="36" spans="1:41">
      <c r="A36" s="2" t="s">
        <v>480</v>
      </c>
      <c r="B36" s="1" t="s">
        <v>157</v>
      </c>
      <c r="C36" s="1">
        <v>-8.4</v>
      </c>
      <c r="H36" s="50"/>
      <c r="M36" s="15"/>
      <c r="N36" s="16"/>
      <c r="V36" s="58"/>
      <c r="Z36" s="52"/>
      <c r="AA36" s="50"/>
      <c r="AM36" s="47" t="s">
        <v>1154</v>
      </c>
      <c r="AO36" s="51">
        <f>SQRT(AO34^2+AO35^2-AO32)</f>
        <v>362.72706488361979</v>
      </c>
    </row>
    <row r="37" spans="1:41">
      <c r="A37" s="1" t="s">
        <v>375</v>
      </c>
      <c r="B37" s="1" t="s">
        <v>170</v>
      </c>
      <c r="C37" s="1">
        <v>362.74299999999999</v>
      </c>
      <c r="G37">
        <f t="shared" ref="G37" si="49">G34+360/16</f>
        <v>315</v>
      </c>
      <c r="H37" s="50">
        <f t="shared" ref="H37" si="50">C37*SIN(RADIANS(G37+C38))</f>
        <v>-256.49803512795188</v>
      </c>
      <c r="I37" s="51">
        <f t="shared" ref="I37" si="51">H37-$AO$35</f>
        <v>-256.4992257966025</v>
      </c>
      <c r="Z37" s="52" t="s">
        <v>1144</v>
      </c>
      <c r="AA37" s="50">
        <f t="shared" ref="AA37:AA38" si="52">H37</f>
        <v>-256.49803512795188</v>
      </c>
      <c r="AB37" s="45">
        <f t="shared" ref="AB37" si="53">AA38^3</f>
        <v>16875324.307911772</v>
      </c>
      <c r="AC37" s="45">
        <f t="shared" ref="AC37" si="54">AA38^2</f>
        <v>65791.242024499981</v>
      </c>
      <c r="AD37" s="45">
        <f t="shared" ref="AD37" si="55">AA38</f>
        <v>256.49803512795177</v>
      </c>
      <c r="AE37" s="45">
        <f t="shared" ref="AE37" si="56">AA37^3</f>
        <v>-16875324.307911795</v>
      </c>
      <c r="AF37" s="45">
        <f t="shared" ref="AF37" si="57">AA37^2</f>
        <v>65791.242024500039</v>
      </c>
      <c r="AG37" s="45">
        <f t="shared" ref="AG37" si="58">AA37</f>
        <v>-256.49803512795188</v>
      </c>
      <c r="AH37" s="45">
        <f t="shared" ref="AH37" si="59">AA38^2*AA37</f>
        <v>-16875324.30791178</v>
      </c>
      <c r="AI37" s="45">
        <f t="shared" ref="AI37" si="60">AA38*AA37</f>
        <v>-65791.24202450001</v>
      </c>
      <c r="AJ37" s="45">
        <f t="shared" ref="AJ37" si="61">AA38*AA37^2</f>
        <v>16875324.307911787</v>
      </c>
      <c r="AK37">
        <v>1</v>
      </c>
      <c r="AM37" s="47" t="s">
        <v>1155</v>
      </c>
      <c r="AO37" s="60">
        <f>AO36*2</f>
        <v>725.45412976723958</v>
      </c>
    </row>
    <row r="38" spans="1:41">
      <c r="A38" s="1" t="s">
        <v>1223</v>
      </c>
      <c r="B38" s="1" t="s">
        <v>171</v>
      </c>
      <c r="C38" s="1">
        <v>0</v>
      </c>
      <c r="H38" s="50">
        <f t="shared" ref="H38" si="62">C37*COS(RADIANS(G37+C38))</f>
        <v>256.49803512795177</v>
      </c>
      <c r="I38" s="51">
        <f t="shared" ref="I38" si="63">H38-$AO$34</f>
        <v>256.50197418754362</v>
      </c>
      <c r="M38" s="17"/>
      <c r="N38" s="16"/>
      <c r="Z38" s="52" t="s">
        <v>1145</v>
      </c>
      <c r="AA38" s="50">
        <f t="shared" si="52"/>
        <v>256.49803512795177</v>
      </c>
    </row>
    <row r="39" spans="1:41">
      <c r="A39" s="2" t="s">
        <v>483</v>
      </c>
      <c r="B39" s="1" t="s">
        <v>157</v>
      </c>
      <c r="C39" s="1">
        <v>-8.4</v>
      </c>
      <c r="H39" s="50"/>
      <c r="M39" s="17"/>
      <c r="N39" s="16"/>
      <c r="Z39" s="52"/>
      <c r="AA39" s="50"/>
      <c r="AM39" t="s">
        <v>1156</v>
      </c>
    </row>
    <row r="40" spans="1:41">
      <c r="A40" s="1" t="s">
        <v>375</v>
      </c>
      <c r="B40" s="1" t="s">
        <v>170</v>
      </c>
      <c r="C40" s="1">
        <v>362.72399999999999</v>
      </c>
      <c r="G40">
        <f t="shared" ref="G40" si="64">G37+360/16</f>
        <v>337.5</v>
      </c>
      <c r="H40" s="50">
        <f t="shared" ref="H40" si="65">C40*SIN(RADIANS(G40+C41))</f>
        <v>-138.80846532119475</v>
      </c>
      <c r="I40" s="51">
        <f t="shared" ref="I40" si="66">H40-$AO$35</f>
        <v>-138.80965598984537</v>
      </c>
      <c r="Z40" s="52" t="s">
        <v>1144</v>
      </c>
      <c r="AA40" s="50">
        <f t="shared" ref="AA40:AA41" si="67">H40</f>
        <v>-138.80846532119475</v>
      </c>
      <c r="AB40" s="45">
        <f t="shared" ref="AB40" si="68">AA41^3</f>
        <v>37633526.290577836</v>
      </c>
      <c r="AC40" s="45">
        <f t="shared" ref="AC40" si="69">AA41^2</f>
        <v>112300.91013117466</v>
      </c>
      <c r="AD40" s="45">
        <f t="shared" ref="AD40" si="70">AA41</f>
        <v>335.11327955062399</v>
      </c>
      <c r="AE40" s="45">
        <f t="shared" ref="AE40" si="71">AA40^3</f>
        <v>-2674532.3662531972</v>
      </c>
      <c r="AF40" s="45">
        <f t="shared" ref="AF40" si="72">AA40^2</f>
        <v>19267.790044825324</v>
      </c>
      <c r="AG40" s="45">
        <f t="shared" ref="AG40" si="73">AA40</f>
        <v>-138.80846532119475</v>
      </c>
      <c r="AH40" s="45">
        <f t="shared" ref="AH40" si="74">AA41^2*AA40</f>
        <v>-15588316.989481766</v>
      </c>
      <c r="AI40" s="45">
        <f t="shared" ref="AI40" si="75">AA41*AA40</f>
        <v>-46516.560043174628</v>
      </c>
      <c r="AJ40" s="45">
        <f t="shared" ref="AJ40" si="76">AA41*AA40^2</f>
        <v>6456892.3116142787</v>
      </c>
      <c r="AK40">
        <v>1</v>
      </c>
    </row>
    <row r="41" spans="1:41">
      <c r="A41" s="1" t="s">
        <v>1224</v>
      </c>
      <c r="B41" s="1" t="s">
        <v>171</v>
      </c>
      <c r="C41" s="1">
        <v>0</v>
      </c>
      <c r="H41" s="50">
        <f t="shared" ref="H41" si="77">C40*COS(RADIANS(G40+C41))</f>
        <v>335.11327955062399</v>
      </c>
      <c r="I41" s="51">
        <f t="shared" ref="I41" si="78">H41-$AO$34</f>
        <v>335.11721861021584</v>
      </c>
      <c r="K41" s="3"/>
      <c r="Z41" s="52" t="s">
        <v>1145</v>
      </c>
      <c r="AA41" s="50">
        <f t="shared" si="67"/>
        <v>335.11327955062399</v>
      </c>
    </row>
    <row r="42" spans="1:41">
      <c r="A42" s="2" t="s">
        <v>486</v>
      </c>
      <c r="B42" s="1" t="s">
        <v>157</v>
      </c>
      <c r="C42" s="1">
        <v>-8.4</v>
      </c>
      <c r="H42" s="50"/>
      <c r="K42" s="3"/>
      <c r="Z42" s="52"/>
      <c r="AA42" s="50"/>
    </row>
    <row r="43" spans="1:41">
      <c r="A43" s="1" t="s">
        <v>375</v>
      </c>
      <c r="B43" s="1" t="s">
        <v>170</v>
      </c>
      <c r="C43" s="1">
        <v>362.72899999999998</v>
      </c>
      <c r="G43">
        <f t="shared" ref="G43:G52" si="79">G40+360/16</f>
        <v>360</v>
      </c>
      <c r="H43" s="50">
        <f t="shared" ref="H43" si="80">C43*SIN(RADIANS(G43+C44))</f>
        <v>-8.8879374780109757E-14</v>
      </c>
      <c r="I43" s="51">
        <f t="shared" ref="I43" si="81">H43-$AO$35</f>
        <v>-1.1906686507209018E-3</v>
      </c>
      <c r="K43" s="3"/>
      <c r="N43" s="3" t="s">
        <v>1260</v>
      </c>
      <c r="Z43" s="52" t="s">
        <v>1144</v>
      </c>
      <c r="AA43" s="50">
        <f t="shared" ref="AA43:AA44" si="82">H43</f>
        <v>-8.8879374780109757E-14</v>
      </c>
      <c r="AB43" s="45">
        <f t="shared" ref="AB43" si="83">AA44^3</f>
        <v>47725098.760346487</v>
      </c>
      <c r="AC43" s="45">
        <f t="shared" ref="AC43" si="84">AA44^2</f>
        <v>131572.327441</v>
      </c>
      <c r="AD43" s="45">
        <f t="shared" ref="AD43" si="85">AA44</f>
        <v>362.72899999999998</v>
      </c>
      <c r="AE43" s="45">
        <f t="shared" ref="AE43" si="86">AA43^3</f>
        <v>-7.0210646611305853E-40</v>
      </c>
      <c r="AF43" s="45">
        <f t="shared" ref="AF43" si="87">AA43^2</f>
        <v>7.8995432613032105E-27</v>
      </c>
      <c r="AG43" s="45">
        <f t="shared" ref="AG43" si="88">AA43</f>
        <v>-8.8879374780109757E-14</v>
      </c>
      <c r="AH43" s="45">
        <f t="shared" ref="AH43" si="89">AA44^2*AA43</f>
        <v>-1.1694066201319959E-8</v>
      </c>
      <c r="AI43" s="45">
        <f t="shared" ref="AI43" si="90">AA44*AA43</f>
        <v>-3.2239126734614432E-11</v>
      </c>
      <c r="AJ43" s="45">
        <f t="shared" ref="AJ43" si="91">AA44*AA43^2</f>
        <v>2.8653934276292523E-24</v>
      </c>
      <c r="AK43">
        <v>1</v>
      </c>
    </row>
    <row r="44" spans="1:41">
      <c r="A44" s="1" t="s">
        <v>1225</v>
      </c>
      <c r="B44" s="1" t="s">
        <v>171</v>
      </c>
      <c r="C44" s="1">
        <v>0</v>
      </c>
      <c r="H44" s="50">
        <f t="shared" ref="H44" si="92">C43*COS(RADIANS(G43+C44))</f>
        <v>362.72899999999998</v>
      </c>
      <c r="I44" s="51">
        <f t="shared" ref="I44" si="93">H44-$AO$34</f>
        <v>362.73293905959184</v>
      </c>
      <c r="K44" s="3"/>
      <c r="N44" s="3">
        <f t="shared" ref="N44:N52" ca="1" si="94">SQRT(OFFSET(C$6, M7-1, 6)^2 + OFFSET(C$6, M7, 6)^2)</f>
        <v>362.64880935274221</v>
      </c>
      <c r="Z44" s="52" t="s">
        <v>1145</v>
      </c>
      <c r="AA44" s="50">
        <f t="shared" si="82"/>
        <v>362.72899999999998</v>
      </c>
    </row>
    <row r="45" spans="1:41">
      <c r="A45" s="2" t="s">
        <v>489</v>
      </c>
      <c r="B45" s="1" t="s">
        <v>157</v>
      </c>
      <c r="C45" s="1">
        <v>-8.4</v>
      </c>
      <c r="H45" s="50"/>
      <c r="K45" s="3"/>
      <c r="N45" s="3">
        <f t="shared" ca="1" si="94"/>
        <v>362.66239256673202</v>
      </c>
      <c r="Z45" s="52"/>
      <c r="AA45" s="50"/>
    </row>
    <row r="46" spans="1:41">
      <c r="A46" s="1" t="s">
        <v>375</v>
      </c>
      <c r="B46" s="1" t="s">
        <v>170</v>
      </c>
      <c r="C46" s="1">
        <v>362.76299999999998</v>
      </c>
      <c r="G46">
        <f t="shared" si="79"/>
        <v>382.5</v>
      </c>
      <c r="H46" s="50">
        <f t="shared" ref="H46" si="95">C46*SIN(RADIANS(G46+C47))</f>
        <v>138.82338997505713</v>
      </c>
      <c r="I46" s="51">
        <f t="shared" ref="I46" si="96">H46-$AO$35</f>
        <v>138.8221993064065</v>
      </c>
      <c r="K46" s="3"/>
      <c r="N46" s="3">
        <f t="shared" ca="1" si="94"/>
        <v>362.73637273958013</v>
      </c>
      <c r="Z46" s="52" t="s">
        <v>1144</v>
      </c>
      <c r="AA46" s="50">
        <f t="shared" ref="AA46:AA47" si="97">H46</f>
        <v>138.82338997505713</v>
      </c>
      <c r="AB46" s="45">
        <f t="shared" ref="AB46" si="98">AA47^3</f>
        <v>37645666.639757022</v>
      </c>
      <c r="AC46" s="45">
        <f t="shared" ref="AC46" si="99">AA47^2</f>
        <v>112325.06056483318</v>
      </c>
      <c r="AD46" s="45">
        <f t="shared" ref="AD46" si="100">AA47</f>
        <v>335.14931085239186</v>
      </c>
      <c r="AE46" s="45">
        <f t="shared" ref="AE46" si="101">AA46^3</f>
        <v>2675395.1543046548</v>
      </c>
      <c r="AF46" s="45">
        <f t="shared" ref="AF46" si="102">AA46^2</f>
        <v>19271.933604166792</v>
      </c>
      <c r="AG46" s="45">
        <f t="shared" ref="AG46" si="103">AA46</f>
        <v>138.82338997505713</v>
      </c>
      <c r="AH46" s="45">
        <f t="shared" ref="AH46" si="104">AA47^2*AA46</f>
        <v>15593345.686763747</v>
      </c>
      <c r="AI46" s="45">
        <f t="shared" ref="AI46" si="105">AA47*AA46</f>
        <v>46526.563480333243</v>
      </c>
      <c r="AJ46" s="45">
        <f t="shared" ref="AJ46" si="106">AA47*AA46^2</f>
        <v>6458975.2662295531</v>
      </c>
      <c r="AK46">
        <v>1</v>
      </c>
    </row>
    <row r="47" spans="1:41">
      <c r="A47" s="1" t="s">
        <v>1226</v>
      </c>
      <c r="B47" s="1" t="s">
        <v>171</v>
      </c>
      <c r="C47" s="1">
        <v>0</v>
      </c>
      <c r="H47" s="50">
        <f t="shared" ref="H47" si="107">C46*COS(RADIANS(G46+C47))</f>
        <v>335.14931085239186</v>
      </c>
      <c r="I47" s="51">
        <f t="shared" ref="I47" si="108">H47-$AO$34</f>
        <v>335.15324991198372</v>
      </c>
      <c r="K47" s="3"/>
      <c r="N47" s="3">
        <f t="shared" ca="1" si="94"/>
        <v>362.79090513452849</v>
      </c>
      <c r="Z47" s="52" t="s">
        <v>1145</v>
      </c>
      <c r="AA47" s="50">
        <f t="shared" si="97"/>
        <v>335.14931085239186</v>
      </c>
    </row>
    <row r="48" spans="1:41">
      <c r="A48" s="2" t="s">
        <v>492</v>
      </c>
      <c r="B48" s="1" t="s">
        <v>157</v>
      </c>
      <c r="C48" s="1">
        <v>-8.4</v>
      </c>
      <c r="H48" s="50"/>
      <c r="K48" s="3"/>
      <c r="N48" s="3">
        <f t="shared" ca="1" si="94"/>
        <v>362.790060942362</v>
      </c>
      <c r="Z48" s="52"/>
      <c r="AA48" s="50"/>
    </row>
    <row r="49" spans="1:37">
      <c r="A49" s="1" t="s">
        <v>375</v>
      </c>
      <c r="B49" s="1" t="s">
        <v>170</v>
      </c>
      <c r="C49" s="1">
        <v>362.77</v>
      </c>
      <c r="G49">
        <f t="shared" si="79"/>
        <v>405</v>
      </c>
      <c r="H49" s="50">
        <f t="shared" ref="H49" si="109">C49*SIN(RADIANS(G49+C50))</f>
        <v>256.51712701104378</v>
      </c>
      <c r="I49" s="51">
        <f t="shared" ref="I49" si="110">H49-$AO$35</f>
        <v>256.51593634239316</v>
      </c>
      <c r="K49" s="3"/>
      <c r="N49" s="3">
        <f t="shared" ca="1" si="94"/>
        <v>362.74781644200294</v>
      </c>
      <c r="Z49" s="52" t="s">
        <v>1144</v>
      </c>
      <c r="AA49" s="50">
        <f t="shared" ref="AA49:AA50" si="111">H49</f>
        <v>256.51712701104378</v>
      </c>
      <c r="AB49" s="45">
        <f t="shared" ref="AB49" si="112">AA50^3</f>
        <v>16879092.824502986</v>
      </c>
      <c r="AC49" s="45">
        <f t="shared" ref="AC49" si="113">AA50^2</f>
        <v>65801.036450000029</v>
      </c>
      <c r="AD49" s="45">
        <f t="shared" ref="AD49" si="114">AA50</f>
        <v>256.5171270110439</v>
      </c>
      <c r="AE49" s="45">
        <f t="shared" ref="AE49" si="115">AA49^3</f>
        <v>16879092.824502964</v>
      </c>
      <c r="AF49" s="45">
        <f t="shared" ref="AF49" si="116">AA49^2</f>
        <v>65801.036449999971</v>
      </c>
      <c r="AG49" s="45">
        <f t="shared" ref="AG49" si="117">AA49</f>
        <v>256.51712701104378</v>
      </c>
      <c r="AH49" s="45">
        <f t="shared" ref="AH49" si="118">AA50^2*AA49</f>
        <v>16879092.824502978</v>
      </c>
      <c r="AI49" s="45">
        <f t="shared" ref="AI49" si="119">AA50*AA49</f>
        <v>65801.03645</v>
      </c>
      <c r="AJ49" s="45">
        <f t="shared" ref="AJ49" si="120">AA50*AA49^2</f>
        <v>16879092.824502971</v>
      </c>
      <c r="AK49">
        <v>1</v>
      </c>
    </row>
    <row r="50" spans="1:37">
      <c r="A50" s="1" t="s">
        <v>1227</v>
      </c>
      <c r="B50" s="1" t="s">
        <v>171</v>
      </c>
      <c r="C50" s="1">
        <v>0</v>
      </c>
      <c r="H50" s="50">
        <f t="shared" ref="H50" si="121">C49*COS(RADIANS(G49+C50))</f>
        <v>256.5171270110439</v>
      </c>
      <c r="I50" s="51">
        <f t="shared" ref="I50" si="122">H50-$AO$34</f>
        <v>256.52106607063575</v>
      </c>
      <c r="N50" s="3">
        <f t="shared" ca="1" si="94"/>
        <v>362.69905661226585</v>
      </c>
      <c r="Z50" s="52" t="s">
        <v>1145</v>
      </c>
      <c r="AA50" s="50">
        <f t="shared" si="111"/>
        <v>256.5171270110439</v>
      </c>
    </row>
    <row r="51" spans="1:37">
      <c r="A51" s="2" t="s">
        <v>495</v>
      </c>
      <c r="B51" s="1" t="s">
        <v>157</v>
      </c>
      <c r="C51" s="1">
        <v>-8.4</v>
      </c>
      <c r="H51" s="50"/>
      <c r="N51" s="3">
        <f t="shared" ca="1" si="94"/>
        <v>362.67559264466837</v>
      </c>
      <c r="Z51" s="52"/>
      <c r="AA51" s="50"/>
    </row>
    <row r="52" spans="1:37">
      <c r="A52" s="1" t="s">
        <v>375</v>
      </c>
      <c r="B52" s="1" t="s">
        <v>170</v>
      </c>
      <c r="C52" s="1">
        <v>362.71100000000001</v>
      </c>
      <c r="G52">
        <f t="shared" si="79"/>
        <v>427.5</v>
      </c>
      <c r="H52" s="50">
        <f t="shared" ref="H52" si="123">C52*SIN(RADIANS(G52+C53))</f>
        <v>335.10126911670136</v>
      </c>
      <c r="I52" s="51">
        <f t="shared" ref="I52" si="124">H52-$AO$35</f>
        <v>335.10007844805074</v>
      </c>
      <c r="N52" s="3">
        <f t="shared" ca="1" si="94"/>
        <v>362.69519069004076</v>
      </c>
      <c r="Z52" s="52" t="s">
        <v>1144</v>
      </c>
      <c r="AA52" s="50">
        <f t="shared" ref="AA52:AA53" si="125">H52</f>
        <v>335.10126911670136</v>
      </c>
      <c r="AB52" s="45">
        <f t="shared" ref="AB52" si="126">AA53^3</f>
        <v>2674244.811462278</v>
      </c>
      <c r="AC52" s="45">
        <f t="shared" ref="AC52" si="127">AA53^2</f>
        <v>19266.408957376101</v>
      </c>
      <c r="AD52" s="45">
        <f t="shared" ref="AD52" si="128">AA53</f>
        <v>138.80349043657404</v>
      </c>
      <c r="AE52" s="45">
        <f t="shared" ref="AE52" si="129">AA52^3</f>
        <v>37629480.087615155</v>
      </c>
      <c r="AF52" s="45">
        <f t="shared" ref="AF52" si="130">AA52^2</f>
        <v>112292.86056362391</v>
      </c>
      <c r="AG52" s="45">
        <f t="shared" ref="AG52" si="131">AA52</f>
        <v>335.10126911670136</v>
      </c>
      <c r="AH52" s="45">
        <f t="shared" ref="AH52" si="132">AA53^2*AA52</f>
        <v>6456198.0929381149</v>
      </c>
      <c r="AI52" s="45">
        <f t="shared" ref="AI52" si="133">AA53*AA52</f>
        <v>46513.225803123882</v>
      </c>
      <c r="AJ52" s="45">
        <f t="shared" ref="AJ52" si="134">AA53*AA52^2</f>
        <v>15586640.997338513</v>
      </c>
      <c r="AK52">
        <v>1</v>
      </c>
    </row>
    <row r="53" spans="1:37">
      <c r="A53" s="1" t="s">
        <v>1228</v>
      </c>
      <c r="B53" s="1" t="s">
        <v>171</v>
      </c>
      <c r="C53" s="1">
        <v>0</v>
      </c>
      <c r="H53" s="50">
        <f t="shared" ref="H53" si="135">C52*COS(RADIANS(G52+C53))</f>
        <v>138.80349043657404</v>
      </c>
      <c r="I53" s="51">
        <f t="shared" ref="I53" si="136">H53-$AO$34</f>
        <v>138.80742949616592</v>
      </c>
      <c r="N53" s="3">
        <f t="shared" ref="N53:N59" ca="1" si="137">SQRT(OFFSET(C$6, M16-1, 6)^2 + OFFSET(C$6, M16, 6)^2)</f>
        <v>362.7296074612118</v>
      </c>
      <c r="Z53" s="52" t="s">
        <v>1145</v>
      </c>
      <c r="AA53" s="50">
        <f t="shared" si="125"/>
        <v>138.80349043657404</v>
      </c>
    </row>
    <row r="54" spans="1:37">
      <c r="A54" s="2" t="s">
        <v>498</v>
      </c>
      <c r="B54" s="1" t="s">
        <v>157</v>
      </c>
      <c r="C54" s="1">
        <v>-8.4</v>
      </c>
      <c r="H54" s="50"/>
      <c r="N54" s="3">
        <f t="shared" ca="1" si="137"/>
        <v>362.74662727083177</v>
      </c>
      <c r="AB54" s="45">
        <f>SUM(AB7:AB53)</f>
        <v>-31835.478688710835</v>
      </c>
      <c r="AC54" s="45">
        <f t="shared" ref="AC54:AK54" si="138">SUM(AC7:AC53)</f>
        <v>1052697.4632209439</v>
      </c>
      <c r="AD54" s="45">
        <f t="shared" si="138"/>
        <v>-3.1476911233056626E-2</v>
      </c>
      <c r="AE54" s="45">
        <f t="shared" si="138"/>
        <v>-14717.698231615126</v>
      </c>
      <c r="AF54" s="45">
        <f t="shared" si="138"/>
        <v>1052437.3143640559</v>
      </c>
      <c r="AG54" s="45">
        <f t="shared" si="138"/>
        <v>9.4870250670169298E-3</v>
      </c>
      <c r="AH54" s="45">
        <f t="shared" si="138"/>
        <v>18472.177615442313</v>
      </c>
      <c r="AI54" s="45">
        <f t="shared" si="138"/>
        <v>-6.9178663323473302</v>
      </c>
      <c r="AJ54" s="45">
        <f t="shared" si="138"/>
        <v>19400.739852806553</v>
      </c>
      <c r="AK54" s="45">
        <f t="shared" si="138"/>
        <v>16</v>
      </c>
    </row>
    <row r="55" spans="1:37">
      <c r="H55" s="50"/>
      <c r="N55" s="3">
        <f t="shared" ca="1" si="137"/>
        <v>362.72809486592905</v>
      </c>
      <c r="AB55" s="48" t="s">
        <v>1135</v>
      </c>
      <c r="AC55" s="48" t="s">
        <v>1136</v>
      </c>
      <c r="AD55" s="48" t="s">
        <v>1137</v>
      </c>
      <c r="AE55" s="48" t="s">
        <v>1138</v>
      </c>
      <c r="AF55" s="48" t="s">
        <v>1139</v>
      </c>
      <c r="AG55" s="48" t="s">
        <v>1140</v>
      </c>
      <c r="AH55" s="48" t="s">
        <v>1141</v>
      </c>
      <c r="AI55" s="48" t="s">
        <v>1142</v>
      </c>
      <c r="AJ55" s="48" t="s">
        <v>1143</v>
      </c>
      <c r="AK55" s="49">
        <v>1</v>
      </c>
    </row>
    <row r="56" spans="1:37">
      <c r="H56" s="50"/>
      <c r="N56" s="3">
        <f t="shared" ca="1" si="137"/>
        <v>362.73293906154601</v>
      </c>
    </row>
    <row r="57" spans="1:37">
      <c r="H57" s="50"/>
      <c r="N57" s="3">
        <f t="shared" ca="1" si="137"/>
        <v>362.76618357673897</v>
      </c>
    </row>
    <row r="58" spans="1:37">
      <c r="H58" s="50"/>
      <c r="N58" s="3">
        <f t="shared" ca="1" si="137"/>
        <v>362.77194342400594</v>
      </c>
    </row>
    <row r="59" spans="1:37">
      <c r="H59" s="50"/>
      <c r="N59" s="3">
        <f t="shared" ca="1" si="137"/>
        <v>362.71140740156329</v>
      </c>
    </row>
    <row r="60" spans="1:37">
      <c r="H60" s="50"/>
      <c r="N60" s="3"/>
    </row>
    <row r="61" spans="1:37">
      <c r="H61" s="50"/>
      <c r="M61" s="5" t="s">
        <v>3</v>
      </c>
      <c r="N61" s="3" t="str">
        <f>"&gt;"&amp;TEXT(($E$2+$E$3)/2, "0.###")</f>
        <v>&gt;362.765</v>
      </c>
      <c r="O61"/>
      <c r="P61" s="3"/>
    </row>
    <row r="62" spans="1:37">
      <c r="H62" s="50"/>
      <c r="M62" s="6" t="s">
        <v>4</v>
      </c>
      <c r="N62" s="3" t="str">
        <f>"&lt;"&amp;TEXT(($E$2+$C$4)/2, "0.###")</f>
        <v>&lt;362.635</v>
      </c>
      <c r="O62"/>
      <c r="P62" s="3"/>
    </row>
    <row r="63" spans="1:37">
      <c r="H63" s="50"/>
      <c r="M63" s="7"/>
      <c r="N63" s="8" t="s">
        <v>0</v>
      </c>
      <c r="O63" s="3"/>
      <c r="P63" s="3"/>
    </row>
    <row r="64" spans="1:37">
      <c r="H64" s="50"/>
      <c r="M64" s="9" t="s">
        <v>6</v>
      </c>
      <c r="N64" s="10">
        <f ca="1">AVERAGE(N44:N59)*2</f>
        <v>725.45412502334364</v>
      </c>
      <c r="O64" s="3"/>
      <c r="P64" s="3"/>
    </row>
    <row r="65" spans="8:45">
      <c r="H65" s="50"/>
      <c r="M65" s="9"/>
      <c r="N65" s="11" t="str">
        <f ca="1">IF(N64&lt;$E$2+$C$4, "U/Min "&amp;TEXT($E$2+$C$4-N64, "0.###"), IF(N64&gt;$E$2+$E$3, "O/Max "&amp;TEXT(N64-$E$2-$E$3, "0.###"), "-"))</f>
        <v>-</v>
      </c>
      <c r="O65" s="3"/>
      <c r="P65" s="3"/>
    </row>
    <row r="66" spans="8:45">
      <c r="H66" s="50"/>
      <c r="M66" s="9" t="s">
        <v>7</v>
      </c>
      <c r="N66" s="10">
        <f ca="1">MAX(N44:N59)-MIN(N44:N59)</f>
        <v>0.14209578178628135</v>
      </c>
      <c r="O66" s="3"/>
      <c r="P66" s="3"/>
    </row>
    <row r="67" spans="8:45">
      <c r="H67" s="50"/>
      <c r="M67" s="9"/>
      <c r="N67" s="11" t="str">
        <f ca="1">IF(N66&gt;0.64, "O/Max "&amp;TEXT(N66-0.13, "0.###"), "-")</f>
        <v>-</v>
      </c>
      <c r="O67" s="3"/>
      <c r="P67" s="3"/>
    </row>
    <row r="68" spans="8:45">
      <c r="H68" s="50"/>
      <c r="M68" s="9" t="s">
        <v>8</v>
      </c>
      <c r="N68" s="12">
        <f ca="1">COUNTIF(N44:N59, $N61)</f>
        <v>4</v>
      </c>
      <c r="O68" s="3"/>
      <c r="P68" s="3"/>
    </row>
    <row r="69" spans="8:45">
      <c r="H69" s="50"/>
      <c r="M69" s="9" t="s">
        <v>9</v>
      </c>
      <c r="N69" s="12">
        <f ca="1">COUNTIF(N44:N59, $N62)</f>
        <v>0</v>
      </c>
      <c r="O69"/>
      <c r="P69"/>
      <c r="AO69" s="53"/>
      <c r="AP69" s="53"/>
      <c r="AQ69" s="53"/>
      <c r="AR69" s="54" t="s">
        <v>1147</v>
      </c>
      <c r="AS69" s="53">
        <f>-(AB123+AJ123)</f>
        <v>0</v>
      </c>
    </row>
    <row r="70" spans="8:45">
      <c r="M70" s="12"/>
      <c r="N70" s="14" t="str">
        <f ca="1">TEXT(N68+N69,"0")&amp;"/16"</f>
        <v>4/16</v>
      </c>
      <c r="O70"/>
      <c r="P70"/>
      <c r="AN70" s="55"/>
      <c r="AO70" s="53"/>
      <c r="AP70" s="53"/>
      <c r="AQ70" s="53"/>
      <c r="AR70" s="56"/>
      <c r="AS70" s="53">
        <f>-(AH123+AE123)</f>
        <v>0</v>
      </c>
    </row>
    <row r="71" spans="8:45">
      <c r="N71"/>
      <c r="O71"/>
      <c r="P71"/>
      <c r="AO71" s="53"/>
      <c r="AP71" s="53"/>
      <c r="AQ71" s="53"/>
      <c r="AR71" s="56"/>
      <c r="AS71" s="53">
        <f>-(AC123+AF123)</f>
        <v>0</v>
      </c>
    </row>
    <row r="72" spans="8:45">
      <c r="M72" s="61" t="s">
        <v>6</v>
      </c>
      <c r="N72" s="71">
        <f ca="1">N64</f>
        <v>725.45412502334364</v>
      </c>
      <c r="O72" s="66"/>
      <c r="P72" s="66"/>
      <c r="AO72" s="56"/>
      <c r="AP72" s="56"/>
      <c r="AQ72" s="56"/>
      <c r="AR72" s="56"/>
      <c r="AS72" s="56"/>
    </row>
    <row r="73" spans="8:45">
      <c r="M73" s="61" t="s">
        <v>90</v>
      </c>
      <c r="N73" s="67"/>
      <c r="O73" s="62"/>
      <c r="P73" s="66"/>
      <c r="AO73" s="53"/>
      <c r="AP73" s="53"/>
      <c r="AQ73" s="53"/>
      <c r="AR73" s="56"/>
      <c r="AS73" s="53">
        <f>AS69</f>
        <v>0</v>
      </c>
    </row>
    <row r="74" spans="8:45">
      <c r="M74" s="61" t="s">
        <v>91</v>
      </c>
      <c r="N74" s="65">
        <f ca="1">MAX(N44:N59)*2</f>
        <v>725.58181026905697</v>
      </c>
      <c r="O74" s="68" t="str">
        <f ca="1">IF(N74&gt;P7*2, "O/Max "&amp;TEXT(N74-P7*2, "0.000"), "-")</f>
        <v>O/Max 0.052</v>
      </c>
      <c r="P74" s="66"/>
      <c r="AA74" s="47"/>
      <c r="AO74" s="53"/>
      <c r="AP74" s="53"/>
      <c r="AQ74" s="53"/>
      <c r="AR74" s="56"/>
      <c r="AS74" s="53">
        <f t="shared" ref="AS74:AS75" si="139">AS70</f>
        <v>0</v>
      </c>
    </row>
    <row r="75" spans="8:45">
      <c r="M75" s="61" t="s">
        <v>92</v>
      </c>
      <c r="N75" s="65">
        <f ca="1">MIN(N44:N59)*2</f>
        <v>725.29761870548441</v>
      </c>
      <c r="O75" s="68" t="str">
        <f ca="1">IF(N75&lt;O7*2, "U/Min "&amp;TEXT(O7*2-N75, "0.000"), "-")</f>
        <v>-</v>
      </c>
      <c r="P75" s="66"/>
      <c r="AB75" s="48"/>
      <c r="AC75" s="48"/>
      <c r="AD75" s="48"/>
      <c r="AE75" s="48"/>
      <c r="AF75" s="48"/>
      <c r="AG75" s="48"/>
      <c r="AH75" s="48"/>
      <c r="AI75" s="48"/>
      <c r="AJ75" s="48"/>
      <c r="AK75" s="49"/>
      <c r="AO75" s="53"/>
      <c r="AP75" s="53"/>
      <c r="AQ75" s="53"/>
      <c r="AR75" s="56"/>
      <c r="AS75" s="53">
        <f t="shared" si="139"/>
        <v>0</v>
      </c>
    </row>
    <row r="76" spans="8:45">
      <c r="M76" s="61"/>
      <c r="Z76" s="52"/>
      <c r="AO76" s="56"/>
      <c r="AP76" s="56"/>
      <c r="AQ76" s="56"/>
      <c r="AR76" s="56"/>
      <c r="AS76" s="56"/>
    </row>
    <row r="77" spans="8:45">
      <c r="Z77" s="52"/>
      <c r="AO77" s="53"/>
      <c r="AP77" s="56"/>
      <c r="AQ77" s="56"/>
      <c r="AR77" s="56"/>
      <c r="AS77" s="56"/>
    </row>
    <row r="78" spans="8:45">
      <c r="Z78" s="52"/>
      <c r="AO78" s="53"/>
      <c r="AP78" s="56"/>
      <c r="AQ78" s="56"/>
      <c r="AR78" s="56"/>
      <c r="AS78" s="56"/>
    </row>
    <row r="79" spans="8:45">
      <c r="Z79" s="52"/>
      <c r="AO79" s="53"/>
      <c r="AP79" s="56"/>
      <c r="AQ79" s="56"/>
      <c r="AR79" s="56"/>
      <c r="AS79" s="56"/>
    </row>
    <row r="80" spans="8:45">
      <c r="Z80" s="52"/>
    </row>
    <row r="81" spans="26:41">
      <c r="Z81" s="52"/>
      <c r="AO81" s="63"/>
    </row>
    <row r="82" spans="26:41">
      <c r="Z82" s="52"/>
      <c r="AO82" s="63"/>
    </row>
    <row r="83" spans="26:41">
      <c r="Z83" s="52"/>
      <c r="AM83" s="47"/>
      <c r="AO83" s="51"/>
    </row>
    <row r="84" spans="26:41">
      <c r="Z84" s="52"/>
      <c r="AM84" s="47"/>
    </row>
    <row r="85" spans="26:41">
      <c r="Z85" s="52"/>
    </row>
    <row r="86" spans="26:41">
      <c r="Z86" s="52"/>
    </row>
    <row r="87" spans="26:41">
      <c r="Z87" s="52"/>
    </row>
    <row r="88" spans="26:41">
      <c r="Z88" s="52"/>
    </row>
    <row r="89" spans="26:41">
      <c r="Z89" s="52"/>
    </row>
    <row r="90" spans="26:41">
      <c r="Z90" s="52"/>
    </row>
    <row r="91" spans="26:41">
      <c r="Z91" s="52"/>
    </row>
    <row r="92" spans="26:41">
      <c r="Z92" s="52"/>
    </row>
    <row r="93" spans="26:41">
      <c r="Z93" s="52"/>
    </row>
    <row r="94" spans="26:41">
      <c r="Z94" s="52"/>
    </row>
    <row r="95" spans="26:41">
      <c r="Z95" s="52"/>
    </row>
    <row r="96" spans="26:41">
      <c r="Z96" s="52"/>
    </row>
    <row r="97" spans="8:26">
      <c r="Z97" s="52"/>
    </row>
    <row r="98" spans="8:26">
      <c r="Z98" s="52"/>
    </row>
    <row r="99" spans="8:26">
      <c r="Z99" s="52"/>
    </row>
    <row r="100" spans="8:26">
      <c r="Z100" s="52"/>
    </row>
    <row r="101" spans="8:26">
      <c r="Z101" s="52"/>
    </row>
    <row r="102" spans="8:26">
      <c r="H102" s="73"/>
      <c r="Z102" s="52"/>
    </row>
    <row r="103" spans="8:26">
      <c r="H103" s="73"/>
      <c r="Z103" s="52"/>
    </row>
    <row r="104" spans="8:26">
      <c r="H104" s="74"/>
      <c r="Z104" s="52"/>
    </row>
    <row r="105" spans="8:26">
      <c r="H105" s="73"/>
      <c r="Z105" s="52"/>
    </row>
    <row r="106" spans="8:26">
      <c r="H106" s="73"/>
      <c r="Z106" s="52"/>
    </row>
    <row r="107" spans="8:26">
      <c r="H107" s="74"/>
      <c r="Z107" s="52"/>
    </row>
    <row r="108" spans="8:26">
      <c r="Z108" s="52"/>
    </row>
    <row r="109" spans="8:26">
      <c r="Z109" s="52"/>
    </row>
    <row r="110" spans="8:26">
      <c r="Z110" s="52"/>
    </row>
    <row r="111" spans="8:26">
      <c r="Z111" s="52"/>
    </row>
    <row r="112" spans="8:26">
      <c r="Z112" s="52"/>
    </row>
    <row r="113" spans="26:37">
      <c r="Z113" s="52"/>
    </row>
    <row r="114" spans="26:37">
      <c r="Z114" s="52"/>
    </row>
    <row r="115" spans="26:37">
      <c r="Z115" s="52"/>
    </row>
    <row r="116" spans="26:37">
      <c r="Z116" s="52"/>
    </row>
    <row r="117" spans="26:37">
      <c r="Z117" s="52"/>
    </row>
    <row r="118" spans="26:37">
      <c r="Z118" s="52"/>
    </row>
    <row r="119" spans="26:37">
      <c r="Z119" s="52"/>
    </row>
    <row r="120" spans="26:37">
      <c r="Z120" s="52"/>
    </row>
    <row r="121" spans="26:37">
      <c r="Z121" s="52"/>
    </row>
    <row r="122" spans="26:37">
      <c r="Z122" s="52"/>
    </row>
    <row r="123" spans="26:37">
      <c r="Z123" s="52"/>
    </row>
    <row r="124" spans="26:37">
      <c r="AB124" s="48"/>
      <c r="AC124" s="48"/>
      <c r="AD124" s="48"/>
      <c r="AE124" s="48"/>
      <c r="AF124" s="48"/>
      <c r="AG124" s="48"/>
      <c r="AH124" s="48"/>
      <c r="AI124" s="48"/>
      <c r="AJ124" s="48"/>
      <c r="AK124" s="49"/>
    </row>
  </sheetData>
  <phoneticPr fontId="1"/>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7"/>
  <dimension ref="A1:AS124"/>
  <sheetViews>
    <sheetView topLeftCell="E31" zoomScale="89" zoomScaleNormal="89" workbookViewId="0">
      <selection activeCell="N75" sqref="N75"/>
    </sheetView>
  </sheetViews>
  <sheetFormatPr defaultRowHeight="15"/>
  <cols>
    <col min="1" max="6" width="9" customWidth="1"/>
    <col min="26" max="26" width="12.42578125" bestFit="1" customWidth="1"/>
    <col min="27" max="27" width="13.85546875" bestFit="1" customWidth="1"/>
    <col min="28" max="28" width="11.140625" style="45" bestFit="1" customWidth="1"/>
    <col min="29" max="29" width="10" style="45" bestFit="1" customWidth="1"/>
    <col min="30" max="31" width="11.140625" style="45" bestFit="1" customWidth="1"/>
    <col min="32" max="32" width="10" style="45" bestFit="1" customWidth="1"/>
    <col min="33" max="36" width="11.140625" style="45" bestFit="1" customWidth="1"/>
    <col min="37" max="37" width="10.140625" bestFit="1" customWidth="1"/>
    <col min="39" max="39" width="10.85546875" customWidth="1"/>
    <col min="41" max="43" width="9.140625" bestFit="1" customWidth="1"/>
    <col min="45" max="45" width="9.140625" bestFit="1" customWidth="1"/>
  </cols>
  <sheetData>
    <row r="1" spans="1:37">
      <c r="A1" s="64" t="s">
        <v>1162</v>
      </c>
      <c r="K1" s="1"/>
      <c r="L1" s="46"/>
      <c r="M1" s="1"/>
      <c r="N1" s="1"/>
      <c r="O1" s="1"/>
      <c r="P1" s="1"/>
    </row>
    <row r="2" spans="1:37">
      <c r="A2" s="64" t="s">
        <v>1163</v>
      </c>
      <c r="B2" t="s">
        <v>970</v>
      </c>
      <c r="C2">
        <v>724.92200000000003</v>
      </c>
      <c r="D2" t="s">
        <v>971</v>
      </c>
      <c r="E2">
        <v>724.85</v>
      </c>
      <c r="K2" s="1"/>
      <c r="L2" s="1"/>
      <c r="M2" s="1"/>
      <c r="N2" s="1"/>
      <c r="O2" s="1"/>
      <c r="P2" s="1"/>
    </row>
    <row r="3" spans="1:37">
      <c r="A3" s="64" t="s">
        <v>1164</v>
      </c>
      <c r="B3" t="s">
        <v>897</v>
      </c>
      <c r="C3">
        <v>7.1999999999999995E-2</v>
      </c>
      <c r="D3" t="s">
        <v>1165</v>
      </c>
      <c r="E3">
        <v>0.13</v>
      </c>
      <c r="F3" t="s">
        <v>895</v>
      </c>
      <c r="K3" s="1"/>
      <c r="L3" s="1"/>
      <c r="M3" s="1"/>
      <c r="N3" s="1"/>
      <c r="O3" s="1"/>
      <c r="P3" s="1"/>
      <c r="AA3" s="47" t="s">
        <v>1133</v>
      </c>
    </row>
    <row r="4" spans="1:37">
      <c r="A4" s="76" t="s">
        <v>1166</v>
      </c>
      <c r="B4" t="s">
        <v>976</v>
      </c>
      <c r="C4">
        <v>-0.13</v>
      </c>
      <c r="K4" s="1"/>
      <c r="L4" s="1"/>
      <c r="M4" s="1"/>
      <c r="N4" s="1"/>
      <c r="O4" s="1"/>
      <c r="P4" s="1"/>
    </row>
    <row r="5" spans="1:37">
      <c r="K5" s="1"/>
      <c r="L5" s="1"/>
      <c r="M5" s="1"/>
      <c r="N5" s="1"/>
      <c r="O5" s="1"/>
      <c r="P5" s="1"/>
    </row>
    <row r="6" spans="1:37">
      <c r="A6" s="1" t="s">
        <v>1301</v>
      </c>
      <c r="B6" s="1"/>
      <c r="C6" s="1" t="s">
        <v>360</v>
      </c>
      <c r="I6" t="s">
        <v>1134</v>
      </c>
      <c r="K6" s="3"/>
      <c r="L6" s="3" t="str">
        <f>CONCATENATE(A6," : ",MID(A1,11,3))</f>
        <v>JHV723EJ : 226</v>
      </c>
      <c r="M6" s="3"/>
      <c r="N6" s="3" t="s">
        <v>0</v>
      </c>
      <c r="O6" s="3" t="s">
        <v>1</v>
      </c>
      <c r="P6" s="3" t="s">
        <v>2</v>
      </c>
      <c r="AB6" s="48" t="s">
        <v>1135</v>
      </c>
      <c r="AC6" s="48" t="s">
        <v>1136</v>
      </c>
      <c r="AD6" s="48" t="s">
        <v>1137</v>
      </c>
      <c r="AE6" s="48" t="s">
        <v>1138</v>
      </c>
      <c r="AF6" s="48" t="s">
        <v>1139</v>
      </c>
      <c r="AG6" s="48" t="s">
        <v>1140</v>
      </c>
      <c r="AH6" s="48" t="s">
        <v>1141</v>
      </c>
      <c r="AI6" s="48" t="s">
        <v>1142</v>
      </c>
      <c r="AJ6" s="48" t="s">
        <v>1143</v>
      </c>
      <c r="AK6" s="49">
        <v>1</v>
      </c>
    </row>
    <row r="7" spans="1:37">
      <c r="A7" s="64" t="s">
        <v>304</v>
      </c>
      <c r="B7" t="s">
        <v>901</v>
      </c>
      <c r="C7">
        <v>362.38900000000001</v>
      </c>
      <c r="G7">
        <v>90</v>
      </c>
      <c r="H7" s="50">
        <f>C7*SIN(RADIANS(G7+C8))</f>
        <v>362.38900000000001</v>
      </c>
      <c r="I7" s="51">
        <f>H7-$AO$35</f>
        <v>362.38605369253509</v>
      </c>
      <c r="K7" s="3">
        <v>1</v>
      </c>
      <c r="L7" s="3" t="str">
        <f>CONCATENATE("点226(", K7,"/16)")</f>
        <v>点226(1/16)</v>
      </c>
      <c r="M7" s="3">
        <f>MATCH(L7, A$7:A$54, 0)</f>
        <v>2</v>
      </c>
      <c r="N7" s="3">
        <f ca="1">OFFSET(C$6, M7-1, 0)</f>
        <v>362.38900000000001</v>
      </c>
      <c r="O7" s="3">
        <f>($E$2+$C$4)/2</f>
        <v>362.36</v>
      </c>
      <c r="P7" s="3">
        <f>($E$2+$E$3)/2</f>
        <v>362.49</v>
      </c>
      <c r="Z7" s="52" t="s">
        <v>1144</v>
      </c>
      <c r="AA7" s="50">
        <f>H7</f>
        <v>362.38900000000001</v>
      </c>
      <c r="AB7" s="45">
        <f>AA8^3</f>
        <v>1.0939593454044046E-41</v>
      </c>
      <c r="AC7" s="45">
        <f>AA8^2</f>
        <v>4.9279631897337231E-28</v>
      </c>
      <c r="AD7" s="45">
        <f>AA8</f>
        <v>2.2199016171293995E-14</v>
      </c>
      <c r="AE7" s="45">
        <f>AA7^3</f>
        <v>47591020.741469875</v>
      </c>
      <c r="AF7" s="45">
        <f>AA7^2</f>
        <v>131325.78732100001</v>
      </c>
      <c r="AG7" s="45">
        <f>AA7</f>
        <v>362.38900000000001</v>
      </c>
      <c r="AH7" s="45">
        <f>AA8^2*AA7</f>
        <v>1.7858396523644143E-25</v>
      </c>
      <c r="AI7" s="45">
        <f>AA8*AA7</f>
        <v>8.0446792712990594E-12</v>
      </c>
      <c r="AJ7" s="45">
        <f>AA8*AA7^2</f>
        <v>2.915303276446795E-9</v>
      </c>
      <c r="AK7">
        <v>1</v>
      </c>
    </row>
    <row r="8" spans="1:37">
      <c r="A8" s="64" t="s">
        <v>1205</v>
      </c>
      <c r="B8" t="s">
        <v>903</v>
      </c>
      <c r="C8">
        <v>0</v>
      </c>
      <c r="H8" s="50">
        <f>C7*COS(RADIANS(G7+C8))</f>
        <v>2.2199016171293995E-14</v>
      </c>
      <c r="I8" s="51">
        <f>H8-$AO$34</f>
        <v>2.7248832174936119E-4</v>
      </c>
      <c r="K8" s="3">
        <v>2</v>
      </c>
      <c r="L8" s="3" t="str">
        <f t="shared" ref="L8:L22" si="0">CONCATENATE("点226(", K8,"/16)")</f>
        <v>点226(2/16)</v>
      </c>
      <c r="M8" s="3">
        <f t="shared" ref="M8:M22" si="1">MATCH(L8, A$7:A$54, 0)</f>
        <v>5</v>
      </c>
      <c r="N8" s="3">
        <f t="shared" ref="N8:N15" ca="1" si="2">OFFSET(C$6, M8-1, 0)</f>
        <v>362.39499999999998</v>
      </c>
      <c r="O8" s="3">
        <f t="shared" ref="O8:P15" si="3">O7</f>
        <v>362.36</v>
      </c>
      <c r="P8" s="3">
        <f t="shared" si="3"/>
        <v>362.49</v>
      </c>
      <c r="Z8" s="52" t="s">
        <v>1145</v>
      </c>
      <c r="AA8" s="50">
        <f>H8</f>
        <v>2.2199016171293995E-14</v>
      </c>
    </row>
    <row r="9" spans="1:37">
      <c r="A9" s="76" t="s">
        <v>1167</v>
      </c>
      <c r="B9" t="s">
        <v>165</v>
      </c>
      <c r="C9">
        <v>-16</v>
      </c>
      <c r="H9" s="50"/>
      <c r="I9" s="51"/>
      <c r="K9" s="3">
        <v>3</v>
      </c>
      <c r="L9" s="3" t="str">
        <f t="shared" si="0"/>
        <v>点226(3/16)</v>
      </c>
      <c r="M9" s="3">
        <f t="shared" si="1"/>
        <v>8</v>
      </c>
      <c r="N9" s="3">
        <f t="shared" ca="1" si="2"/>
        <v>362.47</v>
      </c>
      <c r="O9" s="3">
        <f t="shared" si="3"/>
        <v>362.36</v>
      </c>
      <c r="P9" s="3">
        <f t="shared" si="3"/>
        <v>362.49</v>
      </c>
      <c r="Z9" s="52"/>
      <c r="AA9" s="50"/>
    </row>
    <row r="10" spans="1:37">
      <c r="A10" s="64" t="s">
        <v>304</v>
      </c>
      <c r="B10" t="s">
        <v>901</v>
      </c>
      <c r="C10">
        <v>362.39499999999998</v>
      </c>
      <c r="G10">
        <f>G7+360/16</f>
        <v>112.5</v>
      </c>
      <c r="H10" s="50">
        <f>C10*SIN(RADIANS(G10+C11))</f>
        <v>334.83836144898811</v>
      </c>
      <c r="I10" s="51">
        <f>H10-$AO$35</f>
        <v>334.83541514152319</v>
      </c>
      <c r="K10" s="3">
        <v>4</v>
      </c>
      <c r="L10" s="3" t="str">
        <f t="shared" si="0"/>
        <v>点226(4/16)</v>
      </c>
      <c r="M10" s="3">
        <f t="shared" si="1"/>
        <v>11</v>
      </c>
      <c r="N10" s="3">
        <f t="shared" ca="1" si="2"/>
        <v>362.53199999999998</v>
      </c>
      <c r="O10" s="3">
        <f t="shared" si="3"/>
        <v>362.36</v>
      </c>
      <c r="P10" s="3">
        <f t="shared" si="3"/>
        <v>362.49</v>
      </c>
      <c r="Z10" s="52" t="s">
        <v>1144</v>
      </c>
      <c r="AA10" s="50">
        <f>H10</f>
        <v>334.83836144898811</v>
      </c>
      <c r="AB10" s="45">
        <f>AA11^3</f>
        <v>-2663217.2706362465</v>
      </c>
      <c r="AC10" s="45">
        <f>AA11^2</f>
        <v>19213.407727156769</v>
      </c>
      <c r="AD10" s="45">
        <f>AA11</f>
        <v>-138.61243713013911</v>
      </c>
      <c r="AE10" s="45">
        <f>AA10^3</f>
        <v>37540981.594271213</v>
      </c>
      <c r="AF10" s="45">
        <f>AA10^2</f>
        <v>112116.7282978432</v>
      </c>
      <c r="AG10" s="45">
        <f>AA10</f>
        <v>334.83836144898811</v>
      </c>
      <c r="AH10" s="45">
        <f>AA11^2*AA10</f>
        <v>6433385.9612124991</v>
      </c>
      <c r="AI10" s="45">
        <f>AA11*AA10</f>
        <v>-46412.761325106658</v>
      </c>
      <c r="AJ10" s="45">
        <f>AA11*AA10^2</f>
        <v>-15540772.95242168</v>
      </c>
      <c r="AK10">
        <v>1</v>
      </c>
    </row>
    <row r="11" spans="1:37">
      <c r="A11" s="64" t="s">
        <v>1206</v>
      </c>
      <c r="B11" t="s">
        <v>903</v>
      </c>
      <c r="C11">
        <v>-1.2E-2</v>
      </c>
      <c r="H11" s="50">
        <f>C10*COS(RADIANS(G10+C11))</f>
        <v>-138.61243713013911</v>
      </c>
      <c r="I11" s="51">
        <f>H11-$AO$34</f>
        <v>-138.61216464181737</v>
      </c>
      <c r="K11" s="3">
        <v>5</v>
      </c>
      <c r="L11" s="3" t="str">
        <f t="shared" si="0"/>
        <v>点226(5/16)</v>
      </c>
      <c r="M11" s="3">
        <f t="shared" si="1"/>
        <v>14</v>
      </c>
      <c r="N11" s="3">
        <f t="shared" ca="1" si="2"/>
        <v>362.52800000000002</v>
      </c>
      <c r="O11" s="3">
        <f t="shared" si="3"/>
        <v>362.36</v>
      </c>
      <c r="P11" s="3">
        <f t="shared" si="3"/>
        <v>362.49</v>
      </c>
      <c r="Z11" s="52" t="s">
        <v>1145</v>
      </c>
      <c r="AA11" s="50">
        <f>H11</f>
        <v>-138.61243713013911</v>
      </c>
    </row>
    <row r="12" spans="1:37">
      <c r="A12" s="76" t="s">
        <v>1168</v>
      </c>
      <c r="B12" t="s">
        <v>165</v>
      </c>
      <c r="C12">
        <v>-16</v>
      </c>
      <c r="H12" s="50"/>
      <c r="I12" s="51"/>
      <c r="K12" s="3">
        <v>6</v>
      </c>
      <c r="L12" s="3" t="str">
        <f t="shared" si="0"/>
        <v>点226(6/16)</v>
      </c>
      <c r="M12" s="3">
        <f t="shared" si="1"/>
        <v>17</v>
      </c>
      <c r="N12" s="3">
        <f t="shared" ca="1" si="2"/>
        <v>362.48200000000003</v>
      </c>
      <c r="O12" s="3">
        <f t="shared" si="3"/>
        <v>362.36</v>
      </c>
      <c r="P12" s="3">
        <f t="shared" si="3"/>
        <v>362.49</v>
      </c>
      <c r="Z12" s="52"/>
      <c r="AA12" s="50"/>
    </row>
    <row r="13" spans="1:37">
      <c r="A13" s="64" t="s">
        <v>304</v>
      </c>
      <c r="B13" t="s">
        <v>901</v>
      </c>
      <c r="C13">
        <v>362.47</v>
      </c>
      <c r="G13">
        <f t="shared" ref="G13" si="4">G10+360/16</f>
        <v>135</v>
      </c>
      <c r="H13" s="50">
        <f>C13*SIN(RADIANS(G13+C14))</f>
        <v>256.30946830370192</v>
      </c>
      <c r="I13" s="51">
        <f>H13-$AO$35</f>
        <v>256.306521996237</v>
      </c>
      <c r="K13" s="3">
        <v>7</v>
      </c>
      <c r="L13" s="3" t="str">
        <f t="shared" si="0"/>
        <v>点226(7/16)</v>
      </c>
      <c r="M13" s="3">
        <f t="shared" si="1"/>
        <v>20</v>
      </c>
      <c r="N13" s="3">
        <f t="shared" ca="1" si="2"/>
        <v>362.43299999999999</v>
      </c>
      <c r="O13" s="3">
        <f t="shared" si="3"/>
        <v>362.36</v>
      </c>
      <c r="P13" s="3">
        <f t="shared" si="3"/>
        <v>362.49</v>
      </c>
      <c r="Z13" s="52" t="s">
        <v>1144</v>
      </c>
      <c r="AA13" s="50">
        <f>H13</f>
        <v>256.30946830370192</v>
      </c>
      <c r="AB13" s="45">
        <f>AA14^3</f>
        <v>-16836370.332839102</v>
      </c>
      <c r="AC13" s="45">
        <f>AA14^2</f>
        <v>65689.957357873631</v>
      </c>
      <c r="AD13" s="45">
        <f>AA14</f>
        <v>-256.30052157159889</v>
      </c>
      <c r="AE13" s="45">
        <f>AA13^3</f>
        <v>16838133.525736809</v>
      </c>
      <c r="AF13" s="45">
        <f>AA13^2</f>
        <v>65694.543542126383</v>
      </c>
      <c r="AG13" s="45">
        <f>AA13</f>
        <v>256.30946830370192</v>
      </c>
      <c r="AH13" s="45">
        <f>AA14^2*AA13</f>
        <v>16836958.043289442</v>
      </c>
      <c r="AI13" s="45">
        <f>AA14*AA13</f>
        <v>-65692.250409977991</v>
      </c>
      <c r="AJ13" s="45">
        <f>AA14*AA13^2</f>
        <v>-16837545.774255104</v>
      </c>
      <c r="AK13">
        <v>1</v>
      </c>
    </row>
    <row r="14" spans="1:37">
      <c r="A14" s="64" t="s">
        <v>1207</v>
      </c>
      <c r="B14" t="s">
        <v>903</v>
      </c>
      <c r="C14">
        <v>-1E-3</v>
      </c>
      <c r="H14" s="50">
        <f>C13*COS(RADIANS(G13+C14))</f>
        <v>-256.30052157159889</v>
      </c>
      <c r="I14" s="51">
        <f>H14-$AO$34</f>
        <v>-256.30024908327715</v>
      </c>
      <c r="K14" s="3">
        <v>8</v>
      </c>
      <c r="L14" s="3" t="str">
        <f t="shared" si="0"/>
        <v>点226(8/16)</v>
      </c>
      <c r="M14" s="3">
        <f t="shared" si="1"/>
        <v>23</v>
      </c>
      <c r="N14" s="3">
        <f t="shared" ca="1" si="2"/>
        <v>362.4</v>
      </c>
      <c r="O14" s="3">
        <f t="shared" si="3"/>
        <v>362.36</v>
      </c>
      <c r="P14" s="3">
        <f t="shared" si="3"/>
        <v>362.49</v>
      </c>
      <c r="Z14" s="52" t="s">
        <v>1145</v>
      </c>
      <c r="AA14" s="50">
        <f>H14</f>
        <v>-256.30052157159889</v>
      </c>
    </row>
    <row r="15" spans="1:37">
      <c r="A15" s="76" t="s">
        <v>1169</v>
      </c>
      <c r="B15" t="s">
        <v>165</v>
      </c>
      <c r="C15">
        <v>-15.999000000000001</v>
      </c>
      <c r="H15" s="50"/>
      <c r="I15" s="51"/>
      <c r="K15" s="3">
        <v>9</v>
      </c>
      <c r="L15" s="3" t="str">
        <f t="shared" si="0"/>
        <v>点226(9/16)</v>
      </c>
      <c r="M15" s="3">
        <f t="shared" si="1"/>
        <v>26</v>
      </c>
      <c r="N15" s="3">
        <f t="shared" ca="1" si="2"/>
        <v>362.42399999999998</v>
      </c>
      <c r="O15" s="3">
        <f t="shared" si="3"/>
        <v>362.36</v>
      </c>
      <c r="P15" s="3">
        <f t="shared" si="3"/>
        <v>362.49</v>
      </c>
      <c r="Z15" s="52"/>
      <c r="AA15" s="50"/>
    </row>
    <row r="16" spans="1:37">
      <c r="A16" s="64" t="s">
        <v>304</v>
      </c>
      <c r="B16" t="s">
        <v>901</v>
      </c>
      <c r="C16">
        <v>362.53199999999998</v>
      </c>
      <c r="G16">
        <f t="shared" ref="G16" si="5">G13+360/16</f>
        <v>157.5</v>
      </c>
      <c r="H16" s="50">
        <f>C16*SIN(RADIANS(G16+C17))</f>
        <v>138.69406892786861</v>
      </c>
      <c r="I16" s="51">
        <f>H16-$AO$35</f>
        <v>138.69112262040366</v>
      </c>
      <c r="K16" s="3">
        <v>10</v>
      </c>
      <c r="L16" s="3" t="str">
        <f t="shared" si="0"/>
        <v>点226(10/16)</v>
      </c>
      <c r="M16" s="3">
        <f t="shared" si="1"/>
        <v>29</v>
      </c>
      <c r="N16" s="3">
        <f t="shared" ref="N16:N22" ca="1" si="6">OFFSET(C$6, M16-1, 0)</f>
        <v>362.45800000000003</v>
      </c>
      <c r="O16" s="3">
        <f t="shared" ref="O16:P16" si="7">O15</f>
        <v>362.36</v>
      </c>
      <c r="P16" s="3">
        <f t="shared" si="7"/>
        <v>362.49</v>
      </c>
      <c r="Z16" s="52" t="s">
        <v>1144</v>
      </c>
      <c r="AA16" s="50">
        <f>H16</f>
        <v>138.69406892786861</v>
      </c>
      <c r="AB16" s="45">
        <f>AA17^3</f>
        <v>-37579500.267186463</v>
      </c>
      <c r="AC16" s="45">
        <f>AA17^2</f>
        <v>112193.40626823163</v>
      </c>
      <c r="AD16" s="45">
        <f>AA17</f>
        <v>-334.95284185722568</v>
      </c>
      <c r="AE16" s="45">
        <f>AA16^3</f>
        <v>2667925.3172561037</v>
      </c>
      <c r="AF16" s="45">
        <f>AA16^2</f>
        <v>19236.044755768369</v>
      </c>
      <c r="AG16" s="45">
        <f>AA16</f>
        <v>138.69406892786861</v>
      </c>
      <c r="AH16" s="45">
        <f>AA17^2*AA16</f>
        <v>15560560.022218484</v>
      </c>
      <c r="AI16" s="45">
        <f>AA17*AA16</f>
        <v>-46455.972536131536</v>
      </c>
      <c r="AJ16" s="45">
        <f>AA17*AA16^2</f>
        <v>-6443167.857037398</v>
      </c>
      <c r="AK16">
        <v>1</v>
      </c>
    </row>
    <row r="17" spans="1:45">
      <c r="A17" s="64" t="s">
        <v>1208</v>
      </c>
      <c r="B17" t="s">
        <v>903</v>
      </c>
      <c r="C17">
        <v>7.0000000000000001E-3</v>
      </c>
      <c r="H17" s="50">
        <f>C16*COS(RADIANS(G16+C17))</f>
        <v>-334.95284185722568</v>
      </c>
      <c r="I17" s="51">
        <f>H17-$AO$34</f>
        <v>-334.95256936890394</v>
      </c>
      <c r="K17" s="3">
        <v>11</v>
      </c>
      <c r="L17" s="3" t="str">
        <f t="shared" si="0"/>
        <v>点226(11/16)</v>
      </c>
      <c r="M17" s="3">
        <f t="shared" si="1"/>
        <v>32</v>
      </c>
      <c r="N17" s="3">
        <f t="shared" ca="1" si="6"/>
        <v>362.47800000000001</v>
      </c>
      <c r="O17" s="3">
        <f t="shared" ref="O17:P17" si="8">O16</f>
        <v>362.36</v>
      </c>
      <c r="P17" s="3">
        <f t="shared" si="8"/>
        <v>362.49</v>
      </c>
      <c r="Z17" s="52" t="s">
        <v>1145</v>
      </c>
      <c r="AA17" s="50">
        <f>H17</f>
        <v>-334.95284185722568</v>
      </c>
    </row>
    <row r="18" spans="1:45">
      <c r="A18" s="76" t="s">
        <v>1170</v>
      </c>
      <c r="B18" t="s">
        <v>165</v>
      </c>
      <c r="C18">
        <v>-16.001000000000001</v>
      </c>
      <c r="H18" s="50"/>
      <c r="I18" s="51"/>
      <c r="K18" s="3">
        <v>12</v>
      </c>
      <c r="L18" s="3" t="str">
        <f t="shared" si="0"/>
        <v>点226(12/16)</v>
      </c>
      <c r="M18" s="3">
        <f t="shared" si="1"/>
        <v>35</v>
      </c>
      <c r="N18" s="3">
        <f t="shared" ca="1" si="6"/>
        <v>362.464</v>
      </c>
      <c r="O18" s="3">
        <f t="shared" ref="O18:P18" si="9">O17</f>
        <v>362.36</v>
      </c>
      <c r="P18" s="3">
        <f t="shared" si="9"/>
        <v>362.49</v>
      </c>
      <c r="Z18" s="52"/>
      <c r="AA18" s="50"/>
    </row>
    <row r="19" spans="1:45">
      <c r="A19" s="64" t="s">
        <v>304</v>
      </c>
      <c r="B19" t="s">
        <v>901</v>
      </c>
      <c r="C19">
        <v>362.52800000000002</v>
      </c>
      <c r="G19">
        <f t="shared" ref="G19" si="10">G16+360/16</f>
        <v>180</v>
      </c>
      <c r="H19" s="50">
        <f>C19*SIN(RADIANS(G19+C20))</f>
        <v>4.4415061906111221E-14</v>
      </c>
      <c r="I19" s="51">
        <f>H19-$AO$35</f>
        <v>-2.9463074649068786E-3</v>
      </c>
      <c r="K19" s="3">
        <v>13</v>
      </c>
      <c r="L19" s="3" t="str">
        <f t="shared" si="0"/>
        <v>点226(13/16)</v>
      </c>
      <c r="M19" s="3">
        <f t="shared" si="1"/>
        <v>38</v>
      </c>
      <c r="N19" s="3">
        <f t="shared" ca="1" si="6"/>
        <v>362.47500000000002</v>
      </c>
      <c r="O19" s="3">
        <f t="shared" ref="O19:P19" si="11">O18</f>
        <v>362.36</v>
      </c>
      <c r="P19" s="3">
        <f t="shared" si="11"/>
        <v>362.49</v>
      </c>
      <c r="Z19" s="52" t="s">
        <v>1144</v>
      </c>
      <c r="AA19" s="50">
        <f>H19</f>
        <v>4.4415061906111221E-14</v>
      </c>
      <c r="AB19" s="45">
        <f>AA20^3</f>
        <v>-47645804.602621965</v>
      </c>
      <c r="AC19" s="45">
        <f>AA20^2</f>
        <v>131426.55078400002</v>
      </c>
      <c r="AD19" s="45">
        <f>AA20</f>
        <v>-362.52800000000002</v>
      </c>
      <c r="AE19" s="45">
        <f>AA19^3</f>
        <v>8.7617491538998494E-41</v>
      </c>
      <c r="AF19" s="45">
        <f>AA19^2</f>
        <v>1.972697724123692E-27</v>
      </c>
      <c r="AG19" s="45">
        <f>AA19</f>
        <v>4.4415061906111221E-14</v>
      </c>
      <c r="AH19" s="45">
        <f>AA20^2*AA19</f>
        <v>5.837318389178031E-9</v>
      </c>
      <c r="AI19" s="45">
        <f>AA20*AA19</f>
        <v>-1.610170356269869E-11</v>
      </c>
      <c r="AJ19" s="45">
        <f>AA20*AA19^2</f>
        <v>-7.1515816053111388E-25</v>
      </c>
      <c r="AK19">
        <v>1</v>
      </c>
    </row>
    <row r="20" spans="1:45">
      <c r="A20" s="64" t="s">
        <v>1209</v>
      </c>
      <c r="B20" t="s">
        <v>903</v>
      </c>
      <c r="C20">
        <v>0</v>
      </c>
      <c r="H20" s="50">
        <f>C19*COS(RADIANS(G19+C20))</f>
        <v>-362.52800000000002</v>
      </c>
      <c r="I20" s="51">
        <f>H20-$AO$34</f>
        <v>-362.52772751167828</v>
      </c>
      <c r="K20" s="3">
        <v>14</v>
      </c>
      <c r="L20" s="3" t="str">
        <f t="shared" si="0"/>
        <v>点226(14/16)</v>
      </c>
      <c r="M20" s="3">
        <f t="shared" si="1"/>
        <v>41</v>
      </c>
      <c r="N20" s="3">
        <f t="shared" ca="1" si="6"/>
        <v>362.5</v>
      </c>
      <c r="O20" s="3">
        <f t="shared" ref="O20:P20" si="12">O19</f>
        <v>362.36</v>
      </c>
      <c r="P20" s="3">
        <f t="shared" si="12"/>
        <v>362.49</v>
      </c>
      <c r="Z20" s="52" t="s">
        <v>1145</v>
      </c>
      <c r="AA20" s="50">
        <f>H20</f>
        <v>-362.52800000000002</v>
      </c>
    </row>
    <row r="21" spans="1:45">
      <c r="A21" s="76" t="s">
        <v>1171</v>
      </c>
      <c r="B21" t="s">
        <v>165</v>
      </c>
      <c r="C21">
        <v>-16</v>
      </c>
      <c r="H21" s="50"/>
      <c r="I21" s="51"/>
      <c r="K21" s="3">
        <v>15</v>
      </c>
      <c r="L21" s="3" t="str">
        <f t="shared" si="0"/>
        <v>点226(15/16)</v>
      </c>
      <c r="M21" s="3">
        <f t="shared" si="1"/>
        <v>44</v>
      </c>
      <c r="N21" s="3">
        <f t="shared" ca="1" si="6"/>
        <v>362.50599999999997</v>
      </c>
      <c r="O21" s="3">
        <f t="shared" ref="O21:P21" si="13">O20</f>
        <v>362.36</v>
      </c>
      <c r="P21" s="3">
        <f t="shared" si="13"/>
        <v>362.49</v>
      </c>
      <c r="Z21" s="52"/>
      <c r="AA21" s="50"/>
    </row>
    <row r="22" spans="1:45">
      <c r="A22" s="64" t="s">
        <v>304</v>
      </c>
      <c r="B22" t="s">
        <v>901</v>
      </c>
      <c r="C22">
        <v>362.48200000000003</v>
      </c>
      <c r="G22">
        <f t="shared" ref="G22" si="14">G19+360/16</f>
        <v>202.5</v>
      </c>
      <c r="H22" s="50">
        <f>C22*SIN(RADIANS(G22+C23))</f>
        <v>-138.69832095669699</v>
      </c>
      <c r="I22" s="51">
        <f>H22-$AO$35</f>
        <v>-138.70126726416194</v>
      </c>
      <c r="K22" s="3">
        <v>16</v>
      </c>
      <c r="L22" s="3" t="str">
        <f t="shared" si="0"/>
        <v>点226(16/16)</v>
      </c>
      <c r="M22" s="3">
        <f t="shared" si="1"/>
        <v>47</v>
      </c>
      <c r="N22" s="3">
        <f t="shared" ca="1" si="6"/>
        <v>362.44099999999997</v>
      </c>
      <c r="O22" s="3">
        <f t="shared" ref="O22:P22" si="15">O21</f>
        <v>362.36</v>
      </c>
      <c r="P22" s="3">
        <f t="shared" si="15"/>
        <v>362.49</v>
      </c>
      <c r="Z22" s="52" t="s">
        <v>1144</v>
      </c>
      <c r="AA22" s="50">
        <f>H22</f>
        <v>-138.69832095669699</v>
      </c>
      <c r="AB22" s="45">
        <f>AA23^3</f>
        <v>-37560695.817834996</v>
      </c>
      <c r="AC22" s="45">
        <f>AA23^2</f>
        <v>112155.97608779308</v>
      </c>
      <c r="AD22" s="45">
        <f>AA23</f>
        <v>-334.89696338992547</v>
      </c>
      <c r="AE22" s="45">
        <f>AA22^3</f>
        <v>-2668170.7014293787</v>
      </c>
      <c r="AF22" s="45">
        <f>AA22^2</f>
        <v>19237.22423620693</v>
      </c>
      <c r="AG22" s="45">
        <f>AA22</f>
        <v>-138.69832095669699</v>
      </c>
      <c r="AH22" s="45">
        <f>AA23^2*AA22</f>
        <v>-15555845.568636358</v>
      </c>
      <c r="AI22" s="45">
        <f>AA23*AA22</f>
        <v>46449.646515679087</v>
      </c>
      <c r="AJ22" s="45">
        <f>AA23*AA22^2</f>
        <v>-6442487.9807567792</v>
      </c>
      <c r="AK22">
        <v>1</v>
      </c>
      <c r="AM22" t="s">
        <v>1146</v>
      </c>
      <c r="AO22" s="53">
        <f>AC54</f>
        <v>1051141.1001413981</v>
      </c>
      <c r="AP22" s="53">
        <f>AI54</f>
        <v>35.480816106210114</v>
      </c>
      <c r="AQ22" s="53">
        <f>AD54</f>
        <v>8.1333667739897919E-3</v>
      </c>
      <c r="AR22" s="54" t="s">
        <v>1147</v>
      </c>
      <c r="AS22" s="53">
        <f>-(AB54+AJ54)</f>
        <v>-495.90664204303175</v>
      </c>
    </row>
    <row r="23" spans="1:45">
      <c r="A23" s="64" t="s">
        <v>1210</v>
      </c>
      <c r="B23" t="s">
        <v>903</v>
      </c>
      <c r="C23">
        <v>-3.0000000000000001E-3</v>
      </c>
      <c r="H23" s="50">
        <f>C22*COS(RADIANS(G22+C23))</f>
        <v>-334.89696338992547</v>
      </c>
      <c r="I23" s="51">
        <f>H23-$AO$34</f>
        <v>-334.89669090160373</v>
      </c>
      <c r="K23" s="3"/>
      <c r="L23" s="3"/>
      <c r="M23" s="3"/>
      <c r="N23" s="3"/>
      <c r="O23" s="3"/>
      <c r="P23" s="3"/>
      <c r="Z23" s="52" t="s">
        <v>1145</v>
      </c>
      <c r="AA23" s="50">
        <f>H23</f>
        <v>-334.89696338992547</v>
      </c>
      <c r="AM23" t="s">
        <v>1148</v>
      </c>
      <c r="AN23" s="55" t="s">
        <v>1149</v>
      </c>
      <c r="AO23" s="53">
        <f>AI54</f>
        <v>35.480816106210114</v>
      </c>
      <c r="AP23" s="53">
        <f>AF54</f>
        <v>1050905.8291876018</v>
      </c>
      <c r="AQ23" s="53">
        <f>AG54</f>
        <v>-1.0942073470573632E-2</v>
      </c>
      <c r="AR23" s="56"/>
      <c r="AS23" s="53">
        <f>-(AH54+AE54)</f>
        <v>-4755.0170465223491</v>
      </c>
    </row>
    <row r="24" spans="1:45">
      <c r="A24" s="76" t="s">
        <v>1172</v>
      </c>
      <c r="B24" t="s">
        <v>165</v>
      </c>
      <c r="C24">
        <v>-16</v>
      </c>
      <c r="H24" s="50"/>
      <c r="I24" s="51"/>
      <c r="K24" s="3"/>
      <c r="L24" s="3"/>
      <c r="M24" s="5" t="s">
        <v>3</v>
      </c>
      <c r="N24" s="3" t="str">
        <f>"&gt;"&amp;TEXT(($E$2+$E$3)/2, "0.###")</f>
        <v>&gt;362.49</v>
      </c>
      <c r="O24" s="3"/>
      <c r="P24" s="3"/>
      <c r="Z24" s="52"/>
      <c r="AA24" s="50"/>
      <c r="AM24" t="s">
        <v>1150</v>
      </c>
      <c r="AO24" s="53">
        <f>AD54</f>
        <v>8.1333667739897919E-3</v>
      </c>
      <c r="AP24" s="53">
        <f>AG54</f>
        <v>-1.0942073470573632E-2</v>
      </c>
      <c r="AQ24" s="53">
        <f>AK54</f>
        <v>16</v>
      </c>
      <c r="AR24" s="56"/>
      <c r="AS24" s="53">
        <f>-(AC54+AF54)</f>
        <v>-2102046.9293289999</v>
      </c>
    </row>
    <row r="25" spans="1:45">
      <c r="A25" s="64" t="s">
        <v>304</v>
      </c>
      <c r="B25" t="s">
        <v>901</v>
      </c>
      <c r="C25">
        <v>362.43299999999999</v>
      </c>
      <c r="G25">
        <f t="shared" ref="G25" si="16">G22+360/16</f>
        <v>225</v>
      </c>
      <c r="H25" s="50">
        <f>C25*SIN(RADIANS(G25+C26))</f>
        <v>-256.27883202578397</v>
      </c>
      <c r="I25" s="51">
        <f>H25-$AO$35</f>
        <v>-256.28177833324889</v>
      </c>
      <c r="K25" s="3"/>
      <c r="L25" s="3"/>
      <c r="M25" s="6" t="s">
        <v>4</v>
      </c>
      <c r="N25" s="3" t="str">
        <f>"&lt;"&amp;TEXT(($E$2+$C$4)/2, "0.###")</f>
        <v>&lt;362.36</v>
      </c>
      <c r="O25" s="3"/>
      <c r="P25" s="3"/>
      <c r="Z25" s="52" t="s">
        <v>1144</v>
      </c>
      <c r="AA25" s="50">
        <f>H25</f>
        <v>-256.27883202578397</v>
      </c>
      <c r="AB25" s="45">
        <f>AA26^3</f>
        <v>-16832096.33852911</v>
      </c>
      <c r="AC25" s="45">
        <f>AA26^2</f>
        <v>65678.83974450003</v>
      </c>
      <c r="AD25" s="45">
        <f>AA26</f>
        <v>-256.27883202578403</v>
      </c>
      <c r="AE25" s="45">
        <f>AA25^3</f>
        <v>-16832096.338529099</v>
      </c>
      <c r="AF25" s="45">
        <f>AA25^2</f>
        <v>65678.839744500001</v>
      </c>
      <c r="AG25" s="45">
        <f>AA25</f>
        <v>-256.27883202578397</v>
      </c>
      <c r="AH25" s="45">
        <f>AA26^2*AA25</f>
        <v>-16832096.338529106</v>
      </c>
      <c r="AI25" s="45">
        <f>AA26*AA25</f>
        <v>65678.839744500016</v>
      </c>
      <c r="AJ25" s="45">
        <f>AA26*AA25^2</f>
        <v>-16832096.338529103</v>
      </c>
      <c r="AK25">
        <v>1</v>
      </c>
      <c r="AO25" s="56"/>
      <c r="AP25" s="56"/>
      <c r="AQ25" s="56"/>
      <c r="AR25" s="56"/>
      <c r="AS25" s="56"/>
    </row>
    <row r="26" spans="1:45">
      <c r="A26" s="64" t="s">
        <v>1211</v>
      </c>
      <c r="B26" t="s">
        <v>903</v>
      </c>
      <c r="C26">
        <v>0</v>
      </c>
      <c r="H26" s="50">
        <f>C25*COS(RADIANS(G25+C26))</f>
        <v>-256.27883202578403</v>
      </c>
      <c r="I26" s="51">
        <f>H26-$AO$34</f>
        <v>-256.27855953746229</v>
      </c>
      <c r="K26" s="1"/>
      <c r="L26" s="3"/>
      <c r="M26" s="7"/>
      <c r="N26" s="8" t="s">
        <v>0</v>
      </c>
      <c r="O26" s="3"/>
      <c r="P26" s="3"/>
      <c r="Z26" s="52" t="s">
        <v>1145</v>
      </c>
      <c r="AA26" s="50">
        <f>H26</f>
        <v>-256.27883202578403</v>
      </c>
      <c r="AO26" s="53">
        <f>INDEX(MINVERSE($AO$22:$AQ$24),1,1)</f>
        <v>9.5134706559285048E-7</v>
      </c>
      <c r="AP26" s="53">
        <f>INDEX(MINVERSE($AO$22:$AQ$24),1,2)</f>
        <v>-3.2119505517864332E-11</v>
      </c>
      <c r="AQ26" s="53">
        <f>INDEX(MINVERSE($AO$22:$AQ$24),1,3)</f>
        <v>-4.8362537923842454E-10</v>
      </c>
      <c r="AR26" s="56"/>
      <c r="AS26" s="53">
        <f>AS22</f>
        <v>-495.90664204303175</v>
      </c>
    </row>
    <row r="27" spans="1:45">
      <c r="A27" s="76" t="s">
        <v>1173</v>
      </c>
      <c r="B27" t="s">
        <v>165</v>
      </c>
      <c r="C27">
        <v>-16.001000000000001</v>
      </c>
      <c r="H27" s="50"/>
      <c r="I27" s="51"/>
      <c r="K27" s="1"/>
      <c r="L27" s="3"/>
      <c r="M27" s="9" t="s">
        <v>6</v>
      </c>
      <c r="N27" s="10">
        <f ca="1">AVERAGE(N7:N22)*2</f>
        <v>724.92187500000011</v>
      </c>
      <c r="O27" s="3"/>
      <c r="P27" s="3"/>
      <c r="Z27" s="52"/>
      <c r="AA27" s="50"/>
      <c r="AO27" s="53">
        <f>INDEX(MINVERSE($AO$22:$AQ$24),2,1)</f>
        <v>-3.2119505517864339E-11</v>
      </c>
      <c r="AP27" s="53">
        <f>INDEX(MINVERSE($AO$22:$AQ$24),2,2)</f>
        <v>9.5156004788725234E-7</v>
      </c>
      <c r="AQ27" s="53">
        <f>INDEX(MINVERSE($AO$22:$AQ$24),2,3)</f>
        <v>6.5076882471024086E-10</v>
      </c>
      <c r="AR27" s="56"/>
      <c r="AS27" s="53">
        <f t="shared" ref="AS27:AS28" si="17">AS23</f>
        <v>-4755.0170465223491</v>
      </c>
    </row>
    <row r="28" spans="1:45">
      <c r="A28" s="64" t="s">
        <v>304</v>
      </c>
      <c r="B28" t="s">
        <v>901</v>
      </c>
      <c r="C28">
        <v>362.4</v>
      </c>
      <c r="G28">
        <f t="shared" ref="G28" si="18">G25+360/16</f>
        <v>247.5</v>
      </c>
      <c r="H28" s="50">
        <f>C28*SIN(RADIANS(G28+C29))</f>
        <v>-334.82362376906383</v>
      </c>
      <c r="I28" s="51">
        <f>H28-$AO$35</f>
        <v>-334.82657007652875</v>
      </c>
      <c r="K28" s="1"/>
      <c r="L28" s="3"/>
      <c r="M28" s="9"/>
      <c r="N28" s="11" t="str">
        <f ca="1">IF(N27&lt;$E$2+$C$4, "U/Min "&amp;TEXT($E$2+$C$4-N27, "0.###"), IF(N27&gt;$E$2+$E$3, "O/Max "&amp;TEXT(N27-$E$2-$E$3, "0.###"), "-"))</f>
        <v>-</v>
      </c>
      <c r="O28" s="3"/>
      <c r="P28" s="3"/>
      <c r="Z28" s="52" t="s">
        <v>1144</v>
      </c>
      <c r="AA28" s="50">
        <f>H28</f>
        <v>-334.82362376906383</v>
      </c>
      <c r="AB28" s="45">
        <f>AA29^3</f>
        <v>-2666023.2592542167</v>
      </c>
      <c r="AC28" s="45">
        <f>AA29^2</f>
        <v>19226.900966152367</v>
      </c>
      <c r="AD28" s="45">
        <f>AA29</f>
        <v>-138.66110112844325</v>
      </c>
      <c r="AE28" s="45">
        <f>AA28^3</f>
        <v>-37536024.791080467</v>
      </c>
      <c r="AF28" s="45">
        <f>AA28^2</f>
        <v>112106.85903384761</v>
      </c>
      <c r="AG28" s="45">
        <f>AA28</f>
        <v>-334.82362376906383</v>
      </c>
      <c r="AH28" s="45">
        <f>AA29^2*AA28</f>
        <v>-6437620.6553360503</v>
      </c>
      <c r="AI28" s="45">
        <f>AA29*AA28</f>
        <v>46427.012355633997</v>
      </c>
      <c r="AJ28" s="45">
        <f>AA29*AA28^2</f>
        <v>-15544860.517684475</v>
      </c>
      <c r="AK28">
        <v>1</v>
      </c>
      <c r="AO28" s="53">
        <f>INDEX(MINVERSE($AO$22:$AQ$24),3,1)</f>
        <v>-4.8362537923842464E-10</v>
      </c>
      <c r="AP28" s="53">
        <f>INDEX(MINVERSE($AO$22:$AQ$24),3,2)</f>
        <v>6.5076882471024096E-10</v>
      </c>
      <c r="AQ28" s="53">
        <f>INDEX(MINVERSE($AO$22:$AQ$24),3,3)</f>
        <v>6.2500000000690892E-2</v>
      </c>
      <c r="AR28" s="56"/>
      <c r="AS28" s="53">
        <f t="shared" si="17"/>
        <v>-2102046.9293289999</v>
      </c>
    </row>
    <row r="29" spans="1:45">
      <c r="A29" s="64" t="s">
        <v>1212</v>
      </c>
      <c r="B29" t="s">
        <v>903</v>
      </c>
      <c r="C29">
        <v>4.0000000000000001E-3</v>
      </c>
      <c r="H29" s="50">
        <f>C28*COS(RADIANS(G28+C29))</f>
        <v>-138.66110112844325</v>
      </c>
      <c r="I29" s="51">
        <f>H29-$AO$34</f>
        <v>-138.66082864012151</v>
      </c>
      <c r="K29" s="1"/>
      <c r="L29" s="3"/>
      <c r="M29" s="9" t="s">
        <v>7</v>
      </c>
      <c r="N29" s="10">
        <f ca="1">MAX(N7:N22)-MIN(N7:N22)</f>
        <v>0.14299999999997226</v>
      </c>
      <c r="O29" s="3"/>
      <c r="P29" s="3"/>
      <c r="Z29" s="52" t="s">
        <v>1145</v>
      </c>
      <c r="AA29" s="50">
        <f>H29</f>
        <v>-138.66110112844325</v>
      </c>
      <c r="AO29" s="56"/>
      <c r="AP29" s="56"/>
      <c r="AQ29" s="56"/>
      <c r="AR29" s="56"/>
      <c r="AS29" s="56"/>
    </row>
    <row r="30" spans="1:45">
      <c r="A30" s="76" t="s">
        <v>1174</v>
      </c>
      <c r="B30" t="s">
        <v>165</v>
      </c>
      <c r="C30">
        <v>-16</v>
      </c>
      <c r="K30" s="1"/>
      <c r="L30" s="3"/>
      <c r="M30" s="9"/>
      <c r="N30" s="11" t="str">
        <f ca="1">IF(N29&gt;0.64, "O/Max "&amp;TEXT(N29-0.13, "0.###"), "-")</f>
        <v>-</v>
      </c>
      <c r="O30" s="3"/>
      <c r="P30" s="3"/>
      <c r="AA30" s="50"/>
      <c r="AO30" s="53">
        <f>AO26*AS26+AP26*AS27+AQ26*AS28</f>
        <v>5.449766434543243E-4</v>
      </c>
      <c r="AP30" s="56"/>
      <c r="AQ30" s="56"/>
      <c r="AR30" s="56"/>
      <c r="AS30" s="56"/>
    </row>
    <row r="31" spans="1:45">
      <c r="A31" s="64" t="s">
        <v>304</v>
      </c>
      <c r="B31" t="s">
        <v>901</v>
      </c>
      <c r="C31">
        <v>362.42399999999998</v>
      </c>
      <c r="G31">
        <f t="shared" ref="G31" si="19">G28+360/16</f>
        <v>270</v>
      </c>
      <c r="H31" s="50">
        <f>C31*SIN(RADIANS(G31+C32))</f>
        <v>-362.42399999999998</v>
      </c>
      <c r="I31" s="51">
        <f>H31-$AO$35</f>
        <v>-362.4269463074649</v>
      </c>
      <c r="K31" s="1"/>
      <c r="L31" s="3"/>
      <c r="M31" s="9" t="s">
        <v>8</v>
      </c>
      <c r="N31" s="12">
        <f ca="1">COUNTIF(N7:N22, $N24)</f>
        <v>4</v>
      </c>
      <c r="O31" s="3"/>
      <c r="P31" s="3"/>
      <c r="Z31" s="52" t="s">
        <v>1144</v>
      </c>
      <c r="AA31" s="50">
        <f>H31</f>
        <v>-362.42399999999998</v>
      </c>
      <c r="AB31" s="45">
        <f>AA32^3</f>
        <v>-2.9545461289597898E-40</v>
      </c>
      <c r="AC31" s="45">
        <f>AA32^2</f>
        <v>4.4360236204777788E-27</v>
      </c>
      <c r="AD31" s="45">
        <f>AA32</f>
        <v>-6.6603480543270248E-14</v>
      </c>
      <c r="AE31" s="45">
        <f>AA31^3</f>
        <v>-47604811.280961007</v>
      </c>
      <c r="AF31" s="45">
        <f>AA31^2</f>
        <v>131351.15577599997</v>
      </c>
      <c r="AG31" s="45">
        <f>AA31</f>
        <v>-362.42399999999998</v>
      </c>
      <c r="AH31" s="45">
        <f>AA32^2*AA31</f>
        <v>-1.6077214246280384E-24</v>
      </c>
      <c r="AI31" s="45">
        <f>AA32*AA31</f>
        <v>2.4138699832414173E-11</v>
      </c>
      <c r="AJ31" s="45">
        <f>AA32*AA31^2</f>
        <v>-8.7484441480628738E-9</v>
      </c>
      <c r="AK31">
        <v>1</v>
      </c>
      <c r="AO31" s="53">
        <f>AO27*AS26+AP27*AS27+AQ27*AS28</f>
        <v>-5.8926149299025872E-3</v>
      </c>
      <c r="AP31" s="56"/>
      <c r="AQ31" s="56"/>
      <c r="AR31" s="56"/>
      <c r="AS31" s="56"/>
    </row>
    <row r="32" spans="1:45">
      <c r="A32" s="64" t="s">
        <v>1213</v>
      </c>
      <c r="B32" t="s">
        <v>903</v>
      </c>
      <c r="C32">
        <v>0</v>
      </c>
      <c r="H32" s="50">
        <f>C31*COS(RADIANS(G31+C32))</f>
        <v>-6.6603480543270248E-14</v>
      </c>
      <c r="I32" s="51">
        <f>H32-$AO$34</f>
        <v>2.7248832166055869E-4</v>
      </c>
      <c r="L32" s="3"/>
      <c r="M32" s="9" t="s">
        <v>9</v>
      </c>
      <c r="N32" s="12">
        <f ca="1">COUNTIF(N7:N22, $N25)</f>
        <v>0</v>
      </c>
      <c r="O32" s="3"/>
      <c r="P32" s="3"/>
      <c r="Z32" s="52" t="s">
        <v>1145</v>
      </c>
      <c r="AA32" s="50">
        <f>H32</f>
        <v>-6.6603480543270248E-14</v>
      </c>
      <c r="AO32" s="53">
        <f>AO28*AS26+AP28*AS27+AQ28*AS28</f>
        <v>-131377.93308736937</v>
      </c>
      <c r="AP32" s="56"/>
      <c r="AQ32" s="56"/>
      <c r="AR32" s="56"/>
      <c r="AS32" s="56"/>
    </row>
    <row r="33" spans="1:41">
      <c r="A33" s="76" t="s">
        <v>1175</v>
      </c>
      <c r="B33" t="s">
        <v>165</v>
      </c>
      <c r="C33">
        <v>-16</v>
      </c>
      <c r="L33" s="3"/>
      <c r="M33" s="12"/>
      <c r="N33" s="14" t="str">
        <f ca="1">TEXT(N31+N32,"0")&amp;"/16"</f>
        <v>4/16</v>
      </c>
      <c r="O33" s="3"/>
      <c r="P33" s="3"/>
      <c r="Z33" s="52"/>
      <c r="AA33" s="50"/>
    </row>
    <row r="34" spans="1:41">
      <c r="A34" t="s">
        <v>304</v>
      </c>
      <c r="B34" t="s">
        <v>901</v>
      </c>
      <c r="C34">
        <v>362.45800000000003</v>
      </c>
      <c r="G34">
        <f t="shared" ref="G34" si="20">G31+360/16</f>
        <v>292.5</v>
      </c>
      <c r="H34" s="50">
        <f t="shared" ref="H34" si="21">C34*SIN(RADIANS(G34+C35))</f>
        <v>-334.90141003158067</v>
      </c>
      <c r="I34" s="51">
        <f t="shared" ref="I34" si="22">H34-$AO$35</f>
        <v>-334.90435633904559</v>
      </c>
      <c r="L34" s="1"/>
      <c r="M34" s="15"/>
      <c r="N34" s="15"/>
      <c r="O34" s="1"/>
      <c r="P34" s="1"/>
      <c r="Z34" s="52" t="s">
        <v>1144</v>
      </c>
      <c r="AA34" s="50">
        <f t="shared" ref="AA34:AA35" si="23">H34</f>
        <v>-334.90141003158067</v>
      </c>
      <c r="AB34" s="45">
        <f t="shared" ref="AB34" si="24">AA35^3</f>
        <v>2663932.4587567709</v>
      </c>
      <c r="AC34" s="45">
        <f t="shared" ref="AC34" si="25">AA35^2</f>
        <v>19216.847322859085</v>
      </c>
      <c r="AD34" s="45">
        <f t="shared" ref="AD34" si="26">AA35</f>
        <v>138.62484381545426</v>
      </c>
      <c r="AE34" s="45">
        <f t="shared" ref="AE34" si="27">AA34^3</f>
        <v>-37562191.99000591</v>
      </c>
      <c r="AF34" s="45">
        <f t="shared" ref="AF34" si="28">AA34^2</f>
        <v>112158.95444114092</v>
      </c>
      <c r="AG34" s="45">
        <f t="shared" ref="AG34" si="29">AA34</f>
        <v>-334.90141003158067</v>
      </c>
      <c r="AH34" s="45">
        <f t="shared" ref="AH34" si="30">AA35^2*AA34</f>
        <v>-6435749.2647871133</v>
      </c>
      <c r="AI34" s="45">
        <f t="shared" ref="AI34" si="31">AA35*AA34</f>
        <v>-46425.655659203272</v>
      </c>
      <c r="AJ34" s="45">
        <f t="shared" ref="AJ34" si="32">AA35*AA34^2</f>
        <v>15548017.54190781</v>
      </c>
      <c r="AK34">
        <v>1</v>
      </c>
      <c r="AM34" t="s">
        <v>1151</v>
      </c>
      <c r="AO34" s="57">
        <f>AO30/-2</f>
        <v>-2.7248832172716215E-4</v>
      </c>
    </row>
    <row r="35" spans="1:41">
      <c r="A35" t="s">
        <v>1229</v>
      </c>
      <c r="B35" t="s">
        <v>903</v>
      </c>
      <c r="C35">
        <v>-1.4E-2</v>
      </c>
      <c r="H35" s="50">
        <f t="shared" ref="H35" si="33">C34*COS(RADIANS(G34+C35))</f>
        <v>138.62484381545426</v>
      </c>
      <c r="I35" s="51">
        <f t="shared" ref="I35" si="34">H35-$AO$34</f>
        <v>138.625116303776</v>
      </c>
      <c r="L35" s="1"/>
      <c r="M35" s="15"/>
      <c r="N35" s="16"/>
      <c r="O35" s="1"/>
      <c r="P35" s="1"/>
      <c r="Z35" s="52" t="s">
        <v>1145</v>
      </c>
      <c r="AA35" s="50">
        <f t="shared" si="23"/>
        <v>138.62484381545426</v>
      </c>
      <c r="AM35" t="s">
        <v>1153</v>
      </c>
      <c r="AO35" s="59">
        <f>AO31/-2</f>
        <v>2.9463074649512936E-3</v>
      </c>
    </row>
    <row r="36" spans="1:41">
      <c r="A36" s="80" t="s">
        <v>1230</v>
      </c>
      <c r="B36" t="s">
        <v>165</v>
      </c>
      <c r="C36">
        <v>-15.999000000000001</v>
      </c>
      <c r="L36" s="1"/>
      <c r="M36" s="15"/>
      <c r="N36" s="16"/>
      <c r="O36" s="1"/>
      <c r="P36" s="1"/>
      <c r="AA36" s="50"/>
      <c r="AM36" s="47" t="s">
        <v>1154</v>
      </c>
      <c r="AO36" s="51">
        <f>SQRT(AO34^2+AO35^2-AO32)</f>
        <v>362.46094009717012</v>
      </c>
    </row>
    <row r="37" spans="1:41">
      <c r="A37" t="s">
        <v>304</v>
      </c>
      <c r="B37" t="s">
        <v>901</v>
      </c>
      <c r="C37">
        <v>362.47800000000001</v>
      </c>
      <c r="G37">
        <f t="shared" ref="G37" si="35">G34+360/16</f>
        <v>315</v>
      </c>
      <c r="H37" s="50">
        <f t="shared" ref="H37" si="36">C37*SIN(RADIANS(G37+C38))</f>
        <v>-256.3151252566812</v>
      </c>
      <c r="I37" s="51">
        <f t="shared" ref="I37" si="37">H37-$AO$35</f>
        <v>-256.31807156414612</v>
      </c>
      <c r="L37" s="1"/>
      <c r="M37" s="1"/>
      <c r="N37" s="1"/>
      <c r="O37" s="1"/>
      <c r="P37" s="1"/>
      <c r="Z37" s="52" t="s">
        <v>1144</v>
      </c>
      <c r="AA37" s="50">
        <f t="shared" ref="AA37:AA38" si="38">H37</f>
        <v>-256.3151252566812</v>
      </c>
      <c r="AB37" s="45">
        <f t="shared" ref="AB37" si="39">AA38^3</f>
        <v>16837485.133529551</v>
      </c>
      <c r="AC37" s="45">
        <f t="shared" ref="AC37" si="40">AA38^2</f>
        <v>65692.857048651829</v>
      </c>
      <c r="AD37" s="45">
        <f t="shared" ref="AD37" si="41">AA38</f>
        <v>256.30617832711687</v>
      </c>
      <c r="AE37" s="45">
        <f t="shared" ref="AE37" si="42">AA37^3</f>
        <v>-16839248.443174995</v>
      </c>
      <c r="AF37" s="45">
        <f t="shared" ref="AF37" si="43">AA37^2</f>
        <v>65697.443435348177</v>
      </c>
      <c r="AG37" s="45">
        <f t="shared" ref="AG37" si="44">AA37</f>
        <v>-256.3151252566812</v>
      </c>
      <c r="AH37" s="45">
        <f t="shared" ref="AH37" si="45">AA38^2*AA37</f>
        <v>-16838072.882894445</v>
      </c>
      <c r="AI37" s="45">
        <f t="shared" ref="AI37" si="46">AA38*AA37</f>
        <v>-65695.150201976227</v>
      </c>
      <c r="AJ37" s="45">
        <f t="shared" ref="AJ37" si="47">AA38*AA37^2</f>
        <v>16838660.652776025</v>
      </c>
      <c r="AK37">
        <v>1</v>
      </c>
      <c r="AM37" s="47" t="s">
        <v>1155</v>
      </c>
      <c r="AO37" s="60">
        <f>AO36*2</f>
        <v>724.92188019434025</v>
      </c>
    </row>
    <row r="38" spans="1:41">
      <c r="A38" t="s">
        <v>1231</v>
      </c>
      <c r="B38" t="s">
        <v>903</v>
      </c>
      <c r="C38">
        <v>-1E-3</v>
      </c>
      <c r="H38" s="50">
        <f t="shared" ref="H38" si="48">C37*COS(RADIANS(G37+C38))</f>
        <v>256.30617832711687</v>
      </c>
      <c r="I38" s="51">
        <f t="shared" ref="I38" si="49">H38-$AO$34</f>
        <v>256.30645081543861</v>
      </c>
      <c r="L38" s="1"/>
      <c r="M38" s="17"/>
      <c r="N38" s="16"/>
      <c r="O38" s="1"/>
      <c r="P38" s="1"/>
      <c r="Z38" s="52" t="s">
        <v>1145</v>
      </c>
      <c r="AA38" s="50">
        <f t="shared" si="38"/>
        <v>256.30617832711687</v>
      </c>
    </row>
    <row r="39" spans="1:41">
      <c r="A39" s="80" t="s">
        <v>1232</v>
      </c>
      <c r="B39" t="s">
        <v>165</v>
      </c>
      <c r="C39">
        <v>-15.999000000000001</v>
      </c>
      <c r="L39" s="1"/>
      <c r="M39" s="17"/>
      <c r="N39" s="16"/>
      <c r="O39" s="1"/>
      <c r="P39" s="1"/>
      <c r="Z39" s="52"/>
      <c r="AA39" s="50"/>
      <c r="AM39" t="s">
        <v>1156</v>
      </c>
    </row>
    <row r="40" spans="1:41">
      <c r="A40" t="s">
        <v>304</v>
      </c>
      <c r="B40" t="s">
        <v>901</v>
      </c>
      <c r="C40">
        <v>362.464</v>
      </c>
      <c r="G40">
        <f t="shared" ref="G40" si="50">G37+360/16</f>
        <v>337.5</v>
      </c>
      <c r="H40" s="50">
        <f t="shared" ref="H40" si="51">C40*SIN(RADIANS(G40+C41))</f>
        <v>-138.6855887401216</v>
      </c>
      <c r="I40" s="51">
        <f t="shared" ref="I40" si="52">H40-$AO$35</f>
        <v>-138.68853504758656</v>
      </c>
      <c r="Z40" s="52" t="s">
        <v>1144</v>
      </c>
      <c r="AA40" s="50">
        <f t="shared" ref="AA40:AA41" si="53">H40</f>
        <v>-138.6855887401216</v>
      </c>
      <c r="AB40" s="45">
        <f t="shared" ref="AB40" si="54">AA41^3</f>
        <v>37555914.938926741</v>
      </c>
      <c r="AC40" s="45">
        <f t="shared" ref="AC40" si="55">AA41^2</f>
        <v>112146.45877180583</v>
      </c>
      <c r="AD40" s="45">
        <f t="shared" ref="AD40" si="56">AA41</f>
        <v>334.88275376884644</v>
      </c>
      <c r="AE40" s="45">
        <f t="shared" ref="AE40" si="57">AA40^3</f>
        <v>-2667435.9713643403</v>
      </c>
      <c r="AF40" s="45">
        <f t="shared" ref="AF40" si="58">AA40^2</f>
        <v>19233.692524194143</v>
      </c>
      <c r="AG40" s="45">
        <f t="shared" ref="AG40" si="59">AA40</f>
        <v>-138.6855887401216</v>
      </c>
      <c r="AH40" s="45">
        <f t="shared" ref="AH40" si="60">AA41^2*AA40</f>
        <v>-15553097.659887666</v>
      </c>
      <c r="AI40" s="45">
        <f t="shared" ref="AI40" si="61">AA41*AA40</f>
        <v>-46443.411865345646</v>
      </c>
      <c r="AJ40" s="45">
        <f t="shared" ref="AJ40" si="62">AA41*AA40^2</f>
        <v>6441031.9176454097</v>
      </c>
      <c r="AK40">
        <v>1</v>
      </c>
    </row>
    <row r="41" spans="1:41">
      <c r="A41" t="s">
        <v>1233</v>
      </c>
      <c r="B41" t="s">
        <v>903</v>
      </c>
      <c r="C41">
        <v>4.0000000000000001E-3</v>
      </c>
      <c r="H41" s="50">
        <f t="shared" ref="H41" si="63">C40*COS(RADIANS(G40+C41))</f>
        <v>334.88275376884644</v>
      </c>
      <c r="I41" s="51">
        <f t="shared" ref="I41" si="64">H41-$AO$34</f>
        <v>334.88302625716818</v>
      </c>
      <c r="Z41" s="52" t="s">
        <v>1145</v>
      </c>
      <c r="AA41" s="50">
        <f t="shared" si="53"/>
        <v>334.88275376884644</v>
      </c>
    </row>
    <row r="42" spans="1:41">
      <c r="A42" s="80" t="s">
        <v>1234</v>
      </c>
      <c r="B42" t="s">
        <v>165</v>
      </c>
      <c r="C42">
        <v>-16</v>
      </c>
      <c r="M42" s="1"/>
      <c r="N42" s="3"/>
      <c r="O42" s="1"/>
      <c r="AA42" s="50"/>
    </row>
    <row r="43" spans="1:41">
      <c r="A43" t="s">
        <v>304</v>
      </c>
      <c r="B43" t="s">
        <v>901</v>
      </c>
      <c r="C43">
        <v>362.47500000000002</v>
      </c>
      <c r="G43">
        <f t="shared" ref="G43:G52" si="65">G40+360/16</f>
        <v>360</v>
      </c>
      <c r="H43" s="50">
        <f t="shared" ref="H43" si="66">C43*SIN(RADIANS(G43+C44))</f>
        <v>-8.8817137238600408E-14</v>
      </c>
      <c r="I43" s="51">
        <f t="shared" ref="I43" si="67">H43-$AO$35</f>
        <v>-2.9463074650401106E-3</v>
      </c>
      <c r="M43" s="1"/>
      <c r="N43" s="3" t="s">
        <v>1259</v>
      </c>
      <c r="O43" s="1"/>
      <c r="Z43" s="52" t="s">
        <v>1144</v>
      </c>
      <c r="AA43" s="50">
        <f t="shared" ref="AA43:AA44" si="68">H43</f>
        <v>-8.8817137238600408E-14</v>
      </c>
      <c r="AB43" s="45">
        <f t="shared" ref="AB43" si="69">AA44^3</f>
        <v>47624910.835921884</v>
      </c>
      <c r="AC43" s="45">
        <f t="shared" ref="AC43" si="70">AA44^2</f>
        <v>131388.12562500002</v>
      </c>
      <c r="AD43" s="45">
        <f t="shared" ref="AD43" si="71">AA44</f>
        <v>362.47500000000002</v>
      </c>
      <c r="AE43" s="45">
        <f t="shared" ref="AE43" si="72">AA43^3</f>
        <v>-7.0063255424295041E-40</v>
      </c>
      <c r="AF43" s="45">
        <f t="shared" ref="AF43" si="73">AA43^2</f>
        <v>7.8884838672603792E-27</v>
      </c>
      <c r="AG43" s="45">
        <f t="shared" ref="AG43" si="74">AA43</f>
        <v>-8.8817137238600408E-14</v>
      </c>
      <c r="AH43" s="45">
        <f t="shared" ref="AH43" si="75">AA44^2*AA43</f>
        <v>-1.1669517185158098E-8</v>
      </c>
      <c r="AI43" s="45">
        <f t="shared" ref="AI43" si="76">AA44*AA43</f>
        <v>-3.2193991820561685E-11</v>
      </c>
      <c r="AJ43" s="45">
        <f t="shared" ref="AJ43" si="77">AA44*AA43^2</f>
        <v>2.8593781897852063E-24</v>
      </c>
      <c r="AK43">
        <v>1</v>
      </c>
    </row>
    <row r="44" spans="1:41">
      <c r="A44" t="s">
        <v>1235</v>
      </c>
      <c r="B44" t="s">
        <v>903</v>
      </c>
      <c r="C44">
        <v>0</v>
      </c>
      <c r="H44" s="50">
        <f t="shared" ref="H44" si="78">C43*COS(RADIANS(G43+C44))</f>
        <v>362.47500000000002</v>
      </c>
      <c r="I44" s="51">
        <f t="shared" ref="I44" si="79">H44-$AO$34</f>
        <v>362.47527248832176</v>
      </c>
      <c r="M44" s="1"/>
      <c r="N44" s="3">
        <f t="shared" ref="N44:N52" ca="1" si="80">SQRT(OFFSET(C$6, M7-1, 6)^2 + OFFSET(C$6, M7, 6)^2)</f>
        <v>362.38605369263752</v>
      </c>
      <c r="O44" s="1"/>
      <c r="Z44" s="52" t="s">
        <v>1145</v>
      </c>
      <c r="AA44" s="50">
        <f t="shared" si="68"/>
        <v>362.47500000000002</v>
      </c>
    </row>
    <row r="45" spans="1:41">
      <c r="A45" s="80" t="s">
        <v>1236</v>
      </c>
      <c r="B45" t="s">
        <v>165</v>
      </c>
      <c r="C45">
        <v>-15.999000000000001</v>
      </c>
      <c r="M45" s="1"/>
      <c r="N45" s="3">
        <f t="shared" ca="1" si="80"/>
        <v>362.39217350777108</v>
      </c>
      <c r="O45" s="1"/>
      <c r="Z45" s="52"/>
      <c r="AA45" s="50"/>
    </row>
    <row r="46" spans="1:41">
      <c r="A46" t="s">
        <v>304</v>
      </c>
      <c r="B46" t="s">
        <v>901</v>
      </c>
      <c r="C46">
        <v>362.5</v>
      </c>
      <c r="G46">
        <f t="shared" si="65"/>
        <v>382.5</v>
      </c>
      <c r="H46" s="50">
        <f t="shared" ref="H46" si="81">C46*SIN(RADIANS(G46+C47))</f>
        <v>138.7052083877341</v>
      </c>
      <c r="I46" s="51">
        <f t="shared" ref="I46" si="82">H46-$AO$35</f>
        <v>138.70226208026915</v>
      </c>
      <c r="M46" s="1"/>
      <c r="N46" s="3">
        <f t="shared" ca="1" si="80"/>
        <v>362.46772393960464</v>
      </c>
      <c r="O46" s="1"/>
      <c r="Z46" s="52" t="s">
        <v>1144</v>
      </c>
      <c r="AA46" s="50">
        <f t="shared" ref="AA46:AA47" si="83">H46</f>
        <v>138.7052083877341</v>
      </c>
      <c r="AB46" s="45">
        <f t="shared" ref="AB46" si="84">AA47^3</f>
        <v>37566291.622027494</v>
      </c>
      <c r="AC46" s="45">
        <f t="shared" ref="AC46" si="85">AA47^2</f>
        <v>112167.11516611525</v>
      </c>
      <c r="AD46" s="45">
        <f t="shared" ref="AD46" si="86">AA47</f>
        <v>334.91359358215851</v>
      </c>
      <c r="AE46" s="45">
        <f t="shared" ref="AE46" si="87">AA46^3</f>
        <v>2668568.2063336973</v>
      </c>
      <c r="AF46" s="45">
        <f t="shared" ref="AF46" si="88">AA46^2</f>
        <v>19239.134833884742</v>
      </c>
      <c r="AG46" s="45">
        <f t="shared" ref="AG46" si="89">AA46</f>
        <v>138.7052083877341</v>
      </c>
      <c r="AH46" s="45">
        <f t="shared" ref="AH46" si="90">AA47^2*AA46</f>
        <v>15558163.083366986</v>
      </c>
      <c r="AI46" s="45">
        <f t="shared" ref="AI46" si="91">AA47*AA46</f>
        <v>46454.259789698182</v>
      </c>
      <c r="AJ46" s="45">
        <f t="shared" ref="AJ46" si="92">AA47*AA46^2</f>
        <v>6443447.7846280234</v>
      </c>
      <c r="AK46">
        <v>1</v>
      </c>
    </row>
    <row r="47" spans="1:41">
      <c r="A47" t="s">
        <v>1237</v>
      </c>
      <c r="B47" t="s">
        <v>903</v>
      </c>
      <c r="C47">
        <v>-3.0000000000000001E-3</v>
      </c>
      <c r="H47" s="50">
        <f t="shared" ref="H47" si="93">C46*COS(RADIANS(G46+C47))</f>
        <v>334.91359358215851</v>
      </c>
      <c r="I47" s="51">
        <f t="shared" ref="I47" si="94">H47-$AO$34</f>
        <v>334.91386607048025</v>
      </c>
      <c r="M47" s="1"/>
      <c r="N47" s="3">
        <f t="shared" ca="1" si="80"/>
        <v>362.5306210798451</v>
      </c>
      <c r="O47" s="1"/>
      <c r="Z47" s="52" t="s">
        <v>1145</v>
      </c>
      <c r="AA47" s="50">
        <f t="shared" si="83"/>
        <v>334.91359358215851</v>
      </c>
    </row>
    <row r="48" spans="1:41">
      <c r="A48" s="80" t="s">
        <v>1238</v>
      </c>
      <c r="B48" t="s">
        <v>165</v>
      </c>
      <c r="C48">
        <v>-16</v>
      </c>
      <c r="M48" s="1"/>
      <c r="N48" s="3">
        <f t="shared" ca="1" si="80"/>
        <v>362.52772752365081</v>
      </c>
      <c r="O48" s="1"/>
      <c r="AA48" s="50"/>
    </row>
    <row r="49" spans="1:37">
      <c r="A49" t="s">
        <v>304</v>
      </c>
      <c r="B49" t="s">
        <v>901</v>
      </c>
      <c r="C49">
        <v>362.50599999999997</v>
      </c>
      <c r="G49">
        <f t="shared" si="65"/>
        <v>405</v>
      </c>
      <c r="H49" s="50">
        <f t="shared" ref="H49" si="95">C49*SIN(RADIANS(G49+C50))</f>
        <v>256.33045082081054</v>
      </c>
      <c r="I49" s="51">
        <f t="shared" ref="I49" si="96">H49-$AO$35</f>
        <v>256.32750451334562</v>
      </c>
      <c r="M49" s="1"/>
      <c r="N49" s="3">
        <f t="shared" ca="1" si="80"/>
        <v>362.48287561970261</v>
      </c>
      <c r="O49" s="1"/>
      <c r="Z49" s="52" t="s">
        <v>1144</v>
      </c>
      <c r="AA49" s="50">
        <f t="shared" ref="AA49:AA50" si="97">H49</f>
        <v>256.33045082081054</v>
      </c>
      <c r="AB49" s="45">
        <f t="shared" ref="AB49" si="98">AA50^3</f>
        <v>16842269.174930565</v>
      </c>
      <c r="AC49" s="45">
        <f t="shared" ref="AC49" si="99">AA50^2</f>
        <v>65705.300018000024</v>
      </c>
      <c r="AD49" s="45">
        <f t="shared" ref="AD49" si="100">AA50</f>
        <v>256.33045082081065</v>
      </c>
      <c r="AE49" s="45">
        <f t="shared" ref="AE49" si="101">AA49^3</f>
        <v>16842269.174930543</v>
      </c>
      <c r="AF49" s="45">
        <f t="shared" ref="AF49" si="102">AA49^2</f>
        <v>65705.300017999965</v>
      </c>
      <c r="AG49" s="45">
        <f t="shared" ref="AG49" si="103">AA49</f>
        <v>256.33045082081054</v>
      </c>
      <c r="AH49" s="45">
        <f t="shared" ref="AH49" si="104">AA50^2*AA49</f>
        <v>16842269.174930558</v>
      </c>
      <c r="AI49" s="45">
        <f t="shared" ref="AI49" si="105">AA50*AA49</f>
        <v>65705.300017999994</v>
      </c>
      <c r="AJ49" s="45">
        <f t="shared" ref="AJ49" si="106">AA50*AA49^2</f>
        <v>16842269.17493055</v>
      </c>
      <c r="AK49">
        <v>1</v>
      </c>
    </row>
    <row r="50" spans="1:37">
      <c r="A50" t="s">
        <v>1239</v>
      </c>
      <c r="B50" t="s">
        <v>903</v>
      </c>
      <c r="C50">
        <v>0</v>
      </c>
      <c r="H50" s="50">
        <f t="shared" ref="H50" si="107">C49*COS(RADIANS(G49+C50))</f>
        <v>256.33045082081065</v>
      </c>
      <c r="I50" s="51">
        <f t="shared" ref="I50" si="108">H50-$AO$34</f>
        <v>256.3307233091324</v>
      </c>
      <c r="M50" s="1"/>
      <c r="N50" s="3">
        <f t="shared" ca="1" si="80"/>
        <v>362.43489068279439</v>
      </c>
      <c r="O50" s="1"/>
      <c r="Z50" s="52" t="s">
        <v>1145</v>
      </c>
      <c r="AA50" s="50">
        <f t="shared" si="97"/>
        <v>256.33045082081065</v>
      </c>
    </row>
    <row r="51" spans="1:37">
      <c r="A51" s="80" t="s">
        <v>1240</v>
      </c>
      <c r="B51" t="s">
        <v>165</v>
      </c>
      <c r="C51">
        <v>-15.999000000000001</v>
      </c>
      <c r="M51" s="1"/>
      <c r="N51" s="3">
        <f t="shared" ca="1" si="80"/>
        <v>362.40261785530436</v>
      </c>
      <c r="O51" s="1"/>
      <c r="Z51" s="52"/>
      <c r="AA51" s="50"/>
    </row>
    <row r="52" spans="1:37">
      <c r="A52" t="s">
        <v>304</v>
      </c>
      <c r="B52" t="s">
        <v>901</v>
      </c>
      <c r="C52">
        <v>362.44099999999997</v>
      </c>
      <c r="G52">
        <f t="shared" si="65"/>
        <v>427.5</v>
      </c>
      <c r="H52" s="50">
        <f t="shared" ref="H52" si="109">C52*SIN(RADIANS(G52+C53))</f>
        <v>334.84940081735436</v>
      </c>
      <c r="I52" s="51">
        <f t="shared" ref="I52" si="110">H52-$AO$35</f>
        <v>334.84645450988944</v>
      </c>
      <c r="M52" s="1"/>
      <c r="N52" s="3">
        <f t="shared" ca="1" si="80"/>
        <v>362.42694630756733</v>
      </c>
      <c r="O52" s="1"/>
      <c r="Z52" s="52" t="s">
        <v>1144</v>
      </c>
      <c r="AA52" s="50">
        <f t="shared" ref="AA52:AA53" si="111">H52</f>
        <v>334.84940081735436</v>
      </c>
      <c r="AB52" s="45">
        <f t="shared" ref="AB52" si="112">AA53^3</f>
        <v>2668614.482555869</v>
      </c>
      <c r="AC52" s="45">
        <f t="shared" ref="AC52" si="113">AA53^2</f>
        <v>19239.357253258717</v>
      </c>
      <c r="AD52" s="45">
        <f t="shared" ref="AD52" si="114">AA53</f>
        <v>138.70601015550378</v>
      </c>
      <c r="AE52" s="45">
        <f t="shared" ref="AE52" si="115">AA52^3</f>
        <v>37544694.81028156</v>
      </c>
      <c r="AF52" s="45">
        <f t="shared" ref="AF52" si="116">AA52^2</f>
        <v>112124.12122774124</v>
      </c>
      <c r="AG52" s="45">
        <f t="shared" ref="AG52" si="117">AA52</f>
        <v>334.84940081735436</v>
      </c>
      <c r="AH52" s="45">
        <f t="shared" ref="AH52" si="118">AA53^2*AA52</f>
        <v>6442287.2483647019</v>
      </c>
      <c r="AI52" s="45">
        <f t="shared" ref="AI52" si="119">AA53*AA52</f>
        <v>46445.624390336307</v>
      </c>
      <c r="AJ52" s="45">
        <f t="shared" ref="AJ52" si="120">AA53*AA52^2</f>
        <v>15552289.497692013</v>
      </c>
      <c r="AK52">
        <v>1</v>
      </c>
    </row>
    <row r="53" spans="1:37">
      <c r="A53" t="s">
        <v>1241</v>
      </c>
      <c r="B53" t="s">
        <v>903</v>
      </c>
      <c r="C53">
        <v>-1E-3</v>
      </c>
      <c r="H53" s="50">
        <f t="shared" ref="H53" si="121">C52*COS(RADIANS(G52+C53))</f>
        <v>138.70601015550378</v>
      </c>
      <c r="I53" s="51">
        <f t="shared" ref="I53" si="122">H53-$AO$34</f>
        <v>138.70628264382552</v>
      </c>
      <c r="M53" s="1"/>
      <c r="N53" s="3">
        <f t="shared" ref="N53:N59" ca="1" si="123">SQRT(OFFSET(C$6, M16-1, 6)^2 + OFFSET(C$6, M16, 6)^2)</f>
        <v>362.46082652488923</v>
      </c>
      <c r="O53" s="1"/>
      <c r="Z53" s="52" t="s">
        <v>1145</v>
      </c>
      <c r="AA53" s="50">
        <f t="shared" si="111"/>
        <v>138.70601015550378</v>
      </c>
    </row>
    <row r="54" spans="1:37">
      <c r="A54" s="80" t="s">
        <v>1242</v>
      </c>
      <c r="B54" t="s">
        <v>165</v>
      </c>
      <c r="C54">
        <v>-16</v>
      </c>
      <c r="M54" s="1"/>
      <c r="N54" s="3">
        <f t="shared" ca="1" si="123"/>
        <v>362.48027607025676</v>
      </c>
      <c r="O54" s="1"/>
      <c r="AB54" s="45">
        <f>SUM(AB7:AB53)</f>
        <v>-24289.242253226228</v>
      </c>
      <c r="AC54" s="45">
        <f t="shared" ref="AC54:AK54" si="124">SUM(AC7:AC53)</f>
        <v>1051141.1001413981</v>
      </c>
      <c r="AD54" s="45">
        <f t="shared" si="124"/>
        <v>8.1333667739897919E-3</v>
      </c>
      <c r="AE54" s="45">
        <f t="shared" si="124"/>
        <v>-16386.146265394986</v>
      </c>
      <c r="AF54" s="45">
        <f t="shared" si="124"/>
        <v>1050905.8291876018</v>
      </c>
      <c r="AG54" s="45">
        <f t="shared" si="124"/>
        <v>-1.0942073470573632E-2</v>
      </c>
      <c r="AH54" s="45">
        <f t="shared" si="124"/>
        <v>21141.163311917335</v>
      </c>
      <c r="AI54" s="45">
        <f t="shared" si="124"/>
        <v>35.480816106210114</v>
      </c>
      <c r="AJ54" s="45">
        <f t="shared" si="124"/>
        <v>24785.14889526926</v>
      </c>
      <c r="AK54" s="45">
        <f t="shared" si="124"/>
        <v>16</v>
      </c>
    </row>
    <row r="55" spans="1:37">
      <c r="M55" s="1"/>
      <c r="N55" s="3">
        <f t="shared" ca="1" si="123"/>
        <v>362.46537907613305</v>
      </c>
      <c r="O55" s="1"/>
      <c r="AB55" s="48" t="s">
        <v>1135</v>
      </c>
      <c r="AC55" s="48" t="s">
        <v>1136</v>
      </c>
      <c r="AD55" s="48" t="s">
        <v>1137</v>
      </c>
      <c r="AE55" s="48" t="s">
        <v>1138</v>
      </c>
      <c r="AF55" s="48" t="s">
        <v>1139</v>
      </c>
      <c r="AG55" s="48" t="s">
        <v>1140</v>
      </c>
      <c r="AH55" s="48" t="s">
        <v>1141</v>
      </c>
      <c r="AI55" s="48" t="s">
        <v>1142</v>
      </c>
      <c r="AJ55" s="48" t="s">
        <v>1143</v>
      </c>
      <c r="AK55" s="49">
        <v>1</v>
      </c>
    </row>
    <row r="56" spans="1:37">
      <c r="M56" s="1"/>
      <c r="N56" s="3">
        <f t="shared" ca="1" si="123"/>
        <v>362.475272500296</v>
      </c>
      <c r="O56" s="1"/>
    </row>
    <row r="57" spans="1:37">
      <c r="M57" s="1"/>
      <c r="N57" s="3">
        <f t="shared" ca="1" si="123"/>
        <v>362.49912440233459</v>
      </c>
      <c r="O57" s="1"/>
    </row>
    <row r="58" spans="1:37">
      <c r="M58" s="1"/>
      <c r="N58" s="3">
        <f t="shared" ca="1" si="123"/>
        <v>362.50410933149738</v>
      </c>
      <c r="O58" s="1"/>
    </row>
    <row r="59" spans="1:37">
      <c r="M59" s="1"/>
      <c r="N59" s="3">
        <f t="shared" ca="1" si="123"/>
        <v>362.43838227030022</v>
      </c>
      <c r="O59" s="1"/>
    </row>
    <row r="60" spans="1:37">
      <c r="M60" s="1"/>
      <c r="N60" s="3"/>
      <c r="O60" s="1"/>
    </row>
    <row r="61" spans="1:37">
      <c r="M61" s="5" t="s">
        <v>3</v>
      </c>
      <c r="N61" s="3" t="str">
        <f>"&gt;"&amp;TEXT(($E$2+$E$3)/2, "0.###")</f>
        <v>&gt;362.49</v>
      </c>
    </row>
    <row r="62" spans="1:37">
      <c r="M62" s="6" t="s">
        <v>4</v>
      </c>
      <c r="N62" s="3" t="str">
        <f>"&lt;"&amp;TEXT(($E$2+$C$4)/2, "0.###")</f>
        <v>&lt;362.36</v>
      </c>
    </row>
    <row r="63" spans="1:37">
      <c r="M63" s="7"/>
      <c r="N63" s="8" t="s">
        <v>0</v>
      </c>
      <c r="O63" s="3"/>
    </row>
    <row r="64" spans="1:37">
      <c r="M64" s="9" t="s">
        <v>6</v>
      </c>
      <c r="N64" s="10">
        <f ca="1">AVERAGE(N44:N59)*2</f>
        <v>724.92187504807328</v>
      </c>
      <c r="O64" s="3"/>
    </row>
    <row r="65" spans="13:45">
      <c r="M65" s="9"/>
      <c r="N65" s="11" t="str">
        <f ca="1">IF(N64&lt;$E$2+$C$4, "U/Min "&amp;TEXT($E$2+$C$4-N64, "0.###"), IF(N64&gt;$E$2+$E$3, "O/Max "&amp;TEXT(N64-$E$2-$E$3, "0.###"), "-"))</f>
        <v>-</v>
      </c>
      <c r="O65" s="3"/>
    </row>
    <row r="66" spans="13:45">
      <c r="M66" s="9" t="s">
        <v>7</v>
      </c>
      <c r="N66" s="10">
        <f ca="1">MAX(N44:N59)-MIN(N44:N59)</f>
        <v>0.14456738720758722</v>
      </c>
      <c r="O66" s="3"/>
    </row>
    <row r="67" spans="13:45">
      <c r="M67" s="9"/>
      <c r="N67" s="11" t="str">
        <f ca="1">IF(N66&gt;0.64, "O/Max "&amp;TEXT(N66-0.13, "0.###"), "-")</f>
        <v>-</v>
      </c>
      <c r="O67" s="3"/>
    </row>
    <row r="68" spans="13:45">
      <c r="M68" s="9" t="s">
        <v>8</v>
      </c>
      <c r="N68" s="12">
        <f ca="1">COUNTIF(N44:N59, $N61)</f>
        <v>4</v>
      </c>
      <c r="O68" s="3"/>
    </row>
    <row r="69" spans="13:45">
      <c r="M69" s="9" t="s">
        <v>9</v>
      </c>
      <c r="N69" s="12">
        <f ca="1">COUNTIF(N44:N59, $N62)</f>
        <v>0</v>
      </c>
      <c r="AO69" s="53"/>
      <c r="AP69" s="53"/>
      <c r="AQ69" s="53"/>
      <c r="AR69" s="54" t="s">
        <v>1147</v>
      </c>
      <c r="AS69" s="53">
        <f>-(AB123+AJ123)</f>
        <v>0</v>
      </c>
    </row>
    <row r="70" spans="13:45">
      <c r="M70" s="12"/>
      <c r="N70" s="14" t="str">
        <f ca="1">TEXT(N68+N69,"0")&amp;"/16"</f>
        <v>4/16</v>
      </c>
      <c r="AN70" s="55"/>
      <c r="AO70" s="53"/>
      <c r="AP70" s="53"/>
      <c r="AQ70" s="53"/>
      <c r="AR70" s="56"/>
      <c r="AS70" s="53">
        <f>-(AH123+AE123)</f>
        <v>0</v>
      </c>
    </row>
    <row r="71" spans="13:45">
      <c r="AA71" s="47"/>
      <c r="AO71" s="53"/>
      <c r="AP71" s="53"/>
      <c r="AQ71" s="53"/>
      <c r="AR71" s="56"/>
      <c r="AS71" s="53">
        <f>-(AC123+AF123)</f>
        <v>0</v>
      </c>
    </row>
    <row r="72" spans="13:45">
      <c r="M72" s="61" t="s">
        <v>6</v>
      </c>
      <c r="N72" s="71">
        <f ca="1">N64</f>
        <v>724.92187504807328</v>
      </c>
      <c r="O72" s="66"/>
      <c r="P72" s="66"/>
      <c r="AO72" s="56"/>
      <c r="AP72" s="56"/>
      <c r="AQ72" s="56"/>
      <c r="AR72" s="56"/>
      <c r="AS72" s="56"/>
    </row>
    <row r="73" spans="13:45">
      <c r="M73" s="67" t="s">
        <v>90</v>
      </c>
      <c r="N73" s="67"/>
      <c r="O73" s="62"/>
      <c r="P73" s="66"/>
      <c r="Z73" s="52"/>
      <c r="AO73" s="53"/>
      <c r="AP73" s="53"/>
      <c r="AQ73" s="53"/>
      <c r="AR73" s="56"/>
      <c r="AS73" s="53">
        <f>AS69</f>
        <v>0</v>
      </c>
    </row>
    <row r="74" spans="13:45">
      <c r="M74" s="67" t="s">
        <v>91</v>
      </c>
      <c r="N74" s="65">
        <f ca="1">MAX(N44:N59)*2</f>
        <v>725.06124215969021</v>
      </c>
      <c r="O74" s="68" t="str">
        <f ca="1">IF(N74&gt;P7*2, "O/Max "&amp;TEXT(N74-P7*2, "0.000"), "-")</f>
        <v>O/Max 0.081</v>
      </c>
      <c r="P74" s="66"/>
      <c r="Z74" s="52"/>
      <c r="AO74" s="53"/>
      <c r="AP74" s="53"/>
      <c r="AQ74" s="53"/>
      <c r="AR74" s="56"/>
      <c r="AS74" s="53">
        <f t="shared" ref="AS74:AS75" si="125">AS70</f>
        <v>0</v>
      </c>
    </row>
    <row r="75" spans="13:45">
      <c r="M75" s="67" t="s">
        <v>92</v>
      </c>
      <c r="N75" s="65">
        <f ca="1">MIN(N44:N59)*2</f>
        <v>724.77210738527504</v>
      </c>
      <c r="O75" s="68" t="str">
        <f ca="1">IF(N75&lt;O7*2, "U/Min "&amp;TEXT(O7*2-N75, "0.000"), "-")</f>
        <v>-</v>
      </c>
      <c r="P75" s="66"/>
      <c r="Z75" s="52"/>
      <c r="AB75" s="48"/>
      <c r="AC75" s="48"/>
      <c r="AD75" s="48"/>
      <c r="AE75" s="48"/>
      <c r="AF75" s="48"/>
      <c r="AG75" s="48"/>
      <c r="AH75" s="48"/>
      <c r="AI75" s="48"/>
      <c r="AJ75" s="48"/>
      <c r="AK75" s="49"/>
      <c r="AO75" s="53"/>
      <c r="AP75" s="53"/>
      <c r="AQ75" s="53"/>
      <c r="AR75" s="56"/>
      <c r="AS75" s="53">
        <f t="shared" si="125"/>
        <v>0</v>
      </c>
    </row>
    <row r="76" spans="13:45">
      <c r="Z76" s="52"/>
      <c r="AO76" s="56"/>
      <c r="AP76" s="56"/>
      <c r="AQ76" s="56"/>
      <c r="AR76" s="56"/>
      <c r="AS76" s="56"/>
    </row>
    <row r="77" spans="13:45">
      <c r="Z77" s="52"/>
      <c r="AO77" s="53"/>
      <c r="AP77" s="56"/>
      <c r="AQ77" s="56"/>
      <c r="AR77" s="56"/>
      <c r="AS77" s="56"/>
    </row>
    <row r="78" spans="13:45">
      <c r="Z78" s="52"/>
      <c r="AO78" s="53"/>
      <c r="AP78" s="56"/>
      <c r="AQ78" s="56"/>
      <c r="AR78" s="56"/>
      <c r="AS78" s="56"/>
    </row>
    <row r="79" spans="13:45">
      <c r="Z79" s="52"/>
      <c r="AO79" s="53"/>
      <c r="AP79" s="56"/>
      <c r="AQ79" s="56"/>
      <c r="AR79" s="56"/>
      <c r="AS79" s="56"/>
    </row>
    <row r="80" spans="13:45">
      <c r="Z80" s="52"/>
    </row>
    <row r="81" spans="26:41">
      <c r="Z81" s="52"/>
      <c r="AO81" s="63"/>
    </row>
    <row r="82" spans="26:41">
      <c r="Z82" s="52"/>
      <c r="AO82" s="63"/>
    </row>
    <row r="83" spans="26:41">
      <c r="Z83" s="52"/>
      <c r="AM83" s="47"/>
      <c r="AO83" s="51"/>
    </row>
    <row r="84" spans="26:41">
      <c r="Z84" s="52"/>
      <c r="AM84" s="47"/>
    </row>
    <row r="85" spans="26:41">
      <c r="Z85" s="52"/>
    </row>
    <row r="86" spans="26:41">
      <c r="Z86" s="52"/>
    </row>
    <row r="87" spans="26:41">
      <c r="Z87" s="52"/>
    </row>
    <row r="88" spans="26:41">
      <c r="Z88" s="52"/>
    </row>
    <row r="89" spans="26:41">
      <c r="Z89" s="52"/>
    </row>
    <row r="90" spans="26:41">
      <c r="Z90" s="52"/>
    </row>
    <row r="91" spans="26:41">
      <c r="Z91" s="52"/>
    </row>
    <row r="92" spans="26:41">
      <c r="Z92" s="52"/>
    </row>
    <row r="93" spans="26:41">
      <c r="Z93" s="52"/>
    </row>
    <row r="94" spans="26:41">
      <c r="Z94" s="52"/>
    </row>
    <row r="95" spans="26:41">
      <c r="Z95" s="52"/>
    </row>
    <row r="96" spans="26:41">
      <c r="Z96" s="52"/>
    </row>
    <row r="97" spans="26:26">
      <c r="Z97" s="52"/>
    </row>
    <row r="98" spans="26:26">
      <c r="Z98" s="52"/>
    </row>
    <row r="99" spans="26:26">
      <c r="Z99" s="52"/>
    </row>
    <row r="100" spans="26:26">
      <c r="Z100" s="52"/>
    </row>
    <row r="101" spans="26:26">
      <c r="Z101" s="52"/>
    </row>
    <row r="102" spans="26:26">
      <c r="Z102" s="52"/>
    </row>
    <row r="103" spans="26:26">
      <c r="Z103" s="52"/>
    </row>
    <row r="104" spans="26:26">
      <c r="Z104" s="52"/>
    </row>
    <row r="105" spans="26:26">
      <c r="Z105" s="52"/>
    </row>
    <row r="106" spans="26:26">
      <c r="Z106" s="52"/>
    </row>
    <row r="107" spans="26:26">
      <c r="Z107" s="52"/>
    </row>
    <row r="108" spans="26:26">
      <c r="Z108" s="52"/>
    </row>
    <row r="109" spans="26:26">
      <c r="Z109" s="52"/>
    </row>
    <row r="110" spans="26:26">
      <c r="Z110" s="52"/>
    </row>
    <row r="111" spans="26:26">
      <c r="Z111" s="52"/>
    </row>
    <row r="112" spans="26:26">
      <c r="Z112" s="52"/>
    </row>
    <row r="113" spans="26:37">
      <c r="Z113" s="52"/>
    </row>
    <row r="114" spans="26:37">
      <c r="Z114" s="52"/>
    </row>
    <row r="115" spans="26:37">
      <c r="Z115" s="52"/>
    </row>
    <row r="116" spans="26:37">
      <c r="Z116" s="52"/>
    </row>
    <row r="117" spans="26:37">
      <c r="Z117" s="52"/>
    </row>
    <row r="118" spans="26:37">
      <c r="Z118" s="52"/>
    </row>
    <row r="119" spans="26:37">
      <c r="Z119" s="52"/>
    </row>
    <row r="120" spans="26:37">
      <c r="Z120" s="52"/>
    </row>
    <row r="124" spans="26:37">
      <c r="AB124" s="48"/>
      <c r="AC124" s="48"/>
      <c r="AD124" s="48"/>
      <c r="AE124" s="48"/>
      <c r="AF124" s="48"/>
      <c r="AG124" s="48"/>
      <c r="AH124" s="48"/>
      <c r="AI124" s="48"/>
      <c r="AJ124" s="48"/>
      <c r="AK124" s="49"/>
    </row>
  </sheetData>
  <phoneticPr fontId="1"/>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8"/>
  <dimension ref="A1:AS203"/>
  <sheetViews>
    <sheetView zoomScaleNormal="100" workbookViewId="0">
      <selection activeCell="T35" sqref="T35"/>
    </sheetView>
  </sheetViews>
  <sheetFormatPr defaultRowHeight="15"/>
  <cols>
    <col min="1" max="7" width="9" customWidth="1"/>
    <col min="8" max="8" width="13.85546875" bestFit="1" customWidth="1"/>
    <col min="9" max="9" width="9.42578125" bestFit="1" customWidth="1"/>
    <col min="10" max="10" width="11.28515625" bestFit="1" customWidth="1"/>
    <col min="23" max="23" width="13" customWidth="1"/>
    <col min="24" max="25" width="11.140625" bestFit="1" customWidth="1"/>
    <col min="26" max="26" width="12.42578125" bestFit="1" customWidth="1"/>
    <col min="27" max="27" width="13.85546875" bestFit="1" customWidth="1"/>
    <col min="28" max="28" width="11.140625" style="45" bestFit="1" customWidth="1"/>
    <col min="29" max="29" width="10" style="45" bestFit="1" customWidth="1"/>
    <col min="30" max="31" width="11.140625" style="45" bestFit="1" customWidth="1"/>
    <col min="32" max="32" width="10" style="45" bestFit="1" customWidth="1"/>
    <col min="33" max="36" width="11.140625" style="45" bestFit="1" customWidth="1"/>
    <col min="37" max="37" width="10.140625" bestFit="1" customWidth="1"/>
    <col min="39" max="39" width="10.85546875" customWidth="1"/>
    <col min="41" max="43" width="9.140625" bestFit="1" customWidth="1"/>
    <col min="45" max="45" width="9.140625" bestFit="1" customWidth="1"/>
  </cols>
  <sheetData>
    <row r="1" spans="1:37">
      <c r="A1" s="64" t="s">
        <v>1176</v>
      </c>
      <c r="L1" s="46"/>
    </row>
    <row r="2" spans="1:37">
      <c r="A2" s="64" t="s">
        <v>1163</v>
      </c>
      <c r="B2" t="s">
        <v>970</v>
      </c>
      <c r="C2">
        <v>720.81899999999996</v>
      </c>
      <c r="D2" t="s">
        <v>971</v>
      </c>
      <c r="E2">
        <v>720.85</v>
      </c>
      <c r="L2" s="69" t="s">
        <v>1132</v>
      </c>
    </row>
    <row r="3" spans="1:37">
      <c r="A3" s="64" t="s">
        <v>1177</v>
      </c>
      <c r="B3" t="s">
        <v>897</v>
      </c>
      <c r="C3">
        <v>-3.1E-2</v>
      </c>
      <c r="D3" t="s">
        <v>1165</v>
      </c>
      <c r="E3">
        <v>0.13</v>
      </c>
      <c r="F3" t="s">
        <v>895</v>
      </c>
      <c r="L3" s="70"/>
      <c r="AA3" s="47" t="s">
        <v>1133</v>
      </c>
    </row>
    <row r="4" spans="1:37">
      <c r="A4" s="76" t="s">
        <v>1178</v>
      </c>
      <c r="B4" t="s">
        <v>976</v>
      </c>
      <c r="C4">
        <v>-0.13</v>
      </c>
    </row>
    <row r="5" spans="1:37">
      <c r="A5" s="64"/>
    </row>
    <row r="6" spans="1:37">
      <c r="A6" s="1" t="s">
        <v>1301</v>
      </c>
      <c r="B6" s="1"/>
      <c r="C6" s="1" t="s">
        <v>360</v>
      </c>
      <c r="I6" t="s">
        <v>1134</v>
      </c>
      <c r="K6" s="3"/>
      <c r="L6" s="3" t="str">
        <f>CONCATENATE(A6," : ",MID(A1,11,3), "-RSP.I")</f>
        <v>JHV723EJ : 207-RSP.I</v>
      </c>
      <c r="M6" s="3"/>
      <c r="N6" s="3" t="s">
        <v>0</v>
      </c>
      <c r="O6" s="3" t="s">
        <v>1</v>
      </c>
      <c r="P6" s="3" t="s">
        <v>2</v>
      </c>
      <c r="AB6" s="48" t="s">
        <v>1135</v>
      </c>
      <c r="AC6" s="48" t="s">
        <v>1136</v>
      </c>
      <c r="AD6" s="48" t="s">
        <v>1137</v>
      </c>
      <c r="AE6" s="48" t="s">
        <v>1138</v>
      </c>
      <c r="AF6" s="48" t="s">
        <v>1139</v>
      </c>
      <c r="AG6" s="48" t="s">
        <v>1140</v>
      </c>
      <c r="AH6" s="48" t="s">
        <v>1141</v>
      </c>
      <c r="AI6" s="48" t="s">
        <v>1142</v>
      </c>
      <c r="AJ6" s="48" t="s">
        <v>1143</v>
      </c>
      <c r="AK6" s="49">
        <v>1</v>
      </c>
    </row>
    <row r="7" spans="1:37">
      <c r="A7" s="64" t="s">
        <v>304</v>
      </c>
      <c r="B7" t="s">
        <v>901</v>
      </c>
      <c r="C7">
        <v>360.33100000000002</v>
      </c>
      <c r="G7">
        <v>90</v>
      </c>
      <c r="H7" s="50">
        <f>C7*SIN(RADIANS(G7+C8))</f>
        <v>360.33099994511844</v>
      </c>
      <c r="I7" s="51">
        <f>H7-$AO$35</f>
        <v>360.333489607979</v>
      </c>
      <c r="K7" s="3">
        <v>1</v>
      </c>
      <c r="L7" s="3" t="str">
        <f>CONCATENATE("点207(", K7,"/16)")</f>
        <v>点207(1/16)</v>
      </c>
      <c r="M7" s="3">
        <f>MATCH(L7, A$7:A$54, 0)</f>
        <v>2</v>
      </c>
      <c r="N7" s="3">
        <f t="shared" ref="N7:N22" ca="1" si="0">OFFSET(C$6, M7-1, 0)</f>
        <v>360.33100000000002</v>
      </c>
      <c r="O7" s="3">
        <f>($E$2+$C$4)/2</f>
        <v>360.36</v>
      </c>
      <c r="P7" s="3">
        <f>($E$2+$E$3)/2</f>
        <v>360.49</v>
      </c>
      <c r="Z7" s="52" t="s">
        <v>1144</v>
      </c>
      <c r="AA7" s="50">
        <f>H7</f>
        <v>360.33099994511844</v>
      </c>
      <c r="AB7" s="45">
        <f>AA8^3</f>
        <v>2.4873504785871509E-7</v>
      </c>
      <c r="AC7" s="45">
        <f>AA8^2</f>
        <v>3.9551047398085607E-5</v>
      </c>
      <c r="AD7" s="45">
        <f>AA8</f>
        <v>6.2889623466900807E-3</v>
      </c>
      <c r="AE7" s="45">
        <f>AA7^3</f>
        <v>46784811.140767485</v>
      </c>
      <c r="AF7" s="45">
        <f>AA7^2</f>
        <v>129838.42952144894</v>
      </c>
      <c r="AG7" s="45">
        <f>AA7</f>
        <v>360.33099994511844</v>
      </c>
      <c r="AH7" s="45">
        <f>AA8^2*AA7</f>
        <v>1.4251468457828962E-2</v>
      </c>
      <c r="AI7" s="45">
        <f>AA8*AA7</f>
        <v>2.2661080910000355</v>
      </c>
      <c r="AJ7" s="45">
        <f>AA8*AA7^2</f>
        <v>816.5489944137662</v>
      </c>
      <c r="AK7">
        <v>1</v>
      </c>
    </row>
    <row r="8" spans="1:37">
      <c r="A8" s="64" t="s">
        <v>1214</v>
      </c>
      <c r="B8" t="s">
        <v>903</v>
      </c>
      <c r="C8">
        <v>-1E-3</v>
      </c>
      <c r="H8" s="50">
        <f>C7*COS(RADIANS(G7+C8))</f>
        <v>6.2889623466900807E-3</v>
      </c>
      <c r="I8" s="51">
        <f>H8-$AO$34</f>
        <v>7.7923389537738214E-3</v>
      </c>
      <c r="K8" s="3">
        <v>2</v>
      </c>
      <c r="L8" s="3" t="str">
        <f>CONCATENATE("点207(", K8,"/16)")</f>
        <v>点207(2/16)</v>
      </c>
      <c r="M8" s="3">
        <f t="shared" ref="M8:M22" si="1">MATCH(L8, A$7:A$54, 0)</f>
        <v>5</v>
      </c>
      <c r="N8" s="3">
        <f t="shared" ca="1" si="0"/>
        <v>360.34899999999999</v>
      </c>
      <c r="O8" s="3">
        <f t="shared" ref="O8:P13" si="2">O7</f>
        <v>360.36</v>
      </c>
      <c r="P8" s="3">
        <f t="shared" si="2"/>
        <v>360.49</v>
      </c>
      <c r="Z8" s="52" t="s">
        <v>1145</v>
      </c>
      <c r="AA8" s="50">
        <f>H8</f>
        <v>6.2889623466900807E-3</v>
      </c>
    </row>
    <row r="9" spans="1:37">
      <c r="A9" s="76" t="s">
        <v>1179</v>
      </c>
      <c r="B9" t="s">
        <v>165</v>
      </c>
      <c r="C9">
        <v>-3.0009999999999999</v>
      </c>
      <c r="H9" s="50"/>
      <c r="I9" s="51"/>
      <c r="K9" s="3">
        <v>3</v>
      </c>
      <c r="L9" s="3" t="str">
        <f t="shared" ref="L9:L22" si="3">CONCATENATE("点207(", K9,"/16)")</f>
        <v>点207(3/16)</v>
      </c>
      <c r="M9" s="3">
        <f t="shared" si="1"/>
        <v>8</v>
      </c>
      <c r="N9" s="3">
        <f t="shared" ca="1" si="0"/>
        <v>360.41500000000002</v>
      </c>
      <c r="O9" s="3">
        <f t="shared" si="2"/>
        <v>360.36</v>
      </c>
      <c r="P9" s="3">
        <f t="shared" si="2"/>
        <v>360.49</v>
      </c>
      <c r="Z9" s="52"/>
      <c r="AA9" s="50"/>
    </row>
    <row r="10" spans="1:37">
      <c r="A10" s="64" t="s">
        <v>304</v>
      </c>
      <c r="B10" t="s">
        <v>901</v>
      </c>
      <c r="C10">
        <v>360.34899999999999</v>
      </c>
      <c r="G10">
        <f>G7+360/16</f>
        <v>112.5</v>
      </c>
      <c r="H10" s="50">
        <f>C10*SIN(RADIANS(G10+C11))</f>
        <v>332.91906566090967</v>
      </c>
      <c r="I10" s="51">
        <f>H10-$AO$35</f>
        <v>332.92155532377024</v>
      </c>
      <c r="K10" s="3">
        <v>4</v>
      </c>
      <c r="L10" s="3" t="str">
        <f t="shared" si="3"/>
        <v>点207(4/16)</v>
      </c>
      <c r="M10" s="3">
        <f t="shared" si="1"/>
        <v>11</v>
      </c>
      <c r="N10" s="3">
        <f t="shared" ca="1" si="0"/>
        <v>360.471</v>
      </c>
      <c r="O10" s="3">
        <f t="shared" si="2"/>
        <v>360.36</v>
      </c>
      <c r="P10" s="3">
        <f t="shared" si="2"/>
        <v>360.49</v>
      </c>
      <c r="Z10" s="52" t="s">
        <v>1144</v>
      </c>
      <c r="AA10" s="50">
        <f>H10</f>
        <v>332.91906566090967</v>
      </c>
      <c r="AB10" s="45">
        <f>AA11^3</f>
        <v>-2622339.6726429849</v>
      </c>
      <c r="AC10" s="45">
        <f>AA11^2</f>
        <v>19016.297520466909</v>
      </c>
      <c r="AD10" s="45">
        <f>AA11</f>
        <v>-137.89959216932772</v>
      </c>
      <c r="AE10" s="45">
        <f>AA10^3</f>
        <v>36899119.359504566</v>
      </c>
      <c r="AF10" s="45">
        <f>AA10^2</f>
        <v>110835.10428053308</v>
      </c>
      <c r="AG10" s="45">
        <f>AA10</f>
        <v>332.91906566090967</v>
      </c>
      <c r="AH10" s="45">
        <f>AA11^2*AA10</f>
        <v>6330888.0028437162</v>
      </c>
      <c r="AI10" s="45">
        <f>AA11*AA10</f>
        <v>-45909.40338003308</v>
      </c>
      <c r="AJ10" s="45">
        <f>AA11*AA10^2</f>
        <v>-15284115.678330421</v>
      </c>
      <c r="AK10">
        <v>1</v>
      </c>
    </row>
    <row r="11" spans="1:37">
      <c r="A11" s="64" t="s">
        <v>1215</v>
      </c>
      <c r="B11" t="s">
        <v>903</v>
      </c>
      <c r="C11">
        <v>0</v>
      </c>
      <c r="H11" s="50">
        <f>C10*COS(RADIANS(G10+C11))</f>
        <v>-137.89959216932772</v>
      </c>
      <c r="I11" s="51">
        <f>H11-$AO$34</f>
        <v>-137.89808879272064</v>
      </c>
      <c r="K11" s="3">
        <v>5</v>
      </c>
      <c r="L11" s="3" t="str">
        <f t="shared" si="3"/>
        <v>点207(5/16)</v>
      </c>
      <c r="M11" s="3">
        <f t="shared" si="1"/>
        <v>14</v>
      </c>
      <c r="N11" s="3">
        <f t="shared" ca="1" si="0"/>
        <v>360.47500000000002</v>
      </c>
      <c r="O11" s="3">
        <f t="shared" si="2"/>
        <v>360.36</v>
      </c>
      <c r="P11" s="3">
        <f t="shared" si="2"/>
        <v>360.49</v>
      </c>
      <c r="Z11" s="52" t="s">
        <v>1145</v>
      </c>
      <c r="AA11" s="50">
        <f>H11</f>
        <v>-137.89959216932772</v>
      </c>
    </row>
    <row r="12" spans="1:37">
      <c r="A12" s="76" t="s">
        <v>1180</v>
      </c>
      <c r="B12" t="s">
        <v>165</v>
      </c>
      <c r="C12">
        <v>-3</v>
      </c>
      <c r="H12" s="50"/>
      <c r="I12" s="51"/>
      <c r="K12" s="3">
        <v>6</v>
      </c>
      <c r="L12" s="3" t="str">
        <f t="shared" si="3"/>
        <v>点207(6/16)</v>
      </c>
      <c r="M12" s="3">
        <f t="shared" si="1"/>
        <v>17</v>
      </c>
      <c r="N12" s="3">
        <f t="shared" ca="1" si="0"/>
        <v>360.43299999999999</v>
      </c>
      <c r="O12" s="3">
        <f t="shared" si="2"/>
        <v>360.36</v>
      </c>
      <c r="P12" s="3">
        <f t="shared" si="2"/>
        <v>360.49</v>
      </c>
      <c r="Z12" s="52"/>
      <c r="AA12" s="50"/>
    </row>
    <row r="13" spans="1:37">
      <c r="A13" s="64" t="s">
        <v>304</v>
      </c>
      <c r="B13" t="s">
        <v>901</v>
      </c>
      <c r="C13">
        <v>360.41500000000002</v>
      </c>
      <c r="G13">
        <f t="shared" ref="G13" si="4">G10+360/16</f>
        <v>135</v>
      </c>
      <c r="H13" s="50">
        <f t="shared" ref="H13" si="5">C13*SIN(RADIANS(G13+C14))</f>
        <v>254.84744249793869</v>
      </c>
      <c r="I13" s="51">
        <f t="shared" ref="I13" si="6">H13-$AO$35</f>
        <v>254.84993216079926</v>
      </c>
      <c r="K13" s="3">
        <v>7</v>
      </c>
      <c r="L13" s="3" t="str">
        <f t="shared" si="3"/>
        <v>点207(7/16)</v>
      </c>
      <c r="M13" s="3">
        <f t="shared" si="1"/>
        <v>20</v>
      </c>
      <c r="N13" s="3">
        <f t="shared" ca="1" si="0"/>
        <v>360.38499999999999</v>
      </c>
      <c r="O13" s="3">
        <f t="shared" si="2"/>
        <v>360.36</v>
      </c>
      <c r="P13" s="3">
        <f t="shared" si="2"/>
        <v>360.49</v>
      </c>
      <c r="Z13" s="52" t="s">
        <v>1144</v>
      </c>
      <c r="AA13" s="50">
        <f>H13</f>
        <v>254.84744249793869</v>
      </c>
      <c r="AB13" s="45">
        <f>AA14^3</f>
        <v>-16553366.019860802</v>
      </c>
      <c r="AC13" s="45">
        <f>AA14^2</f>
        <v>64951.75327725985</v>
      </c>
      <c r="AD13" s="45">
        <f>AA14</f>
        <v>-254.85633850712807</v>
      </c>
      <c r="AE13" s="45">
        <f>AA13^3</f>
        <v>16551632.646185245</v>
      </c>
      <c r="AF13" s="45">
        <f>AA13^2</f>
        <v>64947.218947740163</v>
      </c>
      <c r="AG13" s="45">
        <f>AA13</f>
        <v>254.84744249793869</v>
      </c>
      <c r="AH13" s="45">
        <f>AA14^2*AA13</f>
        <v>16552788.208466779</v>
      </c>
      <c r="AI13" s="45">
        <f>AA14*AA13</f>
        <v>-64949.486072930522</v>
      </c>
      <c r="AJ13" s="45">
        <f>AA14*AA13^2</f>
        <v>-16552210.417241829</v>
      </c>
      <c r="AK13">
        <v>1</v>
      </c>
    </row>
    <row r="14" spans="1:37">
      <c r="A14" s="64" t="s">
        <v>1216</v>
      </c>
      <c r="B14" t="s">
        <v>903</v>
      </c>
      <c r="C14">
        <v>1E-3</v>
      </c>
      <c r="H14" s="50">
        <f t="shared" ref="H14" si="7">C13*COS(RADIANS(G13+C14))</f>
        <v>-254.85633850712807</v>
      </c>
      <c r="I14" s="51">
        <f t="shared" ref="I14" si="8">H14-$AO$34</f>
        <v>-254.854835130521</v>
      </c>
      <c r="K14" s="3">
        <v>8</v>
      </c>
      <c r="L14" s="3" t="str">
        <f t="shared" si="3"/>
        <v>点207(8/16)</v>
      </c>
      <c r="M14" s="3">
        <f t="shared" si="1"/>
        <v>23</v>
      </c>
      <c r="N14" s="3">
        <f t="shared" ca="1" si="0"/>
        <v>360.36099999999999</v>
      </c>
      <c r="O14" s="3">
        <f>O12</f>
        <v>360.36</v>
      </c>
      <c r="P14" s="3">
        <f>P12</f>
        <v>360.49</v>
      </c>
      <c r="Z14" s="52" t="s">
        <v>1145</v>
      </c>
      <c r="AA14" s="50">
        <f>H14</f>
        <v>-254.85633850712807</v>
      </c>
    </row>
    <row r="15" spans="1:37">
      <c r="A15" s="76" t="s">
        <v>1181</v>
      </c>
      <c r="B15" t="s">
        <v>165</v>
      </c>
      <c r="C15">
        <v>-3</v>
      </c>
      <c r="H15" s="50"/>
      <c r="I15" s="51"/>
      <c r="K15" s="3">
        <v>9</v>
      </c>
      <c r="L15" s="3" t="str">
        <f t="shared" si="3"/>
        <v>点207(9/16)</v>
      </c>
      <c r="M15" s="3">
        <f t="shared" si="1"/>
        <v>26</v>
      </c>
      <c r="N15" s="3">
        <f t="shared" ca="1" si="0"/>
        <v>360.37700000000001</v>
      </c>
      <c r="O15" s="3">
        <f t="shared" ref="O15:P15" si="9">O13</f>
        <v>360.36</v>
      </c>
      <c r="P15" s="3">
        <f t="shared" si="9"/>
        <v>360.49</v>
      </c>
      <c r="Z15" s="52"/>
      <c r="AA15" s="50"/>
    </row>
    <row r="16" spans="1:37">
      <c r="A16" s="64" t="s">
        <v>304</v>
      </c>
      <c r="B16" t="s">
        <v>901</v>
      </c>
      <c r="C16">
        <v>360.471</v>
      </c>
      <c r="G16">
        <f t="shared" ref="G16" si="10">G13+360/16</f>
        <v>157.5</v>
      </c>
      <c r="H16" s="50">
        <f t="shared" ref="H16" si="11">C16*SIN(RADIANS(G16+C17))</f>
        <v>137.94046702600943</v>
      </c>
      <c r="I16" s="51">
        <f t="shared" ref="I16" si="12">H16-$AO$35</f>
        <v>137.94295668887</v>
      </c>
      <c r="K16" s="3">
        <v>10</v>
      </c>
      <c r="L16" s="3" t="str">
        <f t="shared" si="3"/>
        <v>点207(10/16)</v>
      </c>
      <c r="M16" s="3">
        <f t="shared" si="1"/>
        <v>29</v>
      </c>
      <c r="N16" s="3">
        <f t="shared" ca="1" si="0"/>
        <v>360.41800000000001</v>
      </c>
      <c r="O16" s="3">
        <f t="shared" ref="O16:P16" si="13">O14</f>
        <v>360.36</v>
      </c>
      <c r="P16" s="3">
        <f t="shared" si="13"/>
        <v>360.49</v>
      </c>
      <c r="Z16" s="52" t="s">
        <v>1144</v>
      </c>
      <c r="AA16" s="50">
        <f>H16</f>
        <v>137.94046702600943</v>
      </c>
      <c r="AB16" s="45">
        <f>AA17^3</f>
        <v>-36937410.897939384</v>
      </c>
      <c r="AC16" s="45">
        <f>AA17^2</f>
        <v>110911.76939764639</v>
      </c>
      <c r="AD16" s="45">
        <f>AA17</f>
        <v>-333.03418652992127</v>
      </c>
      <c r="AE16" s="45">
        <f>AA16^3</f>
        <v>2624672.2292074221</v>
      </c>
      <c r="AF16" s="45">
        <f>AA16^2</f>
        <v>19027.572443353594</v>
      </c>
      <c r="AG16" s="45">
        <f>AA16</f>
        <v>137.94046702600943</v>
      </c>
      <c r="AH16" s="45">
        <f>AA17^2*AA16</f>
        <v>15299221.269392405</v>
      </c>
      <c r="AI16" s="45">
        <f>AA17*AA16</f>
        <v>-45938.891225564475</v>
      </c>
      <c r="AJ16" s="45">
        <f>AA17*AA16^2</f>
        <v>-6336832.1103114104</v>
      </c>
      <c r="AK16">
        <v>1</v>
      </c>
    </row>
    <row r="17" spans="1:45">
      <c r="A17" s="64" t="s">
        <v>1217</v>
      </c>
      <c r="B17" t="s">
        <v>903</v>
      </c>
      <c r="C17">
        <v>1E-3</v>
      </c>
      <c r="H17" s="50">
        <f t="shared" ref="H17" si="14">C16*COS(RADIANS(G16+C17))</f>
        <v>-333.03418652992127</v>
      </c>
      <c r="I17" s="51">
        <f t="shared" ref="I17" si="15">H17-$AO$34</f>
        <v>-333.03268315331417</v>
      </c>
      <c r="K17" s="3">
        <v>11</v>
      </c>
      <c r="L17" s="3" t="str">
        <f t="shared" si="3"/>
        <v>点207(11/16)</v>
      </c>
      <c r="M17" s="3">
        <f t="shared" si="1"/>
        <v>32</v>
      </c>
      <c r="N17" s="3">
        <f t="shared" ca="1" si="0"/>
        <v>360.42599999999999</v>
      </c>
      <c r="O17" s="3">
        <f t="shared" ref="O17:P17" si="16">O15</f>
        <v>360.36</v>
      </c>
      <c r="P17" s="3">
        <f t="shared" si="16"/>
        <v>360.49</v>
      </c>
      <c r="Z17" s="52" t="s">
        <v>1145</v>
      </c>
      <c r="AA17" s="50">
        <f>H17</f>
        <v>-333.03418652992127</v>
      </c>
    </row>
    <row r="18" spans="1:45">
      <c r="A18" s="76" t="s">
        <v>1182</v>
      </c>
      <c r="B18" t="s">
        <v>165</v>
      </c>
      <c r="C18">
        <v>-3</v>
      </c>
      <c r="H18" s="50"/>
      <c r="I18" s="51"/>
      <c r="K18" s="3">
        <v>12</v>
      </c>
      <c r="L18" s="3" t="str">
        <f t="shared" si="3"/>
        <v>点207(12/16)</v>
      </c>
      <c r="M18" s="3">
        <f t="shared" si="1"/>
        <v>35</v>
      </c>
      <c r="N18" s="3">
        <f t="shared" ca="1" si="0"/>
        <v>360.41399999999999</v>
      </c>
      <c r="O18" s="3">
        <f t="shared" ref="O18:P18" si="17">O16</f>
        <v>360.36</v>
      </c>
      <c r="P18" s="3">
        <f t="shared" si="17"/>
        <v>360.49</v>
      </c>
      <c r="Z18" s="52"/>
      <c r="AA18" s="50"/>
    </row>
    <row r="19" spans="1:45">
      <c r="A19" s="64" t="s">
        <v>304</v>
      </c>
      <c r="B19" t="s">
        <v>901</v>
      </c>
      <c r="C19">
        <v>360.47500000000002</v>
      </c>
      <c r="G19">
        <f t="shared" ref="G19" si="18">G16+360/16</f>
        <v>180</v>
      </c>
      <c r="H19" s="50">
        <f t="shared" ref="H19" si="19">C19*SIN(RADIANS(G19+C20))</f>
        <v>4.416353892831848E-14</v>
      </c>
      <c r="I19" s="51">
        <f t="shared" ref="I19" si="20">H19-$AO$35</f>
        <v>2.4896628606026782E-3</v>
      </c>
      <c r="K19" s="3">
        <v>13</v>
      </c>
      <c r="L19" s="3" t="str">
        <f t="shared" si="3"/>
        <v>点207(13/16)</v>
      </c>
      <c r="M19" s="3">
        <f t="shared" si="1"/>
        <v>38</v>
      </c>
      <c r="N19" s="3">
        <f t="shared" ca="1" si="0"/>
        <v>360.416</v>
      </c>
      <c r="O19" s="3">
        <f t="shared" ref="O19:P19" si="21">O17</f>
        <v>360.36</v>
      </c>
      <c r="P19" s="3">
        <f t="shared" si="21"/>
        <v>360.49</v>
      </c>
      <c r="Z19" s="52" t="s">
        <v>1144</v>
      </c>
      <c r="AA19" s="50">
        <f>H19</f>
        <v>4.416353892831848E-14</v>
      </c>
      <c r="AB19" s="45">
        <f>AA20^3</f>
        <v>-46840923.782171883</v>
      </c>
      <c r="AC19" s="45">
        <f>AA20^2</f>
        <v>129942.22562500002</v>
      </c>
      <c r="AD19" s="45">
        <f>AA20</f>
        <v>-360.47500000000002</v>
      </c>
      <c r="AE19" s="45">
        <f>AA19^3</f>
        <v>8.6137368807021242E-41</v>
      </c>
      <c r="AF19" s="45">
        <f>AA19^2</f>
        <v>1.9504181706731018E-27</v>
      </c>
      <c r="AG19" s="45">
        <f>AA19</f>
        <v>4.416353892831848E-14</v>
      </c>
      <c r="AH19" s="45">
        <f>AA20^2*AA19</f>
        <v>5.7387085398220313E-9</v>
      </c>
      <c r="AI19" s="45">
        <f>AA20*AA19</f>
        <v>-1.5919851695185605E-11</v>
      </c>
      <c r="AJ19" s="45">
        <f>AA20*AA19^2</f>
        <v>-7.0307699007338644E-25</v>
      </c>
      <c r="AK19">
        <v>1</v>
      </c>
    </row>
    <row r="20" spans="1:45">
      <c r="A20" s="64" t="s">
        <v>1218</v>
      </c>
      <c r="B20" t="s">
        <v>903</v>
      </c>
      <c r="C20">
        <v>0</v>
      </c>
      <c r="H20" s="50">
        <f t="shared" ref="H20" si="22">C19*COS(RADIANS(G19+C20))</f>
        <v>-360.47500000000002</v>
      </c>
      <c r="I20" s="51">
        <f t="shared" ref="I20" si="23">H20-$AO$34</f>
        <v>-360.47349662339292</v>
      </c>
      <c r="K20" s="3">
        <v>14</v>
      </c>
      <c r="L20" s="3" t="str">
        <f t="shared" si="3"/>
        <v>点207(14/16)</v>
      </c>
      <c r="M20" s="3">
        <f t="shared" si="1"/>
        <v>41</v>
      </c>
      <c r="N20" s="3">
        <f t="shared" ca="1" si="0"/>
        <v>360.44400000000002</v>
      </c>
      <c r="O20" s="3">
        <f t="shared" ref="O20:P20" si="24">O18</f>
        <v>360.36</v>
      </c>
      <c r="P20" s="3">
        <f t="shared" si="24"/>
        <v>360.49</v>
      </c>
      <c r="Z20" s="52" t="s">
        <v>1145</v>
      </c>
      <c r="AA20" s="50">
        <f>H20</f>
        <v>-360.47500000000002</v>
      </c>
    </row>
    <row r="21" spans="1:45">
      <c r="A21" s="76" t="s">
        <v>1183</v>
      </c>
      <c r="B21" t="s">
        <v>165</v>
      </c>
      <c r="C21">
        <v>-3</v>
      </c>
      <c r="H21" s="50"/>
      <c r="I21" s="51"/>
      <c r="K21" s="3">
        <v>15</v>
      </c>
      <c r="L21" s="3" t="str">
        <f t="shared" si="3"/>
        <v>点207(15/16)</v>
      </c>
      <c r="M21" s="3">
        <f t="shared" si="1"/>
        <v>44</v>
      </c>
      <c r="N21" s="3">
        <f t="shared" ca="1" si="0"/>
        <v>360.447</v>
      </c>
      <c r="O21" s="3">
        <f t="shared" ref="O21:P21" si="25">O19</f>
        <v>360.36</v>
      </c>
      <c r="P21" s="3">
        <f t="shared" si="25"/>
        <v>360.49</v>
      </c>
      <c r="Z21" s="52"/>
      <c r="AA21" s="50"/>
    </row>
    <row r="22" spans="1:45">
      <c r="A22" s="64" t="s">
        <v>304</v>
      </c>
      <c r="B22" t="s">
        <v>901</v>
      </c>
      <c r="C22">
        <v>360.43299999999999</v>
      </c>
      <c r="G22">
        <f t="shared" ref="G22" si="26">G19+360/16</f>
        <v>202.5</v>
      </c>
      <c r="H22" s="50">
        <f t="shared" ref="H22" si="27">C22*SIN(RADIANS(G22+C23))</f>
        <v>-137.9375494449545</v>
      </c>
      <c r="I22" s="51">
        <f t="shared" ref="I22" si="28">H22-$AO$35</f>
        <v>-137.93505978209393</v>
      </c>
      <c r="K22" s="3">
        <v>16</v>
      </c>
      <c r="L22" s="3" t="str">
        <f t="shared" si="3"/>
        <v>点207(16/16)</v>
      </c>
      <c r="M22" s="3">
        <f t="shared" si="1"/>
        <v>47</v>
      </c>
      <c r="N22" s="3">
        <f t="shared" ca="1" si="0"/>
        <v>360.39100000000002</v>
      </c>
      <c r="O22" s="3">
        <f t="shared" ref="O22:P22" si="29">O20</f>
        <v>360.36</v>
      </c>
      <c r="P22" s="3">
        <f t="shared" si="29"/>
        <v>360.49</v>
      </c>
      <c r="Z22" s="52" t="s">
        <v>1144</v>
      </c>
      <c r="AA22" s="50">
        <f>H22</f>
        <v>-137.9375494449545</v>
      </c>
      <c r="AB22" s="45">
        <f>AA23^3</f>
        <v>-36924128.897522785</v>
      </c>
      <c r="AC22" s="45">
        <f>AA23^2</f>
        <v>110885.17994212074</v>
      </c>
      <c r="AD22" s="45">
        <f>AA23</f>
        <v>-332.99426412795873</v>
      </c>
      <c r="AE22" s="45">
        <f>AA22^3</f>
        <v>-2624505.6892753146</v>
      </c>
      <c r="AF22" s="45">
        <f>AA22^2</f>
        <v>19026.767546879266</v>
      </c>
      <c r="AG22" s="45">
        <f>AA22</f>
        <v>-137.9375494449545</v>
      </c>
      <c r="AH22" s="45">
        <f>AA23^2*AA22</f>
        <v>-15295229.990978956</v>
      </c>
      <c r="AI22" s="45">
        <f>AA23*AA22</f>
        <v>45932.412773036544</v>
      </c>
      <c r="AJ22" s="45">
        <f>AA23*AA22^2</f>
        <v>-6335804.458006788</v>
      </c>
      <c r="AK22">
        <v>1</v>
      </c>
      <c r="AM22" t="s">
        <v>1146</v>
      </c>
      <c r="AO22" s="53">
        <f>AC54</f>
        <v>1039315.0184909393</v>
      </c>
      <c r="AP22" s="53">
        <f>AI54</f>
        <v>-0.15389362716814503</v>
      </c>
      <c r="AQ22" s="53">
        <f>AD54</f>
        <v>1.4550665729274215E-2</v>
      </c>
      <c r="AR22" s="54" t="s">
        <v>1147</v>
      </c>
      <c r="AS22" s="53">
        <f>-(AB54+AJ54)</f>
        <v>1234.9034904455766</v>
      </c>
    </row>
    <row r="23" spans="1:45">
      <c r="A23" s="64" t="s">
        <v>1219</v>
      </c>
      <c r="B23" t="s">
        <v>903</v>
      </c>
      <c r="C23">
        <v>1E-3</v>
      </c>
      <c r="H23" s="50">
        <f t="shared" ref="H23" si="30">C22*COS(RADIANS(G22+C23))</f>
        <v>-332.99426412795873</v>
      </c>
      <c r="I23" s="51">
        <f t="shared" ref="I23" si="31">H23-$AO$34</f>
        <v>-332.99276075135163</v>
      </c>
      <c r="Z23" s="52" t="s">
        <v>1145</v>
      </c>
      <c r="AA23" s="50">
        <f>H23</f>
        <v>-332.99426412795873</v>
      </c>
      <c r="AM23" t="s">
        <v>1148</v>
      </c>
      <c r="AN23" s="55" t="s">
        <v>1149</v>
      </c>
      <c r="AO23" s="53">
        <f>AI54</f>
        <v>-0.15389362716814503</v>
      </c>
      <c r="AP23" s="53">
        <f>AF54</f>
        <v>1039005.8512040608</v>
      </c>
      <c r="AQ23" s="53">
        <f>AG54</f>
        <v>-4.6561535954481315E-2</v>
      </c>
      <c r="AR23" s="56"/>
      <c r="AS23" s="53">
        <f>-(AH54+AE54)</f>
        <v>11221.66133972723</v>
      </c>
    </row>
    <row r="24" spans="1:45">
      <c r="A24" s="76" t="s">
        <v>1184</v>
      </c>
      <c r="B24" t="s">
        <v>165</v>
      </c>
      <c r="C24">
        <v>-2.9990000000000001</v>
      </c>
      <c r="H24" s="50"/>
      <c r="I24" s="51"/>
      <c r="M24" s="5" t="s">
        <v>3</v>
      </c>
      <c r="N24" s="3" t="str">
        <f>"&gt;"&amp;TEXT(($E$2+$E$3)/2, "0.###")</f>
        <v>&gt;360.49</v>
      </c>
      <c r="Z24" s="52"/>
      <c r="AA24" s="50"/>
      <c r="AM24" t="s">
        <v>1150</v>
      </c>
      <c r="AO24" s="53">
        <f>AD54</f>
        <v>1.4550665729274215E-2</v>
      </c>
      <c r="AP24" s="53">
        <f>AG54</f>
        <v>-4.6561535954481315E-2</v>
      </c>
      <c r="AQ24" s="53">
        <f>AK54</f>
        <v>16</v>
      </c>
      <c r="AR24" s="56"/>
      <c r="AS24" s="53">
        <f>-(AC54+AF54)</f>
        <v>-2078320.8696950001</v>
      </c>
    </row>
    <row r="25" spans="1:45">
      <c r="A25" s="64" t="s">
        <v>304</v>
      </c>
      <c r="B25" t="s">
        <v>901</v>
      </c>
      <c r="C25">
        <v>360.38499999999999</v>
      </c>
      <c r="G25">
        <f t="shared" ref="G25" si="32">G22+360/16</f>
        <v>225</v>
      </c>
      <c r="H25" s="50">
        <f t="shared" ref="H25" si="33">C25*SIN(RADIANS(G25+C26))</f>
        <v>-254.82622966474651</v>
      </c>
      <c r="I25" s="51">
        <f t="shared" ref="I25" si="34">H25-$AO$35</f>
        <v>-254.82374000188594</v>
      </c>
      <c r="M25" s="6" t="s">
        <v>4</v>
      </c>
      <c r="N25" s="3" t="str">
        <f>"&lt;"&amp;TEXT(($E$2+$C$4)/2, "0.###")</f>
        <v>&lt;360.36</v>
      </c>
      <c r="Z25" s="52" t="s">
        <v>1144</v>
      </c>
      <c r="AA25" s="50">
        <f>H25</f>
        <v>-254.82622966474651</v>
      </c>
      <c r="AB25" s="45">
        <f>AA26^3</f>
        <v>-16549232.787509391</v>
      </c>
      <c r="AC25" s="45">
        <f>AA26^2</f>
        <v>64940.940899849869</v>
      </c>
      <c r="AD25" s="45">
        <f>AA26</f>
        <v>-254.83512493345549</v>
      </c>
      <c r="AE25" s="45">
        <f>AA25^3</f>
        <v>-16547499.846642235</v>
      </c>
      <c r="AF25" s="45">
        <f>AA25^2</f>
        <v>64936.407325150132</v>
      </c>
      <c r="AG25" s="45">
        <f>AA25</f>
        <v>-254.82622966474651</v>
      </c>
      <c r="AH25" s="45">
        <f>AA26^2*AA25</f>
        <v>-16548655.120389873</v>
      </c>
      <c r="AI25" s="45">
        <f>AA26*AA25</f>
        <v>64938.674072937094</v>
      </c>
      <c r="AJ25" s="45">
        <f>AA26*AA25^2</f>
        <v>-16548077.473434389</v>
      </c>
      <c r="AK25">
        <v>1</v>
      </c>
      <c r="AO25" s="56"/>
      <c r="AP25" s="56"/>
      <c r="AQ25" s="56"/>
      <c r="AR25" s="56"/>
      <c r="AS25" s="56"/>
    </row>
    <row r="26" spans="1:45">
      <c r="A26" s="64" t="s">
        <v>1220</v>
      </c>
      <c r="B26" t="s">
        <v>903</v>
      </c>
      <c r="C26">
        <v>-1E-3</v>
      </c>
      <c r="H26" s="50">
        <f t="shared" ref="H26" si="35">C25*COS(RADIANS(G25+C26))</f>
        <v>-254.83512493345549</v>
      </c>
      <c r="I26" s="51">
        <f t="shared" ref="I26" si="36">H26-$AO$34</f>
        <v>-254.83362155684841</v>
      </c>
      <c r="M26" s="7"/>
      <c r="N26" s="8" t="s">
        <v>0</v>
      </c>
      <c r="Z26" s="52" t="s">
        <v>1145</v>
      </c>
      <c r="AA26" s="50">
        <f>H26</f>
        <v>-254.83512493345549</v>
      </c>
      <c r="AO26" s="53">
        <f>INDEX(MINVERSE($AO$22:$AQ$24),1,1)</f>
        <v>9.6217218285244291E-7</v>
      </c>
      <c r="AP26" s="53">
        <f>INDEX(MINVERSE($AO$22:$AQ$24),1,2)</f>
        <v>1.4247410153458752E-13</v>
      </c>
      <c r="AQ26" s="53">
        <f>INDEX(MINVERSE($AO$22:$AQ$24),1,3)</f>
        <v>-8.7501494830493755E-10</v>
      </c>
      <c r="AR26" s="56"/>
      <c r="AS26" s="53">
        <f>AS22</f>
        <v>1234.9034904455766</v>
      </c>
    </row>
    <row r="27" spans="1:45">
      <c r="A27" s="76" t="s">
        <v>1185</v>
      </c>
      <c r="B27" t="s">
        <v>165</v>
      </c>
      <c r="C27">
        <v>-2.9990000000000001</v>
      </c>
      <c r="H27" s="50"/>
      <c r="I27" s="51"/>
      <c r="M27" s="9" t="s">
        <v>6</v>
      </c>
      <c r="N27" s="10">
        <f ca="1">AVERAGE(N7:N22)*2</f>
        <v>720.8191250000001</v>
      </c>
      <c r="Z27" s="52"/>
      <c r="AA27" s="50"/>
      <c r="AO27" s="53">
        <f>INDEX(MINVERSE($AO$22:$AQ$24),2,1)</f>
        <v>1.4247410153458752E-13</v>
      </c>
      <c r="AP27" s="53">
        <f>INDEX(MINVERSE($AO$22:$AQ$24),2,2)</f>
        <v>9.6245848757403547E-7</v>
      </c>
      <c r="AQ27" s="53">
        <f>INDEX(MINVERSE($AO$22:$AQ$24),2,3)</f>
        <v>2.8008464625488204E-9</v>
      </c>
      <c r="AR27" s="56"/>
      <c r="AS27" s="53">
        <f t="shared" ref="AS27:AS28" si="37">AS23</f>
        <v>11221.66133972723</v>
      </c>
    </row>
    <row r="28" spans="1:45">
      <c r="A28" s="64" t="s">
        <v>304</v>
      </c>
      <c r="B28" t="s">
        <v>901</v>
      </c>
      <c r="C28">
        <v>360.36099999999999</v>
      </c>
      <c r="G28">
        <f t="shared" ref="G28" si="38">G25+360/16</f>
        <v>247.5</v>
      </c>
      <c r="H28" s="50">
        <f t="shared" ref="H28" si="39">C28*SIN(RADIANS(G28+C29))</f>
        <v>-332.92533824832901</v>
      </c>
      <c r="I28" s="51">
        <f t="shared" ref="I28" si="40">H28-$AO$35</f>
        <v>-332.92284858546844</v>
      </c>
      <c r="M28" s="9"/>
      <c r="N28" s="11" t="str">
        <f ca="1">IF(N27&lt;$E$2+$C$4, "U/Min "&amp;TEXT($E$2+$C$4-N27, "0.###"), IF(N27&gt;$E$2+$E$3, "O/Max "&amp;TEXT(N27-$E$2-$E$3, "0.###"), "-"))</f>
        <v>-</v>
      </c>
      <c r="Z28" s="52" t="s">
        <v>1144</v>
      </c>
      <c r="AA28" s="50">
        <f>H28</f>
        <v>-332.92533824832901</v>
      </c>
      <c r="AB28" s="45">
        <f>AA29^3</f>
        <v>-2623264.7477183198</v>
      </c>
      <c r="AC28" s="45">
        <f>AA29^2</f>
        <v>19020.769473235694</v>
      </c>
      <c r="AD28" s="45">
        <f>AA29</f>
        <v>-137.91580574116838</v>
      </c>
      <c r="AE28" s="45">
        <f>AA28^3</f>
        <v>-36901205.06744346</v>
      </c>
      <c r="AF28" s="45">
        <f>AA28^2</f>
        <v>110839.28084776428</v>
      </c>
      <c r="AG28" s="45">
        <f>AA28</f>
        <v>-332.92533824832901</v>
      </c>
      <c r="AH28" s="45">
        <f>AA29^2*AA28</f>
        <v>-6332496.1106204847</v>
      </c>
      <c r="AI28" s="45">
        <f>AA29*AA28</f>
        <v>45915.666276169322</v>
      </c>
      <c r="AJ28" s="45">
        <f>AA29*AA28^2</f>
        <v>-15286488.725891065</v>
      </c>
      <c r="AK28">
        <v>1</v>
      </c>
      <c r="AO28" s="53">
        <f>INDEX(MINVERSE($AO$22:$AQ$24),3,1)</f>
        <v>-8.7501494830493755E-10</v>
      </c>
      <c r="AP28" s="53">
        <f>INDEX(MINVERSE($AO$22:$AQ$24),3,2)</f>
        <v>2.8008464625488208E-9</v>
      </c>
      <c r="AQ28" s="53">
        <f>INDEX(MINVERSE($AO$22:$AQ$24),3,3)</f>
        <v>6.2500000008946482E-2</v>
      </c>
      <c r="AR28" s="56"/>
      <c r="AS28" s="53">
        <f t="shared" si="37"/>
        <v>-2078320.8696950001</v>
      </c>
    </row>
    <row r="29" spans="1:45">
      <c r="A29" s="64" t="s">
        <v>1221</v>
      </c>
      <c r="B29" t="s">
        <v>903</v>
      </c>
      <c r="C29">
        <v>-2E-3</v>
      </c>
      <c r="H29" s="50">
        <f t="shared" ref="H29" si="41">C28*COS(RADIANS(G28+C29))</f>
        <v>-137.91580574116838</v>
      </c>
      <c r="I29" s="51">
        <f t="shared" ref="I29" si="42">H29-$AO$34</f>
        <v>-137.91430236456131</v>
      </c>
      <c r="M29" s="9" t="s">
        <v>7</v>
      </c>
      <c r="N29" s="10">
        <f ca="1">MAX(N7:N22)-MIN(N7:N22)</f>
        <v>0.14400000000000546</v>
      </c>
      <c r="Z29" s="52" t="s">
        <v>1145</v>
      </c>
      <c r="AA29" s="50">
        <f>H29</f>
        <v>-137.91580574116838</v>
      </c>
      <c r="AO29" s="56"/>
      <c r="AP29" s="56"/>
      <c r="AQ29" s="56"/>
      <c r="AR29" s="56"/>
      <c r="AS29" s="56"/>
    </row>
    <row r="30" spans="1:45">
      <c r="A30" s="76" t="s">
        <v>1186</v>
      </c>
      <c r="B30" t="s">
        <v>165</v>
      </c>
      <c r="C30">
        <v>-3</v>
      </c>
      <c r="H30" s="50"/>
      <c r="I30" s="51"/>
      <c r="M30" s="9"/>
      <c r="N30" s="11" t="str">
        <f ca="1">IF(N29&gt;0.64, "O/Max "&amp;TEXT(N29-0.13, "0.###"), "-")</f>
        <v>-</v>
      </c>
      <c r="Z30" s="52"/>
      <c r="AA30" s="50"/>
      <c r="AO30" s="53">
        <f>AO26*AS26+AP26*AS27+AQ26*AS28</f>
        <v>3.0067532141674815E-3</v>
      </c>
      <c r="AP30" s="56"/>
      <c r="AQ30" s="56"/>
      <c r="AR30" s="56"/>
      <c r="AS30" s="56"/>
    </row>
    <row r="31" spans="1:45">
      <c r="A31" t="s">
        <v>304</v>
      </c>
      <c r="B31" t="s">
        <v>901</v>
      </c>
      <c r="C31">
        <v>360.37700000000001</v>
      </c>
      <c r="G31">
        <f t="shared" ref="G31" si="43">G28+360/16</f>
        <v>270</v>
      </c>
      <c r="H31" s="50">
        <f t="shared" ref="H31" si="44">C31*SIN(RADIANS(G31+C32))</f>
        <v>-360.37700000000001</v>
      </c>
      <c r="I31" s="51">
        <f t="shared" ref="I31" si="45">H31-$AO$35</f>
        <v>-360.37451033713944</v>
      </c>
      <c r="M31" s="9" t="s">
        <v>8</v>
      </c>
      <c r="N31" s="12">
        <f ca="1">COUNTIF(N7:N22, $N24)</f>
        <v>0</v>
      </c>
      <c r="Z31" s="52" t="s">
        <v>1144</v>
      </c>
      <c r="AA31" s="50">
        <f t="shared" ref="AA31:AA32" si="46">H31</f>
        <v>-360.37700000000001</v>
      </c>
      <c r="AB31" s="45">
        <f t="shared" ref="AB31" si="47">AA32^3</f>
        <v>-2.9047658089941436E-40</v>
      </c>
      <c r="AC31" s="45">
        <f t="shared" ref="AC31" si="48">AA32^2</f>
        <v>4.3860550944488086E-27</v>
      </c>
      <c r="AD31" s="45">
        <f t="shared" ref="AD31" si="49">AA32</f>
        <v>-6.6227298710190565E-14</v>
      </c>
      <c r="AE31" s="45">
        <f t="shared" ref="AE31" si="50">AA31^3</f>
        <v>-46802731.152902633</v>
      </c>
      <c r="AF31" s="45">
        <f t="shared" ref="AF31" si="51">AA31^2</f>
        <v>129871.582129</v>
      </c>
      <c r="AG31" s="45">
        <f t="shared" ref="AG31" si="52">AA31</f>
        <v>-360.37700000000001</v>
      </c>
      <c r="AH31" s="45">
        <f t="shared" ref="AH31" si="53">AA32^2*AA31</f>
        <v>-1.5806333767721784E-24</v>
      </c>
      <c r="AI31" s="45">
        <f t="shared" ref="AI31" si="54">AA32*AA31</f>
        <v>2.3866795227282345E-11</v>
      </c>
      <c r="AJ31" s="45">
        <f t="shared" ref="AJ31" si="55">AA32*AA31^2</f>
        <v>-8.60104406362233E-9</v>
      </c>
      <c r="AK31">
        <v>1</v>
      </c>
      <c r="AO31" s="53">
        <f>AO27*AS26+AP27*AS27+AQ27*AS28</f>
        <v>4.9793257211170295E-3</v>
      </c>
      <c r="AP31" s="56"/>
      <c r="AQ31" s="56"/>
      <c r="AR31" s="56"/>
      <c r="AS31" s="56"/>
    </row>
    <row r="32" spans="1:45">
      <c r="A32" s="64" t="s">
        <v>1243</v>
      </c>
      <c r="B32" t="s">
        <v>903</v>
      </c>
      <c r="C32">
        <v>0</v>
      </c>
      <c r="H32" s="50">
        <f t="shared" ref="H32" si="56">C31*COS(RADIANS(G31+C32))</f>
        <v>-6.6227298710190565E-14</v>
      </c>
      <c r="I32" s="51">
        <f t="shared" ref="I32" si="57">H32-$AO$34</f>
        <v>1.5033766070175134E-3</v>
      </c>
      <c r="M32" s="9" t="s">
        <v>9</v>
      </c>
      <c r="N32" s="12">
        <f ca="1">COUNTIF(N7:N22, $N25)</f>
        <v>2</v>
      </c>
      <c r="Z32" s="52" t="s">
        <v>1145</v>
      </c>
      <c r="AA32" s="50">
        <f t="shared" si="46"/>
        <v>-6.6227298710190565E-14</v>
      </c>
      <c r="AO32" s="53">
        <f>AO28*AS26+AP28*AS27+AQ28*AS28</f>
        <v>-129895.05434418158</v>
      </c>
      <c r="AP32" s="56"/>
      <c r="AQ32" s="56"/>
      <c r="AR32" s="56"/>
      <c r="AS32" s="56"/>
    </row>
    <row r="33" spans="1:41">
      <c r="A33" s="80" t="s">
        <v>1244</v>
      </c>
      <c r="B33" t="s">
        <v>165</v>
      </c>
      <c r="C33">
        <v>-3</v>
      </c>
      <c r="H33" s="50"/>
      <c r="I33" s="51"/>
      <c r="M33" s="12"/>
      <c r="N33" s="14" t="str">
        <f ca="1">TEXT(N31+N32,"0")&amp;"/16"</f>
        <v>2/16</v>
      </c>
      <c r="Z33" s="52"/>
      <c r="AA33" s="50"/>
    </row>
    <row r="34" spans="1:41">
      <c r="A34" t="s">
        <v>304</v>
      </c>
      <c r="B34" t="s">
        <v>901</v>
      </c>
      <c r="C34">
        <v>360.41800000000001</v>
      </c>
      <c r="G34">
        <f t="shared" ref="G34" si="58">G31+360/16</f>
        <v>292.5</v>
      </c>
      <c r="H34" s="50">
        <f t="shared" ref="H34" si="59">C34*SIN(RADIANS(G34+C35))</f>
        <v>-332.98281334865288</v>
      </c>
      <c r="I34" s="51">
        <f t="shared" ref="I34" si="60">H34-$AO$35</f>
        <v>-332.98032368579231</v>
      </c>
      <c r="Z34" s="52" t="s">
        <v>1144</v>
      </c>
      <c r="AA34" s="50">
        <f t="shared" ref="AA34:AA35" si="61">H34</f>
        <v>-332.98281334865288</v>
      </c>
      <c r="AB34" s="45">
        <f t="shared" ref="AB34" si="62">AA35^3</f>
        <v>2623846.346060798</v>
      </c>
      <c r="AC34" s="45">
        <f t="shared" ref="AC34" si="63">AA35^2</f>
        <v>19023.580738416178</v>
      </c>
      <c r="AD34" s="45">
        <f t="shared" ref="AD34" si="64">AA35</f>
        <v>137.92599732616102</v>
      </c>
      <c r="AE34" s="45">
        <f t="shared" ref="AE34" si="65">AA34^3</f>
        <v>-36920319.863336831</v>
      </c>
      <c r="AF34" s="45">
        <f t="shared" ref="AF34" si="66">AA34^2</f>
        <v>110877.5539855838</v>
      </c>
      <c r="AG34" s="45">
        <f t="shared" ref="AG34" si="67">AA34</f>
        <v>-332.98281334865288</v>
      </c>
      <c r="AH34" s="45">
        <f t="shared" ref="AH34" si="68">AA35^2*AA34</f>
        <v>-6334525.4342430625</v>
      </c>
      <c r="AI34" s="45">
        <f t="shared" ref="AI34" si="69">AA35*AA34</f>
        <v>-45926.986623583871</v>
      </c>
      <c r="AJ34" s="45">
        <f t="shared" ref="AJ34" si="70">AA35*AA34^2</f>
        <v>15292897.214546906</v>
      </c>
      <c r="AK34">
        <v>1</v>
      </c>
      <c r="AM34" t="s">
        <v>1151</v>
      </c>
      <c r="AO34" s="57">
        <f>AO30/-2</f>
        <v>-1.5033766070837408E-3</v>
      </c>
    </row>
    <row r="35" spans="1:41">
      <c r="A35" t="s">
        <v>1245</v>
      </c>
      <c r="B35" t="s">
        <v>903</v>
      </c>
      <c r="C35">
        <v>0</v>
      </c>
      <c r="H35" s="50">
        <f t="shared" ref="H35" si="71">C34*COS(RADIANS(G34+C35))</f>
        <v>137.92599732616102</v>
      </c>
      <c r="I35" s="51">
        <f t="shared" ref="I35" si="72">H35-$AO$34</f>
        <v>137.9275007027681</v>
      </c>
      <c r="Z35" s="52" t="s">
        <v>1145</v>
      </c>
      <c r="AA35" s="50">
        <f t="shared" si="61"/>
        <v>137.92599732616102</v>
      </c>
      <c r="AM35" t="s">
        <v>1153</v>
      </c>
      <c r="AO35" s="59">
        <f>AO31/-2</f>
        <v>-2.4896628605585148E-3</v>
      </c>
    </row>
    <row r="36" spans="1:41">
      <c r="A36" s="80" t="s">
        <v>1246</v>
      </c>
      <c r="B36" t="s">
        <v>165</v>
      </c>
      <c r="C36">
        <v>-3</v>
      </c>
      <c r="H36" s="50"/>
      <c r="I36" s="51"/>
      <c r="N36" s="3"/>
      <c r="Z36" s="52"/>
      <c r="AA36" s="50"/>
      <c r="AM36" s="47" t="s">
        <v>1154</v>
      </c>
      <c r="AO36" s="51">
        <f>SQRT(AO34^2+AO35^2-AO32)</f>
        <v>360.40956473523306</v>
      </c>
    </row>
    <row r="37" spans="1:41">
      <c r="A37" t="s">
        <v>304</v>
      </c>
      <c r="B37" t="s">
        <v>901</v>
      </c>
      <c r="C37">
        <v>360.42599999999999</v>
      </c>
      <c r="G37">
        <f t="shared" ref="G37" si="73">G34+360/16</f>
        <v>315</v>
      </c>
      <c r="H37" s="50">
        <f t="shared" ref="H37" si="74">C37*SIN(RADIANS(G37+C38))</f>
        <v>-254.85522053677593</v>
      </c>
      <c r="I37" s="51">
        <f t="shared" ref="I37" si="75">H37-$AO$35</f>
        <v>-254.85273087391536</v>
      </c>
      <c r="N37" s="3"/>
      <c r="Z37" s="52" t="s">
        <v>1144</v>
      </c>
      <c r="AA37" s="50">
        <f t="shared" ref="AA37:AA38" si="76">H37</f>
        <v>-254.85522053677593</v>
      </c>
      <c r="AB37" s="45">
        <f t="shared" ref="AB37" si="77">AA38^3</f>
        <v>16554881.710802918</v>
      </c>
      <c r="AC37" s="45">
        <f t="shared" ref="AC37" si="78">AA38^2</f>
        <v>64955.718041151289</v>
      </c>
      <c r="AD37" s="45">
        <f t="shared" ref="AD37" si="79">AA38</f>
        <v>254.8641168174745</v>
      </c>
      <c r="AE37" s="45">
        <f t="shared" ref="AE37" si="80">AA37^3</f>
        <v>-16553148.178412952</v>
      </c>
      <c r="AF37" s="45">
        <f t="shared" ref="AF37" si="81">AA37^2</f>
        <v>64951.183434848695</v>
      </c>
      <c r="AG37" s="45">
        <f t="shared" ref="AG37" si="82">AA37</f>
        <v>-254.85522053677593</v>
      </c>
      <c r="AH37" s="45">
        <f t="shared" ref="AH37" si="83">AA38^2*AA37</f>
        <v>-16554303.846502246</v>
      </c>
      <c r="AI37" s="45">
        <f t="shared" ref="AI37" si="84">AA38*AA37</f>
        <v>-64953.450698428089</v>
      </c>
      <c r="AJ37" s="45">
        <f t="shared" ref="AJ37" si="85">AA38*AA37^2</f>
        <v>16553726.002372492</v>
      </c>
      <c r="AK37">
        <v>1</v>
      </c>
      <c r="AM37" s="47" t="s">
        <v>1155</v>
      </c>
      <c r="AO37" s="60">
        <f>AO36*2</f>
        <v>720.81912947046612</v>
      </c>
    </row>
    <row r="38" spans="1:41">
      <c r="A38" t="s">
        <v>1247</v>
      </c>
      <c r="B38" t="s">
        <v>903</v>
      </c>
      <c r="C38">
        <v>1E-3</v>
      </c>
      <c r="H38" s="50">
        <f t="shared" ref="H38" si="86">C37*COS(RADIANS(G37+C38))</f>
        <v>254.8641168174745</v>
      </c>
      <c r="I38" s="51">
        <f t="shared" ref="I38" si="87">H38-$AO$34</f>
        <v>254.86562019408157</v>
      </c>
      <c r="N38" s="3"/>
      <c r="Z38" s="52" t="s">
        <v>1145</v>
      </c>
      <c r="AA38" s="50">
        <f t="shared" si="76"/>
        <v>254.8641168174745</v>
      </c>
    </row>
    <row r="39" spans="1:41">
      <c r="A39" s="80" t="s">
        <v>1248</v>
      </c>
      <c r="B39" t="s">
        <v>165</v>
      </c>
      <c r="C39">
        <v>-3</v>
      </c>
      <c r="H39" s="50"/>
      <c r="I39" s="51"/>
      <c r="N39" s="3"/>
      <c r="Z39" s="52"/>
      <c r="AA39" s="50"/>
      <c r="AM39" t="s">
        <v>1156</v>
      </c>
    </row>
    <row r="40" spans="1:41">
      <c r="A40" t="s">
        <v>304</v>
      </c>
      <c r="B40" t="s">
        <v>901</v>
      </c>
      <c r="C40">
        <v>360.41399999999999</v>
      </c>
      <c r="G40">
        <f t="shared" ref="G40" si="88">G37+360/16</f>
        <v>337.5</v>
      </c>
      <c r="H40" s="50">
        <f t="shared" ref="H40" si="89">C40*SIN(RADIANS(G40+C41))</f>
        <v>-137.90703165753615</v>
      </c>
      <c r="I40" s="51">
        <f t="shared" ref="I40" si="90">H40-$AO$35</f>
        <v>-137.90454199467558</v>
      </c>
      <c r="N40" s="3"/>
      <c r="Z40" s="52" t="s">
        <v>1144</v>
      </c>
      <c r="AA40" s="50">
        <f t="shared" ref="AA40:AA41" si="91">H40</f>
        <v>-137.90703165753615</v>
      </c>
      <c r="AB40" s="45">
        <f t="shared" ref="AB40" si="92">AA41^3</f>
        <v>36921492.649910443</v>
      </c>
      <c r="AC40" s="45">
        <f t="shared" ref="AC40" si="93">AA41^2</f>
        <v>110879.90201540734</v>
      </c>
      <c r="AD40" s="45">
        <f t="shared" ref="AD40" si="94">AA41</f>
        <v>332.98633908226225</v>
      </c>
      <c r="AE40" s="45">
        <f t="shared" ref="AE40" si="95">AA40^3</f>
        <v>-2622764.1101034773</v>
      </c>
      <c r="AF40" s="45">
        <f t="shared" ref="AF40" si="96">AA40^2</f>
        <v>19018.349380592677</v>
      </c>
      <c r="AG40" s="45">
        <f t="shared" ref="AG40" si="97">AA40</f>
        <v>-137.90703165753615</v>
      </c>
      <c r="AH40" s="45">
        <f t="shared" ref="AH40" si="98">AA41^2*AA40</f>
        <v>-15291118.157423286</v>
      </c>
      <c r="AI40" s="45">
        <f t="shared" ref="AI40" si="99">AA41*AA40</f>
        <v>-45921.157605344604</v>
      </c>
      <c r="AJ40" s="45">
        <f t="shared" ref="AJ40" si="100">AA41*AA40^2</f>
        <v>6332850.5356309656</v>
      </c>
      <c r="AK40">
        <v>1</v>
      </c>
    </row>
    <row r="41" spans="1:41">
      <c r="A41" t="s">
        <v>1249</v>
      </c>
      <c r="B41" t="s">
        <v>903</v>
      </c>
      <c r="C41">
        <v>3.0000000000000001E-3</v>
      </c>
      <c r="H41" s="50">
        <f t="shared" ref="H41" si="101">C40*COS(RADIANS(G40+C41))</f>
        <v>332.98633908226225</v>
      </c>
      <c r="I41" s="51">
        <f t="shared" ref="I41" si="102">H41-$AO$34</f>
        <v>332.98784245886935</v>
      </c>
      <c r="N41" s="3"/>
      <c r="Z41" s="52" t="s">
        <v>1145</v>
      </c>
      <c r="AA41" s="50">
        <f t="shared" si="91"/>
        <v>332.98633908226225</v>
      </c>
    </row>
    <row r="42" spans="1:41">
      <c r="A42" s="80" t="s">
        <v>1250</v>
      </c>
      <c r="B42" t="s">
        <v>165</v>
      </c>
      <c r="C42">
        <v>-3</v>
      </c>
      <c r="H42" s="50"/>
      <c r="I42" s="51"/>
      <c r="N42" s="3"/>
      <c r="Z42" s="52"/>
      <c r="AA42" s="50"/>
    </row>
    <row r="43" spans="1:41">
      <c r="A43" t="s">
        <v>304</v>
      </c>
      <c r="B43" t="s">
        <v>901</v>
      </c>
      <c r="C43">
        <v>360.416</v>
      </c>
      <c r="G43">
        <f t="shared" ref="G43:G52" si="103">G40+360/16</f>
        <v>360</v>
      </c>
      <c r="H43" s="50">
        <f t="shared" ref="H43" si="104">C43*SIN(RADIANS(G43+C44))</f>
        <v>-1.2580891751396435E-2</v>
      </c>
      <c r="I43" s="51">
        <f t="shared" ref="I43:I52" si="105">H43-$AO$35</f>
        <v>-1.009122889083792E-2</v>
      </c>
      <c r="N43" s="3" t="s">
        <v>1152</v>
      </c>
      <c r="Z43" s="52" t="s">
        <v>1144</v>
      </c>
      <c r="AA43" s="50">
        <f t="shared" ref="AA43:AA44" si="106">H43</f>
        <v>-1.2580891751396435E-2</v>
      </c>
      <c r="AB43" s="45">
        <f t="shared" ref="AB43" si="107">AA44^3</f>
        <v>46817927.686901949</v>
      </c>
      <c r="AC43" s="45">
        <f t="shared" ref="AC43" si="108">AA44^2</f>
        <v>129899.69289772115</v>
      </c>
      <c r="AD43" s="45">
        <f t="shared" ref="AD43" si="109">AA44</f>
        <v>360.415999780422</v>
      </c>
      <c r="AE43" s="45">
        <f t="shared" ref="AE43" si="110">AA43^3</f>
        <v>-1.9912889181094173E-6</v>
      </c>
      <c r="AF43" s="45">
        <f t="shared" ref="AF43" si="111">AA43^2</f>
        <v>1.5827883726035486E-4</v>
      </c>
      <c r="AG43" s="45">
        <f t="shared" ref="AG43" si="112">AA43</f>
        <v>-1.2580891751396435E-2</v>
      </c>
      <c r="AH43" s="45">
        <f t="shared" ref="AH43" si="113">AA44^2*AA43</f>
        <v>-1634.2539748858701</v>
      </c>
      <c r="AI43" s="45">
        <f t="shared" ref="AI43" si="114">AA44*AA43</f>
        <v>-4.5343546787088105</v>
      </c>
      <c r="AJ43" s="45">
        <f t="shared" ref="AJ43" si="115">AA44*AA43^2</f>
        <v>5.7046225375273506E-2</v>
      </c>
      <c r="AK43">
        <v>1</v>
      </c>
    </row>
    <row r="44" spans="1:41">
      <c r="A44" t="s">
        <v>1251</v>
      </c>
      <c r="B44" t="s">
        <v>903</v>
      </c>
      <c r="C44">
        <v>-2E-3</v>
      </c>
      <c r="H44" s="50">
        <f t="shared" ref="H44" si="116">C43*COS(RADIANS(G43+C44))</f>
        <v>360.415999780422</v>
      </c>
      <c r="I44" s="51">
        <f t="shared" ref="I44:I53" si="117">H44-$AO$34</f>
        <v>360.4175031570291</v>
      </c>
      <c r="K44" s="3"/>
      <c r="L44" s="3"/>
      <c r="M44" s="3"/>
      <c r="N44" s="3">
        <f t="shared" ref="N44:N51" ca="1" si="118">SQRT(OFFSET(C$6, M7-1, 6)^2 + OFFSET(C$6, M7, 6)^2)</f>
        <v>360.33348969223505</v>
      </c>
      <c r="O44" s="3"/>
      <c r="P44" s="3"/>
      <c r="Z44" s="52" t="s">
        <v>1145</v>
      </c>
      <c r="AA44" s="50">
        <f t="shared" si="106"/>
        <v>360.415999780422</v>
      </c>
    </row>
    <row r="45" spans="1:41">
      <c r="A45" s="80" t="s">
        <v>1252</v>
      </c>
      <c r="B45" t="s">
        <v>165</v>
      </c>
      <c r="C45">
        <v>-3</v>
      </c>
      <c r="H45" s="50"/>
      <c r="I45" s="51"/>
      <c r="K45" s="3"/>
      <c r="L45" s="3"/>
      <c r="M45" s="3"/>
      <c r="N45" s="3">
        <f t="shared" ca="1" si="118"/>
        <v>360.35072483884818</v>
      </c>
      <c r="O45" s="3"/>
      <c r="P45" s="3"/>
      <c r="Z45" s="52"/>
      <c r="AA45" s="50"/>
    </row>
    <row r="46" spans="1:41">
      <c r="A46" t="s">
        <v>304</v>
      </c>
      <c r="B46" t="s">
        <v>901</v>
      </c>
      <c r="C46">
        <v>360.44400000000002</v>
      </c>
      <c r="G46">
        <f t="shared" si="103"/>
        <v>382.5</v>
      </c>
      <c r="H46" s="50">
        <f t="shared" ref="H46" si="119">C46*SIN(RADIANS(G46+C47))</f>
        <v>137.91851070926467</v>
      </c>
      <c r="I46" s="51">
        <f t="shared" si="105"/>
        <v>137.92100037212523</v>
      </c>
      <c r="K46" s="3"/>
      <c r="L46" s="3"/>
      <c r="M46" s="3"/>
      <c r="N46" s="3">
        <f t="shared" ca="1" si="118"/>
        <v>360.4156973714783</v>
      </c>
      <c r="O46" s="3"/>
      <c r="P46" s="3"/>
      <c r="Z46" s="52" t="s">
        <v>1144</v>
      </c>
      <c r="AA46" s="50">
        <f t="shared" ref="AA46:AA47" si="120">H46</f>
        <v>137.91851070926467</v>
      </c>
      <c r="AB46" s="45">
        <f t="shared" ref="AB46" si="121">AA47^3</f>
        <v>36930713.187789902</v>
      </c>
      <c r="AC46" s="45">
        <f t="shared" ref="AC46" si="122">AA47^2</f>
        <v>110898.36153973847</v>
      </c>
      <c r="AD46" s="45">
        <f t="shared" ref="AD46" si="123">AA47</f>
        <v>333.01405606931741</v>
      </c>
      <c r="AE46" s="45">
        <f t="shared" ref="AE46" si="124">AA46^3</f>
        <v>2623419.1024694438</v>
      </c>
      <c r="AF46" s="45">
        <f t="shared" ref="AF46" si="125">AA46^2</f>
        <v>19021.515596261554</v>
      </c>
      <c r="AG46" s="45">
        <f t="shared" ref="AG46" si="126">AA46</f>
        <v>137.91851070926467</v>
      </c>
      <c r="AH46" s="45">
        <f t="shared" ref="AH46" si="127">AA47^2*AA46</f>
        <v>15294936.863658326</v>
      </c>
      <c r="AI46" s="45">
        <f t="shared" ref="AI46" si="128">AA47*AA46</f>
        <v>45928.802658331813</v>
      </c>
      <c r="AJ46" s="45">
        <f t="shared" ref="AJ46" si="129">AA47*AA46^2</f>
        <v>6334432.0612968402</v>
      </c>
      <c r="AK46">
        <v>1</v>
      </c>
    </row>
    <row r="47" spans="1:41">
      <c r="A47" t="s">
        <v>1253</v>
      </c>
      <c r="B47" t="s">
        <v>903</v>
      </c>
      <c r="C47">
        <v>-3.0000000000000001E-3</v>
      </c>
      <c r="H47" s="50">
        <f t="shared" ref="H47" si="130">C46*COS(RADIANS(G46+C47))</f>
        <v>333.01405606931741</v>
      </c>
      <c r="I47" s="51">
        <f t="shared" si="117"/>
        <v>333.01555944592451</v>
      </c>
      <c r="L47" s="3"/>
      <c r="M47" s="3"/>
      <c r="N47" s="3">
        <f t="shared" ca="1" si="118"/>
        <v>360.47056377513439</v>
      </c>
      <c r="O47" s="3"/>
      <c r="P47" s="3"/>
      <c r="Z47" s="52" t="s">
        <v>1145</v>
      </c>
      <c r="AA47" s="50">
        <f t="shared" si="120"/>
        <v>333.01405606931741</v>
      </c>
    </row>
    <row r="48" spans="1:41">
      <c r="A48" s="80" t="s">
        <v>1254</v>
      </c>
      <c r="B48" t="s">
        <v>165</v>
      </c>
      <c r="C48">
        <v>-3</v>
      </c>
      <c r="H48" s="50"/>
      <c r="I48" s="51"/>
      <c r="L48" s="3"/>
      <c r="M48" s="3"/>
      <c r="N48" s="3">
        <f t="shared" ca="1" si="118"/>
        <v>360.47349663199054</v>
      </c>
      <c r="O48" s="3"/>
      <c r="P48" s="3"/>
      <c r="Z48" s="52"/>
      <c r="AA48" s="50"/>
    </row>
    <row r="49" spans="1:37">
      <c r="A49" t="s">
        <v>304</v>
      </c>
      <c r="B49" t="s">
        <v>901</v>
      </c>
      <c r="C49">
        <v>360.447</v>
      </c>
      <c r="G49">
        <f t="shared" si="103"/>
        <v>405</v>
      </c>
      <c r="H49" s="50">
        <f t="shared" ref="H49" si="131">C49*SIN(RADIANS(G49+C50))</f>
        <v>254.8700695200103</v>
      </c>
      <c r="I49" s="51">
        <f t="shared" si="105"/>
        <v>254.87255918287087</v>
      </c>
      <c r="L49" s="3"/>
      <c r="M49" s="3"/>
      <c r="N49" s="3">
        <f t="shared" ca="1" si="118"/>
        <v>360.43065828241737</v>
      </c>
      <c r="O49" s="3"/>
      <c r="P49" s="3"/>
      <c r="Z49" s="52" t="s">
        <v>1144</v>
      </c>
      <c r="AA49" s="50">
        <f t="shared" ref="AA49:AA50" si="132">H49</f>
        <v>254.8700695200103</v>
      </c>
      <c r="AB49" s="45">
        <f t="shared" ref="AB49" si="133">AA50^3</f>
        <v>16557775.559515977</v>
      </c>
      <c r="AC49" s="45">
        <f t="shared" ref="AC49" si="134">AA50^2</f>
        <v>64963.287471865115</v>
      </c>
      <c r="AD49" s="45">
        <f t="shared" ref="AD49" si="135">AA50</f>
        <v>254.87896631904547</v>
      </c>
      <c r="AE49" s="45">
        <f t="shared" ref="AE49" si="136">AA49^3</f>
        <v>16556041.724098701</v>
      </c>
      <c r="AF49" s="45">
        <f t="shared" ref="AF49" si="137">AA49^2</f>
        <v>64958.752337134887</v>
      </c>
      <c r="AG49" s="45">
        <f t="shared" ref="AG49" si="138">AA49</f>
        <v>254.8700695200103</v>
      </c>
      <c r="AH49" s="45">
        <f t="shared" ref="AH49" si="139">AA50^2*AA49</f>
        <v>16557197.594202677</v>
      </c>
      <c r="AI49" s="45">
        <f t="shared" ref="AI49" si="140">AA50*AA49</f>
        <v>64961.019864923488</v>
      </c>
      <c r="AJ49" s="45">
        <f t="shared" ref="AJ49" si="141">AA50*AA49^2</f>
        <v>16556619.64906382</v>
      </c>
      <c r="AK49">
        <v>1</v>
      </c>
    </row>
    <row r="50" spans="1:37">
      <c r="A50" t="s">
        <v>1255</v>
      </c>
      <c r="B50" t="s">
        <v>903</v>
      </c>
      <c r="C50">
        <v>-1E-3</v>
      </c>
      <c r="H50" s="50">
        <f t="shared" ref="H50" si="142">C49*COS(RADIANS(G49+C50))</f>
        <v>254.87896631904547</v>
      </c>
      <c r="I50" s="51">
        <f t="shared" si="117"/>
        <v>254.88046969565255</v>
      </c>
      <c r="L50" s="3"/>
      <c r="M50" s="3"/>
      <c r="N50" s="3">
        <f t="shared" ca="1" si="118"/>
        <v>360.38217650756235</v>
      </c>
      <c r="O50" s="3"/>
      <c r="P50" s="3"/>
      <c r="Z50" s="52" t="s">
        <v>1145</v>
      </c>
      <c r="AA50" s="50">
        <f t="shared" si="132"/>
        <v>254.87896631904547</v>
      </c>
    </row>
    <row r="51" spans="1:37">
      <c r="A51" s="80" t="s">
        <v>1256</v>
      </c>
      <c r="B51" t="s">
        <v>165</v>
      </c>
      <c r="C51">
        <v>-3.0009999999999999</v>
      </c>
      <c r="H51" s="50"/>
      <c r="I51" s="51"/>
      <c r="L51" s="3"/>
      <c r="M51" s="3"/>
      <c r="N51" s="3">
        <f t="shared" ca="1" si="118"/>
        <v>360.35812451915996</v>
      </c>
      <c r="O51" s="3"/>
      <c r="P51" s="3"/>
      <c r="Z51" s="52"/>
      <c r="AA51" s="50"/>
    </row>
    <row r="52" spans="1:37">
      <c r="A52" t="s">
        <v>304</v>
      </c>
      <c r="B52" t="s">
        <v>901</v>
      </c>
      <c r="C52">
        <v>360.39100000000002</v>
      </c>
      <c r="G52">
        <f t="shared" si="103"/>
        <v>427.5</v>
      </c>
      <c r="H52" s="50">
        <f t="shared" ref="H52" si="143">C52*SIN(RADIANS(G52+C53))</f>
        <v>332.95064689754065</v>
      </c>
      <c r="I52" s="51">
        <f t="shared" si="105"/>
        <v>332.95313656040122</v>
      </c>
      <c r="L52" s="3"/>
      <c r="M52" s="3"/>
      <c r="N52" s="3">
        <f t="shared" ref="N52:N59" ca="1" si="144">SQRT(OFFSET(C$6, M15-1, 6)^2 + OFFSET(C$6, M15, 6)^2)</f>
        <v>360.37451034027526</v>
      </c>
      <c r="O52" s="3"/>
      <c r="P52" s="3"/>
      <c r="Z52" s="52" t="s">
        <v>1144</v>
      </c>
      <c r="AA52" s="50">
        <f t="shared" ref="AA52:AA53" si="145">H52</f>
        <v>332.95064689754065</v>
      </c>
      <c r="AB52" s="45">
        <f t="shared" ref="AB52" si="146">AA53^3</f>
        <v>2624251.6257808311</v>
      </c>
      <c r="AC52" s="45">
        <f t="shared" ref="AC52" si="147">AA53^2</f>
        <v>19025.539611509208</v>
      </c>
      <c r="AD52" s="45">
        <f t="shared" ref="AD52" si="148">AA53</f>
        <v>137.93309831765981</v>
      </c>
      <c r="AE52" s="45">
        <f t="shared" ref="AE52" si="149">AA52^3</f>
        <v>36909621.284636937</v>
      </c>
      <c r="AF52" s="45">
        <f t="shared" ref="AF52" si="150">AA52^2</f>
        <v>110856.13326949079</v>
      </c>
      <c r="AG52" s="45">
        <f t="shared" ref="AG52" si="151">AA52</f>
        <v>332.95064689754065</v>
      </c>
      <c r="AH52" s="45">
        <f t="shared" ref="AH52" si="152">AA53^2*AA52</f>
        <v>6334565.7212267751</v>
      </c>
      <c r="AI52" s="45">
        <f t="shared" ref="AI52" si="153">AA53*AA52</f>
        <v>45924.914313446912</v>
      </c>
      <c r="AJ52" s="45">
        <f t="shared" ref="AJ52" si="154">AA53*AA52^2</f>
        <v>15290729.929376272</v>
      </c>
      <c r="AK52">
        <v>1</v>
      </c>
    </row>
    <row r="53" spans="1:37">
      <c r="A53" s="64" t="s">
        <v>1257</v>
      </c>
      <c r="B53" t="s">
        <v>903</v>
      </c>
      <c r="C53">
        <v>-3.0000000000000001E-3</v>
      </c>
      <c r="H53" s="50">
        <f t="shared" ref="H53" si="155">C52*COS(RADIANS(G52+C53))</f>
        <v>137.93309831765981</v>
      </c>
      <c r="I53" s="51">
        <f t="shared" si="117"/>
        <v>137.93460169426689</v>
      </c>
      <c r="L53" s="3"/>
      <c r="M53" s="3"/>
      <c r="N53" s="3">
        <f t="shared" ca="1" si="144"/>
        <v>360.41627517636755</v>
      </c>
      <c r="O53" s="3"/>
      <c r="P53" s="3"/>
      <c r="Z53" s="52" t="s">
        <v>1145</v>
      </c>
      <c r="AA53" s="50">
        <f t="shared" si="145"/>
        <v>137.93309831765981</v>
      </c>
    </row>
    <row r="54" spans="1:37">
      <c r="A54" s="76" t="s">
        <v>1258</v>
      </c>
      <c r="B54" t="s">
        <v>165</v>
      </c>
      <c r="C54">
        <v>-3</v>
      </c>
      <c r="H54" s="50"/>
      <c r="I54" s="51"/>
      <c r="L54" s="3"/>
      <c r="M54" s="3"/>
      <c r="N54" s="3">
        <f t="shared" ca="1" si="144"/>
        <v>360.42530265064102</v>
      </c>
      <c r="O54" s="3"/>
      <c r="P54" s="3"/>
      <c r="Z54" s="52"/>
      <c r="AA54" s="50"/>
      <c r="AB54" s="45">
        <f>SUM(AB7:AB53)</f>
        <v>-19778.038602459244</v>
      </c>
      <c r="AC54" s="45">
        <f t="shared" ref="AC54:AK54" si="156">SUM(AC7:AC53)</f>
        <v>1039315.0184909393</v>
      </c>
      <c r="AD54" s="45">
        <f t="shared" si="156"/>
        <v>1.4550665729274215E-2</v>
      </c>
      <c r="AE54" s="45">
        <f t="shared" si="156"/>
        <v>-22856.421249084175</v>
      </c>
      <c r="AF54" s="45">
        <f t="shared" si="156"/>
        <v>1039005.8512040608</v>
      </c>
      <c r="AG54" s="45">
        <f t="shared" si="156"/>
        <v>-4.6561535954481315E-2</v>
      </c>
      <c r="AH54" s="45">
        <f t="shared" si="156"/>
        <v>11634.759909356944</v>
      </c>
      <c r="AI54" s="45">
        <f t="shared" si="156"/>
        <v>-0.15389362716814503</v>
      </c>
      <c r="AJ54" s="45">
        <f t="shared" si="156"/>
        <v>18543.135112013668</v>
      </c>
      <c r="AK54" s="45">
        <f t="shared" si="156"/>
        <v>16</v>
      </c>
    </row>
    <row r="55" spans="1:37">
      <c r="A55" s="64"/>
      <c r="H55" s="50"/>
      <c r="I55" s="51"/>
      <c r="L55" s="3"/>
      <c r="M55" s="3"/>
      <c r="N55" s="3">
        <f t="shared" ca="1" si="144"/>
        <v>360.41443634817688</v>
      </c>
      <c r="O55" s="3"/>
      <c r="P55" s="3"/>
      <c r="Z55" s="52"/>
      <c r="AA55" s="50"/>
      <c r="AB55" s="48" t="s">
        <v>1135</v>
      </c>
      <c r="AC55" s="48" t="s">
        <v>1136</v>
      </c>
      <c r="AD55" s="48" t="s">
        <v>1137</v>
      </c>
      <c r="AE55" s="48" t="s">
        <v>1138</v>
      </c>
      <c r="AF55" s="48" t="s">
        <v>1139</v>
      </c>
      <c r="AG55" s="48" t="s">
        <v>1140</v>
      </c>
      <c r="AH55" s="48" t="s">
        <v>1141</v>
      </c>
      <c r="AI55" s="48" t="s">
        <v>1142</v>
      </c>
      <c r="AJ55" s="48" t="s">
        <v>1143</v>
      </c>
      <c r="AK55" s="49">
        <v>1</v>
      </c>
    </row>
    <row r="56" spans="1:37">
      <c r="A56" s="64"/>
      <c r="H56" s="50"/>
      <c r="I56" s="51"/>
      <c r="L56" s="3"/>
      <c r="M56" s="3"/>
      <c r="N56" s="3">
        <f t="shared" ca="1" si="144"/>
        <v>360.41750329829983</v>
      </c>
      <c r="O56" s="3"/>
      <c r="P56" s="3"/>
      <c r="Z56" s="52"/>
      <c r="AA56" s="50"/>
    </row>
    <row r="57" spans="1:37">
      <c r="A57" s="64"/>
      <c r="H57" s="50"/>
      <c r="I57" s="51"/>
      <c r="L57" s="3"/>
      <c r="M57" s="3"/>
      <c r="N57" s="3">
        <f t="shared" ca="1" si="144"/>
        <v>360.44634160541824</v>
      </c>
      <c r="O57" s="3"/>
      <c r="P57" s="3"/>
      <c r="Z57" s="52"/>
      <c r="AA57" s="50"/>
    </row>
    <row r="58" spans="1:37">
      <c r="A58" s="64"/>
      <c r="H58" s="50"/>
      <c r="I58" s="51"/>
      <c r="L58" s="3"/>
      <c r="M58" s="3"/>
      <c r="N58" s="3">
        <f t="shared" ca="1" si="144"/>
        <v>360.44982349378733</v>
      </c>
      <c r="O58" s="3"/>
      <c r="P58" s="3"/>
      <c r="Z58" s="52"/>
      <c r="AA58" s="50"/>
    </row>
    <row r="59" spans="1:37">
      <c r="A59" s="64"/>
      <c r="H59" s="50"/>
      <c r="I59" s="51"/>
      <c r="L59" s="3"/>
      <c r="M59" s="3"/>
      <c r="N59" s="3">
        <f t="shared" ca="1" si="144"/>
        <v>360.39387548897838</v>
      </c>
      <c r="O59" s="3"/>
      <c r="P59" s="3"/>
      <c r="Z59" s="52"/>
      <c r="AA59" s="50"/>
    </row>
    <row r="60" spans="1:37">
      <c r="A60" s="64"/>
      <c r="H60" s="50"/>
      <c r="I60" s="51"/>
      <c r="L60" s="3"/>
      <c r="M60" s="3"/>
      <c r="N60" s="3"/>
      <c r="O60" s="3"/>
      <c r="P60" s="3"/>
      <c r="Z60" s="52"/>
      <c r="AA60" s="50"/>
    </row>
    <row r="61" spans="1:37">
      <c r="A61" s="64"/>
      <c r="H61" s="50"/>
      <c r="I61" s="51"/>
      <c r="M61" s="5" t="s">
        <v>3</v>
      </c>
      <c r="N61" s="3" t="str">
        <f>"&gt;"&amp;TEXT(($E$2+$E$3)/2, "0.###")</f>
        <v>&gt;360.49</v>
      </c>
      <c r="P61" s="3"/>
      <c r="Z61" s="52"/>
      <c r="AA61" s="50"/>
    </row>
    <row r="62" spans="1:37">
      <c r="A62" s="64"/>
      <c r="H62" s="50"/>
      <c r="I62" s="51"/>
      <c r="M62" s="6" t="s">
        <v>4</v>
      </c>
      <c r="N62" s="3" t="str">
        <f>"&lt;"&amp;TEXT(($E$2+$C$4)/2, "0.###")</f>
        <v>&lt;360.36</v>
      </c>
      <c r="P62" s="3"/>
      <c r="Z62" s="52"/>
      <c r="AA62" s="50"/>
    </row>
    <row r="63" spans="1:37">
      <c r="A63" s="64"/>
      <c r="H63" s="50"/>
      <c r="I63" s="51"/>
      <c r="M63" s="7"/>
      <c r="N63" s="8" t="s">
        <v>0</v>
      </c>
      <c r="O63" s="3"/>
      <c r="P63" s="3"/>
      <c r="Z63" s="52"/>
      <c r="AA63" s="50"/>
    </row>
    <row r="64" spans="1:37">
      <c r="A64" s="64"/>
      <c r="H64" s="50"/>
      <c r="I64" s="51"/>
      <c r="M64" s="9" t="s">
        <v>6</v>
      </c>
      <c r="N64" s="10">
        <f ca="1">AVERAGE(N44:N59)*2</f>
        <v>720.81912500259637</v>
      </c>
      <c r="O64" s="3"/>
      <c r="P64" s="3"/>
      <c r="Z64" s="52"/>
      <c r="AA64" s="50"/>
    </row>
    <row r="65" spans="1:45">
      <c r="A65" s="64"/>
      <c r="H65" s="50"/>
      <c r="I65" s="51"/>
      <c r="M65" s="9"/>
      <c r="N65" s="11" t="str">
        <f ca="1">IF(N64&lt;$E$2+$C$4, "U/Min "&amp;TEXT($E$2+$C$4-N64, "0.###"), IF(N64&gt;$E$2+$E$3, "O/Max "&amp;TEXT(N64-$E$2-$E$3, "0.###"), "-"))</f>
        <v>-</v>
      </c>
      <c r="O65" s="3"/>
      <c r="P65" s="3"/>
      <c r="Z65" s="52"/>
      <c r="AA65" s="50"/>
    </row>
    <row r="66" spans="1:45">
      <c r="A66" s="64"/>
      <c r="H66" s="50"/>
      <c r="I66" s="51"/>
      <c r="M66" s="9" t="s">
        <v>7</v>
      </c>
      <c r="N66" s="10">
        <f ca="1">MAX(N44:N59)-MIN(N44:N59)</f>
        <v>0.14000693975549439</v>
      </c>
      <c r="O66" s="3"/>
      <c r="P66" s="3"/>
      <c r="Z66" s="52"/>
      <c r="AA66" s="50"/>
    </row>
    <row r="67" spans="1:45">
      <c r="A67" s="64"/>
      <c r="H67" s="50"/>
      <c r="I67" s="51"/>
      <c r="M67" s="9"/>
      <c r="N67" s="11" t="str">
        <f ca="1">IF(N66&gt;0.64, "O/Max "&amp;TEXT(N66-0.13, "0.###"), "-")</f>
        <v>-</v>
      </c>
      <c r="O67" s="3"/>
      <c r="P67" s="3"/>
      <c r="Z67" s="52"/>
      <c r="AA67" s="50"/>
    </row>
    <row r="68" spans="1:45">
      <c r="A68" s="64"/>
      <c r="H68" s="50"/>
      <c r="I68" s="51"/>
      <c r="M68" s="9" t="s">
        <v>8</v>
      </c>
      <c r="N68" s="12">
        <f ca="1">COUNTIF(N44:N59, $N61)</f>
        <v>0</v>
      </c>
      <c r="O68" s="3"/>
      <c r="P68" s="3"/>
      <c r="Z68" s="52"/>
      <c r="AA68" s="50"/>
    </row>
    <row r="69" spans="1:45">
      <c r="A69" s="64"/>
      <c r="H69" s="50"/>
      <c r="I69" s="51"/>
      <c r="M69" s="9" t="s">
        <v>9</v>
      </c>
      <c r="N69" s="12">
        <f ca="1">COUNTIF(N44:N59, $N62)</f>
        <v>3</v>
      </c>
      <c r="Z69" s="52"/>
      <c r="AA69" s="50"/>
      <c r="AO69" s="53"/>
      <c r="AP69" s="53"/>
      <c r="AQ69" s="53"/>
      <c r="AR69" s="54"/>
      <c r="AS69" s="53"/>
    </row>
    <row r="70" spans="1:45">
      <c r="A70" s="64"/>
      <c r="M70" s="12"/>
      <c r="N70" s="14" t="str">
        <f ca="1">TEXT(N68+N69,"0")&amp;"/16"</f>
        <v>3/16</v>
      </c>
      <c r="Z70" s="52"/>
      <c r="AA70" s="50"/>
      <c r="AN70" s="55"/>
      <c r="AO70" s="53"/>
      <c r="AP70" s="53"/>
      <c r="AQ70" s="53"/>
      <c r="AR70" s="56"/>
      <c r="AS70" s="53"/>
    </row>
    <row r="71" spans="1:45">
      <c r="A71" s="64"/>
      <c r="Z71" s="52"/>
      <c r="AA71" s="50"/>
      <c r="AO71" s="53"/>
      <c r="AP71" s="53"/>
      <c r="AQ71" s="53"/>
      <c r="AR71" s="56"/>
      <c r="AS71" s="53"/>
    </row>
    <row r="72" spans="1:45">
      <c r="A72" s="64"/>
      <c r="M72" s="61" t="s">
        <v>6</v>
      </c>
      <c r="N72" s="71">
        <f ca="1">N64</f>
        <v>720.81912500259637</v>
      </c>
      <c r="O72" s="66"/>
      <c r="P72" s="66"/>
      <c r="Z72" s="52"/>
      <c r="AA72" s="50"/>
      <c r="AO72" s="56"/>
      <c r="AP72" s="56"/>
      <c r="AQ72" s="56"/>
      <c r="AR72" s="56"/>
      <c r="AS72" s="56"/>
    </row>
    <row r="73" spans="1:45">
      <c r="A73" s="64"/>
      <c r="M73" s="67" t="s">
        <v>90</v>
      </c>
      <c r="N73" s="67"/>
      <c r="O73" s="62"/>
      <c r="P73" s="66"/>
      <c r="Z73" s="52"/>
      <c r="AA73" s="50"/>
      <c r="AO73" s="53"/>
      <c r="AP73" s="53"/>
      <c r="AQ73" s="53"/>
      <c r="AR73" s="56"/>
      <c r="AS73" s="53"/>
    </row>
    <row r="74" spans="1:45">
      <c r="A74" s="64"/>
      <c r="M74" s="67" t="s">
        <v>91</v>
      </c>
      <c r="N74" s="65">
        <f ca="1">MAX(N44:N59)*2</f>
        <v>720.94699326398108</v>
      </c>
      <c r="O74" s="68" t="str">
        <f ca="1">IF(N74&gt;P7*2, "O/Max "&amp;TEXT(N74-P7*2, "0.000"), "-")</f>
        <v>-</v>
      </c>
      <c r="P74" s="66"/>
      <c r="Z74" s="52"/>
      <c r="AA74" s="50"/>
      <c r="AO74" s="53"/>
      <c r="AP74" s="53"/>
      <c r="AQ74" s="53"/>
      <c r="AR74" s="56"/>
      <c r="AS74" s="53"/>
    </row>
    <row r="75" spans="1:45">
      <c r="A75" s="64"/>
      <c r="M75" s="67" t="s">
        <v>92</v>
      </c>
      <c r="N75" s="65">
        <f ca="1">MIN(N44:N59)*2</f>
        <v>720.6669793844701</v>
      </c>
      <c r="O75" s="68" t="str">
        <f ca="1">IF(N75&lt;O7*2, "U/Min "&amp;TEXT(O7*2-N75, "0.000"), "-")</f>
        <v>U/Min 0.053</v>
      </c>
      <c r="P75" s="66"/>
      <c r="Z75" s="52"/>
      <c r="AA75" s="50"/>
      <c r="AO75" s="53"/>
      <c r="AP75" s="53"/>
      <c r="AQ75" s="53"/>
      <c r="AR75" s="56"/>
      <c r="AS75" s="53"/>
    </row>
    <row r="76" spans="1:45">
      <c r="A76" s="64"/>
      <c r="M76" s="19"/>
      <c r="N76" s="72"/>
      <c r="Z76" s="52"/>
      <c r="AA76" s="50"/>
      <c r="AO76" s="56"/>
      <c r="AP76" s="56"/>
      <c r="AQ76" s="56"/>
      <c r="AR76" s="56"/>
      <c r="AS76" s="56"/>
    </row>
    <row r="77" spans="1:45">
      <c r="A77" s="64"/>
      <c r="M77" s="19"/>
      <c r="N77" s="21"/>
      <c r="Z77" s="52"/>
      <c r="AA77" s="50"/>
      <c r="AO77" s="53"/>
      <c r="AP77" s="56"/>
      <c r="AQ77" s="56"/>
      <c r="AR77" s="56"/>
      <c r="AS77" s="56"/>
    </row>
    <row r="78" spans="1:45">
      <c r="A78" s="64"/>
      <c r="M78" s="19"/>
      <c r="N78" s="21"/>
      <c r="Z78" s="52"/>
      <c r="AA78" s="50"/>
      <c r="AO78" s="53"/>
      <c r="AP78" s="56"/>
      <c r="AQ78" s="56"/>
      <c r="AR78" s="56"/>
      <c r="AS78" s="56"/>
    </row>
    <row r="79" spans="1:45">
      <c r="A79" s="64"/>
      <c r="M79" s="21"/>
      <c r="N79" s="22"/>
      <c r="Z79" s="52"/>
      <c r="AA79" s="50"/>
      <c r="AO79" s="53"/>
      <c r="AP79" s="56"/>
      <c r="AQ79" s="56"/>
      <c r="AR79" s="56"/>
      <c r="AS79" s="56"/>
    </row>
    <row r="80" spans="1:45">
      <c r="A80" s="64"/>
      <c r="Z80" s="52"/>
      <c r="AA80" s="50"/>
    </row>
    <row r="81" spans="1:41">
      <c r="A81" s="64"/>
      <c r="Z81" s="52"/>
      <c r="AA81" s="50"/>
      <c r="AO81" s="63"/>
    </row>
    <row r="82" spans="1:41">
      <c r="A82" s="64"/>
      <c r="Z82" s="52"/>
      <c r="AA82" s="50"/>
      <c r="AO82" s="63"/>
    </row>
    <row r="83" spans="1:41">
      <c r="A83" s="64"/>
      <c r="Z83" s="52"/>
      <c r="AA83" s="50"/>
      <c r="AM83" s="47"/>
      <c r="AO83" s="51"/>
    </row>
    <row r="84" spans="1:41">
      <c r="A84" s="64"/>
      <c r="Z84" s="52"/>
      <c r="AA84" s="50"/>
      <c r="AM84" s="47"/>
    </row>
    <row r="85" spans="1:41">
      <c r="A85" s="64"/>
      <c r="Z85" s="52"/>
      <c r="AA85" s="50"/>
    </row>
    <row r="86" spans="1:41">
      <c r="A86" s="64"/>
      <c r="Z86" s="52"/>
      <c r="AA86" s="50"/>
    </row>
    <row r="87" spans="1:41">
      <c r="A87" s="64"/>
      <c r="Z87" s="52"/>
      <c r="AA87" s="50"/>
    </row>
    <row r="88" spans="1:41">
      <c r="A88" s="64"/>
      <c r="Z88" s="52"/>
      <c r="AA88" s="50"/>
    </row>
    <row r="89" spans="1:41">
      <c r="A89" s="64"/>
      <c r="Z89" s="52"/>
      <c r="AA89" s="50"/>
    </row>
    <row r="90" spans="1:41">
      <c r="A90" s="64"/>
      <c r="Z90" s="52"/>
      <c r="AA90" s="50"/>
    </row>
    <row r="91" spans="1:41">
      <c r="A91" s="64"/>
      <c r="Z91" s="52"/>
      <c r="AA91" s="50"/>
    </row>
    <row r="92" spans="1:41">
      <c r="A92" s="64"/>
      <c r="Z92" s="52"/>
      <c r="AA92" s="50"/>
    </row>
    <row r="93" spans="1:41">
      <c r="A93" s="64"/>
      <c r="Z93" s="52"/>
      <c r="AA93" s="50"/>
    </row>
    <row r="94" spans="1:41">
      <c r="A94" s="64"/>
      <c r="Z94" s="52"/>
      <c r="AA94" s="50"/>
    </row>
    <row r="95" spans="1:41">
      <c r="A95" s="64"/>
      <c r="Z95" s="52"/>
      <c r="AA95" s="50"/>
    </row>
    <row r="96" spans="1:41">
      <c r="A96" s="64"/>
      <c r="Z96" s="52"/>
      <c r="AA96" s="50"/>
    </row>
    <row r="97" spans="1:27">
      <c r="A97" s="64"/>
      <c r="Z97" s="52"/>
      <c r="AA97" s="50"/>
    </row>
    <row r="98" spans="1:27">
      <c r="A98" s="64"/>
      <c r="Z98" s="52"/>
      <c r="AA98" s="50"/>
    </row>
    <row r="99" spans="1:27">
      <c r="A99" s="64"/>
      <c r="Z99" s="52"/>
      <c r="AA99" s="50"/>
    </row>
    <row r="100" spans="1:27">
      <c r="A100" s="64"/>
      <c r="Z100" s="52"/>
      <c r="AA100" s="50"/>
    </row>
    <row r="101" spans="1:27">
      <c r="Z101" s="52"/>
      <c r="AA101" s="50"/>
    </row>
    <row r="102" spans="1:27">
      <c r="H102" s="73"/>
      <c r="Z102" s="52"/>
      <c r="AA102" s="50"/>
    </row>
    <row r="103" spans="1:27">
      <c r="H103" s="73"/>
      <c r="Z103" s="52"/>
      <c r="AA103" s="50"/>
    </row>
    <row r="104" spans="1:27">
      <c r="H104" s="74"/>
      <c r="Z104" s="52"/>
      <c r="AA104" s="50"/>
    </row>
    <row r="105" spans="1:27">
      <c r="H105" s="73"/>
      <c r="Z105" s="52"/>
      <c r="AA105" s="50"/>
    </row>
    <row r="106" spans="1:27">
      <c r="H106" s="73"/>
      <c r="Z106" s="52"/>
      <c r="AA106" s="50"/>
    </row>
    <row r="107" spans="1:27">
      <c r="H107" s="74"/>
      <c r="Z107" s="52"/>
      <c r="AA107" s="50"/>
    </row>
    <row r="108" spans="1:27">
      <c r="Z108" s="52"/>
      <c r="AA108" s="50"/>
    </row>
    <row r="109" spans="1:27">
      <c r="Z109" s="52"/>
      <c r="AA109" s="50"/>
    </row>
    <row r="110" spans="1:27">
      <c r="Z110" s="52"/>
      <c r="AA110" s="50"/>
    </row>
    <row r="111" spans="1:27">
      <c r="Z111" s="52"/>
      <c r="AA111" s="50"/>
    </row>
    <row r="112" spans="1:27">
      <c r="Z112" s="52"/>
      <c r="AA112" s="50"/>
    </row>
    <row r="113" spans="26:27">
      <c r="Z113" s="52"/>
      <c r="AA113" s="50"/>
    </row>
    <row r="114" spans="26:27">
      <c r="Z114" s="52"/>
      <c r="AA114" s="50"/>
    </row>
    <row r="115" spans="26:27">
      <c r="Z115" s="52"/>
      <c r="AA115" s="50"/>
    </row>
    <row r="116" spans="26:27">
      <c r="Z116" s="52"/>
      <c r="AA116" s="50"/>
    </row>
    <row r="117" spans="26:27">
      <c r="Z117" s="52"/>
      <c r="AA117" s="50"/>
    </row>
    <row r="118" spans="26:27">
      <c r="Z118" s="52"/>
      <c r="AA118" s="50"/>
    </row>
    <row r="119" spans="26:27">
      <c r="Z119" s="52"/>
      <c r="AA119" s="50"/>
    </row>
    <row r="120" spans="26:27">
      <c r="Z120" s="52"/>
      <c r="AA120" s="50"/>
    </row>
    <row r="121" spans="26:27">
      <c r="Z121" s="52"/>
      <c r="AA121" s="50"/>
    </row>
    <row r="122" spans="26:27">
      <c r="Z122" s="52"/>
      <c r="AA122" s="50"/>
    </row>
    <row r="123" spans="26:27">
      <c r="Z123" s="52"/>
      <c r="AA123" s="50"/>
    </row>
    <row r="124" spans="26:27">
      <c r="Z124" s="52"/>
      <c r="AA124" s="50"/>
    </row>
    <row r="125" spans="26:27">
      <c r="Z125" s="52"/>
      <c r="AA125" s="50"/>
    </row>
    <row r="126" spans="26:27">
      <c r="Z126" s="52"/>
      <c r="AA126" s="50"/>
    </row>
    <row r="127" spans="26:27">
      <c r="Z127" s="52"/>
      <c r="AA127" s="50"/>
    </row>
    <row r="128" spans="26:27">
      <c r="Z128" s="52"/>
      <c r="AA128" s="50"/>
    </row>
    <row r="129" spans="26:27">
      <c r="Z129" s="52"/>
      <c r="AA129" s="50"/>
    </row>
    <row r="130" spans="26:27">
      <c r="Z130" s="52"/>
      <c r="AA130" s="50"/>
    </row>
    <row r="131" spans="26:27">
      <c r="Z131" s="52"/>
      <c r="AA131" s="50"/>
    </row>
    <row r="132" spans="26:27">
      <c r="Z132" s="52"/>
      <c r="AA132" s="50"/>
    </row>
    <row r="133" spans="26:27">
      <c r="Z133" s="52"/>
      <c r="AA133" s="50"/>
    </row>
    <row r="134" spans="26:27">
      <c r="Z134" s="52"/>
      <c r="AA134" s="50"/>
    </row>
    <row r="135" spans="26:27">
      <c r="Z135" s="52"/>
      <c r="AA135" s="50"/>
    </row>
    <row r="136" spans="26:27">
      <c r="Z136" s="52"/>
      <c r="AA136" s="50"/>
    </row>
    <row r="137" spans="26:27">
      <c r="Z137" s="52"/>
      <c r="AA137" s="50"/>
    </row>
    <row r="138" spans="26:27">
      <c r="Z138" s="52"/>
      <c r="AA138" s="50"/>
    </row>
    <row r="139" spans="26:27">
      <c r="Z139" s="52"/>
      <c r="AA139" s="50"/>
    </row>
    <row r="140" spans="26:27">
      <c r="Z140" s="52"/>
      <c r="AA140" s="50"/>
    </row>
    <row r="141" spans="26:27">
      <c r="Z141" s="52"/>
      <c r="AA141" s="50"/>
    </row>
    <row r="142" spans="26:27">
      <c r="Z142" s="52"/>
      <c r="AA142" s="50"/>
    </row>
    <row r="143" spans="26:27">
      <c r="Z143" s="52"/>
      <c r="AA143" s="50"/>
    </row>
    <row r="144" spans="26:27">
      <c r="Z144" s="52"/>
      <c r="AA144" s="50"/>
    </row>
    <row r="145" spans="26:27">
      <c r="Z145" s="52"/>
      <c r="AA145" s="50"/>
    </row>
    <row r="146" spans="26:27">
      <c r="Z146" s="52"/>
      <c r="AA146" s="50"/>
    </row>
    <row r="147" spans="26:27">
      <c r="Z147" s="52"/>
      <c r="AA147" s="50"/>
    </row>
    <row r="148" spans="26:27">
      <c r="Z148" s="52"/>
      <c r="AA148" s="50"/>
    </row>
    <row r="149" spans="26:27">
      <c r="Z149" s="52"/>
      <c r="AA149" s="50"/>
    </row>
    <row r="150" spans="26:27">
      <c r="Z150" s="52"/>
      <c r="AA150" s="50"/>
    </row>
    <row r="151" spans="26:27">
      <c r="Z151" s="52"/>
      <c r="AA151" s="50"/>
    </row>
    <row r="152" spans="26:27">
      <c r="Z152" s="52"/>
      <c r="AA152" s="50"/>
    </row>
    <row r="153" spans="26:27">
      <c r="Z153" s="52"/>
      <c r="AA153" s="50"/>
    </row>
    <row r="154" spans="26:27">
      <c r="Z154" s="52"/>
      <c r="AA154" s="50"/>
    </row>
    <row r="155" spans="26:27">
      <c r="Z155" s="52"/>
      <c r="AA155" s="50"/>
    </row>
    <row r="156" spans="26:27">
      <c r="Z156" s="52"/>
      <c r="AA156" s="50"/>
    </row>
    <row r="157" spans="26:27">
      <c r="Z157" s="52"/>
      <c r="AA157" s="50"/>
    </row>
    <row r="158" spans="26:27">
      <c r="Z158" s="52"/>
      <c r="AA158" s="50"/>
    </row>
    <row r="159" spans="26:27">
      <c r="Z159" s="52"/>
      <c r="AA159" s="50"/>
    </row>
    <row r="160" spans="26:27">
      <c r="Z160" s="52"/>
      <c r="AA160" s="50"/>
    </row>
    <row r="161" spans="26:27">
      <c r="Z161" s="52"/>
      <c r="AA161" s="50"/>
    </row>
    <row r="162" spans="26:27">
      <c r="Z162" s="52"/>
      <c r="AA162" s="50"/>
    </row>
    <row r="163" spans="26:27">
      <c r="Z163" s="52"/>
      <c r="AA163" s="50"/>
    </row>
    <row r="164" spans="26:27">
      <c r="Z164" s="52"/>
      <c r="AA164" s="50"/>
    </row>
    <row r="165" spans="26:27">
      <c r="Z165" s="52"/>
      <c r="AA165" s="50"/>
    </row>
    <row r="166" spans="26:27">
      <c r="Z166" s="52"/>
      <c r="AA166" s="50"/>
    </row>
    <row r="167" spans="26:27">
      <c r="Z167" s="52"/>
      <c r="AA167" s="50"/>
    </row>
    <row r="168" spans="26:27">
      <c r="Z168" s="52"/>
      <c r="AA168" s="50"/>
    </row>
    <row r="169" spans="26:27">
      <c r="Z169" s="52"/>
      <c r="AA169" s="50"/>
    </row>
    <row r="170" spans="26:27">
      <c r="Z170" s="52"/>
      <c r="AA170" s="50"/>
    </row>
    <row r="171" spans="26:27">
      <c r="Z171" s="52"/>
      <c r="AA171" s="50"/>
    </row>
    <row r="172" spans="26:27">
      <c r="Z172" s="52"/>
      <c r="AA172" s="50"/>
    </row>
    <row r="173" spans="26:27">
      <c r="Z173" s="52"/>
      <c r="AA173" s="50"/>
    </row>
    <row r="174" spans="26:27">
      <c r="Z174" s="52"/>
      <c r="AA174" s="50"/>
    </row>
    <row r="175" spans="26:27">
      <c r="Z175" s="52"/>
      <c r="AA175" s="50"/>
    </row>
    <row r="176" spans="26:27">
      <c r="Z176" s="52"/>
      <c r="AA176" s="50"/>
    </row>
    <row r="177" spans="26:27">
      <c r="Z177" s="52"/>
      <c r="AA177" s="50"/>
    </row>
    <row r="178" spans="26:27">
      <c r="Z178" s="52"/>
      <c r="AA178" s="50"/>
    </row>
    <row r="179" spans="26:27">
      <c r="Z179" s="52"/>
      <c r="AA179" s="50"/>
    </row>
    <row r="180" spans="26:27">
      <c r="Z180" s="52"/>
      <c r="AA180" s="50"/>
    </row>
    <row r="181" spans="26:27">
      <c r="Z181" s="52"/>
      <c r="AA181" s="50"/>
    </row>
    <row r="182" spans="26:27">
      <c r="Z182" s="52"/>
      <c r="AA182" s="50"/>
    </row>
    <row r="183" spans="26:27">
      <c r="Z183" s="52"/>
      <c r="AA183" s="50"/>
    </row>
    <row r="184" spans="26:27">
      <c r="Z184" s="52"/>
      <c r="AA184" s="50"/>
    </row>
    <row r="185" spans="26:27">
      <c r="Z185" s="52"/>
      <c r="AA185" s="50"/>
    </row>
    <row r="186" spans="26:27">
      <c r="Z186" s="52"/>
      <c r="AA186" s="50"/>
    </row>
    <row r="187" spans="26:27">
      <c r="Z187" s="52"/>
      <c r="AA187" s="50"/>
    </row>
    <row r="188" spans="26:27">
      <c r="Z188" s="52"/>
      <c r="AA188" s="50"/>
    </row>
    <row r="189" spans="26:27">
      <c r="Z189" s="52"/>
      <c r="AA189" s="50"/>
    </row>
    <row r="190" spans="26:27">
      <c r="Z190" s="52"/>
      <c r="AA190" s="50"/>
    </row>
    <row r="191" spans="26:27">
      <c r="Z191" s="52"/>
      <c r="AA191" s="50"/>
    </row>
    <row r="192" spans="26:27">
      <c r="Z192" s="52"/>
      <c r="AA192" s="50"/>
    </row>
    <row r="193" spans="26:27">
      <c r="Z193" s="52"/>
      <c r="AA193" s="50"/>
    </row>
    <row r="194" spans="26:27">
      <c r="Z194" s="52"/>
      <c r="AA194" s="50"/>
    </row>
    <row r="195" spans="26:27">
      <c r="Z195" s="52"/>
      <c r="AA195" s="50"/>
    </row>
    <row r="196" spans="26:27">
      <c r="Z196" s="52"/>
      <c r="AA196" s="50"/>
    </row>
    <row r="197" spans="26:27">
      <c r="Z197" s="52"/>
      <c r="AA197" s="50"/>
    </row>
    <row r="198" spans="26:27">
      <c r="Z198" s="52"/>
      <c r="AA198" s="50"/>
    </row>
    <row r="199" spans="26:27">
      <c r="Z199" s="52"/>
      <c r="AA199" s="50"/>
    </row>
    <row r="200" spans="26:27">
      <c r="Z200" s="52"/>
      <c r="AA200" s="50"/>
    </row>
    <row r="201" spans="26:27">
      <c r="Z201" s="52"/>
      <c r="AA201" s="50"/>
    </row>
    <row r="202" spans="26:27">
      <c r="Z202" s="52"/>
      <c r="AA202" s="50"/>
    </row>
    <row r="203" spans="26:27">
      <c r="Z203" s="52"/>
      <c r="AA203" s="50"/>
    </row>
  </sheetData>
  <phoneticPr fontId="1"/>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
  <dimension ref="A3:O24"/>
  <sheetViews>
    <sheetView workbookViewId="0">
      <selection activeCell="B4" sqref="B4:B11"/>
    </sheetView>
  </sheetViews>
  <sheetFormatPr defaultRowHeight="15"/>
  <cols>
    <col min="1" max="1" width="5" style="36" customWidth="1"/>
    <col min="2" max="2" width="9.28515625" style="36" bestFit="1" customWidth="1"/>
    <col min="3" max="3" width="10.42578125" style="36" bestFit="1" customWidth="1"/>
    <col min="4" max="5" width="8.140625" style="36" bestFit="1" customWidth="1"/>
  </cols>
  <sheetData>
    <row r="3" spans="1:15">
      <c r="A3" s="36" t="s">
        <v>1194</v>
      </c>
      <c r="K3" s="3"/>
      <c r="L3" s="3" t="str">
        <f>A2&amp;" 再計測207-RSP.I"</f>
        <v xml:space="preserve"> 再計測207-RSP.I</v>
      </c>
      <c r="M3" s="3" t="s">
        <v>1195</v>
      </c>
      <c r="N3" s="3" t="s">
        <v>1</v>
      </c>
      <c r="O3" s="3" t="s">
        <v>2</v>
      </c>
    </row>
    <row r="4" spans="1:15">
      <c r="A4" s="36">
        <v>1</v>
      </c>
      <c r="C4" s="36">
        <v>1</v>
      </c>
      <c r="D4" s="36">
        <f t="shared" ref="D4:D11" si="0">B4/2</f>
        <v>0</v>
      </c>
      <c r="E4" s="36">
        <f>(720.85-0.13)/2</f>
        <v>360.36</v>
      </c>
      <c r="F4" s="36">
        <f>(720.85+0.13)/2</f>
        <v>360.49</v>
      </c>
      <c r="L4" s="3">
        <v>1</v>
      </c>
      <c r="M4" s="3">
        <f>VLOOKUP(L4, $C$4:$D$19, 2, FALSE)</f>
        <v>0</v>
      </c>
      <c r="N4" s="3">
        <f>'207'!O7</f>
        <v>360.36</v>
      </c>
      <c r="O4" s="3">
        <f>'207'!P7</f>
        <v>360.49</v>
      </c>
    </row>
    <row r="5" spans="1:15">
      <c r="A5" s="36">
        <v>2</v>
      </c>
      <c r="C5" s="36">
        <v>2</v>
      </c>
      <c r="D5" s="36">
        <f t="shared" si="0"/>
        <v>0</v>
      </c>
      <c r="E5" s="36">
        <f>E4</f>
        <v>360.36</v>
      </c>
      <c r="F5" s="36">
        <f>F4</f>
        <v>360.49</v>
      </c>
      <c r="L5" s="3">
        <v>16</v>
      </c>
      <c r="M5" s="3">
        <f t="shared" ref="M5:M19" si="1">VLOOKUP(L5, $C$4:$D$19, 2, FALSE)</f>
        <v>0</v>
      </c>
      <c r="N5" s="3">
        <f t="shared" ref="N5:O10" si="2">N4</f>
        <v>360.36</v>
      </c>
      <c r="O5" s="3">
        <f t="shared" si="2"/>
        <v>360.49</v>
      </c>
    </row>
    <row r="6" spans="1:15">
      <c r="A6" s="36">
        <v>3</v>
      </c>
      <c r="C6" s="36">
        <v>3</v>
      </c>
      <c r="D6" s="36">
        <f t="shared" si="0"/>
        <v>0</v>
      </c>
      <c r="E6" s="36">
        <f t="shared" ref="E6:F19" si="3">E5</f>
        <v>360.36</v>
      </c>
      <c r="F6" s="36">
        <f t="shared" si="3"/>
        <v>360.49</v>
      </c>
      <c r="L6">
        <v>15</v>
      </c>
      <c r="M6" s="3">
        <f t="shared" si="1"/>
        <v>0</v>
      </c>
      <c r="N6" s="3">
        <f t="shared" si="2"/>
        <v>360.36</v>
      </c>
      <c r="O6" s="3">
        <f t="shared" si="2"/>
        <v>360.49</v>
      </c>
    </row>
    <row r="7" spans="1:15">
      <c r="A7" s="36">
        <v>4</v>
      </c>
      <c r="C7" s="36">
        <v>4</v>
      </c>
      <c r="D7" s="36">
        <f t="shared" si="0"/>
        <v>0</v>
      </c>
      <c r="E7" s="36">
        <f t="shared" si="3"/>
        <v>360.36</v>
      </c>
      <c r="F7" s="36">
        <f t="shared" si="3"/>
        <v>360.49</v>
      </c>
      <c r="L7">
        <v>14</v>
      </c>
      <c r="M7" s="3">
        <f t="shared" si="1"/>
        <v>0</v>
      </c>
      <c r="N7" s="3">
        <f t="shared" si="2"/>
        <v>360.36</v>
      </c>
      <c r="O7" s="3">
        <f t="shared" si="2"/>
        <v>360.49</v>
      </c>
    </row>
    <row r="8" spans="1:15">
      <c r="A8" s="36">
        <v>5</v>
      </c>
      <c r="C8" s="36">
        <v>5</v>
      </c>
      <c r="D8" s="36">
        <f t="shared" si="0"/>
        <v>0</v>
      </c>
      <c r="E8" s="36">
        <f t="shared" si="3"/>
        <v>360.36</v>
      </c>
      <c r="F8" s="36">
        <f t="shared" si="3"/>
        <v>360.49</v>
      </c>
      <c r="L8">
        <v>13</v>
      </c>
      <c r="M8" s="3">
        <f t="shared" si="1"/>
        <v>0</v>
      </c>
      <c r="N8" s="3">
        <f t="shared" si="2"/>
        <v>360.36</v>
      </c>
      <c r="O8" s="3">
        <f t="shared" si="2"/>
        <v>360.49</v>
      </c>
    </row>
    <row r="9" spans="1:15">
      <c r="A9" s="36">
        <v>6</v>
      </c>
      <c r="C9" s="36">
        <v>6</v>
      </c>
      <c r="D9" s="36">
        <f t="shared" si="0"/>
        <v>0</v>
      </c>
      <c r="E9" s="36">
        <f t="shared" si="3"/>
        <v>360.36</v>
      </c>
      <c r="F9" s="36">
        <f t="shared" si="3"/>
        <v>360.49</v>
      </c>
      <c r="L9">
        <v>12</v>
      </c>
      <c r="M9" s="3">
        <f t="shared" si="1"/>
        <v>0</v>
      </c>
      <c r="N9" s="3">
        <f t="shared" si="2"/>
        <v>360.36</v>
      </c>
      <c r="O9" s="3">
        <f t="shared" si="2"/>
        <v>360.49</v>
      </c>
    </row>
    <row r="10" spans="1:15">
      <c r="A10" s="36">
        <v>7</v>
      </c>
      <c r="C10" s="36">
        <v>7</v>
      </c>
      <c r="D10" s="36">
        <f t="shared" si="0"/>
        <v>0</v>
      </c>
      <c r="E10" s="36">
        <f t="shared" si="3"/>
        <v>360.36</v>
      </c>
      <c r="F10" s="36">
        <f t="shared" si="3"/>
        <v>360.49</v>
      </c>
      <c r="L10">
        <v>11</v>
      </c>
      <c r="M10" s="3">
        <f t="shared" si="1"/>
        <v>0</v>
      </c>
      <c r="N10" s="3">
        <f t="shared" si="2"/>
        <v>360.36</v>
      </c>
      <c r="O10" s="3">
        <f t="shared" si="2"/>
        <v>360.49</v>
      </c>
    </row>
    <row r="11" spans="1:15">
      <c r="A11" s="36">
        <v>8</v>
      </c>
      <c r="C11" s="36">
        <v>8</v>
      </c>
      <c r="D11" s="36">
        <f t="shared" si="0"/>
        <v>0</v>
      </c>
      <c r="E11" s="36">
        <f t="shared" si="3"/>
        <v>360.36</v>
      </c>
      <c r="F11" s="36">
        <f t="shared" si="3"/>
        <v>360.49</v>
      </c>
      <c r="L11">
        <v>10</v>
      </c>
      <c r="M11" s="3">
        <f t="shared" si="1"/>
        <v>0</v>
      </c>
      <c r="N11" s="3">
        <f>N9</f>
        <v>360.36</v>
      </c>
      <c r="O11" s="3">
        <f>O9</f>
        <v>360.49</v>
      </c>
    </row>
    <row r="12" spans="1:15">
      <c r="C12" s="36">
        <v>9</v>
      </c>
      <c r="D12" s="36">
        <f t="shared" ref="D12:D19" si="4">B4/2</f>
        <v>0</v>
      </c>
      <c r="E12" s="36">
        <f t="shared" si="3"/>
        <v>360.36</v>
      </c>
      <c r="F12" s="36">
        <f t="shared" si="3"/>
        <v>360.49</v>
      </c>
      <c r="L12">
        <v>9</v>
      </c>
      <c r="M12" s="3">
        <f t="shared" si="1"/>
        <v>0</v>
      </c>
      <c r="N12" s="3">
        <f t="shared" ref="N12:O12" si="5">N10</f>
        <v>360.36</v>
      </c>
      <c r="O12" s="3">
        <f t="shared" si="5"/>
        <v>360.49</v>
      </c>
    </row>
    <row r="13" spans="1:15">
      <c r="C13" s="36">
        <v>10</v>
      </c>
      <c r="D13" s="36">
        <f t="shared" si="4"/>
        <v>0</v>
      </c>
      <c r="E13" s="36">
        <f t="shared" si="3"/>
        <v>360.36</v>
      </c>
      <c r="F13" s="36">
        <f t="shared" si="3"/>
        <v>360.49</v>
      </c>
      <c r="L13">
        <v>8</v>
      </c>
      <c r="M13" s="3">
        <f t="shared" si="1"/>
        <v>0</v>
      </c>
      <c r="N13" s="3">
        <f t="shared" ref="N13:O13" si="6">N11</f>
        <v>360.36</v>
      </c>
      <c r="O13" s="3">
        <f t="shared" si="6"/>
        <v>360.49</v>
      </c>
    </row>
    <row r="14" spans="1:15">
      <c r="C14" s="36">
        <v>11</v>
      </c>
      <c r="D14" s="36">
        <f t="shared" si="4"/>
        <v>0</v>
      </c>
      <c r="E14" s="36">
        <f t="shared" si="3"/>
        <v>360.36</v>
      </c>
      <c r="F14" s="36">
        <f t="shared" si="3"/>
        <v>360.49</v>
      </c>
      <c r="L14">
        <v>7</v>
      </c>
      <c r="M14" s="3">
        <f t="shared" si="1"/>
        <v>0</v>
      </c>
      <c r="N14" s="3">
        <f t="shared" ref="N14:O14" si="7">N12</f>
        <v>360.36</v>
      </c>
      <c r="O14" s="3">
        <f t="shared" si="7"/>
        <v>360.49</v>
      </c>
    </row>
    <row r="15" spans="1:15">
      <c r="C15" s="36">
        <v>12</v>
      </c>
      <c r="D15" s="36">
        <f t="shared" si="4"/>
        <v>0</v>
      </c>
      <c r="E15" s="36">
        <f t="shared" si="3"/>
        <v>360.36</v>
      </c>
      <c r="F15" s="36">
        <f t="shared" si="3"/>
        <v>360.49</v>
      </c>
      <c r="L15">
        <v>6</v>
      </c>
      <c r="M15" s="3">
        <f t="shared" si="1"/>
        <v>0</v>
      </c>
      <c r="N15" s="3">
        <f t="shared" ref="N15:O15" si="8">N13</f>
        <v>360.36</v>
      </c>
      <c r="O15" s="3">
        <f t="shared" si="8"/>
        <v>360.49</v>
      </c>
    </row>
    <row r="16" spans="1:15">
      <c r="C16" s="36">
        <v>13</v>
      </c>
      <c r="D16" s="36">
        <f t="shared" si="4"/>
        <v>0</v>
      </c>
      <c r="E16" s="36">
        <f t="shared" si="3"/>
        <v>360.36</v>
      </c>
      <c r="F16" s="36">
        <f t="shared" si="3"/>
        <v>360.49</v>
      </c>
      <c r="L16">
        <v>5</v>
      </c>
      <c r="M16" s="3">
        <f t="shared" si="1"/>
        <v>0</v>
      </c>
      <c r="N16" s="3">
        <f t="shared" ref="N16:O16" si="9">N14</f>
        <v>360.36</v>
      </c>
      <c r="O16" s="3">
        <f t="shared" si="9"/>
        <v>360.49</v>
      </c>
    </row>
    <row r="17" spans="3:15">
      <c r="C17" s="36">
        <v>14</v>
      </c>
      <c r="D17" s="36">
        <f t="shared" si="4"/>
        <v>0</v>
      </c>
      <c r="E17" s="36">
        <f t="shared" si="3"/>
        <v>360.36</v>
      </c>
      <c r="F17" s="36">
        <f t="shared" si="3"/>
        <v>360.49</v>
      </c>
      <c r="L17">
        <v>4</v>
      </c>
      <c r="M17" s="3">
        <f t="shared" si="1"/>
        <v>0</v>
      </c>
      <c r="N17" s="3">
        <f t="shared" ref="N17:O17" si="10">N15</f>
        <v>360.36</v>
      </c>
      <c r="O17" s="3">
        <f t="shared" si="10"/>
        <v>360.49</v>
      </c>
    </row>
    <row r="18" spans="3:15">
      <c r="C18" s="36">
        <v>15</v>
      </c>
      <c r="D18" s="36">
        <f t="shared" si="4"/>
        <v>0</v>
      </c>
      <c r="E18" s="36">
        <f t="shared" si="3"/>
        <v>360.36</v>
      </c>
      <c r="F18" s="36">
        <f t="shared" si="3"/>
        <v>360.49</v>
      </c>
      <c r="L18">
        <v>3</v>
      </c>
      <c r="M18" s="3">
        <f t="shared" si="1"/>
        <v>0</v>
      </c>
      <c r="N18" s="3">
        <f t="shared" ref="N18:O18" si="11">N16</f>
        <v>360.36</v>
      </c>
      <c r="O18" s="3">
        <f t="shared" si="11"/>
        <v>360.49</v>
      </c>
    </row>
    <row r="19" spans="3:15">
      <c r="C19" s="36">
        <v>16</v>
      </c>
      <c r="D19" s="36">
        <f t="shared" si="4"/>
        <v>0</v>
      </c>
      <c r="E19" s="36">
        <f t="shared" si="3"/>
        <v>360.36</v>
      </c>
      <c r="F19" s="36">
        <f t="shared" si="3"/>
        <v>360.49</v>
      </c>
      <c r="L19">
        <v>2</v>
      </c>
      <c r="M19" s="3">
        <f t="shared" si="1"/>
        <v>0</v>
      </c>
      <c r="N19" s="3">
        <f t="shared" ref="N19:O19" si="12">N17</f>
        <v>360.36</v>
      </c>
      <c r="O19" s="3">
        <f t="shared" si="12"/>
        <v>360.49</v>
      </c>
    </row>
    <row r="21" spans="3:15">
      <c r="L21" s="61" t="s">
        <v>6</v>
      </c>
      <c r="M21" s="71">
        <f>AVERAGE(M4:M19)</f>
        <v>0</v>
      </c>
      <c r="N21" s="66"/>
      <c r="O21" s="66"/>
    </row>
    <row r="22" spans="3:15">
      <c r="L22" s="67" t="s">
        <v>1155</v>
      </c>
      <c r="M22" s="67"/>
      <c r="N22" s="62"/>
      <c r="O22" s="66"/>
    </row>
    <row r="23" spans="3:15">
      <c r="L23" s="67" t="s">
        <v>91</v>
      </c>
      <c r="M23" s="65">
        <f>MAX(M1:M8)*2</f>
        <v>0</v>
      </c>
      <c r="N23" s="68" t="str">
        <f>IF(M23&gt;O4*2, "O/Max "&amp;TEXT(M23-O4*2, "0.000"), "-")</f>
        <v>-</v>
      </c>
      <c r="O23" s="66"/>
    </row>
    <row r="24" spans="3:15">
      <c r="L24" s="67" t="s">
        <v>92</v>
      </c>
      <c r="M24" s="65">
        <f>MIN(M1:M8)*2</f>
        <v>0</v>
      </c>
      <c r="N24" s="68" t="str">
        <f>IF(M24&lt;N4*2, "U/Min "&amp;TEXT(N4*2-M24, "0.000"), "-")</f>
        <v>U/Min 720.720</v>
      </c>
      <c r="O24" s="66"/>
    </row>
  </sheetData>
  <phoneticPr fontId="1"/>
  <pageMargins left="0.7" right="0.7"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9"/>
  <dimension ref="A1:P23"/>
  <sheetViews>
    <sheetView zoomScale="84" zoomScaleNormal="84" workbookViewId="0">
      <selection activeCell="W9" sqref="W9"/>
    </sheetView>
  </sheetViews>
  <sheetFormatPr defaultRowHeight="15"/>
  <sheetData>
    <row r="1" spans="1:16">
      <c r="A1" t="s">
        <v>1159</v>
      </c>
      <c r="D1" t="s">
        <v>1159</v>
      </c>
    </row>
    <row r="2" spans="1:16">
      <c r="A2" t="s">
        <v>1160</v>
      </c>
      <c r="B2" t="s">
        <v>1058</v>
      </c>
      <c r="C2" t="s">
        <v>1059</v>
      </c>
      <c r="D2" t="s">
        <v>1161</v>
      </c>
      <c r="E2" t="s">
        <v>1058</v>
      </c>
      <c r="F2" t="s">
        <v>1059</v>
      </c>
      <c r="H2" s="78" t="s">
        <v>1193</v>
      </c>
      <c r="I2" s="66"/>
      <c r="J2" s="66"/>
      <c r="K2" s="66"/>
      <c r="L2" s="66"/>
      <c r="M2" s="66"/>
      <c r="N2" s="66"/>
      <c r="O2" s="66"/>
      <c r="P2" s="66"/>
    </row>
    <row r="3" spans="1:16">
      <c r="A3">
        <f ca="1">'225'!N7-'207'!N7</f>
        <v>2.31899999999996</v>
      </c>
      <c r="B3">
        <f>(725.4-720.85)/2-0.13</f>
        <v>2.1449999999999774</v>
      </c>
      <c r="C3">
        <f>(725.4-720.85)/2+0.13</f>
        <v>2.4049999999999772</v>
      </c>
      <c r="D3">
        <f ca="1">'226'!$N$7-'207'!N7</f>
        <v>2.0579999999999927</v>
      </c>
      <c r="E3">
        <f>(724.85-720.85)/2-0.13</f>
        <v>1.87</v>
      </c>
      <c r="F3">
        <f>(724.85-720.85)/2+0.13</f>
        <v>2.13</v>
      </c>
      <c r="H3" s="78">
        <v>1.226</v>
      </c>
      <c r="I3" s="66"/>
      <c r="J3" s="66"/>
      <c r="K3" s="66"/>
      <c r="L3" s="66"/>
      <c r="M3" s="66"/>
      <c r="N3" s="66"/>
      <c r="O3" s="66"/>
      <c r="P3" s="66"/>
    </row>
    <row r="4" spans="1:16">
      <c r="A4">
        <f ca="1">'225'!N8-'207'!N8</f>
        <v>2.3160000000000309</v>
      </c>
      <c r="B4">
        <f t="shared" ref="B4:B18" si="0">(725.4-720.85)/2-0.13</f>
        <v>2.1449999999999774</v>
      </c>
      <c r="C4">
        <f t="shared" ref="C4:C18" si="1">(725.4-720.85)/2+0.13</f>
        <v>2.4049999999999772</v>
      </c>
      <c r="D4">
        <f ca="1">'226'!$N$7-'207'!N8</f>
        <v>2.0400000000000205</v>
      </c>
      <c r="E4">
        <f t="shared" ref="E4:E18" si="2">(724.85-720.85)/2-0.13</f>
        <v>1.87</v>
      </c>
      <c r="F4">
        <f t="shared" ref="F4:F18" si="3">(724.85-720.85)/2+0.13</f>
        <v>2.13</v>
      </c>
      <c r="H4" s="78" t="s">
        <v>1191</v>
      </c>
      <c r="I4" s="66"/>
      <c r="J4" s="66"/>
      <c r="K4" s="66"/>
      <c r="L4" s="66"/>
      <c r="M4" s="66"/>
      <c r="N4" s="66"/>
      <c r="O4" s="66"/>
      <c r="P4" s="66"/>
    </row>
    <row r="5" spans="1:16">
      <c r="A5">
        <f ca="1">'225'!N9-'207'!N9</f>
        <v>2.3249999999999886</v>
      </c>
      <c r="B5">
        <f t="shared" si="0"/>
        <v>2.1449999999999774</v>
      </c>
      <c r="C5">
        <f t="shared" si="1"/>
        <v>2.4049999999999772</v>
      </c>
      <c r="D5">
        <f ca="1">'226'!$N$7-'207'!N9</f>
        <v>1.9739999999999895</v>
      </c>
      <c r="E5">
        <f t="shared" si="2"/>
        <v>1.87</v>
      </c>
      <c r="F5">
        <f t="shared" si="3"/>
        <v>2.13</v>
      </c>
      <c r="H5" s="78" t="str">
        <f ca="1">IF(MIN(A3:A18)&lt;B3, ROUND((AVERAGE(B3,C3)/MIN(A3:A18))^2, 3), "-")</f>
        <v>-</v>
      </c>
      <c r="I5" s="66"/>
      <c r="J5" s="66"/>
      <c r="K5" s="66"/>
      <c r="L5" s="66"/>
      <c r="M5" s="66"/>
      <c r="N5" s="66"/>
      <c r="O5" s="66"/>
      <c r="P5" s="66"/>
    </row>
    <row r="6" spans="1:16">
      <c r="A6">
        <f ca="1">'225'!N10-'207'!N10</f>
        <v>2.3240000000000123</v>
      </c>
      <c r="B6">
        <f t="shared" si="0"/>
        <v>2.1449999999999774</v>
      </c>
      <c r="C6">
        <f t="shared" si="1"/>
        <v>2.4049999999999772</v>
      </c>
      <c r="D6">
        <f ca="1">'226'!$N$7-'207'!N10</f>
        <v>1.9180000000000064</v>
      </c>
      <c r="E6">
        <f t="shared" si="2"/>
        <v>1.87</v>
      </c>
      <c r="F6">
        <f t="shared" si="3"/>
        <v>2.13</v>
      </c>
      <c r="H6" s="78" t="s">
        <v>1192</v>
      </c>
      <c r="I6" s="66"/>
      <c r="J6" s="66"/>
      <c r="K6" s="66"/>
      <c r="L6" s="66"/>
      <c r="M6" s="66"/>
      <c r="N6" s="66"/>
      <c r="O6" s="66"/>
      <c r="P6" s="66"/>
    </row>
    <row r="7" spans="1:16">
      <c r="A7">
        <f ca="1">'225'!N11-'207'!N11</f>
        <v>2.31899999999996</v>
      </c>
      <c r="B7">
        <f t="shared" si="0"/>
        <v>2.1449999999999774</v>
      </c>
      <c r="C7">
        <f t="shared" si="1"/>
        <v>2.4049999999999772</v>
      </c>
      <c r="D7">
        <f ca="1">'226'!$N$7-'207'!N11</f>
        <v>1.9139999999999873</v>
      </c>
      <c r="E7">
        <f t="shared" si="2"/>
        <v>1.87</v>
      </c>
      <c r="F7">
        <f t="shared" si="3"/>
        <v>2.13</v>
      </c>
      <c r="H7" s="78" t="str">
        <f ca="1">IF(MIN(D3:D18)&lt;E3, ROUND((AVERAGE(E3, F3)/MIN(D3:D18))^2, 3), "-")</f>
        <v>-</v>
      </c>
      <c r="I7" s="66"/>
      <c r="J7" s="66"/>
      <c r="K7" s="66"/>
      <c r="L7" s="66"/>
      <c r="M7" s="66"/>
      <c r="N7" s="66"/>
      <c r="O7" s="66"/>
      <c r="P7" s="66"/>
    </row>
    <row r="8" spans="1:16">
      <c r="A8">
        <f ca="1">'225'!N12-'207'!N12</f>
        <v>2.3179999999999836</v>
      </c>
      <c r="B8">
        <f t="shared" si="0"/>
        <v>2.1449999999999774</v>
      </c>
      <c r="C8">
        <f t="shared" si="1"/>
        <v>2.4049999999999772</v>
      </c>
      <c r="D8">
        <f ca="1">'226'!$N$7-'207'!N12</f>
        <v>1.9560000000000173</v>
      </c>
      <c r="E8">
        <f t="shared" si="2"/>
        <v>1.87</v>
      </c>
      <c r="F8">
        <f t="shared" si="3"/>
        <v>2.13</v>
      </c>
      <c r="H8" s="78" t="str">
        <f ca="1">IF(MAX(H5,H7)&lt;H3, "Stress Increment Factor for this MRB is less than HA24K190059. No LCF impact.", "Stress Incrment Factor for this MRB is more than HA24K190059. LCF impact needs to be studied. Per AESJ-5666-002a")</f>
        <v>Stress Increment Factor for this MRB is less than HA24K190059. No LCF impact.</v>
      </c>
      <c r="I8" s="66"/>
      <c r="J8" s="66"/>
      <c r="K8" s="66"/>
      <c r="L8" s="66"/>
      <c r="M8" s="66"/>
      <c r="N8" s="66"/>
      <c r="O8" s="66"/>
      <c r="P8" s="66"/>
    </row>
    <row r="9" spans="1:16">
      <c r="A9">
        <f ca="1">'225'!N13-'207'!N13</f>
        <v>2.3160000000000309</v>
      </c>
      <c r="B9">
        <f t="shared" si="0"/>
        <v>2.1449999999999774</v>
      </c>
      <c r="C9">
        <f t="shared" si="1"/>
        <v>2.4049999999999772</v>
      </c>
      <c r="D9">
        <f ca="1">'226'!$N$7-'207'!N13</f>
        <v>2.0040000000000191</v>
      </c>
      <c r="E9">
        <f t="shared" si="2"/>
        <v>1.87</v>
      </c>
      <c r="F9">
        <f t="shared" si="3"/>
        <v>2.13</v>
      </c>
    </row>
    <row r="10" spans="1:16">
      <c r="A10">
        <f ca="1">'225'!N14-'207'!N14</f>
        <v>2.3149999999999977</v>
      </c>
      <c r="B10">
        <f t="shared" si="0"/>
        <v>2.1449999999999774</v>
      </c>
      <c r="C10">
        <f t="shared" si="1"/>
        <v>2.4049999999999772</v>
      </c>
      <c r="D10">
        <f ca="1">'226'!$N$7-'207'!N14</f>
        <v>2.02800000000002</v>
      </c>
      <c r="E10">
        <f t="shared" si="2"/>
        <v>1.87</v>
      </c>
      <c r="F10">
        <f t="shared" si="3"/>
        <v>2.13</v>
      </c>
    </row>
    <row r="11" spans="1:16">
      <c r="A11">
        <f ca="1">'225'!N15-'207'!N15</f>
        <v>2.3170000000000073</v>
      </c>
      <c r="B11">
        <f t="shared" si="0"/>
        <v>2.1449999999999774</v>
      </c>
      <c r="C11">
        <f t="shared" si="1"/>
        <v>2.4049999999999772</v>
      </c>
      <c r="D11">
        <f ca="1">'226'!$N$7-'207'!N15</f>
        <v>2.0120000000000005</v>
      </c>
      <c r="E11">
        <f t="shared" si="2"/>
        <v>1.87</v>
      </c>
      <c r="F11">
        <f t="shared" si="3"/>
        <v>2.13</v>
      </c>
    </row>
    <row r="12" spans="1:16">
      <c r="A12">
        <f ca="1">'225'!N16-'207'!N16</f>
        <v>2.3089999999999691</v>
      </c>
      <c r="B12">
        <f t="shared" si="0"/>
        <v>2.1449999999999774</v>
      </c>
      <c r="C12">
        <f t="shared" si="1"/>
        <v>2.4049999999999772</v>
      </c>
      <c r="D12">
        <f ca="1">'226'!$N$7-'207'!N16</f>
        <v>1.9710000000000036</v>
      </c>
      <c r="E12">
        <f t="shared" si="2"/>
        <v>1.87</v>
      </c>
      <c r="F12">
        <f t="shared" si="3"/>
        <v>2.13</v>
      </c>
    </row>
    <row r="13" spans="1:16">
      <c r="A13">
        <f ca="1">'225'!N17-'207'!N17</f>
        <v>2.3170000000000073</v>
      </c>
      <c r="B13">
        <f t="shared" si="0"/>
        <v>2.1449999999999774</v>
      </c>
      <c r="C13">
        <f t="shared" si="1"/>
        <v>2.4049999999999772</v>
      </c>
      <c r="D13">
        <f ca="1">'226'!$N$7-'207'!N17</f>
        <v>1.9630000000000223</v>
      </c>
      <c r="E13">
        <f t="shared" si="2"/>
        <v>1.87</v>
      </c>
      <c r="F13">
        <f t="shared" si="3"/>
        <v>2.13</v>
      </c>
    </row>
    <row r="14" spans="1:16">
      <c r="A14">
        <f ca="1">'225'!N18-'207'!N18</f>
        <v>2.3100000000000023</v>
      </c>
      <c r="B14">
        <f t="shared" si="0"/>
        <v>2.1449999999999774</v>
      </c>
      <c r="C14">
        <f t="shared" si="1"/>
        <v>2.4049999999999772</v>
      </c>
      <c r="D14">
        <f ca="1">'226'!$N$7-'207'!N18</f>
        <v>1.9750000000000227</v>
      </c>
      <c r="E14">
        <f t="shared" si="2"/>
        <v>1.87</v>
      </c>
      <c r="F14">
        <f t="shared" si="3"/>
        <v>2.13</v>
      </c>
    </row>
    <row r="15" spans="1:16">
      <c r="A15">
        <f ca="1">'225'!N19-'207'!N19</f>
        <v>2.3129999999999882</v>
      </c>
      <c r="B15">
        <f t="shared" si="0"/>
        <v>2.1449999999999774</v>
      </c>
      <c r="C15">
        <f t="shared" si="1"/>
        <v>2.4049999999999772</v>
      </c>
      <c r="D15">
        <f ca="1">'226'!$N$7-'207'!N19</f>
        <v>1.9730000000000132</v>
      </c>
      <c r="E15">
        <f t="shared" si="2"/>
        <v>1.87</v>
      </c>
      <c r="F15">
        <f t="shared" si="3"/>
        <v>2.13</v>
      </c>
    </row>
    <row r="16" spans="1:16">
      <c r="A16">
        <f ca="1">'225'!N20-'207'!N20</f>
        <v>2.31899999999996</v>
      </c>
      <c r="B16">
        <f t="shared" si="0"/>
        <v>2.1449999999999774</v>
      </c>
      <c r="C16">
        <f t="shared" si="1"/>
        <v>2.4049999999999772</v>
      </c>
      <c r="D16">
        <f ca="1">'226'!$N$7-'207'!N20</f>
        <v>1.9449999999999932</v>
      </c>
      <c r="E16">
        <f t="shared" si="2"/>
        <v>1.87</v>
      </c>
      <c r="F16">
        <f t="shared" si="3"/>
        <v>2.13</v>
      </c>
    </row>
    <row r="17" spans="1:7">
      <c r="A17">
        <f ca="1">'225'!N21-'207'!N21</f>
        <v>2.3229999999999791</v>
      </c>
      <c r="B17">
        <f t="shared" si="0"/>
        <v>2.1449999999999774</v>
      </c>
      <c r="C17">
        <f t="shared" si="1"/>
        <v>2.4049999999999772</v>
      </c>
      <c r="D17">
        <f ca="1">'226'!$N$7-'207'!N21</f>
        <v>1.9420000000000073</v>
      </c>
      <c r="E17">
        <f t="shared" si="2"/>
        <v>1.87</v>
      </c>
      <c r="F17">
        <f t="shared" si="3"/>
        <v>2.13</v>
      </c>
    </row>
    <row r="18" spans="1:7">
      <c r="A18">
        <f ca="1">'225'!N22-'207'!N22</f>
        <v>2.3199999999999932</v>
      </c>
      <c r="B18">
        <f t="shared" si="0"/>
        <v>2.1449999999999774</v>
      </c>
      <c r="C18">
        <f t="shared" si="1"/>
        <v>2.4049999999999772</v>
      </c>
      <c r="D18">
        <f ca="1">'226'!$N$7-'207'!N22</f>
        <v>1.9979999999999905</v>
      </c>
      <c r="E18">
        <f t="shared" si="2"/>
        <v>1.87</v>
      </c>
      <c r="F18">
        <f t="shared" si="3"/>
        <v>2.13</v>
      </c>
    </row>
    <row r="20" spans="1:7" ht="16.5">
      <c r="A20" s="81" t="s">
        <v>1261</v>
      </c>
      <c r="B20" s="78">
        <f ca="1">ROUND(MAX(A3:A18), 3)</f>
        <v>2.3250000000000002</v>
      </c>
      <c r="C20" s="78" t="str">
        <f ca="1">IF(B20&gt;C18, "O/Max "&amp;TEXT(B20-C18, "0.000"), "-")</f>
        <v>-</v>
      </c>
      <c r="D20" s="66"/>
      <c r="E20" s="66"/>
      <c r="F20" s="78"/>
      <c r="G20" s="66"/>
    </row>
    <row r="21" spans="1:7" ht="16.5">
      <c r="A21" s="81" t="s">
        <v>1262</v>
      </c>
      <c r="B21" s="78">
        <f ca="1">ROUND(MIN(A3:A18), 3)</f>
        <v>2.3090000000000002</v>
      </c>
      <c r="C21" s="78" t="str">
        <f ca="1">IF(B18&gt;B21, "U/Min "&amp;TEXT(B18-B21, "0.000"), "-")</f>
        <v>-</v>
      </c>
      <c r="D21" s="66"/>
      <c r="E21" s="66"/>
      <c r="F21" s="78"/>
      <c r="G21" s="66"/>
    </row>
    <row r="22" spans="1:7" ht="16.5">
      <c r="A22" s="66"/>
      <c r="B22" s="66"/>
      <c r="C22" s="66"/>
      <c r="D22" s="81" t="s">
        <v>1261</v>
      </c>
      <c r="E22" s="78">
        <f ca="1">ROUND(MAX(D3:D18), 3)</f>
        <v>2.0579999999999998</v>
      </c>
      <c r="F22" s="78" t="str">
        <f ca="1">IF(E22&gt;F18, "O/Max "&amp;TEXT(E22-F18, "0.000"), "-")</f>
        <v>-</v>
      </c>
      <c r="G22" s="66"/>
    </row>
    <row r="23" spans="1:7" ht="16.5">
      <c r="A23" s="66"/>
      <c r="B23" s="66"/>
      <c r="C23" s="66"/>
      <c r="D23" s="81" t="s">
        <v>1262</v>
      </c>
      <c r="E23" s="78">
        <f ca="1">ROUND(MIN(D3:D18), 3)</f>
        <v>1.9139999999999999</v>
      </c>
      <c r="F23" s="78" t="str">
        <f ca="1">IF(E18&gt;E23, "U/Min "&amp;TEXT(E18-E23, "0.000"), "-")</f>
        <v>-</v>
      </c>
      <c r="G23" s="66"/>
    </row>
  </sheetData>
  <phoneticPr fontId="1"/>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AU100"/>
  <sheetViews>
    <sheetView topLeftCell="E1" workbookViewId="0">
      <selection activeCell="N25" sqref="N25"/>
    </sheetView>
  </sheetViews>
  <sheetFormatPr defaultColWidth="9" defaultRowHeight="15"/>
  <cols>
    <col min="1" max="25" width="9" style="1"/>
    <col min="26" max="26" width="12.42578125" bestFit="1" customWidth="1"/>
    <col min="27" max="27" width="13.85546875" bestFit="1" customWidth="1"/>
    <col min="28" max="28" width="11.140625" style="45" bestFit="1" customWidth="1"/>
    <col min="29" max="29" width="10" style="45" bestFit="1" customWidth="1"/>
    <col min="30" max="31" width="11.140625" style="45" bestFit="1" customWidth="1"/>
    <col min="32" max="32" width="10" style="45" bestFit="1" customWidth="1"/>
    <col min="33" max="36" width="11.140625" style="45" bestFit="1" customWidth="1"/>
    <col min="37" max="37" width="10.140625" bestFit="1" customWidth="1"/>
    <col min="38" max="38" width="8.7109375"/>
    <col min="39" max="39" width="10.85546875" customWidth="1"/>
    <col min="40" max="40" width="8.7109375"/>
    <col min="41" max="43" width="9.140625" bestFit="1" customWidth="1"/>
    <col min="44" max="44" width="8.7109375"/>
    <col min="45" max="45" width="9.140625" bestFit="1" customWidth="1"/>
    <col min="48" max="16384" width="9" style="1"/>
  </cols>
  <sheetData>
    <row r="1" spans="1:37">
      <c r="A1" s="1" t="s">
        <v>385</v>
      </c>
      <c r="I1"/>
    </row>
    <row r="2" spans="1:37">
      <c r="A2" s="1" t="s">
        <v>160</v>
      </c>
      <c r="B2" s="1" t="s">
        <v>164</v>
      </c>
      <c r="C2" s="1">
        <v>716.654</v>
      </c>
      <c r="D2" s="1" t="s">
        <v>196</v>
      </c>
      <c r="E2" s="1">
        <v>716.64</v>
      </c>
      <c r="I2"/>
    </row>
    <row r="3" spans="1:37">
      <c r="A3" s="1" t="s">
        <v>386</v>
      </c>
      <c r="B3" s="1" t="s">
        <v>162</v>
      </c>
      <c r="C3" s="1">
        <v>1.4E-2</v>
      </c>
      <c r="D3" s="1" t="s">
        <v>163</v>
      </c>
      <c r="E3" s="1">
        <v>0.05</v>
      </c>
      <c r="F3" s="1" t="s">
        <v>158</v>
      </c>
      <c r="I3"/>
      <c r="AA3" s="47" t="s">
        <v>1133</v>
      </c>
    </row>
    <row r="4" spans="1:37">
      <c r="A4" s="2" t="s">
        <v>387</v>
      </c>
      <c r="B4" s="1" t="s">
        <v>169</v>
      </c>
      <c r="C4" s="1">
        <v>-0.05</v>
      </c>
      <c r="I4"/>
    </row>
    <row r="5" spans="1:37">
      <c r="I5"/>
    </row>
    <row r="6" spans="1:37">
      <c r="A6" s="1" t="s">
        <v>1301</v>
      </c>
      <c r="C6" s="1" t="s">
        <v>360</v>
      </c>
      <c r="G6"/>
      <c r="H6"/>
      <c r="I6" t="s">
        <v>1134</v>
      </c>
      <c r="K6" s="3"/>
      <c r="L6" s="3" t="str">
        <f>CONCATENATE(A6," : ",MID(A1,11,3))</f>
        <v>JHV723EJ : 234</v>
      </c>
      <c r="M6" s="3"/>
      <c r="N6" s="3" t="s">
        <v>19</v>
      </c>
      <c r="O6" s="3" t="s">
        <v>20</v>
      </c>
      <c r="P6" s="3" t="s">
        <v>21</v>
      </c>
      <c r="AB6" s="48" t="s">
        <v>1135</v>
      </c>
      <c r="AC6" s="48" t="s">
        <v>1136</v>
      </c>
      <c r="AD6" s="48" t="s">
        <v>1137</v>
      </c>
      <c r="AE6" s="48" t="s">
        <v>1138</v>
      </c>
      <c r="AF6" s="48" t="s">
        <v>1139</v>
      </c>
      <c r="AG6" s="48" t="s">
        <v>1140</v>
      </c>
      <c r="AH6" s="48" t="s">
        <v>1141</v>
      </c>
      <c r="AI6" s="48" t="s">
        <v>1142</v>
      </c>
      <c r="AJ6" s="48" t="s">
        <v>1143</v>
      </c>
      <c r="AK6" s="49">
        <v>1</v>
      </c>
    </row>
    <row r="7" spans="1:37">
      <c r="A7" s="1" t="s">
        <v>159</v>
      </c>
      <c r="B7" s="1" t="s">
        <v>170</v>
      </c>
      <c r="C7" s="1">
        <v>358.25799999999998</v>
      </c>
      <c r="G7">
        <v>90</v>
      </c>
      <c r="H7" s="50">
        <f>C7*SIN(RADIANS(G7+C8))</f>
        <v>358.25799999999998</v>
      </c>
      <c r="I7" s="51">
        <f>H7-$AO$35</f>
        <v>358.25237107668386</v>
      </c>
      <c r="K7" s="4">
        <v>1</v>
      </c>
      <c r="L7" s="3" t="str">
        <f>CONCATENATE("点234.269(", K7,"/8)")</f>
        <v>点234.269(1/8)</v>
      </c>
      <c r="M7" s="3">
        <f t="shared" ref="M7:M14" si="0">MATCH(L7, A$7:A$53, 0)</f>
        <v>2</v>
      </c>
      <c r="N7" s="3">
        <f t="shared" ref="N7:N14" ca="1" si="1">OFFSET(C$6, M7-1, 0)</f>
        <v>358.25799999999998</v>
      </c>
      <c r="O7" s="3">
        <f>($E$2+$C$4)/2</f>
        <v>358.29500000000002</v>
      </c>
      <c r="P7" s="3">
        <f>($E$2+$E$3)/2</f>
        <v>358.34499999999997</v>
      </c>
      <c r="Z7" s="52" t="s">
        <v>1144</v>
      </c>
      <c r="AA7" s="50">
        <f>H7</f>
        <v>358.25799999999998</v>
      </c>
      <c r="AB7" s="45">
        <f>AA8^3</f>
        <v>1.0569729043405361E-41</v>
      </c>
      <c r="AC7" s="45">
        <f>AA8^2</f>
        <v>4.8162523748064092E-28</v>
      </c>
      <c r="AD7" s="45">
        <f>AA8</f>
        <v>2.1945961757932618E-14</v>
      </c>
      <c r="AE7" s="45">
        <f>AA7^3</f>
        <v>45981982.442909501</v>
      </c>
      <c r="AF7" s="45">
        <f>AA7^2</f>
        <v>128348.79456399998</v>
      </c>
      <c r="AG7" s="45">
        <f>AA7</f>
        <v>358.25799999999998</v>
      </c>
      <c r="AH7" s="45">
        <f>AA8^2*AA7</f>
        <v>1.7254609432933943E-25</v>
      </c>
      <c r="AI7" s="45">
        <f>AA8*AA7</f>
        <v>7.8623163674734233E-12</v>
      </c>
      <c r="AJ7" s="45">
        <f>AA8*AA7^2</f>
        <v>2.8167377371782936E-9</v>
      </c>
      <c r="AK7">
        <v>1</v>
      </c>
    </row>
    <row r="8" spans="1:37">
      <c r="A8" s="1" t="s">
        <v>388</v>
      </c>
      <c r="B8" s="1" t="s">
        <v>171</v>
      </c>
      <c r="C8" s="1">
        <v>0</v>
      </c>
      <c r="G8"/>
      <c r="H8" s="50">
        <f>C7*COS(RADIANS(G7+C8))</f>
        <v>2.1945961757932618E-14</v>
      </c>
      <c r="I8" s="51">
        <f>H8-$AO$34</f>
        <v>5.440636063093922E-3</v>
      </c>
      <c r="K8" s="4">
        <v>2</v>
      </c>
      <c r="L8" s="3" t="str">
        <f t="shared" ref="L8:L14" si="2">CONCATENATE("点234.269(", K8,"/8)")</f>
        <v>点234.269(2/8)</v>
      </c>
      <c r="M8" s="3">
        <f t="shared" si="0"/>
        <v>5</v>
      </c>
      <c r="N8" s="3">
        <f t="shared" ca="1" si="1"/>
        <v>358.34100000000001</v>
      </c>
      <c r="O8" s="3">
        <f>O7</f>
        <v>358.29500000000002</v>
      </c>
      <c r="P8" s="3">
        <f>P7</f>
        <v>358.34499999999997</v>
      </c>
      <c r="Z8" s="52" t="s">
        <v>1145</v>
      </c>
      <c r="AA8" s="50">
        <f>H8</f>
        <v>2.1945961757932618E-14</v>
      </c>
    </row>
    <row r="9" spans="1:37">
      <c r="A9" s="2" t="s">
        <v>389</v>
      </c>
      <c r="B9" s="1" t="s">
        <v>157</v>
      </c>
      <c r="C9" s="1">
        <v>-8.2309999999999999</v>
      </c>
      <c r="G9"/>
      <c r="H9" s="50"/>
      <c r="I9" s="51"/>
      <c r="K9" s="4">
        <v>3</v>
      </c>
      <c r="L9" s="3" t="str">
        <f t="shared" si="2"/>
        <v>点234.269(3/8)</v>
      </c>
      <c r="M9" s="3">
        <f t="shared" si="0"/>
        <v>8</v>
      </c>
      <c r="N9" s="3">
        <f t="shared" ca="1" si="1"/>
        <v>358.39800000000002</v>
      </c>
      <c r="O9" s="3">
        <f t="shared" ref="O9:P14" si="3">O8</f>
        <v>358.29500000000002</v>
      </c>
      <c r="P9" s="3">
        <f t="shared" si="3"/>
        <v>358.34499999999997</v>
      </c>
      <c r="Z9" s="52"/>
      <c r="AA9" s="50"/>
    </row>
    <row r="10" spans="1:37">
      <c r="A10" s="1" t="s">
        <v>159</v>
      </c>
      <c r="B10" s="1" t="s">
        <v>170</v>
      </c>
      <c r="C10" s="1">
        <v>358.34100000000001</v>
      </c>
      <c r="G10">
        <f>G7+360/8</f>
        <v>135</v>
      </c>
      <c r="H10" s="50">
        <f>C10*SIN(RADIANS(G10+C11))</f>
        <v>253.38535107716865</v>
      </c>
      <c r="I10" s="51">
        <f>H10-$AO$35</f>
        <v>253.37972215385255</v>
      </c>
      <c r="K10" s="4">
        <v>4</v>
      </c>
      <c r="L10" s="3" t="str">
        <f t="shared" si="2"/>
        <v>点234.269(4/8)</v>
      </c>
      <c r="M10" s="3">
        <f t="shared" si="0"/>
        <v>11</v>
      </c>
      <c r="N10" s="3">
        <f t="shared" ca="1" si="1"/>
        <v>358.29899999999998</v>
      </c>
      <c r="O10" s="3">
        <f t="shared" si="3"/>
        <v>358.29500000000002</v>
      </c>
      <c r="P10" s="3">
        <f t="shared" si="3"/>
        <v>358.34499999999997</v>
      </c>
      <c r="Z10" s="52" t="s">
        <v>1144</v>
      </c>
      <c r="AA10" s="50">
        <f>H10</f>
        <v>253.38535107716865</v>
      </c>
      <c r="AB10" s="45">
        <f>AA11^3</f>
        <v>-16268387.576566922</v>
      </c>
      <c r="AC10" s="45">
        <f>AA11^2</f>
        <v>64204.136140499999</v>
      </c>
      <c r="AD10" s="45">
        <f>AA11</f>
        <v>-253.38535107716862</v>
      </c>
      <c r="AE10" s="45">
        <f>AA10^3</f>
        <v>16268387.576566927</v>
      </c>
      <c r="AF10" s="45">
        <f>AA10^2</f>
        <v>64204.136140500013</v>
      </c>
      <c r="AG10" s="45">
        <f>AA10</f>
        <v>253.38535107716865</v>
      </c>
      <c r="AH10" s="45">
        <f>AA11^2*AA10</f>
        <v>16268387.576566923</v>
      </c>
      <c r="AI10" s="45">
        <f>AA11*AA10</f>
        <v>-64204.136140500006</v>
      </c>
      <c r="AJ10" s="45">
        <f>AA11*AA10^2</f>
        <v>-16268387.576566925</v>
      </c>
      <c r="AK10">
        <v>1</v>
      </c>
    </row>
    <row r="11" spans="1:37">
      <c r="A11" s="1" t="s">
        <v>390</v>
      </c>
      <c r="B11" s="1" t="s">
        <v>171</v>
      </c>
      <c r="C11" s="1">
        <v>0</v>
      </c>
      <c r="G11"/>
      <c r="H11" s="50">
        <f>C10*COS(RADIANS(G10+C11))</f>
        <v>-253.38535107716862</v>
      </c>
      <c r="I11" s="51">
        <f>H11-$AO$34</f>
        <v>-253.37991044110555</v>
      </c>
      <c r="K11" s="4">
        <v>5</v>
      </c>
      <c r="L11" s="3" t="str">
        <f t="shared" si="2"/>
        <v>点234.269(5/8)</v>
      </c>
      <c r="M11" s="3">
        <f t="shared" si="0"/>
        <v>14</v>
      </c>
      <c r="N11" s="3">
        <f t="shared" ca="1" si="1"/>
        <v>358.28500000000003</v>
      </c>
      <c r="O11" s="3">
        <f t="shared" si="3"/>
        <v>358.29500000000002</v>
      </c>
      <c r="P11" s="3">
        <f t="shared" si="3"/>
        <v>358.34499999999997</v>
      </c>
      <c r="Z11" s="52" t="s">
        <v>1145</v>
      </c>
      <c r="AA11" s="50">
        <f>H11</f>
        <v>-253.38535107716862</v>
      </c>
    </row>
    <row r="12" spans="1:37">
      <c r="A12" s="2" t="s">
        <v>391</v>
      </c>
      <c r="B12" s="1" t="s">
        <v>157</v>
      </c>
      <c r="C12" s="1">
        <v>-8.1999999999999993</v>
      </c>
      <c r="G12"/>
      <c r="H12" s="50"/>
      <c r="I12" s="51"/>
      <c r="K12" s="4">
        <v>6</v>
      </c>
      <c r="L12" s="3" t="str">
        <f t="shared" si="2"/>
        <v>点234.269(6/8)</v>
      </c>
      <c r="M12" s="3">
        <f t="shared" si="0"/>
        <v>17</v>
      </c>
      <c r="N12" s="3">
        <f t="shared" ca="1" si="1"/>
        <v>358.33800000000002</v>
      </c>
      <c r="O12" s="3">
        <f t="shared" si="3"/>
        <v>358.29500000000002</v>
      </c>
      <c r="P12" s="3">
        <f t="shared" si="3"/>
        <v>358.34499999999997</v>
      </c>
      <c r="Z12" s="52"/>
      <c r="AA12" s="50"/>
    </row>
    <row r="13" spans="1:37">
      <c r="A13" s="1" t="s">
        <v>159</v>
      </c>
      <c r="B13" s="1" t="s">
        <v>170</v>
      </c>
      <c r="C13" s="1">
        <v>358.39800000000002</v>
      </c>
      <c r="G13">
        <f>G10+360/8</f>
        <v>180</v>
      </c>
      <c r="H13" s="50">
        <f>C13*SIN(RADIANS(G13+C14))</f>
        <v>4.3909075594233965E-14</v>
      </c>
      <c r="I13" s="51">
        <f>H13-$AO$35</f>
        <v>-5.6289233160645106E-3</v>
      </c>
      <c r="K13" s="4">
        <v>7</v>
      </c>
      <c r="L13" s="3" t="str">
        <f t="shared" si="2"/>
        <v>点234.269(7/8)</v>
      </c>
      <c r="M13" s="3">
        <f t="shared" si="0"/>
        <v>20</v>
      </c>
      <c r="N13" s="3">
        <f t="shared" ca="1" si="1"/>
        <v>358.33100000000002</v>
      </c>
      <c r="O13" s="3">
        <f t="shared" si="3"/>
        <v>358.29500000000002</v>
      </c>
      <c r="P13" s="3">
        <f t="shared" si="3"/>
        <v>358.34499999999997</v>
      </c>
      <c r="Z13" s="52" t="s">
        <v>1144</v>
      </c>
      <c r="AA13" s="50">
        <f>H13</f>
        <v>4.3909075594233965E-14</v>
      </c>
      <c r="AB13" s="45">
        <f>AA14^3</f>
        <v>-46035910.0049408</v>
      </c>
      <c r="AC13" s="45">
        <f>AA14^2</f>
        <v>128449.12640400002</v>
      </c>
      <c r="AD13" s="45">
        <f>AA14</f>
        <v>-358.39800000000002</v>
      </c>
      <c r="AE13" s="45">
        <f>AA13^3</f>
        <v>8.4657001576294733E-41</v>
      </c>
      <c r="AF13" s="45">
        <f>AA13^2</f>
        <v>1.9280069195401528E-27</v>
      </c>
      <c r="AG13" s="45">
        <f>AA13</f>
        <v>4.3909075594233965E-14</v>
      </c>
      <c r="AH13" s="45">
        <f>AA14^2*AA13</f>
        <v>5.6400824012865514E-9</v>
      </c>
      <c r="AI13" s="45">
        <f>AA14*AA13</f>
        <v>-1.5736924874822264E-11</v>
      </c>
      <c r="AJ13" s="45">
        <f>AA14*AA13^2</f>
        <v>-6.9099382394935172E-25</v>
      </c>
      <c r="AK13">
        <v>1</v>
      </c>
    </row>
    <row r="14" spans="1:37">
      <c r="A14" s="1" t="s">
        <v>392</v>
      </c>
      <c r="B14" s="1" t="s">
        <v>171</v>
      </c>
      <c r="C14" s="1">
        <v>0</v>
      </c>
      <c r="G14"/>
      <c r="H14" s="50">
        <f>C13*COS(RADIANS(G13+C14))</f>
        <v>-358.39800000000002</v>
      </c>
      <c r="I14" s="51">
        <f>H14-$AO$34</f>
        <v>-358.39255936393693</v>
      </c>
      <c r="K14" s="4">
        <v>8</v>
      </c>
      <c r="L14" s="3" t="str">
        <f t="shared" si="2"/>
        <v>点234.269(8/8)</v>
      </c>
      <c r="M14" s="3">
        <f t="shared" si="0"/>
        <v>23</v>
      </c>
      <c r="N14" s="3">
        <f t="shared" ca="1" si="1"/>
        <v>358.36599999999999</v>
      </c>
      <c r="O14" s="3">
        <f t="shared" si="3"/>
        <v>358.29500000000002</v>
      </c>
      <c r="P14" s="3">
        <f t="shared" si="3"/>
        <v>358.34499999999997</v>
      </c>
      <c r="Z14" s="52" t="s">
        <v>1145</v>
      </c>
      <c r="AA14" s="50">
        <f>H14</f>
        <v>-358.39800000000002</v>
      </c>
    </row>
    <row r="15" spans="1:37">
      <c r="A15" s="2" t="s">
        <v>393</v>
      </c>
      <c r="B15" s="1" t="s">
        <v>157</v>
      </c>
      <c r="C15" s="1">
        <v>-8.1890000000000001</v>
      </c>
      <c r="G15"/>
      <c r="H15" s="50"/>
      <c r="I15" s="51"/>
      <c r="K15" s="3"/>
      <c r="L15" s="3"/>
      <c r="M15" s="3"/>
      <c r="N15" s="3"/>
      <c r="O15" s="3"/>
      <c r="P15" s="3"/>
      <c r="Z15" s="52"/>
      <c r="AA15" s="50"/>
    </row>
    <row r="16" spans="1:37">
      <c r="A16" s="1" t="s">
        <v>159</v>
      </c>
      <c r="B16" s="1" t="s">
        <v>170</v>
      </c>
      <c r="C16" s="1">
        <v>358.29899999999998</v>
      </c>
      <c r="G16">
        <f>G13+360/8</f>
        <v>225</v>
      </c>
      <c r="H16" s="50">
        <f>C16*SIN(RADIANS(G16+C17))</f>
        <v>-253.36007444408656</v>
      </c>
      <c r="I16" s="51">
        <f>H16-$AO$35</f>
        <v>-253.36570336740266</v>
      </c>
      <c r="K16" s="3"/>
      <c r="L16" s="3"/>
      <c r="M16" s="5" t="s">
        <v>22</v>
      </c>
      <c r="N16" s="3" t="str">
        <f>"&gt;"&amp;TEXT(($E$2+$E$3)/2, "0.###")</f>
        <v>&gt;358.345</v>
      </c>
      <c r="O16" s="3"/>
      <c r="P16" s="3"/>
      <c r="Z16" s="52" t="s">
        <v>1144</v>
      </c>
      <c r="AA16" s="50">
        <f>H16</f>
        <v>-253.36007444408656</v>
      </c>
      <c r="AB16" s="45">
        <f>AA17^3</f>
        <v>-16261816.446441052</v>
      </c>
      <c r="AC16" s="45">
        <f>AA17^2</f>
        <v>64186.846078686904</v>
      </c>
      <c r="AD16" s="45">
        <f>AA17</f>
        <v>-253.35123066345446</v>
      </c>
      <c r="AE16" s="45">
        <f>AA16^3</f>
        <v>-16263519.469045972</v>
      </c>
      <c r="AF16" s="45">
        <f>AA16^2</f>
        <v>64191.327322313089</v>
      </c>
      <c r="AG16" s="45">
        <f>AA16</f>
        <v>-253.36007444408656</v>
      </c>
      <c r="AH16" s="45">
        <f>AA17^2*AA16</f>
        <v>-16262384.100827239</v>
      </c>
      <c r="AI16" s="45">
        <f>AA17*AA16</f>
        <v>64189.086661393769</v>
      </c>
      <c r="AJ16" s="45">
        <f>AA17*AA16^2</f>
        <v>-16262951.77502865</v>
      </c>
      <c r="AK16">
        <v>1</v>
      </c>
    </row>
    <row r="17" spans="1:45">
      <c r="A17" s="1" t="s">
        <v>394</v>
      </c>
      <c r="B17" s="1" t="s">
        <v>171</v>
      </c>
      <c r="C17" s="1">
        <v>1E-3</v>
      </c>
      <c r="G17"/>
      <c r="H17" s="50">
        <f>C16*COS(RADIANS(G16+C17))</f>
        <v>-253.35123066345446</v>
      </c>
      <c r="I17" s="51">
        <f>H17-$AO$34</f>
        <v>-253.34579002739139</v>
      </c>
      <c r="K17" s="3"/>
      <c r="L17" s="3"/>
      <c r="M17" s="6" t="s">
        <v>4</v>
      </c>
      <c r="N17" s="3" t="str">
        <f>"&lt;"&amp;TEXT(($E$2+$C$4)/2, "0.###")</f>
        <v>&lt;358.295</v>
      </c>
      <c r="O17" s="3"/>
      <c r="P17" s="3"/>
      <c r="Z17" s="52" t="s">
        <v>1145</v>
      </c>
      <c r="AA17" s="50">
        <f>H17</f>
        <v>-253.35123066345446</v>
      </c>
    </row>
    <row r="18" spans="1:45">
      <c r="A18" s="2" t="s">
        <v>395</v>
      </c>
      <c r="B18" s="1" t="s">
        <v>157</v>
      </c>
      <c r="C18" s="1">
        <v>-8.2089999999999996</v>
      </c>
      <c r="G18"/>
      <c r="H18" s="50"/>
      <c r="I18" s="51"/>
      <c r="K18" s="3"/>
      <c r="L18" s="3"/>
      <c r="M18" s="7"/>
      <c r="N18" s="8" t="s">
        <v>23</v>
      </c>
      <c r="O18" s="3"/>
      <c r="P18" s="3"/>
      <c r="Z18" s="52"/>
      <c r="AA18" s="50"/>
    </row>
    <row r="19" spans="1:45">
      <c r="A19" s="1" t="s">
        <v>159</v>
      </c>
      <c r="B19" s="1" t="s">
        <v>170</v>
      </c>
      <c r="C19" s="1">
        <v>358.28500000000003</v>
      </c>
      <c r="G19">
        <f>G16+360/8</f>
        <v>270</v>
      </c>
      <c r="H19" s="50">
        <f>C19*SIN(RADIANS(G19+C20))</f>
        <v>-358.28500000000003</v>
      </c>
      <c r="I19" s="51">
        <f>H19-$AO$35</f>
        <v>-358.29062892331615</v>
      </c>
      <c r="K19" s="3"/>
      <c r="L19" s="3"/>
      <c r="M19" s="9" t="s">
        <v>24</v>
      </c>
      <c r="N19" s="10">
        <f ca="1">AVERAGE(N7:N14)*2</f>
        <v>716.654</v>
      </c>
      <c r="O19" s="3"/>
      <c r="P19" s="3"/>
      <c r="Z19" s="52" t="s">
        <v>1144</v>
      </c>
      <c r="AA19" s="50">
        <f>H19</f>
        <v>-358.28500000000003</v>
      </c>
      <c r="AB19" s="45">
        <f>AA20^3</f>
        <v>-2.8544721235998667E-40</v>
      </c>
      <c r="AC19" s="45">
        <f>AA20^2</f>
        <v>4.3352805175314203E-27</v>
      </c>
      <c r="AD19" s="45">
        <f>AA20</f>
        <v>-6.5842847125040246E-14</v>
      </c>
      <c r="AE19" s="45">
        <f>AA19^3</f>
        <v>-45992379.478799134</v>
      </c>
      <c r="AF19" s="45">
        <f>AA19^2</f>
        <v>128368.14122500001</v>
      </c>
      <c r="AG19" s="45">
        <f>AA19</f>
        <v>-358.28500000000003</v>
      </c>
      <c r="AH19" s="45">
        <f>AA20^2*AA19</f>
        <v>-1.5532659802237451E-24</v>
      </c>
      <c r="AI19" s="45">
        <f>AA20*AA19</f>
        <v>2.3590504482195047E-11</v>
      </c>
      <c r="AJ19" s="45">
        <f>AA20*AA19^2</f>
        <v>-8.4521238984032519E-9</v>
      </c>
      <c r="AK19">
        <v>1</v>
      </c>
    </row>
    <row r="20" spans="1:45">
      <c r="A20" s="1" t="s">
        <v>396</v>
      </c>
      <c r="B20" s="1" t="s">
        <v>171</v>
      </c>
      <c r="C20" s="1">
        <v>0</v>
      </c>
      <c r="G20"/>
      <c r="H20" s="50">
        <f>C19*COS(RADIANS(G19+C20))</f>
        <v>-6.5842847125040246E-14</v>
      </c>
      <c r="I20" s="51">
        <f>H20-$AO$34</f>
        <v>5.4406360630061329E-3</v>
      </c>
      <c r="K20" s="3"/>
      <c r="L20" s="3"/>
      <c r="M20" s="9"/>
      <c r="N20" s="11" t="str">
        <f ca="1">IF(N19&lt;$E$2+$C$4, "U/Min "&amp;TEXT($E$2+$C$4-N19, "0.###"), IF(N19&gt;$E$2+$E$3, "O/Max "&amp;TEXT(N19-$E$2-$E$3, "0.###"), "-"))</f>
        <v>-</v>
      </c>
      <c r="O20" s="3"/>
      <c r="P20" s="3"/>
      <c r="Z20" s="52" t="s">
        <v>1145</v>
      </c>
      <c r="AA20" s="50">
        <f>H20</f>
        <v>-6.5842847125040246E-14</v>
      </c>
    </row>
    <row r="21" spans="1:45">
      <c r="A21" s="2" t="s">
        <v>397</v>
      </c>
      <c r="B21" s="1" t="s">
        <v>157</v>
      </c>
      <c r="C21" s="1">
        <v>-8.2279999999999998</v>
      </c>
      <c r="G21"/>
      <c r="H21" s="50"/>
      <c r="I21" s="51"/>
      <c r="K21" s="3"/>
      <c r="L21" s="3"/>
      <c r="M21" s="9" t="s">
        <v>13</v>
      </c>
      <c r="N21" s="10">
        <f ca="1">MAX(N7:N14)-MIN(N7:N14)</f>
        <v>0.1400000000000432</v>
      </c>
      <c r="O21" s="3"/>
      <c r="P21" s="3"/>
      <c r="Z21" s="52"/>
      <c r="AA21" s="50"/>
    </row>
    <row r="22" spans="1:45">
      <c r="A22" s="1" t="s">
        <v>159</v>
      </c>
      <c r="B22" s="1" t="s">
        <v>170</v>
      </c>
      <c r="C22" s="1">
        <v>358.33800000000002</v>
      </c>
      <c r="G22">
        <f>G19+360/8</f>
        <v>315</v>
      </c>
      <c r="H22" s="50">
        <f>C22*SIN(RADIANS(G22+C23))</f>
        <v>-253.38765208986098</v>
      </c>
      <c r="I22" s="51">
        <f>H22-$AO$35</f>
        <v>-253.39328101317707</v>
      </c>
      <c r="K22" s="3"/>
      <c r="L22" s="3"/>
      <c r="M22" s="9"/>
      <c r="N22" s="11" t="str">
        <f ca="1">IF(N21&gt;0.64, "O/Max "&amp;TEXT(N21-0.13, "0.###"), "-")</f>
        <v>-</v>
      </c>
      <c r="O22" s="3"/>
      <c r="P22" s="3"/>
      <c r="Z22" s="52" t="s">
        <v>1144</v>
      </c>
      <c r="AA22" s="50">
        <f>H22</f>
        <v>-253.38765208986098</v>
      </c>
      <c r="AB22" s="45">
        <f>AA23^3</f>
        <v>16267127.205412772</v>
      </c>
      <c r="AC22" s="45">
        <f>AA23^2</f>
        <v>64200.820012387594</v>
      </c>
      <c r="AD22" s="45">
        <f>AA23</f>
        <v>253.37880734660425</v>
      </c>
      <c r="AE22" s="45">
        <f>AA22^3</f>
        <v>-16268830.784188185</v>
      </c>
      <c r="AF22" s="45">
        <f>AA22^2</f>
        <v>64205.302231612426</v>
      </c>
      <c r="AG22" s="45">
        <f>AA22</f>
        <v>-253.38765208986098</v>
      </c>
      <c r="AH22" s="45">
        <f>AA23^2*AA22</f>
        <v>-16267695.045182653</v>
      </c>
      <c r="AI22" s="45">
        <f>AA23*AA22</f>
        <v>-64203.061082885266</v>
      </c>
      <c r="AJ22" s="45">
        <f>AA23*AA22^2</f>
        <v>16268262.904774224</v>
      </c>
      <c r="AK22">
        <v>1</v>
      </c>
      <c r="AM22" t="s">
        <v>1146</v>
      </c>
      <c r="AO22" s="53">
        <f>AC30</f>
        <v>513652.88767560129</v>
      </c>
      <c r="AP22" s="53">
        <f>AI30</f>
        <v>-2.7746010576302069</v>
      </c>
      <c r="AQ22" s="53">
        <f>AD30</f>
        <v>-2.6168457678835466E-2</v>
      </c>
      <c r="AR22" s="54" t="s">
        <v>1147</v>
      </c>
      <c r="AS22" s="53">
        <f>-(AB30+AJ30)</f>
        <v>8949.2120112963021</v>
      </c>
    </row>
    <row r="23" spans="1:45">
      <c r="A23" s="1" t="s">
        <v>398</v>
      </c>
      <c r="B23" s="1" t="s">
        <v>171</v>
      </c>
      <c r="C23" s="1">
        <v>-1E-3</v>
      </c>
      <c r="G23"/>
      <c r="H23" s="50">
        <f>C22*COS(RADIANS(G22+C23))</f>
        <v>253.37880734660425</v>
      </c>
      <c r="I23" s="51">
        <f>H23-$AO$34</f>
        <v>253.38424798266732</v>
      </c>
      <c r="K23" s="3"/>
      <c r="L23" s="3"/>
      <c r="M23" s="9" t="s">
        <v>14</v>
      </c>
      <c r="N23" s="12">
        <f ca="1">COUNTIF(N7:N14, $N16)</f>
        <v>2</v>
      </c>
      <c r="O23" s="3"/>
      <c r="P23" s="3"/>
      <c r="Z23" s="52" t="s">
        <v>1145</v>
      </c>
      <c r="AA23" s="50">
        <f>H23</f>
        <v>253.37880734660425</v>
      </c>
      <c r="AM23" t="s">
        <v>1148</v>
      </c>
      <c r="AN23" s="55" t="s">
        <v>1149</v>
      </c>
      <c r="AO23" s="53">
        <f>AI30</f>
        <v>-2.7746010576302069</v>
      </c>
      <c r="AP23" s="53">
        <f>AF30</f>
        <v>513533.03796039877</v>
      </c>
      <c r="AQ23" s="53">
        <f>AG30</f>
        <v>2.4330024271165485E-2</v>
      </c>
      <c r="AR23" s="56"/>
      <c r="AS23" s="53">
        <f>-(AH30+AE30)</f>
        <v>-8905.2386841401458</v>
      </c>
    </row>
    <row r="24" spans="1:45">
      <c r="A24" s="2" t="s">
        <v>399</v>
      </c>
      <c r="B24" s="1" t="s">
        <v>157</v>
      </c>
      <c r="C24" s="1">
        <v>-8.2119999999999997</v>
      </c>
      <c r="G24"/>
      <c r="H24" s="50"/>
      <c r="I24" s="51"/>
      <c r="K24" s="3"/>
      <c r="L24" s="3"/>
      <c r="M24" s="13" t="s">
        <v>9</v>
      </c>
      <c r="N24" s="12">
        <f ca="1">COUNTIF(N7:N14, $N17)</f>
        <v>2</v>
      </c>
      <c r="O24" s="3"/>
      <c r="P24" s="3"/>
      <c r="Z24" s="52"/>
      <c r="AA24" s="50"/>
      <c r="AM24" t="s">
        <v>1150</v>
      </c>
      <c r="AO24" s="53">
        <f>AD30</f>
        <v>-2.6168457678835466E-2</v>
      </c>
      <c r="AP24" s="53">
        <f>AG30</f>
        <v>2.4330024271165485E-2</v>
      </c>
      <c r="AQ24" s="53">
        <f>AK30</f>
        <v>8</v>
      </c>
      <c r="AR24" s="56"/>
      <c r="AS24" s="53">
        <f>-(AC30+AF30)</f>
        <v>-1027185.925636</v>
      </c>
    </row>
    <row r="25" spans="1:45">
      <c r="A25" s="1" t="s">
        <v>159</v>
      </c>
      <c r="B25" s="1" t="s">
        <v>170</v>
      </c>
      <c r="C25" s="1">
        <v>358.33100000000002</v>
      </c>
      <c r="G25">
        <f>G22+360/8</f>
        <v>360</v>
      </c>
      <c r="H25" s="50">
        <f>C25*SIN(RADIANS(G25+C26))</f>
        <v>6.2540557614626166E-3</v>
      </c>
      <c r="I25" s="51">
        <f>H25-$AO$35</f>
        <v>6.2513244535419669E-4</v>
      </c>
      <c r="K25" s="3"/>
      <c r="L25" s="3"/>
      <c r="M25" s="12"/>
      <c r="N25" s="14" t="str">
        <f ca="1">TEXT(N23+N24,"0")&amp;"/8"</f>
        <v>4/8</v>
      </c>
      <c r="O25" s="3"/>
      <c r="P25" s="3"/>
      <c r="Z25" s="52" t="s">
        <v>1144</v>
      </c>
      <c r="AA25" s="50">
        <f>H25</f>
        <v>6.2540557614626166E-3</v>
      </c>
      <c r="AB25" s="45">
        <f>AA26^3</f>
        <v>46010096.53575547</v>
      </c>
      <c r="AC25" s="45">
        <f>AA26^2</f>
        <v>128401.10552188678</v>
      </c>
      <c r="AD25" s="45">
        <f>AA26</f>
        <v>358.33099994542306</v>
      </c>
      <c r="AE25" s="45">
        <f>AA25^3</f>
        <v>2.4461621803563396E-7</v>
      </c>
      <c r="AF25" s="45">
        <f>AA25^2</f>
        <v>3.9113213467483751E-5</v>
      </c>
      <c r="AG25" s="45">
        <f>AA25</f>
        <v>6.2540557614626166E-3</v>
      </c>
      <c r="AH25" s="45">
        <f>AA26^2*AA25</f>
        <v>803.02767376732538</v>
      </c>
      <c r="AI25" s="45">
        <f>AA26*AA25</f>
        <v>2.2410220547193336</v>
      </c>
      <c r="AJ25" s="45">
        <f>AA26*AA25^2</f>
        <v>1.4015476892882241E-2</v>
      </c>
      <c r="AK25">
        <v>1</v>
      </c>
      <c r="AO25" s="56"/>
      <c r="AP25" s="56"/>
      <c r="AQ25" s="56"/>
      <c r="AR25" s="56"/>
      <c r="AS25" s="56"/>
    </row>
    <row r="26" spans="1:45">
      <c r="A26" s="1" t="s">
        <v>400</v>
      </c>
      <c r="B26" s="1" t="s">
        <v>171</v>
      </c>
      <c r="C26" s="1">
        <v>1E-3</v>
      </c>
      <c r="G26"/>
      <c r="H26" s="50">
        <f>C25*COS(RADIANS(G25+C26))</f>
        <v>358.33099994542306</v>
      </c>
      <c r="I26" s="51">
        <f>H26-$AO$34</f>
        <v>358.33644058148616</v>
      </c>
      <c r="M26" s="15"/>
      <c r="N26" s="15"/>
      <c r="Z26" s="52" t="s">
        <v>1145</v>
      </c>
      <c r="AA26" s="50">
        <f>H26</f>
        <v>358.33099994542306</v>
      </c>
      <c r="AO26" s="53">
        <f>INDEX(MINVERSE($AO$22:$AQ$24),1,1)</f>
        <v>1.9468400240502156E-6</v>
      </c>
      <c r="AP26" s="53">
        <f>INDEX(MINVERSE($AO$22:$AQ$24),1,2)</f>
        <v>1.0518406903141071E-11</v>
      </c>
      <c r="AQ26" s="53">
        <f>INDEX(MINVERSE($AO$22:$AQ$24),1,3)</f>
        <v>6.3681931079657285E-9</v>
      </c>
      <c r="AR26" s="56"/>
      <c r="AS26" s="53">
        <f>AS22</f>
        <v>8949.2120112963021</v>
      </c>
    </row>
    <row r="27" spans="1:45">
      <c r="A27" s="2" t="s">
        <v>401</v>
      </c>
      <c r="B27" s="1" t="s">
        <v>157</v>
      </c>
      <c r="C27" s="1">
        <v>-8.2029999999999994</v>
      </c>
      <c r="G27"/>
      <c r="H27" s="50"/>
      <c r="I27" s="51"/>
      <c r="M27" s="15"/>
      <c r="N27" s="16"/>
      <c r="Z27" s="52"/>
      <c r="AA27" s="50"/>
      <c r="AO27" s="53">
        <f>INDEX(MINVERSE($AO$22:$AQ$24),2,1)</f>
        <v>1.0518406903141072E-11</v>
      </c>
      <c r="AP27" s="53">
        <f>INDEX(MINVERSE($AO$22:$AQ$24),2,2)</f>
        <v>1.9472943827430755E-6</v>
      </c>
      <c r="AQ27" s="53">
        <f>INDEX(MINVERSE($AO$22:$AQ$24),2,3)</f>
        <v>-5.9221805430946686E-9</v>
      </c>
      <c r="AR27" s="56"/>
      <c r="AS27" s="53">
        <f t="shared" ref="AS27:AS28" si="4">AS23</f>
        <v>-8905.2386841401458</v>
      </c>
    </row>
    <row r="28" spans="1:45">
      <c r="A28" s="1" t="s">
        <v>159</v>
      </c>
      <c r="B28" s="1" t="s">
        <v>170</v>
      </c>
      <c r="C28" s="1">
        <v>358.36599999999999</v>
      </c>
      <c r="G28">
        <f>G25+360/8</f>
        <v>405</v>
      </c>
      <c r="H28" s="50">
        <f>C28*SIN(RADIANS(G28+C29))</f>
        <v>253.4074514252886</v>
      </c>
      <c r="I28" s="51">
        <f>H28-$AO$35</f>
        <v>253.4018225019725</v>
      </c>
      <c r="M28" s="15"/>
      <c r="N28" s="16"/>
      <c r="Z28" s="52" t="s">
        <v>1144</v>
      </c>
      <c r="AA28" s="50">
        <f>H28</f>
        <v>253.4074514252886</v>
      </c>
      <c r="AB28" s="45">
        <f>AA29^3</f>
        <v>16270940.770983642</v>
      </c>
      <c r="AC28" s="45">
        <f>AA29^2</f>
        <v>64210.853518139993</v>
      </c>
      <c r="AD28" s="45">
        <f>AA29</f>
        <v>253.39860599091699</v>
      </c>
      <c r="AE28" s="45">
        <f>AA28^3</f>
        <v>16272644.749135574</v>
      </c>
      <c r="AF28" s="45">
        <f>AA28^2</f>
        <v>64215.336437860002</v>
      </c>
      <c r="AG28" s="45">
        <f>AA28</f>
        <v>253.4074514252886</v>
      </c>
      <c r="AH28" s="45">
        <f>AA29^2*AA28</f>
        <v>16271508.743874382</v>
      </c>
      <c r="AI28" s="45">
        <f>AA29*AA28</f>
        <v>64213.094938879141</v>
      </c>
      <c r="AJ28" s="45">
        <f>AA29*AA28^2</f>
        <v>16272076.736591462</v>
      </c>
      <c r="AK28">
        <v>1</v>
      </c>
      <c r="AO28" s="53">
        <f>INDEX(MINVERSE($AO$22:$AQ$24),3,1)</f>
        <v>6.3681931079657293E-9</v>
      </c>
      <c r="AP28" s="53">
        <f>INDEX(MINVERSE($AO$22:$AQ$24),3,2)</f>
        <v>-5.9221805430946686E-9</v>
      </c>
      <c r="AQ28" s="53">
        <f>INDEX(MINVERSE($AO$22:$AQ$24),3,3)</f>
        <v>0.12500000003884157</v>
      </c>
      <c r="AR28" s="56"/>
      <c r="AS28" s="53">
        <f t="shared" si="4"/>
        <v>-1027185.925636</v>
      </c>
    </row>
    <row r="29" spans="1:45">
      <c r="A29" s="1" t="s">
        <v>402</v>
      </c>
      <c r="B29" s="1" t="s">
        <v>171</v>
      </c>
      <c r="C29" s="1">
        <v>1E-3</v>
      </c>
      <c r="G29"/>
      <c r="H29" s="50">
        <f>C28*COS(RADIANS(G28+C29))</f>
        <v>253.39860599091699</v>
      </c>
      <c r="I29" s="51">
        <f>H29-$AO$34</f>
        <v>253.40404662698006</v>
      </c>
      <c r="Z29" s="52" t="s">
        <v>1145</v>
      </c>
      <c r="AA29" s="50">
        <f>H29</f>
        <v>253.39860599091699</v>
      </c>
      <c r="AO29" s="56"/>
      <c r="AP29" s="56"/>
      <c r="AQ29" s="56"/>
      <c r="AR29" s="56"/>
      <c r="AS29" s="56"/>
    </row>
    <row r="30" spans="1:45">
      <c r="A30" s="2" t="s">
        <v>403</v>
      </c>
      <c r="B30" s="1" t="s">
        <v>157</v>
      </c>
      <c r="C30" s="1">
        <v>-8.2080000000000002</v>
      </c>
      <c r="I30"/>
      <c r="AB30" s="45">
        <f>SUM(AB7:AB29)</f>
        <v>-17949.515796879306</v>
      </c>
      <c r="AC30" s="45">
        <f t="shared" ref="AC30:AK30" si="5">SUM(AC7:AC29)</f>
        <v>513652.88767560129</v>
      </c>
      <c r="AD30" s="45">
        <f t="shared" si="5"/>
        <v>-2.6168457678835466E-2</v>
      </c>
      <c r="AE30" s="45">
        <f t="shared" si="5"/>
        <v>-1714.9634210467339</v>
      </c>
      <c r="AF30" s="45">
        <f t="shared" si="5"/>
        <v>513533.03796039877</v>
      </c>
      <c r="AG30" s="45">
        <f t="shared" si="5"/>
        <v>2.4330024271165485E-2</v>
      </c>
      <c r="AH30" s="45">
        <f t="shared" si="5"/>
        <v>10620.20210518688</v>
      </c>
      <c r="AI30" s="45">
        <f t="shared" si="5"/>
        <v>-2.7746010576302069</v>
      </c>
      <c r="AJ30" s="45">
        <f t="shared" si="5"/>
        <v>9000.3037855830044</v>
      </c>
      <c r="AK30" s="45">
        <f t="shared" si="5"/>
        <v>8</v>
      </c>
      <c r="AO30" s="53">
        <f>AO26*AS26+AP26*AS27+AQ26*AS28</f>
        <v>1.0881272126143952E-2</v>
      </c>
      <c r="AP30" s="56"/>
      <c r="AQ30" s="56"/>
      <c r="AR30" s="56"/>
      <c r="AS30" s="56"/>
    </row>
    <row r="31" spans="1:45">
      <c r="AB31" s="48" t="s">
        <v>1135</v>
      </c>
      <c r="AC31" s="48" t="s">
        <v>1136</v>
      </c>
      <c r="AD31" s="48" t="s">
        <v>1137</v>
      </c>
      <c r="AE31" s="48" t="s">
        <v>1138</v>
      </c>
      <c r="AF31" s="48" t="s">
        <v>1139</v>
      </c>
      <c r="AG31" s="48" t="s">
        <v>1140</v>
      </c>
      <c r="AH31" s="48" t="s">
        <v>1141</v>
      </c>
      <c r="AI31" s="48" t="s">
        <v>1142</v>
      </c>
      <c r="AJ31" s="48" t="s">
        <v>1143</v>
      </c>
      <c r="AK31" s="49">
        <v>1</v>
      </c>
      <c r="AO31" s="53">
        <f>AO27*AS26+AP27*AS27+AQ27*AS28</f>
        <v>-1.125784663221684E-2</v>
      </c>
      <c r="AP31" s="56"/>
      <c r="AQ31" s="56"/>
      <c r="AR31" s="56"/>
      <c r="AS31" s="56"/>
    </row>
    <row r="32" spans="1:45">
      <c r="AO32" s="53">
        <f>AO28*AS26+AP28*AS27+AQ28*AS28</f>
        <v>-128398.24063466876</v>
      </c>
      <c r="AP32" s="56"/>
      <c r="AQ32" s="56"/>
      <c r="AR32" s="56"/>
      <c r="AS32" s="56"/>
    </row>
    <row r="34" spans="13:41">
      <c r="AM34" t="s">
        <v>1151</v>
      </c>
      <c r="AO34" s="57">
        <f>AO30/-2</f>
        <v>-5.440636063071976E-3</v>
      </c>
    </row>
    <row r="35" spans="13:41">
      <c r="M35"/>
      <c r="N35" s="3" t="s">
        <v>1152</v>
      </c>
      <c r="O35"/>
      <c r="P35"/>
      <c r="AM35" t="s">
        <v>1153</v>
      </c>
      <c r="AO35" s="59">
        <f>AO31/-2</f>
        <v>5.6289233161084199E-3</v>
      </c>
    </row>
    <row r="36" spans="13:41">
      <c r="M36" s="3"/>
      <c r="N36" s="3">
        <f ca="1">SQRT(OFFSET(C$6, M7-1, 6)^2 + OFFSET(C$6, M7, 6)^2)</f>
        <v>358.25237111799623</v>
      </c>
      <c r="O36" s="3"/>
      <c r="P36" s="3"/>
      <c r="AM36" s="47" t="s">
        <v>1154</v>
      </c>
      <c r="AO36" s="51">
        <f>SQRT(AO34^2+AO35^2-AO32)</f>
        <v>358.32700246556089</v>
      </c>
    </row>
    <row r="37" spans="13:41">
      <c r="M37" s="3"/>
      <c r="N37" s="3">
        <f t="shared" ref="N37:N43" ca="1" si="6">SQRT(OFFSET(C$6, M8-1, 6)^2 + OFFSET(C$6, M8, 6)^2)</f>
        <v>358.33317263952301</v>
      </c>
      <c r="O37" s="3"/>
      <c r="P37" s="3"/>
      <c r="AM37" s="47" t="s">
        <v>1155</v>
      </c>
      <c r="AO37" s="60">
        <f>AO36*2</f>
        <v>716.65400493112179</v>
      </c>
    </row>
    <row r="38" spans="13:41">
      <c r="M38" s="3"/>
      <c r="N38" s="3">
        <f t="shared" ca="1" si="6"/>
        <v>358.39255940814093</v>
      </c>
      <c r="O38" s="3"/>
      <c r="P38" s="3"/>
    </row>
    <row r="39" spans="13:41">
      <c r="M39" s="3"/>
      <c r="N39" s="3">
        <f t="shared" ca="1" si="6"/>
        <v>358.29913336130437</v>
      </c>
      <c r="O39" s="3"/>
      <c r="P39" s="3"/>
      <c r="AM39" t="s">
        <v>1156</v>
      </c>
    </row>
    <row r="40" spans="13:41">
      <c r="M40" s="3"/>
      <c r="N40" s="3">
        <f t="shared" ca="1" si="6"/>
        <v>358.29062896462409</v>
      </c>
      <c r="O40" s="3"/>
      <c r="P40" s="3"/>
    </row>
    <row r="41" spans="13:41">
      <c r="M41" s="3"/>
      <c r="N41" s="3">
        <f t="shared" ca="1" si="6"/>
        <v>358.34582736284898</v>
      </c>
      <c r="O41" s="3"/>
      <c r="P41" s="3"/>
    </row>
    <row r="42" spans="13:41">
      <c r="M42" s="3"/>
      <c r="N42" s="3">
        <f t="shared" ca="1" si="6"/>
        <v>358.33644058203146</v>
      </c>
      <c r="O42" s="3"/>
      <c r="P42" s="3"/>
    </row>
    <row r="43" spans="13:41">
      <c r="M43" s="3"/>
      <c r="N43" s="3">
        <f t="shared" ca="1" si="6"/>
        <v>358.3658668096752</v>
      </c>
      <c r="O43" s="3"/>
      <c r="P43" s="3"/>
    </row>
    <row r="44" spans="13:41">
      <c r="M44" s="3"/>
      <c r="N44" s="3"/>
      <c r="O44" s="3"/>
      <c r="P44" s="3"/>
    </row>
    <row r="45" spans="13:41">
      <c r="M45" s="5" t="s">
        <v>3</v>
      </c>
      <c r="N45" s="3" t="str">
        <f>"&gt;"&amp;TEXT(($E$2+$E$3)/2, "0.###")</f>
        <v>&gt;358.345</v>
      </c>
      <c r="O45" t="s">
        <v>1157</v>
      </c>
      <c r="P45" s="3">
        <f ca="1">MAX(N36:N43)*2</f>
        <v>716.78511881628185</v>
      </c>
    </row>
    <row r="46" spans="13:41">
      <c r="M46" s="6" t="s">
        <v>4</v>
      </c>
      <c r="N46" s="3" t="str">
        <f>"&lt;"&amp;TEXT(($E$2+$C$4)/2, "0.###")</f>
        <v>&lt;358.295</v>
      </c>
      <c r="O46" t="s">
        <v>1158</v>
      </c>
      <c r="P46" s="3">
        <f ca="1">MIN(N36:N43)*2</f>
        <v>716.50474223599247</v>
      </c>
    </row>
    <row r="47" spans="13:41">
      <c r="M47" s="7"/>
      <c r="N47" s="8" t="s">
        <v>0</v>
      </c>
      <c r="O47" s="3"/>
      <c r="P47" s="3"/>
    </row>
    <row r="48" spans="13:41">
      <c r="M48" s="9" t="s">
        <v>6</v>
      </c>
      <c r="N48" s="10">
        <f ca="1">AVERAGE(N36:N43)*2</f>
        <v>716.65400006153607</v>
      </c>
      <c r="O48" s="3"/>
      <c r="P48" s="3"/>
    </row>
    <row r="49" spans="13:37">
      <c r="M49" s="9"/>
      <c r="N49" s="11" t="str">
        <f ca="1">IF(N48&lt;$E$2+$C$4, "U/Min "&amp;TEXT($E$2+$C$4-N48, "0.###"), IF(N48&gt;$E$2+$E$3, "O/Max "&amp;TEXT(N48-$E$2-$E$3, "0.###"), "-"))</f>
        <v>-</v>
      </c>
      <c r="O49" s="3"/>
      <c r="P49" s="3"/>
    </row>
    <row r="50" spans="13:37">
      <c r="M50" s="9" t="s">
        <v>7</v>
      </c>
      <c r="N50" s="10">
        <f ca="1">MAX(N36:N43)-MIN(N36:N43)</f>
        <v>0.14018829014469247</v>
      </c>
      <c r="O50" s="3"/>
      <c r="P50" s="3"/>
      <c r="AA50" s="47"/>
    </row>
    <row r="51" spans="13:37">
      <c r="M51" s="9"/>
      <c r="N51" s="11" t="str">
        <f ca="1">IF(N50&gt;0.64, "O/Max "&amp;TEXT(N50-0.13, "0.###"), "-")</f>
        <v>-</v>
      </c>
      <c r="O51" s="3"/>
      <c r="P51" s="3"/>
      <c r="AB51" s="48"/>
      <c r="AC51" s="48"/>
      <c r="AD51" s="48"/>
      <c r="AE51" s="48"/>
      <c r="AF51" s="48"/>
      <c r="AG51" s="48"/>
      <c r="AH51" s="48"/>
      <c r="AI51" s="48"/>
      <c r="AJ51" s="48"/>
      <c r="AK51" s="49"/>
    </row>
    <row r="52" spans="13:37">
      <c r="M52" s="9" t="s">
        <v>8</v>
      </c>
      <c r="N52" s="12">
        <f ca="1">COUNTIF(N36:N43, $N45)</f>
        <v>3</v>
      </c>
      <c r="O52" s="3"/>
      <c r="P52" s="3"/>
      <c r="Z52" s="52"/>
    </row>
    <row r="53" spans="13:37">
      <c r="M53" s="9" t="s">
        <v>9</v>
      </c>
      <c r="N53" s="12">
        <f ca="1">COUNTIF(N36:N43, $N46)</f>
        <v>2</v>
      </c>
      <c r="O53"/>
      <c r="P53"/>
      <c r="Z53" s="52"/>
    </row>
    <row r="54" spans="13:37">
      <c r="M54" s="12"/>
      <c r="N54" s="14" t="str">
        <f ca="1">TEXT(N52+N53,"0")&amp;"/8"</f>
        <v>5/8</v>
      </c>
      <c r="O54"/>
      <c r="P54"/>
      <c r="Z54" s="52"/>
    </row>
    <row r="55" spans="13:37">
      <c r="M55"/>
      <c r="N55"/>
      <c r="O55"/>
      <c r="P55"/>
      <c r="Z55" s="52"/>
    </row>
    <row r="56" spans="13:37">
      <c r="M56" s="61" t="s">
        <v>6</v>
      </c>
      <c r="N56" s="71">
        <f ca="1">N48</f>
        <v>716.65400006153607</v>
      </c>
      <c r="O56" s="66"/>
      <c r="P56" s="66"/>
      <c r="Z56" s="52"/>
    </row>
    <row r="57" spans="13:37">
      <c r="M57" s="67" t="s">
        <v>90</v>
      </c>
      <c r="N57" s="67"/>
      <c r="O57" s="62"/>
      <c r="P57" s="66"/>
      <c r="Z57" s="52"/>
    </row>
    <row r="58" spans="13:37">
      <c r="M58" s="67" t="s">
        <v>91</v>
      </c>
      <c r="N58" s="65">
        <f ca="1">MAX(N36:N43)*2</f>
        <v>716.78511881628185</v>
      </c>
      <c r="O58" s="68" t="str">
        <f ca="1">IF(N58&gt;P7*2, "O/Max "&amp;TEXT(N58-P7*2, "0.000"), "-")</f>
        <v>O/Max 0.095</v>
      </c>
      <c r="P58" s="66"/>
      <c r="Z58" s="52"/>
    </row>
    <row r="59" spans="13:37">
      <c r="M59" s="67" t="s">
        <v>92</v>
      </c>
      <c r="N59" s="65">
        <f ca="1">MIN(N36:N43)*2</f>
        <v>716.50474223599247</v>
      </c>
      <c r="O59" s="68" t="str">
        <f ca="1">IF(N59&lt;O7*2, "U/Min "&amp;TEXT(O7*2-N59, "0.000"), "-")</f>
        <v>U/Min 0.085</v>
      </c>
      <c r="P59" s="66"/>
      <c r="Z59" s="52"/>
    </row>
    <row r="60" spans="13:37">
      <c r="Z60" s="52"/>
    </row>
    <row r="61" spans="13:37">
      <c r="Z61" s="52"/>
    </row>
    <row r="62" spans="13:37">
      <c r="Z62" s="52"/>
    </row>
    <row r="63" spans="13:37">
      <c r="Z63" s="52"/>
    </row>
    <row r="64" spans="13:37">
      <c r="Z64" s="52"/>
    </row>
    <row r="65" spans="26:45">
      <c r="Z65" s="52"/>
    </row>
    <row r="66" spans="26:45">
      <c r="Z66" s="52"/>
    </row>
    <row r="67" spans="26:45">
      <c r="Z67" s="52"/>
    </row>
    <row r="68" spans="26:45">
      <c r="Z68" s="52"/>
    </row>
    <row r="69" spans="26:45">
      <c r="Z69" s="52"/>
      <c r="AO69" s="53"/>
      <c r="AP69" s="53"/>
      <c r="AQ69" s="53"/>
      <c r="AR69" s="54" t="s">
        <v>1147</v>
      </c>
      <c r="AS69" s="53">
        <f>-(AB99+AJ99)</f>
        <v>0</v>
      </c>
    </row>
    <row r="70" spans="26:45">
      <c r="Z70" s="52"/>
      <c r="AN70" s="55"/>
      <c r="AO70" s="53"/>
      <c r="AP70" s="53"/>
      <c r="AQ70" s="53"/>
      <c r="AR70" s="56"/>
      <c r="AS70" s="53">
        <f>-(AH99+AE99)</f>
        <v>0</v>
      </c>
    </row>
    <row r="71" spans="26:45">
      <c r="Z71" s="52"/>
      <c r="AO71" s="53"/>
      <c r="AP71" s="53"/>
      <c r="AQ71" s="53"/>
      <c r="AR71" s="56"/>
      <c r="AS71" s="53">
        <f>-(AC99+AF99)</f>
        <v>0</v>
      </c>
    </row>
    <row r="72" spans="26:45">
      <c r="Z72" s="52"/>
      <c r="AO72" s="56"/>
      <c r="AP72" s="56"/>
      <c r="AQ72" s="56"/>
      <c r="AR72" s="56"/>
      <c r="AS72" s="56"/>
    </row>
    <row r="73" spans="26:45">
      <c r="Z73" s="52"/>
      <c r="AO73" s="53"/>
      <c r="AP73" s="53"/>
      <c r="AQ73" s="53"/>
      <c r="AR73" s="56"/>
      <c r="AS73" s="53">
        <f>AS69</f>
        <v>0</v>
      </c>
    </row>
    <row r="74" spans="26:45">
      <c r="Z74" s="52"/>
      <c r="AO74" s="53"/>
      <c r="AP74" s="53"/>
      <c r="AQ74" s="53"/>
      <c r="AR74" s="56"/>
      <c r="AS74" s="53">
        <f t="shared" ref="AS74:AS75" si="7">AS70</f>
        <v>0</v>
      </c>
    </row>
    <row r="75" spans="26:45">
      <c r="Z75" s="52"/>
      <c r="AO75" s="53"/>
      <c r="AP75" s="53"/>
      <c r="AQ75" s="53"/>
      <c r="AR75" s="56"/>
      <c r="AS75" s="53">
        <f t="shared" si="7"/>
        <v>0</v>
      </c>
    </row>
    <row r="76" spans="26:45">
      <c r="Z76" s="52"/>
      <c r="AO76" s="56"/>
      <c r="AP76" s="56"/>
      <c r="AQ76" s="56"/>
      <c r="AR76" s="56"/>
      <c r="AS76" s="56"/>
    </row>
    <row r="77" spans="26:45">
      <c r="Z77" s="52"/>
      <c r="AO77" s="53"/>
      <c r="AP77" s="56"/>
      <c r="AQ77" s="56"/>
      <c r="AR77" s="56"/>
      <c r="AS77" s="56"/>
    </row>
    <row r="78" spans="26:45">
      <c r="Z78" s="52"/>
      <c r="AO78" s="53"/>
      <c r="AP78" s="56"/>
      <c r="AQ78" s="56"/>
      <c r="AR78" s="56"/>
      <c r="AS78" s="56"/>
    </row>
    <row r="79" spans="26:45">
      <c r="Z79" s="52"/>
      <c r="AO79" s="53"/>
      <c r="AP79" s="56"/>
      <c r="AQ79" s="56"/>
      <c r="AR79" s="56"/>
      <c r="AS79" s="56"/>
    </row>
    <row r="80" spans="26:45">
      <c r="Z80" s="52"/>
    </row>
    <row r="81" spans="26:41">
      <c r="Z81" s="52"/>
      <c r="AO81" s="63"/>
    </row>
    <row r="82" spans="26:41">
      <c r="Z82" s="52"/>
      <c r="AO82" s="63"/>
    </row>
    <row r="83" spans="26:41">
      <c r="Z83" s="52"/>
      <c r="AM83" s="47"/>
      <c r="AO83" s="51"/>
    </row>
    <row r="84" spans="26:41">
      <c r="Z84" s="52"/>
      <c r="AM84" s="47"/>
    </row>
    <row r="85" spans="26:41">
      <c r="Z85" s="52"/>
    </row>
    <row r="86" spans="26:41">
      <c r="Z86" s="52"/>
    </row>
    <row r="87" spans="26:41">
      <c r="Z87" s="52"/>
    </row>
    <row r="88" spans="26:41">
      <c r="Z88" s="52"/>
    </row>
    <row r="89" spans="26:41">
      <c r="Z89" s="52"/>
    </row>
    <row r="90" spans="26:41">
      <c r="Z90" s="52"/>
    </row>
    <row r="91" spans="26:41">
      <c r="Z91" s="52"/>
    </row>
    <row r="92" spans="26:41">
      <c r="Z92" s="52"/>
    </row>
    <row r="93" spans="26:41">
      <c r="Z93" s="52"/>
    </row>
    <row r="94" spans="26:41">
      <c r="Z94" s="52"/>
    </row>
    <row r="95" spans="26:41">
      <c r="Z95" s="52"/>
    </row>
    <row r="96" spans="26:41">
      <c r="Z96" s="52"/>
    </row>
    <row r="97" spans="26:37">
      <c r="Z97" s="52"/>
    </row>
    <row r="98" spans="26:37">
      <c r="Z98" s="52"/>
    </row>
    <row r="99" spans="26:37">
      <c r="Z99" s="52"/>
    </row>
    <row r="100" spans="26:37">
      <c r="AB100" s="48"/>
      <c r="AC100" s="48"/>
      <c r="AD100" s="48"/>
      <c r="AE100" s="48"/>
      <c r="AF100" s="48"/>
      <c r="AG100" s="48"/>
      <c r="AH100" s="48"/>
      <c r="AI100" s="48"/>
      <c r="AJ100" s="48"/>
      <c r="AK100" s="49"/>
    </row>
  </sheetData>
  <phoneticPr fontId="1"/>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M109"/>
  <sheetViews>
    <sheetView topLeftCell="A46" workbookViewId="0">
      <selection activeCell="K33" sqref="K33"/>
    </sheetView>
  </sheetViews>
  <sheetFormatPr defaultColWidth="9" defaultRowHeight="15"/>
  <cols>
    <col min="1" max="16384" width="9" style="1"/>
  </cols>
  <sheetData>
    <row r="1" spans="1:13">
      <c r="A1" s="1" t="s">
        <v>404</v>
      </c>
    </row>
    <row r="2" spans="1:13">
      <c r="A2" s="1" t="s">
        <v>160</v>
      </c>
      <c r="B2" s="1" t="s">
        <v>164</v>
      </c>
      <c r="C2" s="1">
        <v>709.45399999999995</v>
      </c>
      <c r="D2" s="1" t="s">
        <v>196</v>
      </c>
      <c r="E2" s="1">
        <v>709.5</v>
      </c>
    </row>
    <row r="3" spans="1:13">
      <c r="A3" s="1" t="s">
        <v>405</v>
      </c>
      <c r="B3" s="1" t="s">
        <v>162</v>
      </c>
      <c r="C3" s="1">
        <v>-4.5999999999999999E-2</v>
      </c>
      <c r="D3" s="1" t="s">
        <v>163</v>
      </c>
      <c r="E3" s="1">
        <v>6.4000000000000001E-2</v>
      </c>
      <c r="F3" s="1" t="s">
        <v>158</v>
      </c>
    </row>
    <row r="4" spans="1:13">
      <c r="A4" s="2" t="s">
        <v>359</v>
      </c>
      <c r="B4" s="1" t="s">
        <v>169</v>
      </c>
      <c r="C4" s="1">
        <v>-6.4000000000000001E-2</v>
      </c>
    </row>
    <row r="6" spans="1:13">
      <c r="A6" s="1" t="s">
        <v>1301</v>
      </c>
      <c r="C6" s="1" t="s">
        <v>161</v>
      </c>
      <c r="H6" s="3"/>
      <c r="I6" s="3" t="str">
        <f>CONCATENATE(A6," : ",MID(A1,11,8))</f>
        <v>JHV723EJ : 235_2001</v>
      </c>
      <c r="J6" s="3"/>
      <c r="K6" s="3" t="s">
        <v>5</v>
      </c>
      <c r="L6" s="3" t="s">
        <v>1</v>
      </c>
      <c r="M6" s="3" t="s">
        <v>2</v>
      </c>
    </row>
    <row r="7" spans="1:13">
      <c r="A7" s="1" t="s">
        <v>159</v>
      </c>
      <c r="B7" s="1" t="s">
        <v>170</v>
      </c>
      <c r="C7" s="1">
        <v>354.60399999999998</v>
      </c>
      <c r="H7" s="4">
        <v>1</v>
      </c>
      <c r="I7" s="3" t="str">
        <f>CONCATENATE("点235_F(", H7,"/16)")</f>
        <v>点235_F(1/16)</v>
      </c>
      <c r="J7" s="3">
        <f>MATCH(I7, A$7:A$54, 0)</f>
        <v>2</v>
      </c>
      <c r="K7" s="3">
        <f ca="1">OFFSET(C$6, J7-1, 0)</f>
        <v>354.60399999999998</v>
      </c>
      <c r="L7" s="3">
        <f>($E$2+$C$4)/2</f>
        <v>354.71800000000002</v>
      </c>
      <c r="M7" s="3">
        <f>($E$2+$E$3)/2</f>
        <v>354.78199999999998</v>
      </c>
    </row>
    <row r="8" spans="1:13">
      <c r="A8" s="1" t="s">
        <v>406</v>
      </c>
      <c r="B8" s="1" t="s">
        <v>171</v>
      </c>
      <c r="C8" s="1">
        <v>-2E-3</v>
      </c>
      <c r="H8" s="3">
        <v>16</v>
      </c>
      <c r="I8" s="3" t="str">
        <f t="shared" ref="I8:I22" si="0">CONCATENATE("点235_F(", H8,"/16)")</f>
        <v>点235_F(16/16)</v>
      </c>
      <c r="J8" s="3">
        <f t="shared" ref="J8:J22" si="1">MATCH(I8, A$7:A$54, 0)</f>
        <v>47</v>
      </c>
      <c r="K8" s="3">
        <f t="shared" ref="K8:K22" ca="1" si="2">OFFSET(C$6, J8-1, 0)</f>
        <v>354.62299999999999</v>
      </c>
      <c r="L8" s="3">
        <f>L7</f>
        <v>354.71800000000002</v>
      </c>
      <c r="M8" s="3">
        <f>M7</f>
        <v>354.78199999999998</v>
      </c>
    </row>
    <row r="9" spans="1:13">
      <c r="A9" s="2" t="s">
        <v>407</v>
      </c>
      <c r="B9" s="1" t="s">
        <v>157</v>
      </c>
      <c r="C9" s="1">
        <v>-243.71</v>
      </c>
      <c r="H9" s="3">
        <v>15</v>
      </c>
      <c r="I9" s="3" t="str">
        <f t="shared" si="0"/>
        <v>点235_F(15/16)</v>
      </c>
      <c r="J9" s="3">
        <f t="shared" si="1"/>
        <v>44</v>
      </c>
      <c r="K9" s="3">
        <f t="shared" ca="1" si="2"/>
        <v>354.71499999999997</v>
      </c>
      <c r="L9" s="3">
        <f t="shared" ref="L9:M22" si="3">L8</f>
        <v>354.71800000000002</v>
      </c>
      <c r="M9" s="3">
        <f t="shared" si="3"/>
        <v>354.78199999999998</v>
      </c>
    </row>
    <row r="10" spans="1:13">
      <c r="A10" s="1" t="s">
        <v>159</v>
      </c>
      <c r="B10" s="1" t="s">
        <v>170</v>
      </c>
      <c r="C10" s="1">
        <v>354.68099999999998</v>
      </c>
      <c r="H10" s="3">
        <v>14</v>
      </c>
      <c r="I10" s="3" t="str">
        <f t="shared" si="0"/>
        <v>点235_F(14/16)</v>
      </c>
      <c r="J10" s="3">
        <f t="shared" si="1"/>
        <v>41</v>
      </c>
      <c r="K10" s="3">
        <f t="shared" ca="1" si="2"/>
        <v>354.79899999999998</v>
      </c>
      <c r="L10" s="3">
        <f t="shared" si="3"/>
        <v>354.71800000000002</v>
      </c>
      <c r="M10" s="3">
        <f t="shared" si="3"/>
        <v>354.78199999999998</v>
      </c>
    </row>
    <row r="11" spans="1:13">
      <c r="A11" s="1" t="s">
        <v>408</v>
      </c>
      <c r="B11" s="1" t="s">
        <v>171</v>
      </c>
      <c r="C11" s="1">
        <v>1E-3</v>
      </c>
      <c r="H11" s="3">
        <v>13</v>
      </c>
      <c r="I11" s="3" t="str">
        <f t="shared" si="0"/>
        <v>点235_F(13/16)</v>
      </c>
      <c r="J11" s="3">
        <f t="shared" si="1"/>
        <v>38</v>
      </c>
      <c r="K11" s="3">
        <f t="shared" ca="1" si="2"/>
        <v>354.82100000000003</v>
      </c>
      <c r="L11" s="3">
        <f t="shared" si="3"/>
        <v>354.71800000000002</v>
      </c>
      <c r="M11" s="3">
        <f t="shared" si="3"/>
        <v>354.78199999999998</v>
      </c>
    </row>
    <row r="12" spans="1:13">
      <c r="A12" s="2" t="s">
        <v>409</v>
      </c>
      <c r="B12" s="1" t="s">
        <v>157</v>
      </c>
      <c r="C12" s="1">
        <v>-243.714</v>
      </c>
      <c r="H12" s="3">
        <v>12</v>
      </c>
      <c r="I12" s="3" t="str">
        <f t="shared" si="0"/>
        <v>点235_F(12/16)</v>
      </c>
      <c r="J12" s="3">
        <f t="shared" si="1"/>
        <v>35</v>
      </c>
      <c r="K12" s="3">
        <f t="shared" ca="1" si="2"/>
        <v>354.779</v>
      </c>
      <c r="L12" s="3">
        <f t="shared" si="3"/>
        <v>354.71800000000002</v>
      </c>
      <c r="M12" s="3">
        <f t="shared" si="3"/>
        <v>354.78199999999998</v>
      </c>
    </row>
    <row r="13" spans="1:13">
      <c r="A13" s="1" t="s">
        <v>159</v>
      </c>
      <c r="B13" s="1" t="s">
        <v>170</v>
      </c>
      <c r="C13" s="1">
        <v>354.755</v>
      </c>
      <c r="H13" s="3">
        <v>11</v>
      </c>
      <c r="I13" s="3" t="str">
        <f t="shared" si="0"/>
        <v>点235_F(11/16)</v>
      </c>
      <c r="J13" s="3">
        <f t="shared" si="1"/>
        <v>32</v>
      </c>
      <c r="K13" s="3">
        <f t="shared" ca="1" si="2"/>
        <v>354.72199999999998</v>
      </c>
      <c r="L13" s="3">
        <f t="shared" si="3"/>
        <v>354.71800000000002</v>
      </c>
      <c r="M13" s="3">
        <f t="shared" si="3"/>
        <v>354.78199999999998</v>
      </c>
    </row>
    <row r="14" spans="1:13">
      <c r="A14" s="1" t="s">
        <v>410</v>
      </c>
      <c r="B14" s="1" t="s">
        <v>171</v>
      </c>
      <c r="C14" s="1">
        <v>0</v>
      </c>
      <c r="H14" s="3">
        <v>10</v>
      </c>
      <c r="I14" s="3" t="str">
        <f t="shared" si="0"/>
        <v>点235_F(10/16)</v>
      </c>
      <c r="J14" s="3">
        <f t="shared" si="1"/>
        <v>29</v>
      </c>
      <c r="K14" s="3">
        <f t="shared" ca="1" si="2"/>
        <v>354.68099999999998</v>
      </c>
      <c r="L14" s="3">
        <f t="shared" si="3"/>
        <v>354.71800000000002</v>
      </c>
      <c r="M14" s="3">
        <f t="shared" si="3"/>
        <v>354.78199999999998</v>
      </c>
    </row>
    <row r="15" spans="1:13">
      <c r="A15" s="2" t="s">
        <v>411</v>
      </c>
      <c r="B15" s="1" t="s">
        <v>157</v>
      </c>
      <c r="C15" s="1">
        <v>-243.71700000000001</v>
      </c>
      <c r="H15" s="3">
        <v>9</v>
      </c>
      <c r="I15" s="3" t="str">
        <f t="shared" si="0"/>
        <v>点235_F(9/16)</v>
      </c>
      <c r="J15" s="3">
        <f t="shared" si="1"/>
        <v>26</v>
      </c>
      <c r="K15" s="3">
        <f t="shared" ca="1" si="2"/>
        <v>354.69400000000002</v>
      </c>
      <c r="L15" s="3">
        <f t="shared" si="3"/>
        <v>354.71800000000002</v>
      </c>
      <c r="M15" s="3">
        <f t="shared" si="3"/>
        <v>354.78199999999998</v>
      </c>
    </row>
    <row r="16" spans="1:13">
      <c r="A16" s="1" t="s">
        <v>159</v>
      </c>
      <c r="B16" s="1" t="s">
        <v>170</v>
      </c>
      <c r="C16" s="1">
        <v>354.76799999999997</v>
      </c>
      <c r="H16" s="3">
        <v>8</v>
      </c>
      <c r="I16" s="3" t="str">
        <f t="shared" si="0"/>
        <v>点235_F(8/16)</v>
      </c>
      <c r="J16" s="3">
        <f t="shared" si="1"/>
        <v>23</v>
      </c>
      <c r="K16" s="3">
        <f t="shared" ca="1" si="2"/>
        <v>354.74200000000002</v>
      </c>
      <c r="L16" s="3">
        <f t="shared" si="3"/>
        <v>354.71800000000002</v>
      </c>
      <c r="M16" s="3">
        <f t="shared" si="3"/>
        <v>354.78199999999998</v>
      </c>
    </row>
    <row r="17" spans="1:13">
      <c r="A17" s="1" t="s">
        <v>412</v>
      </c>
      <c r="B17" s="1" t="s">
        <v>171</v>
      </c>
      <c r="C17" s="1">
        <v>-3.0000000000000001E-3</v>
      </c>
      <c r="H17" s="3">
        <v>7</v>
      </c>
      <c r="I17" s="3" t="str">
        <f t="shared" si="0"/>
        <v>点235_F(7/16)</v>
      </c>
      <c r="J17" s="3">
        <f t="shared" si="1"/>
        <v>20</v>
      </c>
      <c r="K17" s="3">
        <f t="shared" ca="1" si="2"/>
        <v>354.762</v>
      </c>
      <c r="L17" s="3">
        <f t="shared" si="3"/>
        <v>354.71800000000002</v>
      </c>
      <c r="M17" s="3">
        <f t="shared" si="3"/>
        <v>354.78199999999998</v>
      </c>
    </row>
    <row r="18" spans="1:13">
      <c r="A18" s="2" t="s">
        <v>413</v>
      </c>
      <c r="B18" s="1" t="s">
        <v>157</v>
      </c>
      <c r="C18" s="1">
        <v>-243.71799999999999</v>
      </c>
      <c r="H18" s="3">
        <v>6</v>
      </c>
      <c r="I18" s="3" t="str">
        <f t="shared" si="0"/>
        <v>点235_F(6/16)</v>
      </c>
      <c r="J18" s="3">
        <f t="shared" si="1"/>
        <v>17</v>
      </c>
      <c r="K18" s="3">
        <f t="shared" ca="1" si="2"/>
        <v>354.74799999999999</v>
      </c>
      <c r="L18" s="3">
        <f t="shared" si="3"/>
        <v>354.71800000000002</v>
      </c>
      <c r="M18" s="3">
        <f t="shared" si="3"/>
        <v>354.78199999999998</v>
      </c>
    </row>
    <row r="19" spans="1:13">
      <c r="A19" s="1" t="s">
        <v>159</v>
      </c>
      <c r="B19" s="1" t="s">
        <v>170</v>
      </c>
      <c r="C19" s="1">
        <v>354.75099999999998</v>
      </c>
      <c r="H19" s="3">
        <v>5</v>
      </c>
      <c r="I19" s="3" t="str">
        <f t="shared" si="0"/>
        <v>点235_F(5/16)</v>
      </c>
      <c r="J19" s="3">
        <f t="shared" si="1"/>
        <v>14</v>
      </c>
      <c r="K19" s="3">
        <f t="shared" ca="1" si="2"/>
        <v>354.75099999999998</v>
      </c>
      <c r="L19" s="3">
        <f t="shared" si="3"/>
        <v>354.71800000000002</v>
      </c>
      <c r="M19" s="3">
        <f t="shared" si="3"/>
        <v>354.78199999999998</v>
      </c>
    </row>
    <row r="20" spans="1:13">
      <c r="A20" s="1" t="s">
        <v>414</v>
      </c>
      <c r="B20" s="1" t="s">
        <v>171</v>
      </c>
      <c r="C20" s="1">
        <v>-1E-3</v>
      </c>
      <c r="H20" s="3">
        <v>4</v>
      </c>
      <c r="I20" s="3" t="str">
        <f t="shared" si="0"/>
        <v>点235_F(4/16)</v>
      </c>
      <c r="J20" s="3">
        <f t="shared" si="1"/>
        <v>11</v>
      </c>
      <c r="K20" s="3">
        <f t="shared" ca="1" si="2"/>
        <v>354.76799999999997</v>
      </c>
      <c r="L20" s="3">
        <f t="shared" si="3"/>
        <v>354.71800000000002</v>
      </c>
      <c r="M20" s="3">
        <f t="shared" si="3"/>
        <v>354.78199999999998</v>
      </c>
    </row>
    <row r="21" spans="1:13">
      <c r="A21" s="2" t="s">
        <v>415</v>
      </c>
      <c r="B21" s="1" t="s">
        <v>157</v>
      </c>
      <c r="C21" s="1">
        <v>-243.71600000000001</v>
      </c>
      <c r="H21" s="3">
        <v>3</v>
      </c>
      <c r="I21" s="3" t="str">
        <f t="shared" si="0"/>
        <v>点235_F(3/16)</v>
      </c>
      <c r="J21" s="3">
        <f t="shared" si="1"/>
        <v>8</v>
      </c>
      <c r="K21" s="3">
        <f t="shared" ca="1" si="2"/>
        <v>354.755</v>
      </c>
      <c r="L21" s="3">
        <f t="shared" si="3"/>
        <v>354.71800000000002</v>
      </c>
      <c r="M21" s="3">
        <f t="shared" si="3"/>
        <v>354.78199999999998</v>
      </c>
    </row>
    <row r="22" spans="1:13">
      <c r="A22" s="1" t="s">
        <v>159</v>
      </c>
      <c r="B22" s="1" t="s">
        <v>170</v>
      </c>
      <c r="C22" s="1">
        <v>354.74799999999999</v>
      </c>
      <c r="H22" s="3">
        <v>2</v>
      </c>
      <c r="I22" s="3" t="str">
        <f t="shared" si="0"/>
        <v>点235_F(2/16)</v>
      </c>
      <c r="J22" s="3">
        <f t="shared" si="1"/>
        <v>5</v>
      </c>
      <c r="K22" s="3">
        <f t="shared" ca="1" si="2"/>
        <v>354.68099999999998</v>
      </c>
      <c r="L22" s="3">
        <f t="shared" si="3"/>
        <v>354.71800000000002</v>
      </c>
      <c r="M22" s="3">
        <f t="shared" si="3"/>
        <v>354.78199999999998</v>
      </c>
    </row>
    <row r="23" spans="1:13">
      <c r="A23" s="1" t="s">
        <v>416</v>
      </c>
      <c r="B23" s="1" t="s">
        <v>171</v>
      </c>
      <c r="C23" s="1">
        <v>0</v>
      </c>
      <c r="H23" s="3"/>
      <c r="I23" s="3"/>
      <c r="J23" s="3"/>
      <c r="K23" s="3"/>
      <c r="L23" s="3"/>
      <c r="M23" s="3"/>
    </row>
    <row r="24" spans="1:13">
      <c r="A24" s="2" t="s">
        <v>417</v>
      </c>
      <c r="B24" s="1" t="s">
        <v>157</v>
      </c>
      <c r="C24" s="1">
        <v>-243.721</v>
      </c>
      <c r="H24" s="3"/>
      <c r="I24" s="3"/>
      <c r="J24" s="5" t="s">
        <v>25</v>
      </c>
      <c r="K24" s="3" t="str">
        <f>"&gt;"&amp;TEXT(($E$2+$E$3)/2, "0.###")</f>
        <v>&gt;354.782</v>
      </c>
      <c r="L24" s="3"/>
      <c r="M24" s="3"/>
    </row>
    <row r="25" spans="1:13">
      <c r="A25" s="1" t="s">
        <v>159</v>
      </c>
      <c r="B25" s="1" t="s">
        <v>170</v>
      </c>
      <c r="C25" s="1">
        <v>354.762</v>
      </c>
      <c r="H25" s="3"/>
      <c r="I25" s="3"/>
      <c r="J25" s="6" t="s">
        <v>4</v>
      </c>
      <c r="K25" s="3" t="str">
        <f>"&lt;"&amp;TEXT(($E$2+$C$4)/2, "0.###")</f>
        <v>&lt;354.718</v>
      </c>
      <c r="L25" s="3"/>
      <c r="M25" s="3"/>
    </row>
    <row r="26" spans="1:13">
      <c r="A26" s="1" t="s">
        <v>418</v>
      </c>
      <c r="B26" s="1" t="s">
        <v>171</v>
      </c>
      <c r="C26" s="1">
        <v>-2E-3</v>
      </c>
      <c r="H26" s="3"/>
      <c r="I26" s="3"/>
      <c r="J26" s="7"/>
      <c r="K26" s="8" t="s">
        <v>26</v>
      </c>
      <c r="L26" s="3"/>
      <c r="M26" s="3"/>
    </row>
    <row r="27" spans="1:13">
      <c r="A27" s="2" t="s">
        <v>419</v>
      </c>
      <c r="B27" s="1" t="s">
        <v>157</v>
      </c>
      <c r="C27" s="1">
        <v>-243.71600000000001</v>
      </c>
      <c r="H27" s="3"/>
      <c r="I27" s="3"/>
      <c r="J27" s="9" t="s">
        <v>6</v>
      </c>
      <c r="K27" s="10">
        <f ca="1">AVERAGE(K7:K22)*2</f>
        <v>709.45562500000005</v>
      </c>
      <c r="L27" s="3"/>
      <c r="M27" s="3"/>
    </row>
    <row r="28" spans="1:13">
      <c r="A28" s="1" t="s">
        <v>159</v>
      </c>
      <c r="B28" s="1" t="s">
        <v>170</v>
      </c>
      <c r="C28" s="1">
        <v>354.74200000000002</v>
      </c>
      <c r="H28" s="3"/>
      <c r="I28" s="3"/>
      <c r="J28" s="9"/>
      <c r="K28" s="11" t="str">
        <f ca="1">IF(K27&lt;$E$2+$C$4, "U/Min "&amp;TEXT($E$2+$C$4-K27, "0.###"), IF(K27&gt;$E$2+$E$3, "O/Max "&amp;TEXT(K27-$E$2-$E$3, "0.###"), "-"))</f>
        <v>-</v>
      </c>
      <c r="L28" s="3"/>
      <c r="M28" s="3"/>
    </row>
    <row r="29" spans="1:13">
      <c r="A29" s="1" t="s">
        <v>420</v>
      </c>
      <c r="B29" s="1" t="s">
        <v>171</v>
      </c>
      <c r="C29" s="1">
        <v>-1E-3</v>
      </c>
      <c r="H29" s="3"/>
      <c r="I29" s="3"/>
      <c r="J29" s="9" t="s">
        <v>27</v>
      </c>
      <c r="K29" s="10">
        <f ca="1">MAX(K7:K22)-MIN(K7:K22)</f>
        <v>0.21700000000004138</v>
      </c>
      <c r="L29" s="3"/>
      <c r="M29" s="3"/>
    </row>
    <row r="30" spans="1:13">
      <c r="A30" s="2" t="s">
        <v>421</v>
      </c>
      <c r="B30" s="1" t="s">
        <v>157</v>
      </c>
      <c r="C30" s="1">
        <v>-243.714</v>
      </c>
      <c r="H30" s="3"/>
      <c r="I30" s="3"/>
      <c r="J30" s="9"/>
      <c r="K30" s="11" t="str">
        <f ca="1">IF(K29&gt;0.64, "O/Max "&amp;TEXT(K29-0.13, "0.###"), "-")</f>
        <v>-</v>
      </c>
      <c r="L30" s="3"/>
      <c r="M30" s="3"/>
    </row>
    <row r="31" spans="1:13">
      <c r="A31" s="1" t="s">
        <v>159</v>
      </c>
      <c r="B31" s="1" t="s">
        <v>170</v>
      </c>
      <c r="C31" s="1">
        <v>354.69400000000002</v>
      </c>
      <c r="H31" s="3"/>
      <c r="I31" s="3"/>
      <c r="J31" s="9" t="s">
        <v>28</v>
      </c>
      <c r="K31" s="12">
        <f ca="1">COUNTIF(K7:K22, $K24)</f>
        <v>2</v>
      </c>
      <c r="L31" s="3"/>
      <c r="M31" s="3"/>
    </row>
    <row r="32" spans="1:13">
      <c r="A32" s="1" t="s">
        <v>422</v>
      </c>
      <c r="B32" s="1" t="s">
        <v>171</v>
      </c>
      <c r="C32" s="1">
        <v>-1E-3</v>
      </c>
      <c r="H32" s="3"/>
      <c r="I32" s="3"/>
      <c r="J32" s="13" t="s">
        <v>29</v>
      </c>
      <c r="K32" s="12">
        <f ca="1">COUNTIF(K7:K22, $K25)</f>
        <v>6</v>
      </c>
      <c r="L32" s="3"/>
      <c r="M32" s="3"/>
    </row>
    <row r="33" spans="1:13">
      <c r="A33" s="2" t="s">
        <v>423</v>
      </c>
      <c r="B33" s="1" t="s">
        <v>157</v>
      </c>
      <c r="C33" s="1">
        <v>-243.70599999999999</v>
      </c>
      <c r="H33" s="3"/>
      <c r="I33" s="3"/>
      <c r="J33" s="12"/>
      <c r="K33" s="14" t="str">
        <f ca="1">TEXT(K31+K32,"0")&amp;"/16"</f>
        <v>8/16</v>
      </c>
      <c r="L33" s="3"/>
      <c r="M33" s="3"/>
    </row>
    <row r="34" spans="1:13">
      <c r="A34" s="1" t="s">
        <v>159</v>
      </c>
      <c r="B34" s="1" t="s">
        <v>170</v>
      </c>
      <c r="C34" s="1">
        <v>354.68099999999998</v>
      </c>
      <c r="J34" s="15" t="s">
        <v>90</v>
      </c>
      <c r="K34" s="15"/>
    </row>
    <row r="35" spans="1:13">
      <c r="A35" s="1" t="s">
        <v>424</v>
      </c>
      <c r="B35" s="1" t="s">
        <v>171</v>
      </c>
      <c r="C35" s="1">
        <v>2E-3</v>
      </c>
      <c r="J35" s="15" t="s">
        <v>91</v>
      </c>
      <c r="K35" s="16">
        <f ca="1">MAX(K7:K22)*2</f>
        <v>709.64200000000005</v>
      </c>
    </row>
    <row r="36" spans="1:13">
      <c r="A36" s="2" t="s">
        <v>425</v>
      </c>
      <c r="B36" s="1" t="s">
        <v>157</v>
      </c>
      <c r="C36" s="1">
        <v>-243.709</v>
      </c>
      <c r="J36" s="15" t="s">
        <v>92</v>
      </c>
      <c r="K36" s="16">
        <f ca="1">MIN(K7:K22)*2</f>
        <v>709.20799999999997</v>
      </c>
    </row>
    <row r="37" spans="1:13">
      <c r="A37" s="1" t="s">
        <v>159</v>
      </c>
      <c r="B37" s="1" t="s">
        <v>170</v>
      </c>
      <c r="C37" s="1">
        <v>354.72199999999998</v>
      </c>
    </row>
    <row r="38" spans="1:13">
      <c r="A38" s="1" t="s">
        <v>426</v>
      </c>
      <c r="B38" s="1" t="s">
        <v>171</v>
      </c>
      <c r="C38" s="1">
        <v>0</v>
      </c>
    </row>
    <row r="39" spans="1:13">
      <c r="A39" s="2" t="s">
        <v>427</v>
      </c>
      <c r="B39" s="1" t="s">
        <v>157</v>
      </c>
      <c r="C39" s="1">
        <v>-243.71700000000001</v>
      </c>
    </row>
    <row r="40" spans="1:13">
      <c r="A40" s="1" t="s">
        <v>159</v>
      </c>
      <c r="B40" s="1" t="s">
        <v>170</v>
      </c>
      <c r="C40" s="1">
        <v>354.779</v>
      </c>
    </row>
    <row r="41" spans="1:13">
      <c r="A41" s="1" t="s">
        <v>428</v>
      </c>
      <c r="B41" s="1" t="s">
        <v>171</v>
      </c>
      <c r="C41" s="1">
        <v>1E-3</v>
      </c>
    </row>
    <row r="42" spans="1:13">
      <c r="A42" s="2" t="s">
        <v>429</v>
      </c>
      <c r="B42" s="1" t="s">
        <v>157</v>
      </c>
      <c r="C42" s="1">
        <v>-243.72499999999999</v>
      </c>
    </row>
    <row r="43" spans="1:13">
      <c r="A43" s="1" t="s">
        <v>159</v>
      </c>
      <c r="B43" s="1" t="s">
        <v>170</v>
      </c>
      <c r="C43" s="1">
        <v>354.82100000000003</v>
      </c>
    </row>
    <row r="44" spans="1:13">
      <c r="A44" s="1" t="s">
        <v>430</v>
      </c>
      <c r="B44" s="1" t="s">
        <v>171</v>
      </c>
      <c r="C44" s="1">
        <v>0</v>
      </c>
    </row>
    <row r="45" spans="1:13">
      <c r="A45" s="2" t="s">
        <v>431</v>
      </c>
      <c r="B45" s="1" t="s">
        <v>157</v>
      </c>
      <c r="C45" s="1">
        <v>-243.732</v>
      </c>
    </row>
    <row r="46" spans="1:13">
      <c r="A46" s="1" t="s">
        <v>159</v>
      </c>
      <c r="B46" s="1" t="s">
        <v>170</v>
      </c>
      <c r="C46" s="1">
        <v>354.79899999999998</v>
      </c>
    </row>
    <row r="47" spans="1:13">
      <c r="A47" s="1" t="s">
        <v>432</v>
      </c>
      <c r="B47" s="1" t="s">
        <v>171</v>
      </c>
      <c r="C47" s="1">
        <v>3.0000000000000001E-3</v>
      </c>
    </row>
    <row r="48" spans="1:13">
      <c r="A48" s="2" t="s">
        <v>433</v>
      </c>
      <c r="B48" s="1" t="s">
        <v>157</v>
      </c>
      <c r="C48" s="1">
        <v>-243.74100000000001</v>
      </c>
    </row>
    <row r="49" spans="1:13">
      <c r="A49" s="1" t="s">
        <v>159</v>
      </c>
      <c r="B49" s="1" t="s">
        <v>170</v>
      </c>
      <c r="C49" s="1">
        <v>354.71499999999997</v>
      </c>
    </row>
    <row r="50" spans="1:13">
      <c r="A50" s="1" t="s">
        <v>434</v>
      </c>
      <c r="B50" s="1" t="s">
        <v>171</v>
      </c>
      <c r="C50" s="1">
        <v>0</v>
      </c>
    </row>
    <row r="51" spans="1:13">
      <c r="A51" s="2" t="s">
        <v>435</v>
      </c>
      <c r="B51" s="1" t="s">
        <v>157</v>
      </c>
      <c r="C51" s="1">
        <v>-243.74</v>
      </c>
    </row>
    <row r="52" spans="1:13">
      <c r="A52" s="1" t="s">
        <v>159</v>
      </c>
      <c r="B52" s="1" t="s">
        <v>170</v>
      </c>
      <c r="C52" s="1">
        <v>354.62299999999999</v>
      </c>
    </row>
    <row r="53" spans="1:13">
      <c r="A53" s="1" t="s">
        <v>436</v>
      </c>
      <c r="B53" s="1" t="s">
        <v>171</v>
      </c>
      <c r="C53" s="1">
        <v>-1E-3</v>
      </c>
    </row>
    <row r="54" spans="1:13">
      <c r="A54" s="2" t="s">
        <v>437</v>
      </c>
      <c r="B54" s="1" t="s">
        <v>157</v>
      </c>
      <c r="C54" s="1">
        <v>-243.72499999999999</v>
      </c>
    </row>
    <row r="56" spans="1:13">
      <c r="A56" s="1" t="s">
        <v>438</v>
      </c>
    </row>
    <row r="57" spans="1:13">
      <c r="A57" s="1" t="s">
        <v>160</v>
      </c>
      <c r="B57" s="1" t="s">
        <v>164</v>
      </c>
      <c r="C57" s="1">
        <v>709.45899999999995</v>
      </c>
      <c r="D57" s="1" t="s">
        <v>196</v>
      </c>
      <c r="E57" s="1">
        <v>709.5</v>
      </c>
    </row>
    <row r="58" spans="1:13">
      <c r="A58" s="1" t="s">
        <v>439</v>
      </c>
      <c r="B58" s="1" t="s">
        <v>162</v>
      </c>
      <c r="C58" s="1">
        <v>-4.1000000000000002E-2</v>
      </c>
      <c r="D58" s="1" t="s">
        <v>163</v>
      </c>
      <c r="E58" s="1">
        <v>6.4000000000000001E-2</v>
      </c>
      <c r="F58" s="1" t="s">
        <v>158</v>
      </c>
    </row>
    <row r="59" spans="1:13">
      <c r="A59" s="2" t="s">
        <v>440</v>
      </c>
      <c r="B59" s="1" t="s">
        <v>169</v>
      </c>
      <c r="C59" s="1">
        <v>-6.4000000000000001E-2</v>
      </c>
    </row>
    <row r="61" spans="1:13">
      <c r="A61" s="1" t="s">
        <v>1301</v>
      </c>
      <c r="C61" s="1" t="s">
        <v>161</v>
      </c>
      <c r="H61" s="3"/>
      <c r="I61" s="3" t="str">
        <f>CONCATENATE(A61," : ",MID(A56,11,8))</f>
        <v>JHV723EJ : 235_2002</v>
      </c>
      <c r="J61" s="3"/>
      <c r="K61" s="3" t="s">
        <v>30</v>
      </c>
      <c r="L61" s="3" t="s">
        <v>31</v>
      </c>
      <c r="M61" s="3" t="s">
        <v>32</v>
      </c>
    </row>
    <row r="62" spans="1:13">
      <c r="A62" s="1" t="s">
        <v>159</v>
      </c>
      <c r="B62" s="1" t="s">
        <v>170</v>
      </c>
      <c r="C62" s="1">
        <v>354.61</v>
      </c>
      <c r="H62" s="4">
        <v>1</v>
      </c>
      <c r="I62" s="3" t="str">
        <f>CONCATENATE("点235_A(", H62,"/16)")</f>
        <v>点235_A(1/16)</v>
      </c>
      <c r="J62" s="3">
        <f>MATCH(I62, $A$62:$A$109, 0)</f>
        <v>2</v>
      </c>
      <c r="K62" s="3">
        <f ca="1">SQRT(OFFSET(C$61, J62-1, 0)^2 + OFFSET(C$61, J62, 0)^2)</f>
        <v>354.61000000141001</v>
      </c>
      <c r="L62" s="3">
        <f>($E$57+$C$59)/2</f>
        <v>354.71800000000002</v>
      </c>
      <c r="M62" s="3">
        <f>($E$57+$E$58)/2</f>
        <v>354.78199999999998</v>
      </c>
    </row>
    <row r="63" spans="1:13">
      <c r="A63" s="1" t="s">
        <v>441</v>
      </c>
      <c r="B63" s="1" t="s">
        <v>171</v>
      </c>
      <c r="C63" s="1">
        <v>-1E-3</v>
      </c>
      <c r="H63" s="3">
        <v>16</v>
      </c>
      <c r="I63" s="3" t="str">
        <f t="shared" ref="I63:I77" si="4">CONCATENATE("点235_A(", H63,"/16)")</f>
        <v>点235_A(16/16)</v>
      </c>
      <c r="J63" s="3">
        <f t="shared" ref="J63:J77" si="5">MATCH(I63, $A$62:$A$109, 0)</f>
        <v>47</v>
      </c>
      <c r="K63" s="3">
        <f t="shared" ref="K63:K77" ca="1" si="6">SQRT(OFFSET(C$61, J63-1, 0)^2 + OFFSET(C$61, J63, 0)^2)</f>
        <v>354.62100001268959</v>
      </c>
      <c r="L63" s="3">
        <f>L62</f>
        <v>354.71800000000002</v>
      </c>
      <c r="M63" s="3">
        <f>M62</f>
        <v>354.78199999999998</v>
      </c>
    </row>
    <row r="64" spans="1:13">
      <c r="A64" s="2" t="s">
        <v>442</v>
      </c>
      <c r="B64" s="1" t="s">
        <v>157</v>
      </c>
      <c r="C64" s="1">
        <v>-237.85900000000001</v>
      </c>
      <c r="H64" s="3">
        <v>15</v>
      </c>
      <c r="I64" s="3" t="str">
        <f t="shared" si="4"/>
        <v>点235_A(15/16)</v>
      </c>
      <c r="J64" s="3">
        <f t="shared" si="5"/>
        <v>44</v>
      </c>
      <c r="K64" s="3">
        <f t="shared" ca="1" si="6"/>
        <v>354.71300000000002</v>
      </c>
      <c r="L64" s="3">
        <f t="shared" ref="L64:M77" si="7">L63</f>
        <v>354.71800000000002</v>
      </c>
      <c r="M64" s="3">
        <f t="shared" si="7"/>
        <v>354.78199999999998</v>
      </c>
    </row>
    <row r="65" spans="1:13">
      <c r="A65" s="1" t="s">
        <v>159</v>
      </c>
      <c r="B65" s="1" t="s">
        <v>170</v>
      </c>
      <c r="C65" s="1">
        <v>354.68200000000002</v>
      </c>
      <c r="H65" s="3">
        <v>14</v>
      </c>
      <c r="I65" s="3" t="str">
        <f t="shared" si="4"/>
        <v>点235_A(14/16)</v>
      </c>
      <c r="J65" s="3">
        <f t="shared" si="5"/>
        <v>41</v>
      </c>
      <c r="K65" s="3">
        <f t="shared" ca="1" si="6"/>
        <v>354.79800000140926</v>
      </c>
      <c r="L65" s="3">
        <f t="shared" si="7"/>
        <v>354.71800000000002</v>
      </c>
      <c r="M65" s="3">
        <f t="shared" si="7"/>
        <v>354.78199999999998</v>
      </c>
    </row>
    <row r="66" spans="1:13">
      <c r="A66" s="1" t="s">
        <v>443</v>
      </c>
      <c r="B66" s="1" t="s">
        <v>171</v>
      </c>
      <c r="C66" s="1">
        <v>1E-3</v>
      </c>
      <c r="H66" s="3">
        <v>13</v>
      </c>
      <c r="I66" s="3" t="str">
        <f t="shared" si="4"/>
        <v>点235_A(13/16)</v>
      </c>
      <c r="J66" s="3">
        <f t="shared" si="5"/>
        <v>38</v>
      </c>
      <c r="K66" s="3">
        <f t="shared" ca="1" si="6"/>
        <v>354.82200000140915</v>
      </c>
      <c r="L66" s="3">
        <f t="shared" si="7"/>
        <v>354.71800000000002</v>
      </c>
      <c r="M66" s="3">
        <f t="shared" si="7"/>
        <v>354.78199999999998</v>
      </c>
    </row>
    <row r="67" spans="1:13">
      <c r="A67" s="2" t="s">
        <v>444</v>
      </c>
      <c r="B67" s="1" t="s">
        <v>157</v>
      </c>
      <c r="C67" s="1">
        <v>-237.863</v>
      </c>
      <c r="H67" s="3">
        <v>12</v>
      </c>
      <c r="I67" s="3" t="str">
        <f t="shared" si="4"/>
        <v>点235_A(12/16)</v>
      </c>
      <c r="J67" s="3">
        <f t="shared" si="5"/>
        <v>35</v>
      </c>
      <c r="K67" s="3">
        <f t="shared" ca="1" si="6"/>
        <v>354.78400000140931</v>
      </c>
      <c r="L67" s="3">
        <f t="shared" si="7"/>
        <v>354.71800000000002</v>
      </c>
      <c r="M67" s="3">
        <f t="shared" si="7"/>
        <v>354.78199999999998</v>
      </c>
    </row>
    <row r="68" spans="1:13">
      <c r="A68" s="1" t="s">
        <v>159</v>
      </c>
      <c r="B68" s="1" t="s">
        <v>170</v>
      </c>
      <c r="C68" s="1">
        <v>354.75799999999998</v>
      </c>
      <c r="H68" s="3">
        <v>11</v>
      </c>
      <c r="I68" s="3" t="str">
        <f t="shared" si="4"/>
        <v>点235_A(11/16)</v>
      </c>
      <c r="J68" s="3">
        <f t="shared" si="5"/>
        <v>32</v>
      </c>
      <c r="K68" s="3">
        <f t="shared" ca="1" si="6"/>
        <v>354.72399999999999</v>
      </c>
      <c r="L68" s="3">
        <f t="shared" si="7"/>
        <v>354.71800000000002</v>
      </c>
      <c r="M68" s="3">
        <f t="shared" si="7"/>
        <v>354.78199999999998</v>
      </c>
    </row>
    <row r="69" spans="1:13">
      <c r="A69" s="1" t="s">
        <v>445</v>
      </c>
      <c r="B69" s="1" t="s">
        <v>171</v>
      </c>
      <c r="C69" s="1">
        <v>-1E-3</v>
      </c>
      <c r="H69" s="3">
        <v>10</v>
      </c>
      <c r="I69" s="3" t="str">
        <f t="shared" si="4"/>
        <v>点235_A(10/16)</v>
      </c>
      <c r="J69" s="3">
        <f t="shared" si="5"/>
        <v>29</v>
      </c>
      <c r="K69" s="3">
        <f t="shared" ca="1" si="6"/>
        <v>354.68400000140974</v>
      </c>
      <c r="L69" s="3">
        <f t="shared" si="7"/>
        <v>354.71800000000002</v>
      </c>
      <c r="M69" s="3">
        <f t="shared" si="7"/>
        <v>354.78199999999998</v>
      </c>
    </row>
    <row r="70" spans="1:13">
      <c r="A70" s="2" t="s">
        <v>446</v>
      </c>
      <c r="B70" s="1" t="s">
        <v>157</v>
      </c>
      <c r="C70" s="1">
        <v>-237.869</v>
      </c>
      <c r="H70" s="3">
        <v>9</v>
      </c>
      <c r="I70" s="3" t="str">
        <f t="shared" si="4"/>
        <v>点235_A(9/16)</v>
      </c>
      <c r="J70" s="3">
        <f t="shared" si="5"/>
        <v>26</v>
      </c>
      <c r="K70" s="3">
        <f t="shared" ca="1" si="6"/>
        <v>354.69900000140967</v>
      </c>
      <c r="L70" s="3">
        <f t="shared" si="7"/>
        <v>354.71800000000002</v>
      </c>
      <c r="M70" s="3">
        <f t="shared" si="7"/>
        <v>354.78199999999998</v>
      </c>
    </row>
    <row r="71" spans="1:13">
      <c r="A71" s="1" t="s">
        <v>159</v>
      </c>
      <c r="B71" s="1" t="s">
        <v>170</v>
      </c>
      <c r="C71" s="1">
        <v>354.76900000000001</v>
      </c>
      <c r="H71" s="3">
        <v>8</v>
      </c>
      <c r="I71" s="3" t="str">
        <f t="shared" si="4"/>
        <v>点235_A(8/16)</v>
      </c>
      <c r="J71" s="3">
        <f t="shared" si="5"/>
        <v>23</v>
      </c>
      <c r="K71" s="3">
        <f t="shared" ca="1" si="6"/>
        <v>354.74599999999998</v>
      </c>
      <c r="L71" s="3">
        <f t="shared" si="7"/>
        <v>354.71800000000002</v>
      </c>
      <c r="M71" s="3">
        <f t="shared" si="7"/>
        <v>354.78199999999998</v>
      </c>
    </row>
    <row r="72" spans="1:13">
      <c r="A72" s="1" t="s">
        <v>447</v>
      </c>
      <c r="B72" s="1" t="s">
        <v>171</v>
      </c>
      <c r="C72" s="1">
        <v>0</v>
      </c>
      <c r="H72" s="3">
        <v>7</v>
      </c>
      <c r="I72" s="3" t="str">
        <f t="shared" si="4"/>
        <v>点235_A(7/16)</v>
      </c>
      <c r="J72" s="3">
        <f t="shared" si="5"/>
        <v>20</v>
      </c>
      <c r="K72" s="3">
        <f t="shared" ca="1" si="6"/>
        <v>354.76800000563748</v>
      </c>
      <c r="L72" s="3">
        <f t="shared" si="7"/>
        <v>354.71800000000002</v>
      </c>
      <c r="M72" s="3">
        <f t="shared" si="7"/>
        <v>354.78199999999998</v>
      </c>
    </row>
    <row r="73" spans="1:13">
      <c r="A73" s="2" t="s">
        <v>448</v>
      </c>
      <c r="B73" s="1" t="s">
        <v>157</v>
      </c>
      <c r="C73" s="1">
        <v>-237.869</v>
      </c>
      <c r="H73" s="3">
        <v>6</v>
      </c>
      <c r="I73" s="3" t="str">
        <f t="shared" si="4"/>
        <v>点235_A(6/16)</v>
      </c>
      <c r="J73" s="3">
        <f t="shared" si="5"/>
        <v>17</v>
      </c>
      <c r="K73" s="3">
        <f t="shared" ca="1" si="6"/>
        <v>354.75299999999999</v>
      </c>
      <c r="L73" s="3">
        <f t="shared" si="7"/>
        <v>354.71800000000002</v>
      </c>
      <c r="M73" s="3">
        <f t="shared" si="7"/>
        <v>354.78199999999998</v>
      </c>
    </row>
    <row r="74" spans="1:13">
      <c r="A74" s="1" t="s">
        <v>159</v>
      </c>
      <c r="B74" s="1" t="s">
        <v>170</v>
      </c>
      <c r="C74" s="1">
        <v>354.755</v>
      </c>
      <c r="H74" s="3">
        <v>5</v>
      </c>
      <c r="I74" s="3" t="str">
        <f t="shared" si="4"/>
        <v>点235_A(5/16)</v>
      </c>
      <c r="J74" s="3">
        <f t="shared" si="5"/>
        <v>14</v>
      </c>
      <c r="K74" s="3">
        <f t="shared" ca="1" si="6"/>
        <v>354.75500000140943</v>
      </c>
      <c r="L74" s="3">
        <f t="shared" si="7"/>
        <v>354.71800000000002</v>
      </c>
      <c r="M74" s="3">
        <f t="shared" si="7"/>
        <v>354.78199999999998</v>
      </c>
    </row>
    <row r="75" spans="1:13">
      <c r="A75" s="1" t="s">
        <v>449</v>
      </c>
      <c r="B75" s="1" t="s">
        <v>171</v>
      </c>
      <c r="C75" s="1">
        <v>-1E-3</v>
      </c>
      <c r="H75" s="3">
        <v>4</v>
      </c>
      <c r="I75" s="3" t="str">
        <f t="shared" si="4"/>
        <v>点235_A(4/16)</v>
      </c>
      <c r="J75" s="3">
        <f t="shared" si="5"/>
        <v>11</v>
      </c>
      <c r="K75" s="3">
        <f t="shared" ca="1" si="6"/>
        <v>354.76900000000001</v>
      </c>
      <c r="L75" s="3">
        <f t="shared" si="7"/>
        <v>354.71800000000002</v>
      </c>
      <c r="M75" s="3">
        <f t="shared" si="7"/>
        <v>354.78199999999998</v>
      </c>
    </row>
    <row r="76" spans="1:13">
      <c r="A76" s="2" t="s">
        <v>450</v>
      </c>
      <c r="B76" s="1" t="s">
        <v>157</v>
      </c>
      <c r="C76" s="1">
        <v>-237.86699999999999</v>
      </c>
      <c r="H76" s="3">
        <v>3</v>
      </c>
      <c r="I76" s="3" t="str">
        <f t="shared" si="4"/>
        <v>点235_A(3/16)</v>
      </c>
      <c r="J76" s="3">
        <f t="shared" si="5"/>
        <v>8</v>
      </c>
      <c r="K76" s="3">
        <f t="shared" ca="1" si="6"/>
        <v>354.75800000140936</v>
      </c>
      <c r="L76" s="3">
        <f t="shared" si="7"/>
        <v>354.71800000000002</v>
      </c>
      <c r="M76" s="3">
        <f t="shared" si="7"/>
        <v>354.78199999999998</v>
      </c>
    </row>
    <row r="77" spans="1:13">
      <c r="A77" s="1" t="s">
        <v>159</v>
      </c>
      <c r="B77" s="1" t="s">
        <v>170</v>
      </c>
      <c r="C77" s="1">
        <v>354.75299999999999</v>
      </c>
      <c r="H77" s="3">
        <v>2</v>
      </c>
      <c r="I77" s="3" t="str">
        <f t="shared" si="4"/>
        <v>点235_A(2/16)</v>
      </c>
      <c r="J77" s="3">
        <f t="shared" si="5"/>
        <v>5</v>
      </c>
      <c r="K77" s="3">
        <f t="shared" ca="1" si="6"/>
        <v>354.68200000140973</v>
      </c>
      <c r="L77" s="3">
        <f t="shared" si="7"/>
        <v>354.71800000000002</v>
      </c>
      <c r="M77" s="3">
        <f t="shared" si="7"/>
        <v>354.78199999999998</v>
      </c>
    </row>
    <row r="78" spans="1:13">
      <c r="A78" s="1" t="s">
        <v>451</v>
      </c>
      <c r="B78" s="1" t="s">
        <v>171</v>
      </c>
      <c r="C78" s="1">
        <v>0</v>
      </c>
      <c r="H78" s="3"/>
      <c r="I78" s="3"/>
      <c r="J78" s="3"/>
      <c r="K78" s="3"/>
      <c r="L78" s="3"/>
      <c r="M78" s="3"/>
    </row>
    <row r="79" spans="1:13">
      <c r="A79" s="2" t="s">
        <v>452</v>
      </c>
      <c r="B79" s="1" t="s">
        <v>157</v>
      </c>
      <c r="C79" s="1">
        <v>-237.87100000000001</v>
      </c>
      <c r="H79" s="3"/>
      <c r="I79" s="3"/>
      <c r="J79" s="5" t="s">
        <v>3</v>
      </c>
      <c r="K79" s="3" t="str">
        <f>"&gt;"&amp;TEXT(($E$2+$E$3)/2, "0.###")</f>
        <v>&gt;354.782</v>
      </c>
      <c r="L79" s="3"/>
      <c r="M79" s="3"/>
    </row>
    <row r="80" spans="1:13">
      <c r="A80" s="1" t="s">
        <v>159</v>
      </c>
      <c r="B80" s="1" t="s">
        <v>170</v>
      </c>
      <c r="C80" s="1">
        <v>354.76799999999997</v>
      </c>
      <c r="H80" s="3"/>
      <c r="I80" s="3"/>
      <c r="J80" s="6" t="s">
        <v>4</v>
      </c>
      <c r="K80" s="3" t="str">
        <f>"&lt;"&amp;TEXT(($E$2+$C$4)/2, "0.###")</f>
        <v>&lt;354.718</v>
      </c>
      <c r="L80" s="3"/>
      <c r="M80" s="3"/>
    </row>
    <row r="81" spans="1:13">
      <c r="A81" s="1" t="s">
        <v>453</v>
      </c>
      <c r="B81" s="1" t="s">
        <v>171</v>
      </c>
      <c r="C81" s="1">
        <v>-2E-3</v>
      </c>
      <c r="H81" s="3"/>
      <c r="I81" s="3"/>
      <c r="J81" s="7"/>
      <c r="K81" s="8" t="s">
        <v>5</v>
      </c>
      <c r="L81" s="3"/>
      <c r="M81" s="3"/>
    </row>
    <row r="82" spans="1:13">
      <c r="A82" s="2" t="s">
        <v>454</v>
      </c>
      <c r="B82" s="1" t="s">
        <v>157</v>
      </c>
      <c r="C82" s="1">
        <v>-237.86600000000001</v>
      </c>
      <c r="H82" s="3"/>
      <c r="I82" s="3"/>
      <c r="J82" s="9" t="s">
        <v>33</v>
      </c>
      <c r="K82" s="10">
        <f ca="1">AVERAGE(K62:K77)*2</f>
        <v>709.46075000387668</v>
      </c>
      <c r="L82" s="3"/>
      <c r="M82" s="3"/>
    </row>
    <row r="83" spans="1:13">
      <c r="A83" s="1" t="s">
        <v>159</v>
      </c>
      <c r="B83" s="1" t="s">
        <v>170</v>
      </c>
      <c r="C83" s="1">
        <v>354.74599999999998</v>
      </c>
      <c r="H83" s="3"/>
      <c r="I83" s="3"/>
      <c r="J83" s="9"/>
      <c r="K83" s="11" t="str">
        <f ca="1">IF(K82&lt;$E$2+$C$4, "U/Min "&amp;TEXT($E$2+$C$4-K82, "0.###"), IF(K82&gt;$E$2+$E$3, "O/Max "&amp;TEXT(K82-$E$2-$E$3, "0.###"), "-"))</f>
        <v>-</v>
      </c>
      <c r="L83" s="3"/>
      <c r="M83" s="3"/>
    </row>
    <row r="84" spans="1:13">
      <c r="A84" s="1" t="s">
        <v>455</v>
      </c>
      <c r="B84" s="1" t="s">
        <v>171</v>
      </c>
      <c r="C84" s="1">
        <v>0</v>
      </c>
      <c r="H84" s="3"/>
      <c r="I84" s="3"/>
      <c r="J84" s="9" t="s">
        <v>34</v>
      </c>
      <c r="K84" s="10">
        <f ca="1">MAX(K62:K77)-MIN(K62:K77)</f>
        <v>0.21199999999913643</v>
      </c>
      <c r="L84" s="3"/>
      <c r="M84" s="3"/>
    </row>
    <row r="85" spans="1:13">
      <c r="A85" s="2" t="s">
        <v>456</v>
      </c>
      <c r="B85" s="1" t="s">
        <v>157</v>
      </c>
      <c r="C85" s="1">
        <v>-237.864</v>
      </c>
      <c r="H85" s="3"/>
      <c r="I85" s="3"/>
      <c r="J85" s="9"/>
      <c r="K85" s="11" t="str">
        <f ca="1">IF(K84&gt;0.64, "O/Max "&amp;TEXT(K84-0.13, "0.###"), "-")</f>
        <v>-</v>
      </c>
      <c r="L85" s="3"/>
      <c r="M85" s="3"/>
    </row>
    <row r="86" spans="1:13">
      <c r="A86" s="1" t="s">
        <v>159</v>
      </c>
      <c r="B86" s="1" t="s">
        <v>170</v>
      </c>
      <c r="C86" s="1">
        <v>354.69900000000001</v>
      </c>
      <c r="H86" s="3"/>
      <c r="I86" s="3"/>
      <c r="J86" s="9" t="s">
        <v>35</v>
      </c>
      <c r="K86" s="12">
        <f ca="1">COUNTIF(K62:K77, $K79)</f>
        <v>3</v>
      </c>
      <c r="L86" s="3"/>
      <c r="M86" s="3"/>
    </row>
    <row r="87" spans="1:13">
      <c r="A87" s="1" t="s">
        <v>457</v>
      </c>
      <c r="B87" s="1" t="s">
        <v>171</v>
      </c>
      <c r="C87" s="1">
        <v>-1E-3</v>
      </c>
      <c r="H87" s="3"/>
      <c r="I87" s="3"/>
      <c r="J87" s="13" t="s">
        <v>36</v>
      </c>
      <c r="K87" s="12">
        <f ca="1">COUNTIF(K62:K77, $K80)</f>
        <v>6</v>
      </c>
      <c r="L87" s="3"/>
      <c r="M87" s="3"/>
    </row>
    <row r="88" spans="1:13">
      <c r="A88" s="2" t="s">
        <v>458</v>
      </c>
      <c r="B88" s="1" t="s">
        <v>157</v>
      </c>
      <c r="C88" s="1">
        <v>-237.85599999999999</v>
      </c>
      <c r="H88" s="3"/>
      <c r="I88" s="3"/>
      <c r="J88" s="12"/>
      <c r="K88" s="14" t="str">
        <f ca="1">TEXT(K86+K87,"0")&amp;"/16"</f>
        <v>9/16</v>
      </c>
      <c r="L88" s="3"/>
      <c r="M88" s="3"/>
    </row>
    <row r="89" spans="1:13">
      <c r="A89" s="1" t="s">
        <v>159</v>
      </c>
      <c r="B89" s="1" t="s">
        <v>170</v>
      </c>
      <c r="C89" s="1">
        <v>354.68400000000003</v>
      </c>
      <c r="J89" s="15" t="s">
        <v>90</v>
      </c>
      <c r="K89" s="15"/>
    </row>
    <row r="90" spans="1:13">
      <c r="A90" s="1" t="s">
        <v>459</v>
      </c>
      <c r="B90" s="1" t="s">
        <v>171</v>
      </c>
      <c r="C90" s="1">
        <v>1E-3</v>
      </c>
      <c r="J90" s="15" t="s">
        <v>91</v>
      </c>
      <c r="K90" s="16">
        <f ca="1">MAX(K62:K77)*2</f>
        <v>709.6440000028183</v>
      </c>
    </row>
    <row r="91" spans="1:13">
      <c r="A91" s="2" t="s">
        <v>460</v>
      </c>
      <c r="B91" s="1" t="s">
        <v>157</v>
      </c>
      <c r="C91" s="1">
        <v>-237.85900000000001</v>
      </c>
      <c r="J91" s="15" t="s">
        <v>92</v>
      </c>
      <c r="K91" s="16">
        <f ca="1">MIN(K62:K77)*2</f>
        <v>709.22000000282003</v>
      </c>
    </row>
    <row r="92" spans="1:13">
      <c r="A92" s="1" t="s">
        <v>159</v>
      </c>
      <c r="B92" s="1" t="s">
        <v>170</v>
      </c>
      <c r="C92" s="1">
        <v>354.72399999999999</v>
      </c>
    </row>
    <row r="93" spans="1:13">
      <c r="A93" s="1" t="s">
        <v>461</v>
      </c>
      <c r="B93" s="1" t="s">
        <v>171</v>
      </c>
      <c r="C93" s="1">
        <v>0</v>
      </c>
    </row>
    <row r="94" spans="1:13">
      <c r="A94" s="2" t="s">
        <v>462</v>
      </c>
      <c r="B94" s="1" t="s">
        <v>157</v>
      </c>
      <c r="C94" s="1">
        <v>-237.86699999999999</v>
      </c>
    </row>
    <row r="95" spans="1:13">
      <c r="A95" s="1" t="s">
        <v>159</v>
      </c>
      <c r="B95" s="1" t="s">
        <v>170</v>
      </c>
      <c r="C95" s="1">
        <v>354.78399999999999</v>
      </c>
    </row>
    <row r="96" spans="1:13">
      <c r="A96" s="1" t="s">
        <v>463</v>
      </c>
      <c r="B96" s="1" t="s">
        <v>171</v>
      </c>
      <c r="C96" s="1">
        <v>1E-3</v>
      </c>
    </row>
    <row r="97" spans="1:3">
      <c r="A97" s="2" t="s">
        <v>464</v>
      </c>
      <c r="B97" s="1" t="s">
        <v>157</v>
      </c>
      <c r="C97" s="1">
        <v>-237.875</v>
      </c>
    </row>
    <row r="98" spans="1:3">
      <c r="A98" s="1" t="s">
        <v>159</v>
      </c>
      <c r="B98" s="1" t="s">
        <v>170</v>
      </c>
      <c r="C98" s="1">
        <v>354.822</v>
      </c>
    </row>
    <row r="99" spans="1:3">
      <c r="A99" s="1" t="s">
        <v>465</v>
      </c>
      <c r="B99" s="1" t="s">
        <v>171</v>
      </c>
      <c r="C99" s="1">
        <v>-1E-3</v>
      </c>
    </row>
    <row r="100" spans="1:3">
      <c r="A100" s="2" t="s">
        <v>466</v>
      </c>
      <c r="B100" s="1" t="s">
        <v>157</v>
      </c>
      <c r="C100" s="1">
        <v>-237.88200000000001</v>
      </c>
    </row>
    <row r="101" spans="1:3">
      <c r="A101" s="1" t="s">
        <v>159</v>
      </c>
      <c r="B101" s="1" t="s">
        <v>170</v>
      </c>
      <c r="C101" s="1">
        <v>354.798</v>
      </c>
    </row>
    <row r="102" spans="1:3">
      <c r="A102" s="1" t="s">
        <v>467</v>
      </c>
      <c r="B102" s="1" t="s">
        <v>171</v>
      </c>
      <c r="C102" s="1">
        <v>1E-3</v>
      </c>
    </row>
    <row r="103" spans="1:3">
      <c r="A103" s="2" t="s">
        <v>468</v>
      </c>
      <c r="B103" s="1" t="s">
        <v>157</v>
      </c>
      <c r="C103" s="1">
        <v>-237.89</v>
      </c>
    </row>
    <row r="104" spans="1:3">
      <c r="A104" s="1" t="s">
        <v>159</v>
      </c>
      <c r="B104" s="1" t="s">
        <v>170</v>
      </c>
      <c r="C104" s="1">
        <v>354.71300000000002</v>
      </c>
    </row>
    <row r="105" spans="1:3">
      <c r="A105" s="1" t="s">
        <v>469</v>
      </c>
      <c r="B105" s="1" t="s">
        <v>171</v>
      </c>
      <c r="C105" s="1">
        <v>0</v>
      </c>
    </row>
    <row r="106" spans="1:3">
      <c r="A106" s="2" t="s">
        <v>470</v>
      </c>
      <c r="B106" s="1" t="s">
        <v>157</v>
      </c>
      <c r="C106" s="1">
        <v>-237.89</v>
      </c>
    </row>
    <row r="107" spans="1:3">
      <c r="A107" s="1" t="s">
        <v>159</v>
      </c>
      <c r="B107" s="1" t="s">
        <v>170</v>
      </c>
      <c r="C107" s="1">
        <v>354.62099999999998</v>
      </c>
    </row>
    <row r="108" spans="1:3">
      <c r="A108" s="1" t="s">
        <v>471</v>
      </c>
      <c r="B108" s="1" t="s">
        <v>171</v>
      </c>
      <c r="C108" s="1">
        <v>-3.0000000000000001E-3</v>
      </c>
    </row>
    <row r="109" spans="1:3">
      <c r="A109" s="2" t="s">
        <v>472</v>
      </c>
      <c r="B109" s="1" t="s">
        <v>157</v>
      </c>
      <c r="C109" s="1">
        <v>-237.875</v>
      </c>
    </row>
  </sheetData>
  <phoneticPr fontId="1"/>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B1:K24"/>
  <sheetViews>
    <sheetView workbookViewId="0">
      <selection activeCell="U17" sqref="U17"/>
    </sheetView>
  </sheetViews>
  <sheetFormatPr defaultRowHeight="15"/>
  <cols>
    <col min="2" max="10" width="8.7109375" style="77"/>
  </cols>
  <sheetData>
    <row r="1" spans="2:7">
      <c r="C1" s="77">
        <v>234</v>
      </c>
      <c r="D1" s="77" t="s">
        <v>1056</v>
      </c>
      <c r="E1" s="77" t="s">
        <v>1188</v>
      </c>
      <c r="F1" s="77" t="s">
        <v>1059</v>
      </c>
      <c r="G1" s="77" t="s">
        <v>1058</v>
      </c>
    </row>
    <row r="2" spans="2:7">
      <c r="B2" s="21">
        <v>1</v>
      </c>
      <c r="C2" s="77">
        <f ca="1">'234'!$N$7</f>
        <v>358.25799999999998</v>
      </c>
      <c r="D2" s="77">
        <f ca="1">'235'!$K7</f>
        <v>354.60399999999998</v>
      </c>
      <c r="E2" s="77">
        <f t="shared" ref="E2:E17" ca="1" si="0">C2-D2</f>
        <v>3.6539999999999964</v>
      </c>
      <c r="F2" s="77">
        <f>(716.64/2-709.5/2)+(0.05/2+0.064/2)</f>
        <v>3.6269999999999931</v>
      </c>
      <c r="G2" s="77">
        <f>(716.64/2-709.5/2)-(0.05/2+0.064/2)</f>
        <v>3.5129999999999932</v>
      </c>
    </row>
    <row r="3" spans="2:7">
      <c r="B3" s="21">
        <v>16</v>
      </c>
      <c r="C3" s="77">
        <f ca="1">AVERAGE(C2,C4)</f>
        <v>358.29949999999997</v>
      </c>
      <c r="D3" s="77">
        <f ca="1">'235'!$K8</f>
        <v>354.62299999999999</v>
      </c>
      <c r="E3" s="77">
        <f t="shared" ca="1" si="0"/>
        <v>3.6764999999999759</v>
      </c>
      <c r="F3" s="77">
        <f t="shared" ref="F3:F17" si="1">(716.64/2-709.5/2)+(0.05/2+0.064/2)</f>
        <v>3.6269999999999931</v>
      </c>
      <c r="G3" s="77">
        <f t="shared" ref="G3:G17" si="2">(716.64/2-709.5/2)-(0.05/2+0.064/2)</f>
        <v>3.5129999999999932</v>
      </c>
    </row>
    <row r="4" spans="2:7">
      <c r="B4" s="21">
        <v>15</v>
      </c>
      <c r="C4" s="77">
        <f ca="1">'234'!N8</f>
        <v>358.34100000000001</v>
      </c>
      <c r="D4" s="77">
        <f ca="1">'235'!$K9</f>
        <v>354.71499999999997</v>
      </c>
      <c r="E4" s="77">
        <f t="shared" ca="1" si="0"/>
        <v>3.6260000000000332</v>
      </c>
      <c r="F4" s="77">
        <f t="shared" si="1"/>
        <v>3.6269999999999931</v>
      </c>
      <c r="G4" s="77">
        <f t="shared" si="2"/>
        <v>3.5129999999999932</v>
      </c>
    </row>
    <row r="5" spans="2:7">
      <c r="B5" s="21">
        <v>14</v>
      </c>
      <c r="C5" s="77">
        <f ca="1">AVERAGE(C4,C6)</f>
        <v>358.36950000000002</v>
      </c>
      <c r="D5" s="77">
        <f ca="1">'235'!$K10</f>
        <v>354.79899999999998</v>
      </c>
      <c r="E5" s="77">
        <f t="shared" ca="1" si="0"/>
        <v>3.5705000000000382</v>
      </c>
      <c r="F5" s="77">
        <f t="shared" si="1"/>
        <v>3.6269999999999931</v>
      </c>
      <c r="G5" s="77">
        <f t="shared" si="2"/>
        <v>3.5129999999999932</v>
      </c>
    </row>
    <row r="6" spans="2:7">
      <c r="B6" s="21">
        <v>13</v>
      </c>
      <c r="C6" s="77">
        <f ca="1">'234'!N9</f>
        <v>358.39800000000002</v>
      </c>
      <c r="D6" s="77">
        <f ca="1">'235'!$K11</f>
        <v>354.82100000000003</v>
      </c>
      <c r="E6" s="77">
        <f t="shared" ca="1" si="0"/>
        <v>3.5769999999999982</v>
      </c>
      <c r="F6" s="77">
        <f t="shared" si="1"/>
        <v>3.6269999999999931</v>
      </c>
      <c r="G6" s="77">
        <f t="shared" si="2"/>
        <v>3.5129999999999932</v>
      </c>
    </row>
    <row r="7" spans="2:7">
      <c r="B7" s="21">
        <v>12</v>
      </c>
      <c r="C7" s="77">
        <f ca="1">AVERAGE(C6,C8)</f>
        <v>358.3485</v>
      </c>
      <c r="D7" s="77">
        <f ca="1">'235'!$K12</f>
        <v>354.779</v>
      </c>
      <c r="E7" s="77">
        <f t="shared" ca="1" si="0"/>
        <v>3.569500000000005</v>
      </c>
      <c r="F7" s="77">
        <f t="shared" si="1"/>
        <v>3.6269999999999931</v>
      </c>
      <c r="G7" s="77">
        <f t="shared" si="2"/>
        <v>3.5129999999999932</v>
      </c>
    </row>
    <row r="8" spans="2:7">
      <c r="B8" s="21">
        <v>11</v>
      </c>
      <c r="C8" s="77">
        <f ca="1">'234'!N10</f>
        <v>358.29899999999998</v>
      </c>
      <c r="D8" s="77">
        <f ca="1">'235'!$K13</f>
        <v>354.72199999999998</v>
      </c>
      <c r="E8" s="77">
        <f t="shared" ca="1" si="0"/>
        <v>3.5769999999999982</v>
      </c>
      <c r="F8" s="77">
        <f t="shared" si="1"/>
        <v>3.6269999999999931</v>
      </c>
      <c r="G8" s="77">
        <f t="shared" si="2"/>
        <v>3.5129999999999932</v>
      </c>
    </row>
    <row r="9" spans="2:7">
      <c r="B9" s="21">
        <v>10</v>
      </c>
      <c r="C9" s="77">
        <f ca="1">AVERAGE(C8,C10)</f>
        <v>358.29200000000003</v>
      </c>
      <c r="D9" s="77">
        <f ca="1">'235'!$K14</f>
        <v>354.68099999999998</v>
      </c>
      <c r="E9" s="77">
        <f t="shared" ca="1" si="0"/>
        <v>3.6110000000000468</v>
      </c>
      <c r="F9" s="77">
        <f t="shared" si="1"/>
        <v>3.6269999999999931</v>
      </c>
      <c r="G9" s="77">
        <f t="shared" si="2"/>
        <v>3.5129999999999932</v>
      </c>
    </row>
    <row r="10" spans="2:7">
      <c r="B10" s="21">
        <v>9</v>
      </c>
      <c r="C10" s="77">
        <f ca="1">'234'!N11</f>
        <v>358.28500000000003</v>
      </c>
      <c r="D10" s="77">
        <f ca="1">'235'!$K15</f>
        <v>354.69400000000002</v>
      </c>
      <c r="E10" s="77">
        <f t="shared" ca="1" si="0"/>
        <v>3.5910000000000082</v>
      </c>
      <c r="F10" s="77">
        <f t="shared" si="1"/>
        <v>3.6269999999999931</v>
      </c>
      <c r="G10" s="77">
        <f t="shared" si="2"/>
        <v>3.5129999999999932</v>
      </c>
    </row>
    <row r="11" spans="2:7">
      <c r="B11" s="21">
        <v>8</v>
      </c>
      <c r="C11" s="77">
        <f ca="1">AVERAGE(C10,C12)</f>
        <v>358.31150000000002</v>
      </c>
      <c r="D11" s="77">
        <f ca="1">'235'!$K16</f>
        <v>354.74200000000002</v>
      </c>
      <c r="E11" s="77">
        <f t="shared" ca="1" si="0"/>
        <v>3.569500000000005</v>
      </c>
      <c r="F11" s="77">
        <f t="shared" si="1"/>
        <v>3.6269999999999931</v>
      </c>
      <c r="G11" s="77">
        <f t="shared" si="2"/>
        <v>3.5129999999999932</v>
      </c>
    </row>
    <row r="12" spans="2:7">
      <c r="B12" s="21">
        <v>7</v>
      </c>
      <c r="C12" s="77">
        <f ca="1">'234'!N12</f>
        <v>358.33800000000002</v>
      </c>
      <c r="D12" s="77">
        <f ca="1">'235'!$K17</f>
        <v>354.762</v>
      </c>
      <c r="E12" s="77">
        <f t="shared" ca="1" si="0"/>
        <v>3.5760000000000218</v>
      </c>
      <c r="F12" s="77">
        <f t="shared" si="1"/>
        <v>3.6269999999999931</v>
      </c>
      <c r="G12" s="77">
        <f t="shared" si="2"/>
        <v>3.5129999999999932</v>
      </c>
    </row>
    <row r="13" spans="2:7">
      <c r="B13" s="21">
        <v>6</v>
      </c>
      <c r="C13" s="77">
        <f ca="1">AVERAGE(C12,C14)</f>
        <v>358.33450000000005</v>
      </c>
      <c r="D13" s="77">
        <f ca="1">'235'!$K18</f>
        <v>354.74799999999999</v>
      </c>
      <c r="E13" s="77">
        <f t="shared" ca="1" si="0"/>
        <v>3.5865000000000578</v>
      </c>
      <c r="F13" s="77">
        <f t="shared" si="1"/>
        <v>3.6269999999999931</v>
      </c>
      <c r="G13" s="77">
        <f t="shared" si="2"/>
        <v>3.5129999999999932</v>
      </c>
    </row>
    <row r="14" spans="2:7">
      <c r="B14" s="21">
        <v>5</v>
      </c>
      <c r="C14" s="77">
        <f ca="1">'234'!N13</f>
        <v>358.33100000000002</v>
      </c>
      <c r="D14" s="77">
        <f ca="1">'235'!$K19</f>
        <v>354.75099999999998</v>
      </c>
      <c r="E14" s="77">
        <f t="shared" ca="1" si="0"/>
        <v>3.5800000000000409</v>
      </c>
      <c r="F14" s="77">
        <f t="shared" si="1"/>
        <v>3.6269999999999931</v>
      </c>
      <c r="G14" s="77">
        <f t="shared" si="2"/>
        <v>3.5129999999999932</v>
      </c>
    </row>
    <row r="15" spans="2:7">
      <c r="B15" s="21">
        <v>4</v>
      </c>
      <c r="C15" s="77">
        <f ca="1">AVERAGE(C14,C16)</f>
        <v>358.3485</v>
      </c>
      <c r="D15" s="77">
        <f ca="1">'235'!$K20</f>
        <v>354.76799999999997</v>
      </c>
      <c r="E15" s="77">
        <f t="shared" ca="1" si="0"/>
        <v>3.5805000000000291</v>
      </c>
      <c r="F15" s="77">
        <f t="shared" si="1"/>
        <v>3.6269999999999931</v>
      </c>
      <c r="G15" s="77">
        <f t="shared" si="2"/>
        <v>3.5129999999999932</v>
      </c>
    </row>
    <row r="16" spans="2:7">
      <c r="B16" s="21">
        <v>3</v>
      </c>
      <c r="C16" s="77">
        <f ca="1">'234'!N14</f>
        <v>358.36599999999999</v>
      </c>
      <c r="D16" s="77">
        <f ca="1">'235'!$K21</f>
        <v>354.755</v>
      </c>
      <c r="E16" s="77">
        <f t="shared" ca="1" si="0"/>
        <v>3.61099999999999</v>
      </c>
      <c r="F16" s="77">
        <f t="shared" si="1"/>
        <v>3.6269999999999931</v>
      </c>
      <c r="G16" s="77">
        <f t="shared" si="2"/>
        <v>3.5129999999999932</v>
      </c>
    </row>
    <row r="17" spans="2:11">
      <c r="B17" s="21">
        <v>2</v>
      </c>
      <c r="C17" s="77">
        <f ca="1">AVERAGE(C16,C2)</f>
        <v>358.31200000000001</v>
      </c>
      <c r="D17" s="77">
        <f ca="1">'235'!$K22</f>
        <v>354.68099999999998</v>
      </c>
      <c r="E17" s="77">
        <f t="shared" ca="1" si="0"/>
        <v>3.6310000000000286</v>
      </c>
      <c r="F17" s="77">
        <f t="shared" si="1"/>
        <v>3.6269999999999931</v>
      </c>
      <c r="G17" s="77">
        <f t="shared" si="2"/>
        <v>3.5129999999999932</v>
      </c>
    </row>
    <row r="19" spans="2:11">
      <c r="E19" s="79" t="s">
        <v>1189</v>
      </c>
      <c r="F19" s="78"/>
      <c r="G19" s="78"/>
      <c r="H19" s="78"/>
      <c r="I19" s="78"/>
      <c r="J19" s="78"/>
      <c r="K19" s="66"/>
    </row>
    <row r="20" spans="2:11">
      <c r="E20" s="78" t="str">
        <f ca="1">IF(MAX(E2:E17)&gt;F2, "Max "&amp;TEXT(MAX(E2:E17), "0.000")&amp;" : O/Max "&amp;TEXT(MAX(E2:E17)-F2, "0.000"),  "Max "&amp;TEXT(MAX(E2:E17), "0.000")&amp;" within drawing requirement.")</f>
        <v>Max 3.676 : O/Max 0.049</v>
      </c>
      <c r="F20" s="78"/>
      <c r="G20" s="78"/>
      <c r="H20" s="78"/>
      <c r="I20" s="78"/>
      <c r="J20" s="78"/>
      <c r="K20" s="66"/>
    </row>
    <row r="21" spans="2:11">
      <c r="E21" s="78" t="str">
        <f ca="1">IF(MAX(E2:E17)&gt;F2, "O/Max is acceptable from the view of tight fitting condition.", "-")</f>
        <v>O/Max is acceptable from the view of tight fitting condition.</v>
      </c>
      <c r="F21" s="78"/>
      <c r="G21" s="78"/>
      <c r="H21" s="78"/>
      <c r="I21" s="78"/>
      <c r="J21" s="78"/>
      <c r="K21" s="66"/>
    </row>
    <row r="22" spans="2:11">
      <c r="E22" s="79" t="s">
        <v>1190</v>
      </c>
      <c r="F22" s="78"/>
      <c r="G22" s="78"/>
      <c r="H22" s="78"/>
      <c r="I22" s="78"/>
      <c r="J22" s="78"/>
      <c r="K22" s="66"/>
    </row>
    <row r="23" spans="2:11">
      <c r="E23" s="78" t="str">
        <f ca="1">IF(MIN(E2:E17)&lt;G2, "Min "&amp;TEXT(MIN(E2:E17), "0.000")&amp;" : U/Min "&amp;TEXT(G2- MIN(E2:E17), "0.000"),  "Min "&amp;TEXT(MIN(E2:E17), "0.000")&amp;" within drawing requirement.")</f>
        <v>Min 3.570 within drawing requirement.</v>
      </c>
      <c r="F23" s="78"/>
      <c r="G23" s="78"/>
      <c r="H23" s="78"/>
      <c r="I23" s="78"/>
      <c r="J23" s="78"/>
      <c r="K23" s="66"/>
    </row>
    <row r="24" spans="2:11">
      <c r="E24" s="78" t="str">
        <f ca="1">IF(MIN(E2:E17)&lt;G2, "U/Min needs to be considered. "&amp;TEXT((G2-MIN(E2:E17))/0.04*100, "0.000")&amp;"% increments.", "-")</f>
        <v>-</v>
      </c>
      <c r="F24" s="78"/>
      <c r="G24" s="78"/>
      <c r="H24" s="78"/>
      <c r="I24" s="78"/>
      <c r="J24" s="78"/>
      <c r="K24" s="66"/>
    </row>
  </sheetData>
  <phoneticPr fontId="1"/>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dimension ref="B1:I39"/>
  <sheetViews>
    <sheetView topLeftCell="E1" workbookViewId="0">
      <selection activeCell="E39" sqref="E39"/>
    </sheetView>
  </sheetViews>
  <sheetFormatPr defaultRowHeight="15"/>
  <sheetData>
    <row r="1" spans="2:7">
      <c r="C1">
        <v>105</v>
      </c>
      <c r="D1" t="s">
        <v>1056</v>
      </c>
      <c r="E1" t="s">
        <v>1057</v>
      </c>
      <c r="F1" t="s">
        <v>1059</v>
      </c>
      <c r="G1" t="s">
        <v>1058</v>
      </c>
    </row>
    <row r="2" spans="2:7">
      <c r="B2" s="3">
        <v>1</v>
      </c>
      <c r="C2">
        <f ca="1">'105'!$K7</f>
        <v>356.15899999999999</v>
      </c>
      <c r="D2">
        <f ca="1">'235'!$K7</f>
        <v>354.60399999999998</v>
      </c>
      <c r="E2">
        <f ca="1">C2-D2</f>
        <v>1.5550000000000068</v>
      </c>
      <c r="F2">
        <f>(716.64/2-709.5/2-2.02)+(0.05/2+0.064/2+0.025)</f>
        <v>1.6319999999999932</v>
      </c>
      <c r="G2">
        <f>(716.64/2-709.5/2-2.02)-(0.05/2+0.064/2+0.025)</f>
        <v>1.4679999999999931</v>
      </c>
    </row>
    <row r="3" spans="2:7">
      <c r="B3" s="3">
        <v>16</v>
      </c>
      <c r="C3">
        <f ca="1">'105'!$K8</f>
        <v>356.17500000000001</v>
      </c>
      <c r="D3">
        <f ca="1">'235'!$K8</f>
        <v>354.62299999999999</v>
      </c>
      <c r="E3">
        <f t="shared" ref="E3:E17" ca="1" si="0">C3-D3</f>
        <v>1.5520000000000209</v>
      </c>
      <c r="F3">
        <f t="shared" ref="F3:F17" si="1">(716.64/2-709.5/2-2.02)+(0.05/2+0.064/2+0.025)</f>
        <v>1.6319999999999932</v>
      </c>
      <c r="G3">
        <f t="shared" ref="G3:G17" si="2">(716.64/2-709.5/2-2.02)-(0.05/2+0.064/2+0.025)</f>
        <v>1.4679999999999931</v>
      </c>
    </row>
    <row r="4" spans="2:7">
      <c r="B4" s="3">
        <v>15</v>
      </c>
      <c r="C4">
        <f ca="1">'105'!$K9</f>
        <v>356.26499999999999</v>
      </c>
      <c r="D4">
        <f ca="1">'235'!$K9</f>
        <v>354.71499999999997</v>
      </c>
      <c r="E4">
        <f t="shared" ca="1" si="0"/>
        <v>1.5500000000000114</v>
      </c>
      <c r="F4">
        <f t="shared" si="1"/>
        <v>1.6319999999999932</v>
      </c>
      <c r="G4">
        <f t="shared" si="2"/>
        <v>1.4679999999999931</v>
      </c>
    </row>
    <row r="5" spans="2:7">
      <c r="B5" s="3">
        <v>14</v>
      </c>
      <c r="C5">
        <f ca="1">'105'!$K10</f>
        <v>356.35599999999999</v>
      </c>
      <c r="D5">
        <f ca="1">'235'!$K10</f>
        <v>354.79899999999998</v>
      </c>
      <c r="E5">
        <f t="shared" ca="1" si="0"/>
        <v>1.5570000000000164</v>
      </c>
      <c r="F5">
        <f t="shared" si="1"/>
        <v>1.6319999999999932</v>
      </c>
      <c r="G5">
        <f t="shared" si="2"/>
        <v>1.4679999999999931</v>
      </c>
    </row>
    <row r="6" spans="2:7">
      <c r="B6" s="3">
        <v>13</v>
      </c>
      <c r="C6">
        <f ca="1">'105'!$K11</f>
        <v>356.375</v>
      </c>
      <c r="D6">
        <f ca="1">'235'!$K11</f>
        <v>354.82100000000003</v>
      </c>
      <c r="E6">
        <f t="shared" ca="1" si="0"/>
        <v>1.5539999999999736</v>
      </c>
      <c r="F6">
        <f t="shared" si="1"/>
        <v>1.6319999999999932</v>
      </c>
      <c r="G6">
        <f t="shared" si="2"/>
        <v>1.4679999999999931</v>
      </c>
    </row>
    <row r="7" spans="2:7">
      <c r="B7" s="3">
        <v>12</v>
      </c>
      <c r="C7">
        <f ca="1">'105'!$K12</f>
        <v>356.34199999999998</v>
      </c>
      <c r="D7">
        <f ca="1">'235'!$K12</f>
        <v>354.779</v>
      </c>
      <c r="E7">
        <f t="shared" ca="1" si="0"/>
        <v>1.5629999999999882</v>
      </c>
      <c r="F7">
        <f t="shared" si="1"/>
        <v>1.6319999999999932</v>
      </c>
      <c r="G7">
        <f t="shared" si="2"/>
        <v>1.4679999999999931</v>
      </c>
    </row>
    <row r="8" spans="2:7">
      <c r="B8" s="3">
        <v>11</v>
      </c>
      <c r="C8">
        <f ca="1">'105'!$K13</f>
        <v>356.27800000000002</v>
      </c>
      <c r="D8">
        <f ca="1">'235'!$K13</f>
        <v>354.72199999999998</v>
      </c>
      <c r="E8">
        <f t="shared" ca="1" si="0"/>
        <v>1.55600000000004</v>
      </c>
      <c r="F8">
        <f t="shared" si="1"/>
        <v>1.6319999999999932</v>
      </c>
      <c r="G8">
        <f t="shared" si="2"/>
        <v>1.4679999999999931</v>
      </c>
    </row>
    <row r="9" spans="2:7">
      <c r="B9" s="3">
        <v>10</v>
      </c>
      <c r="C9">
        <f ca="1">'105'!$K14</f>
        <v>356.24</v>
      </c>
      <c r="D9">
        <f ca="1">'235'!$K14</f>
        <v>354.68099999999998</v>
      </c>
      <c r="E9">
        <f t="shared" ca="1" si="0"/>
        <v>1.5590000000000259</v>
      </c>
      <c r="F9">
        <f t="shared" si="1"/>
        <v>1.6319999999999932</v>
      </c>
      <c r="G9">
        <f t="shared" si="2"/>
        <v>1.4679999999999931</v>
      </c>
    </row>
    <row r="10" spans="2:7">
      <c r="B10" s="3">
        <v>9</v>
      </c>
      <c r="C10">
        <f ca="1">'105'!$K15</f>
        <v>356.24900000000002</v>
      </c>
      <c r="D10">
        <f ca="1">'235'!$K15</f>
        <v>354.69400000000002</v>
      </c>
      <c r="E10">
        <f t="shared" ca="1" si="0"/>
        <v>1.5550000000000068</v>
      </c>
      <c r="F10">
        <f t="shared" si="1"/>
        <v>1.6319999999999932</v>
      </c>
      <c r="G10">
        <f t="shared" si="2"/>
        <v>1.4679999999999931</v>
      </c>
    </row>
    <row r="11" spans="2:7">
      <c r="B11" s="3">
        <v>8</v>
      </c>
      <c r="C11">
        <f ca="1">'105'!$K16</f>
        <v>356.298</v>
      </c>
      <c r="D11">
        <f ca="1">'235'!$K16</f>
        <v>354.74200000000002</v>
      </c>
      <c r="E11">
        <f t="shared" ca="1" si="0"/>
        <v>1.5559999999999832</v>
      </c>
      <c r="F11">
        <f t="shared" si="1"/>
        <v>1.6319999999999932</v>
      </c>
      <c r="G11">
        <f t="shared" si="2"/>
        <v>1.4679999999999931</v>
      </c>
    </row>
    <row r="12" spans="2:7">
      <c r="B12" s="3">
        <v>7</v>
      </c>
      <c r="C12">
        <f ca="1">'105'!$K17</f>
        <v>356.32100000000003</v>
      </c>
      <c r="D12">
        <f ca="1">'235'!$K17</f>
        <v>354.762</v>
      </c>
      <c r="E12">
        <f t="shared" ca="1" si="0"/>
        <v>1.5590000000000259</v>
      </c>
      <c r="F12">
        <f t="shared" si="1"/>
        <v>1.6319999999999932</v>
      </c>
      <c r="G12">
        <f t="shared" si="2"/>
        <v>1.4679999999999931</v>
      </c>
    </row>
    <row r="13" spans="2:7">
      <c r="B13" s="3">
        <v>6</v>
      </c>
      <c r="C13">
        <f ca="1">'105'!$K18</f>
        <v>356.30599999999998</v>
      </c>
      <c r="D13">
        <f ca="1">'235'!$K18</f>
        <v>354.74799999999999</v>
      </c>
      <c r="E13">
        <f t="shared" ca="1" si="0"/>
        <v>1.5579999999999927</v>
      </c>
      <c r="F13">
        <f t="shared" si="1"/>
        <v>1.6319999999999932</v>
      </c>
      <c r="G13">
        <f t="shared" si="2"/>
        <v>1.4679999999999931</v>
      </c>
    </row>
    <row r="14" spans="2:7">
      <c r="B14" s="3">
        <v>5</v>
      </c>
      <c r="C14">
        <f ca="1">'105'!$K19</f>
        <v>356.30500000000001</v>
      </c>
      <c r="D14">
        <f ca="1">'235'!$K19</f>
        <v>354.75099999999998</v>
      </c>
      <c r="E14">
        <f t="shared" ca="1" si="0"/>
        <v>1.5540000000000305</v>
      </c>
      <c r="F14">
        <f t="shared" si="1"/>
        <v>1.6319999999999932</v>
      </c>
      <c r="G14">
        <f t="shared" si="2"/>
        <v>1.4679999999999931</v>
      </c>
    </row>
    <row r="15" spans="2:7">
      <c r="B15" s="3">
        <v>4</v>
      </c>
      <c r="C15">
        <f ca="1">'105'!$K20</f>
        <v>356.32799999999997</v>
      </c>
      <c r="D15">
        <f ca="1">'235'!$K20</f>
        <v>354.76799999999997</v>
      </c>
      <c r="E15">
        <f t="shared" ca="1" si="0"/>
        <v>1.5600000000000023</v>
      </c>
      <c r="F15">
        <f t="shared" si="1"/>
        <v>1.6319999999999932</v>
      </c>
      <c r="G15">
        <f t="shared" si="2"/>
        <v>1.4679999999999931</v>
      </c>
    </row>
    <row r="16" spans="2:7">
      <c r="B16" s="3">
        <v>3</v>
      </c>
      <c r="C16">
        <f ca="1">'105'!$K21</f>
        <v>356.31</v>
      </c>
      <c r="D16">
        <f ca="1">'235'!$K21</f>
        <v>354.755</v>
      </c>
      <c r="E16">
        <f t="shared" ca="1" si="0"/>
        <v>1.5550000000000068</v>
      </c>
      <c r="F16">
        <f t="shared" si="1"/>
        <v>1.6319999999999932</v>
      </c>
      <c r="G16">
        <f t="shared" si="2"/>
        <v>1.4679999999999931</v>
      </c>
    </row>
    <row r="17" spans="2:9">
      <c r="B17" s="3">
        <v>2</v>
      </c>
      <c r="C17">
        <f ca="1">'105'!$K22</f>
        <v>356.23500000000001</v>
      </c>
      <c r="D17">
        <f ca="1">'235'!$K22</f>
        <v>354.68099999999998</v>
      </c>
      <c r="E17">
        <f t="shared" ca="1" si="0"/>
        <v>1.5540000000000305</v>
      </c>
      <c r="F17">
        <f t="shared" si="1"/>
        <v>1.6319999999999932</v>
      </c>
      <c r="G17">
        <f t="shared" si="2"/>
        <v>1.4679999999999931</v>
      </c>
    </row>
    <row r="18" spans="2:9">
      <c r="E18" s="78" t="str">
        <f ca="1">IF(MAX(E2:E17)&gt;F2, "Max "&amp;TEXT(MAX(E2:E17), "0.000")&amp;" : O/Max "&amp;TEXT(MAX(E2:E17)-F2, "0.000"),  "Max "&amp;TEXT(MAX(E2:E17), "0.000")&amp;" within drawing requirement.")</f>
        <v>Max 1.563 within drawing requirement.</v>
      </c>
      <c r="F18" s="66"/>
      <c r="G18" s="66"/>
      <c r="H18" s="66"/>
      <c r="I18" s="66"/>
    </row>
    <row r="19" spans="2:9">
      <c r="E19" s="78" t="str">
        <f ca="1">IF(MIN(E2:E17)&lt;G2, "Min "&amp;TEXT(MIN(E2:E17), "0.000")&amp;" : U/Min "&amp;TEXT(G2-MIN(E2:E17), "0.000"),  "Min "&amp;TEXT(MIN(E2:E17), "0.000")&amp;" within drawing requirement.")</f>
        <v>Min 1.550 within drawing requirement.</v>
      </c>
      <c r="F19" s="66"/>
      <c r="G19" s="66"/>
      <c r="H19" s="66"/>
      <c r="I19" s="66"/>
    </row>
    <row r="21" spans="2:9">
      <c r="C21">
        <v>105</v>
      </c>
      <c r="D21" t="s">
        <v>1060</v>
      </c>
      <c r="E21" t="s">
        <v>1061</v>
      </c>
      <c r="F21" t="s">
        <v>1059</v>
      </c>
      <c r="G21" t="s">
        <v>1058</v>
      </c>
    </row>
    <row r="22" spans="2:9">
      <c r="B22" s="3">
        <v>1</v>
      </c>
      <c r="C22">
        <f ca="1">'105'!$K7</f>
        <v>356.15899999999999</v>
      </c>
      <c r="D22">
        <f ca="1">'235'!$K62</f>
        <v>354.61000000141001</v>
      </c>
      <c r="E22">
        <f ca="1">C22-D22</f>
        <v>1.5489999985899772</v>
      </c>
      <c r="F22">
        <f>(716.64/2-709.5/2-2.02)+(0.05/2+0.064/2+0.025)</f>
        <v>1.6319999999999932</v>
      </c>
      <c r="G22">
        <f>(716.64/2-709.5/2-2.02)-(0.05/2+0.064/2+0.025)</f>
        <v>1.4679999999999931</v>
      </c>
    </row>
    <row r="23" spans="2:9">
      <c r="B23" s="3">
        <v>16</v>
      </c>
      <c r="C23">
        <f ca="1">'105'!$K8</f>
        <v>356.17500000000001</v>
      </c>
      <c r="D23">
        <f ca="1">'235'!$K63</f>
        <v>354.62100001268959</v>
      </c>
      <c r="E23">
        <f t="shared" ref="E23:E37" ca="1" si="3">C23-D23</f>
        <v>1.5539999873104193</v>
      </c>
      <c r="F23">
        <f t="shared" ref="F23:F37" si="4">(716.64/2-709.5/2-2.02)+(0.05/2+0.064/2+0.025)</f>
        <v>1.6319999999999932</v>
      </c>
      <c r="G23">
        <f t="shared" ref="G23:G37" si="5">(716.64/2-709.5/2-2.02)-(0.05/2+0.064/2+0.025)</f>
        <v>1.4679999999999931</v>
      </c>
    </row>
    <row r="24" spans="2:9">
      <c r="B24" s="3">
        <v>15</v>
      </c>
      <c r="C24">
        <f ca="1">'105'!$K9</f>
        <v>356.26499999999999</v>
      </c>
      <c r="D24">
        <f ca="1">'235'!$K64</f>
        <v>354.71300000000002</v>
      </c>
      <c r="E24">
        <f t="shared" ca="1" si="3"/>
        <v>1.5519999999999641</v>
      </c>
      <c r="F24">
        <f t="shared" si="4"/>
        <v>1.6319999999999932</v>
      </c>
      <c r="G24">
        <f t="shared" si="5"/>
        <v>1.4679999999999931</v>
      </c>
    </row>
    <row r="25" spans="2:9">
      <c r="B25" s="3">
        <v>14</v>
      </c>
      <c r="C25">
        <f ca="1">'105'!$K10</f>
        <v>356.35599999999999</v>
      </c>
      <c r="D25">
        <f ca="1">'235'!$K65</f>
        <v>354.79800000140926</v>
      </c>
      <c r="E25">
        <f t="shared" ca="1" si="3"/>
        <v>1.5579999985907307</v>
      </c>
      <c r="F25">
        <f t="shared" si="4"/>
        <v>1.6319999999999932</v>
      </c>
      <c r="G25">
        <f t="shared" si="5"/>
        <v>1.4679999999999931</v>
      </c>
    </row>
    <row r="26" spans="2:9">
      <c r="B26" s="3">
        <v>13</v>
      </c>
      <c r="C26">
        <f ca="1">'105'!$K11</f>
        <v>356.375</v>
      </c>
      <c r="D26">
        <f ca="1">'235'!$K66</f>
        <v>354.82200000140915</v>
      </c>
      <c r="E26">
        <f t="shared" ca="1" si="3"/>
        <v>1.5529999985908489</v>
      </c>
      <c r="F26">
        <f t="shared" si="4"/>
        <v>1.6319999999999932</v>
      </c>
      <c r="G26">
        <f t="shared" si="5"/>
        <v>1.4679999999999931</v>
      </c>
    </row>
    <row r="27" spans="2:9">
      <c r="B27" s="3">
        <v>12</v>
      </c>
      <c r="C27">
        <f ca="1">'105'!$K12</f>
        <v>356.34199999999998</v>
      </c>
      <c r="D27">
        <f ca="1">'235'!$K67</f>
        <v>354.78400000140931</v>
      </c>
      <c r="E27">
        <f t="shared" ca="1" si="3"/>
        <v>1.5579999985906738</v>
      </c>
      <c r="F27">
        <f t="shared" si="4"/>
        <v>1.6319999999999932</v>
      </c>
      <c r="G27">
        <f t="shared" si="5"/>
        <v>1.4679999999999931</v>
      </c>
    </row>
    <row r="28" spans="2:9">
      <c r="B28" s="3">
        <v>11</v>
      </c>
      <c r="C28">
        <f ca="1">'105'!$K13</f>
        <v>356.27800000000002</v>
      </c>
      <c r="D28">
        <f ca="1">'235'!$K68</f>
        <v>354.72399999999999</v>
      </c>
      <c r="E28">
        <f t="shared" ca="1" si="3"/>
        <v>1.5540000000000305</v>
      </c>
      <c r="F28">
        <f t="shared" si="4"/>
        <v>1.6319999999999932</v>
      </c>
      <c r="G28">
        <f t="shared" si="5"/>
        <v>1.4679999999999931</v>
      </c>
    </row>
    <row r="29" spans="2:9">
      <c r="B29" s="3">
        <v>10</v>
      </c>
      <c r="C29">
        <f ca="1">'105'!$K14</f>
        <v>356.24</v>
      </c>
      <c r="D29">
        <f ca="1">'235'!$K69</f>
        <v>354.68400000140974</v>
      </c>
      <c r="E29">
        <f t="shared" ca="1" si="3"/>
        <v>1.5559999985902664</v>
      </c>
      <c r="F29">
        <f t="shared" si="4"/>
        <v>1.6319999999999932</v>
      </c>
      <c r="G29">
        <f t="shared" si="5"/>
        <v>1.4679999999999931</v>
      </c>
    </row>
    <row r="30" spans="2:9">
      <c r="B30" s="3">
        <v>9</v>
      </c>
      <c r="C30">
        <f ca="1">'105'!$K15</f>
        <v>356.24900000000002</v>
      </c>
      <c r="D30">
        <f ca="1">'235'!$K70</f>
        <v>354.69900000140967</v>
      </c>
      <c r="E30">
        <f t="shared" ca="1" si="3"/>
        <v>1.5499999985903514</v>
      </c>
      <c r="F30">
        <f t="shared" si="4"/>
        <v>1.6319999999999932</v>
      </c>
      <c r="G30">
        <f t="shared" si="5"/>
        <v>1.4679999999999931</v>
      </c>
    </row>
    <row r="31" spans="2:9">
      <c r="B31" s="3">
        <v>8</v>
      </c>
      <c r="C31">
        <f ca="1">'105'!$K16</f>
        <v>356.298</v>
      </c>
      <c r="D31">
        <f ca="1">'235'!$K71</f>
        <v>354.74599999999998</v>
      </c>
      <c r="E31">
        <f t="shared" ca="1" si="3"/>
        <v>1.5520000000000209</v>
      </c>
      <c r="F31">
        <f t="shared" si="4"/>
        <v>1.6319999999999932</v>
      </c>
      <c r="G31">
        <f t="shared" si="5"/>
        <v>1.4679999999999931</v>
      </c>
    </row>
    <row r="32" spans="2:9">
      <c r="B32" s="3">
        <v>7</v>
      </c>
      <c r="C32">
        <f ca="1">'105'!$K17</f>
        <v>356.32100000000003</v>
      </c>
      <c r="D32">
        <f ca="1">'235'!$K72</f>
        <v>354.76800000563748</v>
      </c>
      <c r="E32">
        <f t="shared" ca="1" si="3"/>
        <v>1.5529999943625512</v>
      </c>
      <c r="F32">
        <f t="shared" si="4"/>
        <v>1.6319999999999932</v>
      </c>
      <c r="G32">
        <f t="shared" si="5"/>
        <v>1.4679999999999931</v>
      </c>
    </row>
    <row r="33" spans="2:9">
      <c r="B33" s="3">
        <v>6</v>
      </c>
      <c r="C33">
        <f ca="1">'105'!$K18</f>
        <v>356.30599999999998</v>
      </c>
      <c r="D33">
        <f ca="1">'235'!$K73</f>
        <v>354.75299999999999</v>
      </c>
      <c r="E33">
        <f t="shared" ca="1" si="3"/>
        <v>1.5529999999999973</v>
      </c>
      <c r="F33">
        <f t="shared" si="4"/>
        <v>1.6319999999999932</v>
      </c>
      <c r="G33">
        <f t="shared" si="5"/>
        <v>1.4679999999999931</v>
      </c>
    </row>
    <row r="34" spans="2:9">
      <c r="B34" s="3">
        <v>5</v>
      </c>
      <c r="C34">
        <f ca="1">'105'!$K19</f>
        <v>356.30500000000001</v>
      </c>
      <c r="D34">
        <f ca="1">'235'!$K74</f>
        <v>354.75500000140943</v>
      </c>
      <c r="E34">
        <f t="shared" ca="1" si="3"/>
        <v>1.5499999985905788</v>
      </c>
      <c r="F34">
        <f t="shared" si="4"/>
        <v>1.6319999999999932</v>
      </c>
      <c r="G34">
        <f t="shared" si="5"/>
        <v>1.4679999999999931</v>
      </c>
    </row>
    <row r="35" spans="2:9">
      <c r="B35" s="3">
        <v>4</v>
      </c>
      <c r="C35">
        <f ca="1">'105'!$K20</f>
        <v>356.32799999999997</v>
      </c>
      <c r="D35">
        <f ca="1">'235'!$K75</f>
        <v>354.76900000000001</v>
      </c>
      <c r="E35">
        <f t="shared" ca="1" si="3"/>
        <v>1.5589999999999691</v>
      </c>
      <c r="F35">
        <f t="shared" si="4"/>
        <v>1.6319999999999932</v>
      </c>
      <c r="G35">
        <f t="shared" si="5"/>
        <v>1.4679999999999931</v>
      </c>
    </row>
    <row r="36" spans="2:9">
      <c r="B36" s="3">
        <v>3</v>
      </c>
      <c r="C36">
        <f ca="1">'105'!$K21</f>
        <v>356.31</v>
      </c>
      <c r="D36">
        <f ca="1">'235'!$K76</f>
        <v>354.75800000140936</v>
      </c>
      <c r="E36">
        <f t="shared" ca="1" si="3"/>
        <v>1.5519999985906452</v>
      </c>
      <c r="F36">
        <f t="shared" si="4"/>
        <v>1.6319999999999932</v>
      </c>
      <c r="G36">
        <f t="shared" si="5"/>
        <v>1.4679999999999931</v>
      </c>
    </row>
    <row r="37" spans="2:9">
      <c r="B37" s="3">
        <v>2</v>
      </c>
      <c r="C37">
        <f ca="1">'105'!$K22</f>
        <v>356.23500000000001</v>
      </c>
      <c r="D37">
        <f ca="1">'235'!$K77</f>
        <v>354.68200000140973</v>
      </c>
      <c r="E37">
        <f t="shared" ca="1" si="3"/>
        <v>1.5529999985902805</v>
      </c>
      <c r="F37">
        <f t="shared" si="4"/>
        <v>1.6319999999999932</v>
      </c>
      <c r="G37">
        <f t="shared" si="5"/>
        <v>1.4679999999999931</v>
      </c>
    </row>
    <row r="38" spans="2:9">
      <c r="E38" s="78" t="str">
        <f ca="1">IF(MAX(E22:E37)&gt;F22, "Max "&amp;TEXT(MAX(E22:E37), "0.000")&amp;" : O/Max "&amp;TEXT(MAX(E22:E37)-F22, "0.000"),  "Max "&amp;TEXT(MAX(E22:E37), "0.000")&amp;" within drawing requirement.")</f>
        <v>Max 1.559 within drawing requirement.</v>
      </c>
      <c r="F38" s="66"/>
      <c r="G38" s="66"/>
      <c r="H38" s="66"/>
      <c r="I38" s="66"/>
    </row>
    <row r="39" spans="2:9">
      <c r="E39" s="78" t="str">
        <f ca="1">IF(MIN(E22:E37)&lt;G22, "Min "&amp;TEXT(MIN(E22:E37), "0.000")&amp;" : U/Min "&amp;TEXT(G22-MIN(E22:E37), "0.000"),  "Min "&amp;TEXT(MIN(E22:E37), "0.000")&amp;" within drawing requirement.")</f>
        <v>Min 1.549 within drawing requirement.</v>
      </c>
      <c r="F39" s="66"/>
      <c r="G39" s="66"/>
      <c r="H39" s="66"/>
      <c r="I39" s="66"/>
    </row>
  </sheetData>
  <phoneticPr fontId="1"/>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P54"/>
  <sheetViews>
    <sheetView workbookViewId="0">
      <selection activeCell="P37" sqref="P37"/>
    </sheetView>
  </sheetViews>
  <sheetFormatPr defaultColWidth="9" defaultRowHeight="15"/>
  <cols>
    <col min="1" max="16384" width="9" style="1"/>
  </cols>
  <sheetData>
    <row r="1" spans="1:13">
      <c r="A1" s="1" t="s">
        <v>499</v>
      </c>
    </row>
    <row r="2" spans="1:13">
      <c r="A2" s="1" t="s">
        <v>160</v>
      </c>
      <c r="B2" s="1" t="s">
        <v>164</v>
      </c>
      <c r="C2" s="1">
        <v>722.798</v>
      </c>
      <c r="D2" s="1" t="s">
        <v>196</v>
      </c>
      <c r="E2" s="1">
        <v>722.8</v>
      </c>
    </row>
    <row r="3" spans="1:13">
      <c r="A3" s="1" t="s">
        <v>500</v>
      </c>
      <c r="B3" s="1" t="s">
        <v>162</v>
      </c>
      <c r="C3" s="1">
        <v>-2E-3</v>
      </c>
      <c r="D3" s="1" t="s">
        <v>163</v>
      </c>
      <c r="E3" s="1">
        <v>6.4000000000000001E-2</v>
      </c>
      <c r="F3" s="1" t="s">
        <v>158</v>
      </c>
    </row>
    <row r="4" spans="1:13">
      <c r="A4" s="2" t="s">
        <v>501</v>
      </c>
      <c r="B4" s="1" t="s">
        <v>169</v>
      </c>
      <c r="C4" s="1">
        <v>-6.4000000000000001E-2</v>
      </c>
    </row>
    <row r="6" spans="1:13">
      <c r="A6" s="1" t="s">
        <v>1301</v>
      </c>
      <c r="C6" s="1" t="s">
        <v>161</v>
      </c>
      <c r="H6" s="3"/>
      <c r="I6" s="3" t="str">
        <f>CONCATENATE(A6," : ",MID(A1,11,3))</f>
        <v>JHV723EJ : 237</v>
      </c>
      <c r="J6" s="3"/>
      <c r="K6" s="3" t="s">
        <v>40</v>
      </c>
      <c r="L6" s="3" t="s">
        <v>41</v>
      </c>
      <c r="M6" s="3" t="s">
        <v>42</v>
      </c>
    </row>
    <row r="7" spans="1:13">
      <c r="A7" s="1" t="s">
        <v>159</v>
      </c>
      <c r="B7" s="1" t="s">
        <v>170</v>
      </c>
      <c r="C7" s="1">
        <v>361.38299999999998</v>
      </c>
      <c r="H7" s="4">
        <v>1</v>
      </c>
      <c r="I7" s="3" t="str">
        <f>CONCATENATE("点237.107(", H7,"/16)")</f>
        <v>点237.107(1/16)</v>
      </c>
      <c r="J7" s="3">
        <f>MATCH(I7, A$7:A$54, 0)</f>
        <v>2</v>
      </c>
      <c r="K7" s="3">
        <f ca="1">OFFSET(C$6, J7-1, 0)</f>
        <v>361.38299999999998</v>
      </c>
      <c r="L7" s="3">
        <f>($E$2+$C$4)/2</f>
        <v>361.36799999999999</v>
      </c>
      <c r="M7" s="3">
        <f>($E$2+$E$3)/2</f>
        <v>361.43199999999996</v>
      </c>
    </row>
    <row r="8" spans="1:13">
      <c r="A8" s="1" t="s">
        <v>502</v>
      </c>
      <c r="B8" s="1" t="s">
        <v>171</v>
      </c>
      <c r="C8" s="1">
        <v>1E-3</v>
      </c>
      <c r="H8" s="3">
        <v>16</v>
      </c>
      <c r="I8" s="3" t="str">
        <f t="shared" ref="I8:I22" si="0">CONCATENATE("点237.107(", H8,"/16)")</f>
        <v>点237.107(16/16)</v>
      </c>
      <c r="J8" s="3">
        <f t="shared" ref="J8:J22" si="1">MATCH(I8, A$7:A$54, 0)</f>
        <v>47</v>
      </c>
      <c r="K8" s="3">
        <f t="shared" ref="K8:K22" ca="1" si="2">OFFSET(C$6, J8-1, 0)</f>
        <v>361.39</v>
      </c>
      <c r="L8" s="3">
        <f>L7</f>
        <v>361.36799999999999</v>
      </c>
      <c r="M8" s="3">
        <f>M7</f>
        <v>361.43199999999996</v>
      </c>
    </row>
    <row r="9" spans="1:13">
      <c r="A9" s="2" t="s">
        <v>503</v>
      </c>
      <c r="B9" s="1" t="s">
        <v>157</v>
      </c>
      <c r="C9" s="1">
        <v>-207.041</v>
      </c>
      <c r="H9" s="3">
        <v>15</v>
      </c>
      <c r="I9" s="3" t="str">
        <f t="shared" si="0"/>
        <v>点237.107(15/16)</v>
      </c>
      <c r="J9" s="3">
        <f t="shared" si="1"/>
        <v>44</v>
      </c>
      <c r="K9" s="3">
        <f t="shared" ca="1" si="2"/>
        <v>361.38900000000001</v>
      </c>
      <c r="L9" s="3">
        <f t="shared" ref="L9:M22" si="3">L8</f>
        <v>361.36799999999999</v>
      </c>
      <c r="M9" s="3">
        <f t="shared" si="3"/>
        <v>361.43199999999996</v>
      </c>
    </row>
    <row r="10" spans="1:13">
      <c r="A10" s="1" t="s">
        <v>159</v>
      </c>
      <c r="B10" s="1" t="s">
        <v>170</v>
      </c>
      <c r="C10" s="1">
        <v>361.37299999999999</v>
      </c>
      <c r="H10" s="3">
        <v>14</v>
      </c>
      <c r="I10" s="3" t="str">
        <f t="shared" si="0"/>
        <v>点237.107(14/16)</v>
      </c>
      <c r="J10" s="3">
        <f t="shared" si="1"/>
        <v>41</v>
      </c>
      <c r="K10" s="3">
        <f t="shared" ca="1" si="2"/>
        <v>361.43</v>
      </c>
      <c r="L10" s="3">
        <f t="shared" si="3"/>
        <v>361.36799999999999</v>
      </c>
      <c r="M10" s="3">
        <f t="shared" si="3"/>
        <v>361.43199999999996</v>
      </c>
    </row>
    <row r="11" spans="1:13">
      <c r="A11" s="1" t="s">
        <v>504</v>
      </c>
      <c r="B11" s="1" t="s">
        <v>171</v>
      </c>
      <c r="C11" s="1">
        <v>-1E-3</v>
      </c>
      <c r="H11" s="3">
        <v>13</v>
      </c>
      <c r="I11" s="3" t="str">
        <f t="shared" si="0"/>
        <v>点237.107(13/16)</v>
      </c>
      <c r="J11" s="3">
        <f t="shared" si="1"/>
        <v>38</v>
      </c>
      <c r="K11" s="3">
        <f t="shared" ca="1" si="2"/>
        <v>361.423</v>
      </c>
      <c r="L11" s="3">
        <f t="shared" si="3"/>
        <v>361.36799999999999</v>
      </c>
      <c r="M11" s="3">
        <f t="shared" si="3"/>
        <v>361.43199999999996</v>
      </c>
    </row>
    <row r="12" spans="1:13">
      <c r="A12" s="2" t="s">
        <v>505</v>
      </c>
      <c r="B12" s="1" t="s">
        <v>157</v>
      </c>
      <c r="C12" s="1">
        <v>-207.041</v>
      </c>
      <c r="H12" s="3">
        <v>12</v>
      </c>
      <c r="I12" s="3" t="str">
        <f t="shared" si="0"/>
        <v>点237.107(12/16)</v>
      </c>
      <c r="J12" s="3">
        <f t="shared" si="1"/>
        <v>35</v>
      </c>
      <c r="K12" s="3">
        <f t="shared" ca="1" si="2"/>
        <v>361.43299999999999</v>
      </c>
      <c r="L12" s="3">
        <f t="shared" si="3"/>
        <v>361.36799999999999</v>
      </c>
      <c r="M12" s="3">
        <f t="shared" si="3"/>
        <v>361.43199999999996</v>
      </c>
    </row>
    <row r="13" spans="1:13">
      <c r="A13" s="1" t="s">
        <v>159</v>
      </c>
      <c r="B13" s="1" t="s">
        <v>170</v>
      </c>
      <c r="C13" s="1">
        <v>361.38</v>
      </c>
      <c r="H13" s="3">
        <v>11</v>
      </c>
      <c r="I13" s="3" t="str">
        <f t="shared" si="0"/>
        <v>点237.107(11/16)</v>
      </c>
      <c r="J13" s="3">
        <f t="shared" si="1"/>
        <v>32</v>
      </c>
      <c r="K13" s="3">
        <f t="shared" ca="1" si="2"/>
        <v>361.37299999999999</v>
      </c>
      <c r="L13" s="3">
        <f t="shared" si="3"/>
        <v>361.36799999999999</v>
      </c>
      <c r="M13" s="3">
        <f t="shared" si="3"/>
        <v>361.43199999999996</v>
      </c>
    </row>
    <row r="14" spans="1:13">
      <c r="A14" s="1" t="s">
        <v>506</v>
      </c>
      <c r="B14" s="1" t="s">
        <v>171</v>
      </c>
      <c r="C14" s="1">
        <v>3.0000000000000001E-3</v>
      </c>
      <c r="H14" s="3">
        <v>10</v>
      </c>
      <c r="I14" s="3" t="str">
        <f t="shared" si="0"/>
        <v>点237.107(10/16)</v>
      </c>
      <c r="J14" s="3">
        <f t="shared" si="1"/>
        <v>29</v>
      </c>
      <c r="K14" s="3">
        <f t="shared" ca="1" si="2"/>
        <v>361.36099999999999</v>
      </c>
      <c r="L14" s="3">
        <f t="shared" si="3"/>
        <v>361.36799999999999</v>
      </c>
      <c r="M14" s="3">
        <f t="shared" si="3"/>
        <v>361.43199999999996</v>
      </c>
    </row>
    <row r="15" spans="1:13">
      <c r="A15" s="2" t="s">
        <v>507</v>
      </c>
      <c r="B15" s="1" t="s">
        <v>157</v>
      </c>
      <c r="C15" s="1">
        <v>-207.01499999999999</v>
      </c>
      <c r="H15" s="3">
        <v>9</v>
      </c>
      <c r="I15" s="3" t="str">
        <f t="shared" si="0"/>
        <v>点237.107(9/16)</v>
      </c>
      <c r="J15" s="3">
        <f t="shared" si="1"/>
        <v>26</v>
      </c>
      <c r="K15" s="3">
        <f t="shared" ca="1" si="2"/>
        <v>361.35899999999998</v>
      </c>
      <c r="L15" s="3">
        <f t="shared" si="3"/>
        <v>361.36799999999999</v>
      </c>
      <c r="M15" s="3">
        <f t="shared" si="3"/>
        <v>361.43199999999996</v>
      </c>
    </row>
    <row r="16" spans="1:13">
      <c r="A16" s="1" t="s">
        <v>159</v>
      </c>
      <c r="B16" s="1" t="s">
        <v>170</v>
      </c>
      <c r="C16" s="1">
        <v>361.42599999999999</v>
      </c>
      <c r="H16" s="3">
        <v>8</v>
      </c>
      <c r="I16" s="3" t="str">
        <f t="shared" si="0"/>
        <v>点237.107(8/16)</v>
      </c>
      <c r="J16" s="3">
        <f t="shared" si="1"/>
        <v>23</v>
      </c>
      <c r="K16" s="3">
        <f t="shared" ca="1" si="2"/>
        <v>361.38600000000002</v>
      </c>
      <c r="L16" s="3">
        <f t="shared" si="3"/>
        <v>361.36799999999999</v>
      </c>
      <c r="M16" s="3">
        <f t="shared" si="3"/>
        <v>361.43199999999996</v>
      </c>
    </row>
    <row r="17" spans="1:13">
      <c r="A17" s="1" t="s">
        <v>508</v>
      </c>
      <c r="B17" s="1" t="s">
        <v>171</v>
      </c>
      <c r="C17" s="1">
        <v>0</v>
      </c>
      <c r="H17" s="3">
        <v>7</v>
      </c>
      <c r="I17" s="3" t="str">
        <f t="shared" si="0"/>
        <v>点237.107(7/16)</v>
      </c>
      <c r="J17" s="3">
        <f t="shared" si="1"/>
        <v>20</v>
      </c>
      <c r="K17" s="3">
        <f t="shared" ca="1" si="2"/>
        <v>361.40100000000001</v>
      </c>
      <c r="L17" s="3">
        <f t="shared" si="3"/>
        <v>361.36799999999999</v>
      </c>
      <c r="M17" s="3">
        <f t="shared" si="3"/>
        <v>361.43199999999996</v>
      </c>
    </row>
    <row r="18" spans="1:13">
      <c r="A18" s="2" t="s">
        <v>509</v>
      </c>
      <c r="B18" s="1" t="s">
        <v>157</v>
      </c>
      <c r="C18" s="1">
        <v>-207.01499999999999</v>
      </c>
      <c r="H18" s="3">
        <v>6</v>
      </c>
      <c r="I18" s="3" t="str">
        <f t="shared" si="0"/>
        <v>点237.107(6/16)</v>
      </c>
      <c r="J18" s="3">
        <f t="shared" si="1"/>
        <v>17</v>
      </c>
      <c r="K18" s="3">
        <f t="shared" ca="1" si="2"/>
        <v>361.43700000000001</v>
      </c>
      <c r="L18" s="3">
        <f t="shared" si="3"/>
        <v>361.36799999999999</v>
      </c>
      <c r="M18" s="3">
        <f t="shared" si="3"/>
        <v>361.43199999999996</v>
      </c>
    </row>
    <row r="19" spans="1:13">
      <c r="A19" s="1" t="s">
        <v>159</v>
      </c>
      <c r="B19" s="1" t="s">
        <v>170</v>
      </c>
      <c r="C19" s="1">
        <v>361.423</v>
      </c>
      <c r="H19" s="3">
        <v>5</v>
      </c>
      <c r="I19" s="3" t="str">
        <f t="shared" si="0"/>
        <v>点237.107(5/16)</v>
      </c>
      <c r="J19" s="3">
        <f t="shared" si="1"/>
        <v>14</v>
      </c>
      <c r="K19" s="3">
        <f t="shared" ca="1" si="2"/>
        <v>361.423</v>
      </c>
      <c r="L19" s="3">
        <f t="shared" si="3"/>
        <v>361.36799999999999</v>
      </c>
      <c r="M19" s="3">
        <f t="shared" si="3"/>
        <v>361.43199999999996</v>
      </c>
    </row>
    <row r="20" spans="1:13">
      <c r="A20" s="1" t="s">
        <v>510</v>
      </c>
      <c r="B20" s="1" t="s">
        <v>171</v>
      </c>
      <c r="C20" s="1">
        <v>1E-3</v>
      </c>
      <c r="H20" s="3">
        <v>4</v>
      </c>
      <c r="I20" s="3" t="str">
        <f t="shared" si="0"/>
        <v>点237.107(4/16)</v>
      </c>
      <c r="J20" s="3">
        <f t="shared" si="1"/>
        <v>11</v>
      </c>
      <c r="K20" s="3">
        <f t="shared" ca="1" si="2"/>
        <v>361.42599999999999</v>
      </c>
      <c r="L20" s="3">
        <f t="shared" si="3"/>
        <v>361.36799999999999</v>
      </c>
      <c r="M20" s="3">
        <f t="shared" si="3"/>
        <v>361.43199999999996</v>
      </c>
    </row>
    <row r="21" spans="1:13">
      <c r="A21" s="2" t="s">
        <v>511</v>
      </c>
      <c r="B21" s="1" t="s">
        <v>157</v>
      </c>
      <c r="C21" s="1">
        <v>-207.042</v>
      </c>
      <c r="H21" s="3">
        <v>3</v>
      </c>
      <c r="I21" s="3" t="str">
        <f t="shared" si="0"/>
        <v>点237.107(3/16)</v>
      </c>
      <c r="J21" s="3">
        <f t="shared" si="1"/>
        <v>8</v>
      </c>
      <c r="K21" s="3">
        <f t="shared" ca="1" si="2"/>
        <v>361.38</v>
      </c>
      <c r="L21" s="3">
        <f t="shared" si="3"/>
        <v>361.36799999999999</v>
      </c>
      <c r="M21" s="3">
        <f t="shared" si="3"/>
        <v>361.43199999999996</v>
      </c>
    </row>
    <row r="22" spans="1:13">
      <c r="A22" s="1" t="s">
        <v>159</v>
      </c>
      <c r="B22" s="1" t="s">
        <v>170</v>
      </c>
      <c r="C22" s="1">
        <v>361.43700000000001</v>
      </c>
      <c r="H22" s="3">
        <v>2</v>
      </c>
      <c r="I22" s="3" t="str">
        <f t="shared" si="0"/>
        <v>点237.107(2/16)</v>
      </c>
      <c r="J22" s="3">
        <f t="shared" si="1"/>
        <v>5</v>
      </c>
      <c r="K22" s="3">
        <f t="shared" ca="1" si="2"/>
        <v>361.37299999999999</v>
      </c>
      <c r="L22" s="3">
        <f t="shared" si="3"/>
        <v>361.36799999999999</v>
      </c>
      <c r="M22" s="3">
        <f t="shared" si="3"/>
        <v>361.43199999999996</v>
      </c>
    </row>
    <row r="23" spans="1:13">
      <c r="A23" s="1" t="s">
        <v>512</v>
      </c>
      <c r="B23" s="1" t="s">
        <v>171</v>
      </c>
      <c r="C23" s="1">
        <v>-1.0999999999999999E-2</v>
      </c>
      <c r="H23" s="3"/>
      <c r="I23" s="3"/>
      <c r="J23" s="3"/>
      <c r="K23" s="3"/>
      <c r="L23" s="3"/>
      <c r="M23" s="3"/>
    </row>
    <row r="24" spans="1:13">
      <c r="A24" s="2" t="s">
        <v>513</v>
      </c>
      <c r="B24" s="1" t="s">
        <v>157</v>
      </c>
      <c r="C24" s="1">
        <v>-207.042</v>
      </c>
      <c r="H24" s="3"/>
      <c r="I24" s="3"/>
      <c r="J24" s="5" t="s">
        <v>3</v>
      </c>
      <c r="K24" s="3" t="str">
        <f>"&gt;"&amp;TEXT(($E$2+$E$3)/2, "0.###")</f>
        <v>&gt;361.432</v>
      </c>
      <c r="L24" s="3"/>
      <c r="M24" s="3"/>
    </row>
    <row r="25" spans="1:13">
      <c r="A25" s="1" t="s">
        <v>159</v>
      </c>
      <c r="B25" s="1" t="s">
        <v>170</v>
      </c>
      <c r="C25" s="1">
        <v>361.40100000000001</v>
      </c>
      <c r="H25" s="3"/>
      <c r="I25" s="3"/>
      <c r="J25" s="6" t="s">
        <v>4</v>
      </c>
      <c r="K25" s="3" t="str">
        <f>"&lt;"&amp;TEXT(($E$2+$C$4)/2, "0.###")</f>
        <v>&lt;361.368</v>
      </c>
      <c r="L25" s="3"/>
      <c r="M25" s="3"/>
    </row>
    <row r="26" spans="1:13">
      <c r="A26" s="1" t="s">
        <v>514</v>
      </c>
      <c r="B26" s="1" t="s">
        <v>171</v>
      </c>
      <c r="C26" s="1">
        <v>2E-3</v>
      </c>
      <c r="H26" s="3"/>
      <c r="I26" s="3"/>
      <c r="J26" s="7"/>
      <c r="K26" s="8" t="s">
        <v>5</v>
      </c>
      <c r="L26" s="3"/>
      <c r="M26" s="3"/>
    </row>
    <row r="27" spans="1:13">
      <c r="A27" s="2" t="s">
        <v>515</v>
      </c>
      <c r="B27" s="1" t="s">
        <v>157</v>
      </c>
      <c r="C27" s="1">
        <v>-207.03</v>
      </c>
      <c r="H27" s="3"/>
      <c r="I27" s="3"/>
      <c r="J27" s="9" t="s">
        <v>6</v>
      </c>
      <c r="K27" s="10">
        <f ca="1">AVERAGE(K7:K22)*2</f>
        <v>722.79587499999991</v>
      </c>
      <c r="L27" s="3"/>
      <c r="M27" s="3"/>
    </row>
    <row r="28" spans="1:13">
      <c r="A28" s="1" t="s">
        <v>159</v>
      </c>
      <c r="B28" s="1" t="s">
        <v>170</v>
      </c>
      <c r="C28" s="1">
        <v>361.38600000000002</v>
      </c>
      <c r="H28" s="3"/>
      <c r="I28" s="3"/>
      <c r="J28" s="9"/>
      <c r="K28" s="11" t="str">
        <f ca="1">IF(K27&lt;$E$2+$C$4, "U/Min "&amp;TEXT($E$2+$C$4-K27, "0.###"), IF(K27&gt;$E$2+$E$3, "O/Max "&amp;TEXT(K27-$E$2-$E$3, "0.###"), "-"))</f>
        <v>-</v>
      </c>
      <c r="L28" s="3"/>
      <c r="M28" s="3"/>
    </row>
    <row r="29" spans="1:13">
      <c r="A29" s="1" t="s">
        <v>516</v>
      </c>
      <c r="B29" s="1" t="s">
        <v>171</v>
      </c>
      <c r="C29" s="1">
        <v>3.0000000000000001E-3</v>
      </c>
      <c r="H29" s="3"/>
      <c r="I29" s="3"/>
      <c r="J29" s="9" t="s">
        <v>13</v>
      </c>
      <c r="K29" s="10">
        <f ca="1">MAX(K7:K22)-MIN(K7:K22)</f>
        <v>7.8000000000031378E-2</v>
      </c>
      <c r="L29" s="3"/>
      <c r="M29" s="3"/>
    </row>
    <row r="30" spans="1:13">
      <c r="A30" s="2" t="s">
        <v>517</v>
      </c>
      <c r="B30" s="1" t="s">
        <v>157</v>
      </c>
      <c r="C30" s="1">
        <v>-207.03</v>
      </c>
      <c r="H30" s="3"/>
      <c r="I30" s="3"/>
      <c r="J30" s="9"/>
      <c r="K30" s="11" t="str">
        <f ca="1">IF(K29&gt;0.13, "O/Max "&amp;TEXT(K29-0.13, "0.###"), "-")</f>
        <v>-</v>
      </c>
      <c r="L30" s="3"/>
      <c r="M30" s="3"/>
    </row>
    <row r="31" spans="1:13">
      <c r="A31" s="1" t="s">
        <v>159</v>
      </c>
      <c r="B31" s="1" t="s">
        <v>170</v>
      </c>
      <c r="C31" s="1">
        <v>361.35899999999998</v>
      </c>
      <c r="H31" s="3"/>
      <c r="I31" s="3"/>
      <c r="J31" s="9" t="s">
        <v>14</v>
      </c>
      <c r="K31" s="12">
        <f ca="1">COUNTIF(K7:K22, $K24)</f>
        <v>2</v>
      </c>
      <c r="L31" s="3"/>
      <c r="M31" s="3"/>
    </row>
    <row r="32" spans="1:13">
      <c r="A32" s="1" t="s">
        <v>518</v>
      </c>
      <c r="B32" s="1" t="s">
        <v>171</v>
      </c>
      <c r="C32" s="1">
        <v>1E-3</v>
      </c>
      <c r="H32" s="3"/>
      <c r="I32" s="3"/>
      <c r="J32" s="13" t="s">
        <v>9</v>
      </c>
      <c r="K32" s="12">
        <f ca="1">COUNTIF(K7:K22, $K25)</f>
        <v>2</v>
      </c>
      <c r="L32" s="3"/>
      <c r="M32" s="3"/>
    </row>
    <row r="33" spans="1:16">
      <c r="A33" s="2" t="s">
        <v>519</v>
      </c>
      <c r="B33" s="1" t="s">
        <v>157</v>
      </c>
      <c r="C33" s="1">
        <v>-207.012</v>
      </c>
      <c r="H33" s="3"/>
      <c r="I33" s="3"/>
      <c r="J33" s="12"/>
      <c r="K33" s="14" t="str">
        <f ca="1">TEXT(K31+K32,"0")&amp;"/16"</f>
        <v>4/16</v>
      </c>
      <c r="L33" s="3"/>
      <c r="M33" s="3"/>
      <c r="O33" s="1" t="s">
        <v>1261</v>
      </c>
      <c r="P33" s="1">
        <f>M7</f>
        <v>361.43199999999996</v>
      </c>
    </row>
    <row r="34" spans="1:16">
      <c r="A34" s="1" t="s">
        <v>159</v>
      </c>
      <c r="B34" s="1" t="s">
        <v>170</v>
      </c>
      <c r="C34" s="1">
        <v>361.36099999999999</v>
      </c>
      <c r="J34" s="15" t="s">
        <v>90</v>
      </c>
      <c r="K34" s="15"/>
      <c r="O34" s="1" t="s">
        <v>1266</v>
      </c>
      <c r="P34" s="1">
        <f>P33*SIN(RADIANS(360/16/2))*2</f>
        <v>141.02377053386653</v>
      </c>
    </row>
    <row r="35" spans="1:16">
      <c r="A35" s="1" t="s">
        <v>520</v>
      </c>
      <c r="B35" s="1" t="s">
        <v>171</v>
      </c>
      <c r="C35" s="1">
        <v>-3.0000000000000001E-3</v>
      </c>
      <c r="J35" s="15" t="s">
        <v>91</v>
      </c>
      <c r="K35" s="16">
        <f ca="1">MAX(K7:K22)*2</f>
        <v>722.87400000000002</v>
      </c>
      <c r="P35" s="1">
        <f ca="1">K7-P33</f>
        <v>-4.8999999999978172E-2</v>
      </c>
    </row>
    <row r="36" spans="1:16">
      <c r="A36" s="2" t="s">
        <v>521</v>
      </c>
      <c r="B36" s="1" t="s">
        <v>157</v>
      </c>
      <c r="C36" s="1">
        <v>-207.01300000000001</v>
      </c>
      <c r="J36" s="15" t="s">
        <v>92</v>
      </c>
      <c r="K36" s="16">
        <f ca="1">MIN(K7:K22)*2</f>
        <v>722.71799999999996</v>
      </c>
      <c r="P36" s="1">
        <f ca="1">P35*P34/2</f>
        <v>-3.4550823780781905</v>
      </c>
    </row>
    <row r="37" spans="1:16">
      <c r="A37" s="1" t="s">
        <v>159</v>
      </c>
      <c r="B37" s="1" t="s">
        <v>170</v>
      </c>
      <c r="C37" s="1">
        <v>361.37299999999999</v>
      </c>
    </row>
    <row r="38" spans="1:16">
      <c r="A38" s="1" t="s">
        <v>522</v>
      </c>
      <c r="B38" s="1" t="s">
        <v>171</v>
      </c>
      <c r="C38" s="1">
        <v>-1E-3</v>
      </c>
    </row>
    <row r="39" spans="1:16">
      <c r="A39" s="2" t="s">
        <v>523</v>
      </c>
      <c r="B39" s="1" t="s">
        <v>157</v>
      </c>
      <c r="C39" s="1">
        <v>-207.023</v>
      </c>
    </row>
    <row r="40" spans="1:16">
      <c r="A40" s="1" t="s">
        <v>159</v>
      </c>
      <c r="B40" s="1" t="s">
        <v>170</v>
      </c>
      <c r="C40" s="1">
        <v>361.43299999999999</v>
      </c>
    </row>
    <row r="41" spans="1:16">
      <c r="A41" s="1" t="s">
        <v>524</v>
      </c>
      <c r="B41" s="1" t="s">
        <v>171</v>
      </c>
      <c r="C41" s="1">
        <v>4.0000000000000001E-3</v>
      </c>
    </row>
    <row r="42" spans="1:16">
      <c r="A42" s="2" t="s">
        <v>525</v>
      </c>
      <c r="B42" s="1" t="s">
        <v>157</v>
      </c>
      <c r="C42" s="1">
        <v>-207.023</v>
      </c>
    </row>
    <row r="43" spans="1:16">
      <c r="A43" s="1" t="s">
        <v>159</v>
      </c>
      <c r="B43" s="1" t="s">
        <v>170</v>
      </c>
      <c r="C43" s="1">
        <v>361.423</v>
      </c>
    </row>
    <row r="44" spans="1:16">
      <c r="A44" s="1" t="s">
        <v>526</v>
      </c>
      <c r="B44" s="1" t="s">
        <v>171</v>
      </c>
      <c r="C44" s="1">
        <v>1E-3</v>
      </c>
    </row>
    <row r="45" spans="1:16">
      <c r="A45" s="2" t="s">
        <v>527</v>
      </c>
      <c r="B45" s="1" t="s">
        <v>157</v>
      </c>
      <c r="C45" s="1">
        <v>-207.036</v>
      </c>
    </row>
    <row r="46" spans="1:16">
      <c r="A46" s="1" t="s">
        <v>159</v>
      </c>
      <c r="B46" s="1" t="s">
        <v>170</v>
      </c>
      <c r="C46" s="1">
        <v>361.43</v>
      </c>
    </row>
    <row r="47" spans="1:16">
      <c r="A47" s="1" t="s">
        <v>528</v>
      </c>
      <c r="B47" s="1" t="s">
        <v>171</v>
      </c>
      <c r="C47" s="1">
        <v>-6.0000000000000001E-3</v>
      </c>
    </row>
    <row r="48" spans="1:16">
      <c r="A48" s="2" t="s">
        <v>529</v>
      </c>
      <c r="B48" s="1" t="s">
        <v>157</v>
      </c>
      <c r="C48" s="1">
        <v>-207.036</v>
      </c>
    </row>
    <row r="49" spans="1:3">
      <c r="A49" s="1" t="s">
        <v>159</v>
      </c>
      <c r="B49" s="1" t="s">
        <v>170</v>
      </c>
      <c r="C49" s="1">
        <v>361.38900000000001</v>
      </c>
    </row>
    <row r="50" spans="1:3">
      <c r="A50" s="1" t="s">
        <v>530</v>
      </c>
      <c r="B50" s="1" t="s">
        <v>171</v>
      </c>
      <c r="C50" s="1">
        <v>0</v>
      </c>
    </row>
    <row r="51" spans="1:3">
      <c r="A51" s="2" t="s">
        <v>531</v>
      </c>
      <c r="B51" s="1" t="s">
        <v>157</v>
      </c>
      <c r="C51" s="1">
        <v>-207.047</v>
      </c>
    </row>
    <row r="52" spans="1:3">
      <c r="A52" s="1" t="s">
        <v>159</v>
      </c>
      <c r="B52" s="1" t="s">
        <v>170</v>
      </c>
      <c r="C52" s="1">
        <v>361.39</v>
      </c>
    </row>
    <row r="53" spans="1:3">
      <c r="A53" s="1" t="s">
        <v>532</v>
      </c>
      <c r="B53" s="1" t="s">
        <v>171</v>
      </c>
      <c r="C53" s="1">
        <v>4.0000000000000001E-3</v>
      </c>
    </row>
    <row r="54" spans="1:3">
      <c r="A54" s="2" t="s">
        <v>533</v>
      </c>
      <c r="B54" s="1" t="s">
        <v>157</v>
      </c>
      <c r="C54" s="1">
        <v>-207.047</v>
      </c>
    </row>
  </sheetData>
  <phoneticPr fontId="1"/>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54"/>
  <sheetViews>
    <sheetView workbookViewId="0">
      <selection activeCell="F36" sqref="F36"/>
    </sheetView>
  </sheetViews>
  <sheetFormatPr defaultColWidth="9" defaultRowHeight="15"/>
  <cols>
    <col min="1" max="16384" width="9" style="1"/>
  </cols>
  <sheetData>
    <row r="1" spans="1:13">
      <c r="A1" s="1" t="s">
        <v>473</v>
      </c>
    </row>
    <row r="2" spans="1:13">
      <c r="A2" s="1" t="s">
        <v>160</v>
      </c>
      <c r="B2" s="1" t="s">
        <v>164</v>
      </c>
      <c r="C2" s="1">
        <v>718.76800000000003</v>
      </c>
      <c r="D2" s="1" t="s">
        <v>196</v>
      </c>
      <c r="E2" s="1">
        <v>718.8</v>
      </c>
    </row>
    <row r="3" spans="1:13">
      <c r="A3" s="1" t="s">
        <v>474</v>
      </c>
      <c r="B3" s="1" t="s">
        <v>162</v>
      </c>
      <c r="C3" s="1">
        <v>-3.2000000000000001E-2</v>
      </c>
      <c r="D3" s="1" t="s">
        <v>163</v>
      </c>
      <c r="E3" s="1">
        <v>6.4000000000000001E-2</v>
      </c>
      <c r="F3" s="1" t="s">
        <v>158</v>
      </c>
    </row>
    <row r="4" spans="1:13">
      <c r="A4" s="2" t="s">
        <v>475</v>
      </c>
      <c r="B4" s="1" t="s">
        <v>169</v>
      </c>
      <c r="C4" s="1">
        <v>-6.4000000000000001E-2</v>
      </c>
    </row>
    <row r="6" spans="1:13">
      <c r="A6" s="1" t="s">
        <v>1301</v>
      </c>
      <c r="C6" s="1" t="s">
        <v>161</v>
      </c>
      <c r="H6" s="3"/>
      <c r="I6" s="3" t="str">
        <f>CONCATENATE(A6," : ",MID(A1,11,3))</f>
        <v>JHV723EJ : 236</v>
      </c>
      <c r="J6" s="3"/>
      <c r="K6" s="3" t="s">
        <v>5</v>
      </c>
      <c r="L6" s="3" t="s">
        <v>1</v>
      </c>
      <c r="M6" s="3" t="s">
        <v>2</v>
      </c>
    </row>
    <row r="7" spans="1:13">
      <c r="A7" s="1" t="s">
        <v>159</v>
      </c>
      <c r="B7" s="1" t="s">
        <v>170</v>
      </c>
      <c r="C7" s="1">
        <v>359.36599999999999</v>
      </c>
      <c r="H7" s="4">
        <v>1</v>
      </c>
      <c r="I7" s="3" t="str">
        <f>CONCATENATE("点236.106(", H7,"/16)")</f>
        <v>点236.106(1/16)</v>
      </c>
      <c r="J7" s="3">
        <f>MATCH(I7, A$7:A$54, 0)</f>
        <v>2</v>
      </c>
      <c r="K7" s="3">
        <f ca="1">OFFSET(C$6, J7-1, 0)</f>
        <v>359.36599999999999</v>
      </c>
      <c r="L7" s="3">
        <f>($E$2+$C$4)/2</f>
        <v>359.36799999999999</v>
      </c>
      <c r="M7" s="3">
        <f>($E$2+$E$3)/2</f>
        <v>359.43199999999996</v>
      </c>
    </row>
    <row r="8" spans="1:13">
      <c r="A8" s="1" t="s">
        <v>476</v>
      </c>
      <c r="B8" s="1" t="s">
        <v>171</v>
      </c>
      <c r="C8" s="1">
        <v>0</v>
      </c>
      <c r="H8" s="3">
        <v>16</v>
      </c>
      <c r="I8" s="3" t="str">
        <f t="shared" ref="I8:I22" si="0">CONCATENATE("点236.106(", H8,"/16)")</f>
        <v>点236.106(16/16)</v>
      </c>
      <c r="J8" s="3">
        <f t="shared" ref="J8:J22" si="1">MATCH(I8, A$7:A$54, 0)</f>
        <v>47</v>
      </c>
      <c r="K8" s="3">
        <f t="shared" ref="K8:K22" ca="1" si="2">OFFSET(C$6, J8-1, 0)</f>
        <v>359.37599999999998</v>
      </c>
      <c r="L8" s="3">
        <f>L7</f>
        <v>359.36799999999999</v>
      </c>
      <c r="M8" s="3">
        <f>M7</f>
        <v>359.43199999999996</v>
      </c>
    </row>
    <row r="9" spans="1:13">
      <c r="A9" s="2" t="s">
        <v>376</v>
      </c>
      <c r="B9" s="1" t="s">
        <v>157</v>
      </c>
      <c r="C9" s="1">
        <v>-208.375</v>
      </c>
      <c r="H9" s="3">
        <v>15</v>
      </c>
      <c r="I9" s="3" t="str">
        <f t="shared" si="0"/>
        <v>点236.106(15/16)</v>
      </c>
      <c r="J9" s="3">
        <f t="shared" si="1"/>
        <v>44</v>
      </c>
      <c r="K9" s="3">
        <f t="shared" ca="1" si="2"/>
        <v>359.37900000000002</v>
      </c>
      <c r="L9" s="3">
        <f t="shared" ref="L9:M22" si="3">L8</f>
        <v>359.36799999999999</v>
      </c>
      <c r="M9" s="3">
        <f t="shared" si="3"/>
        <v>359.43199999999996</v>
      </c>
    </row>
    <row r="10" spans="1:13">
      <c r="A10" s="1" t="s">
        <v>159</v>
      </c>
      <c r="B10" s="1" t="s">
        <v>170</v>
      </c>
      <c r="C10" s="1">
        <v>359.35700000000003</v>
      </c>
      <c r="H10" s="3">
        <v>14</v>
      </c>
      <c r="I10" s="3" t="str">
        <f t="shared" si="0"/>
        <v>点236.106(14/16)</v>
      </c>
      <c r="J10" s="3">
        <f t="shared" si="1"/>
        <v>41</v>
      </c>
      <c r="K10" s="3">
        <f t="shared" ca="1" si="2"/>
        <v>359.416</v>
      </c>
      <c r="L10" s="3">
        <f t="shared" si="3"/>
        <v>359.36799999999999</v>
      </c>
      <c r="M10" s="3">
        <f t="shared" si="3"/>
        <v>359.43199999999996</v>
      </c>
    </row>
    <row r="11" spans="1:13">
      <c r="A11" s="1" t="s">
        <v>477</v>
      </c>
      <c r="B11" s="1" t="s">
        <v>171</v>
      </c>
      <c r="C11" s="1">
        <v>1E-3</v>
      </c>
      <c r="H11" s="3">
        <v>13</v>
      </c>
      <c r="I11" s="3" t="str">
        <f t="shared" si="0"/>
        <v>点236.106(13/16)</v>
      </c>
      <c r="J11" s="3">
        <f t="shared" si="1"/>
        <v>38</v>
      </c>
      <c r="K11" s="3">
        <f t="shared" ca="1" si="2"/>
        <v>359.41500000000002</v>
      </c>
      <c r="L11" s="3">
        <f t="shared" si="3"/>
        <v>359.36799999999999</v>
      </c>
      <c r="M11" s="3">
        <f t="shared" si="3"/>
        <v>359.43199999999996</v>
      </c>
    </row>
    <row r="12" spans="1:13">
      <c r="A12" s="2" t="s">
        <v>384</v>
      </c>
      <c r="B12" s="1" t="s">
        <v>157</v>
      </c>
      <c r="C12" s="1">
        <v>-208.375</v>
      </c>
      <c r="H12" s="3">
        <v>12</v>
      </c>
      <c r="I12" s="3" t="str">
        <f t="shared" si="0"/>
        <v>点236.106(12/16)</v>
      </c>
      <c r="J12" s="3">
        <f t="shared" si="1"/>
        <v>35</v>
      </c>
      <c r="K12" s="3">
        <f t="shared" ca="1" si="2"/>
        <v>359.416</v>
      </c>
      <c r="L12" s="3">
        <f t="shared" si="3"/>
        <v>359.36799999999999</v>
      </c>
      <c r="M12" s="3">
        <f t="shared" si="3"/>
        <v>359.43199999999996</v>
      </c>
    </row>
    <row r="13" spans="1:13">
      <c r="A13" s="1" t="s">
        <v>159</v>
      </c>
      <c r="B13" s="1" t="s">
        <v>170</v>
      </c>
      <c r="C13" s="1">
        <v>359.36799999999999</v>
      </c>
      <c r="H13" s="3">
        <v>11</v>
      </c>
      <c r="I13" s="3" t="str">
        <f t="shared" si="0"/>
        <v>点236.106(11/16)</v>
      </c>
      <c r="J13" s="3">
        <f t="shared" si="1"/>
        <v>32</v>
      </c>
      <c r="K13" s="3">
        <f t="shared" ca="1" si="2"/>
        <v>359.358</v>
      </c>
      <c r="L13" s="3">
        <f t="shared" si="3"/>
        <v>359.36799999999999</v>
      </c>
      <c r="M13" s="3">
        <f t="shared" si="3"/>
        <v>359.43199999999996</v>
      </c>
    </row>
    <row r="14" spans="1:13">
      <c r="A14" s="1" t="s">
        <v>478</v>
      </c>
      <c r="B14" s="1" t="s">
        <v>171</v>
      </c>
      <c r="C14" s="1">
        <v>1E-3</v>
      </c>
      <c r="H14" s="3">
        <v>10</v>
      </c>
      <c r="I14" s="3" t="str">
        <f t="shared" si="0"/>
        <v>点236.106(10/16)</v>
      </c>
      <c r="J14" s="3">
        <f t="shared" si="1"/>
        <v>29</v>
      </c>
      <c r="K14" s="3">
        <f t="shared" ca="1" si="2"/>
        <v>359.35</v>
      </c>
      <c r="L14" s="3">
        <f t="shared" si="3"/>
        <v>359.36799999999999</v>
      </c>
      <c r="M14" s="3">
        <f t="shared" si="3"/>
        <v>359.43199999999996</v>
      </c>
    </row>
    <row r="15" spans="1:13">
      <c r="A15" s="2" t="s">
        <v>377</v>
      </c>
      <c r="B15" s="1" t="s">
        <v>157</v>
      </c>
      <c r="C15" s="1">
        <v>-208.375</v>
      </c>
      <c r="H15" s="3">
        <v>9</v>
      </c>
      <c r="I15" s="3" t="str">
        <f t="shared" si="0"/>
        <v>点236.106(9/16)</v>
      </c>
      <c r="J15" s="3">
        <f t="shared" si="1"/>
        <v>26</v>
      </c>
      <c r="K15" s="3">
        <f t="shared" ca="1" si="2"/>
        <v>359.34699999999998</v>
      </c>
      <c r="L15" s="3">
        <f t="shared" si="3"/>
        <v>359.36799999999999</v>
      </c>
      <c r="M15" s="3">
        <f t="shared" si="3"/>
        <v>359.43199999999996</v>
      </c>
    </row>
    <row r="16" spans="1:13">
      <c r="A16" s="1" t="s">
        <v>159</v>
      </c>
      <c r="B16" s="1" t="s">
        <v>170</v>
      </c>
      <c r="C16" s="1">
        <v>359.40899999999999</v>
      </c>
      <c r="H16" s="3">
        <v>8</v>
      </c>
      <c r="I16" s="3" t="str">
        <f t="shared" si="0"/>
        <v>点236.106(8/16)</v>
      </c>
      <c r="J16" s="3">
        <f t="shared" si="1"/>
        <v>23</v>
      </c>
      <c r="K16" s="3">
        <f t="shared" ca="1" si="2"/>
        <v>359.37700000000001</v>
      </c>
      <c r="L16" s="3">
        <f t="shared" si="3"/>
        <v>359.36799999999999</v>
      </c>
      <c r="M16" s="3">
        <f t="shared" si="3"/>
        <v>359.43199999999996</v>
      </c>
    </row>
    <row r="17" spans="1:13">
      <c r="A17" s="1" t="s">
        <v>479</v>
      </c>
      <c r="B17" s="1" t="s">
        <v>171</v>
      </c>
      <c r="C17" s="1">
        <v>-4.0000000000000001E-3</v>
      </c>
      <c r="H17" s="3">
        <v>7</v>
      </c>
      <c r="I17" s="3" t="str">
        <f t="shared" si="0"/>
        <v>点236.106(7/16)</v>
      </c>
      <c r="J17" s="3">
        <f t="shared" si="1"/>
        <v>20</v>
      </c>
      <c r="K17" s="3">
        <f t="shared" ca="1" si="2"/>
        <v>359.392</v>
      </c>
      <c r="L17" s="3">
        <f t="shared" si="3"/>
        <v>359.36799999999999</v>
      </c>
      <c r="M17" s="3">
        <f t="shared" si="3"/>
        <v>359.43199999999996</v>
      </c>
    </row>
    <row r="18" spans="1:13">
      <c r="A18" s="2" t="s">
        <v>480</v>
      </c>
      <c r="B18" s="1" t="s">
        <v>157</v>
      </c>
      <c r="C18" s="1">
        <v>-208.374</v>
      </c>
      <c r="H18" s="3">
        <v>6</v>
      </c>
      <c r="I18" s="3" t="str">
        <f t="shared" si="0"/>
        <v>点236.106(6/16)</v>
      </c>
      <c r="J18" s="3">
        <f t="shared" si="1"/>
        <v>17</v>
      </c>
      <c r="K18" s="3">
        <f t="shared" ca="1" si="2"/>
        <v>359.423</v>
      </c>
      <c r="L18" s="3">
        <f t="shared" si="3"/>
        <v>359.36799999999999</v>
      </c>
      <c r="M18" s="3">
        <f t="shared" si="3"/>
        <v>359.43199999999996</v>
      </c>
    </row>
    <row r="19" spans="1:13">
      <c r="A19" s="1" t="s">
        <v>159</v>
      </c>
      <c r="B19" s="1" t="s">
        <v>170</v>
      </c>
      <c r="C19" s="1">
        <v>359.40800000000002</v>
      </c>
      <c r="H19" s="3">
        <v>5</v>
      </c>
      <c r="I19" s="3" t="str">
        <f t="shared" si="0"/>
        <v>点236.106(5/16)</v>
      </c>
      <c r="J19" s="3">
        <f t="shared" si="1"/>
        <v>14</v>
      </c>
      <c r="K19" s="3">
        <f t="shared" ca="1" si="2"/>
        <v>359.40800000000002</v>
      </c>
      <c r="L19" s="3">
        <f t="shared" si="3"/>
        <v>359.36799999999999</v>
      </c>
      <c r="M19" s="3">
        <f t="shared" si="3"/>
        <v>359.43199999999996</v>
      </c>
    </row>
    <row r="20" spans="1:13">
      <c r="A20" s="1" t="s">
        <v>481</v>
      </c>
      <c r="B20" s="1" t="s">
        <v>171</v>
      </c>
      <c r="C20" s="1">
        <v>0</v>
      </c>
      <c r="H20" s="3">
        <v>4</v>
      </c>
      <c r="I20" s="3" t="str">
        <f t="shared" si="0"/>
        <v>点236.106(4/16)</v>
      </c>
      <c r="J20" s="3">
        <f t="shared" si="1"/>
        <v>11</v>
      </c>
      <c r="K20" s="3">
        <f t="shared" ca="1" si="2"/>
        <v>359.40899999999999</v>
      </c>
      <c r="L20" s="3">
        <f t="shared" si="3"/>
        <v>359.36799999999999</v>
      </c>
      <c r="M20" s="3">
        <f t="shared" si="3"/>
        <v>359.43199999999996</v>
      </c>
    </row>
    <row r="21" spans="1:13">
      <c r="A21" s="2" t="s">
        <v>378</v>
      </c>
      <c r="B21" s="1" t="s">
        <v>157</v>
      </c>
      <c r="C21" s="1">
        <v>-208.375</v>
      </c>
      <c r="H21" s="3">
        <v>3</v>
      </c>
      <c r="I21" s="3" t="str">
        <f t="shared" si="0"/>
        <v>点236.106(3/16)</v>
      </c>
      <c r="J21" s="3">
        <f t="shared" si="1"/>
        <v>8</v>
      </c>
      <c r="K21" s="3">
        <f t="shared" ca="1" si="2"/>
        <v>359.36799999999999</v>
      </c>
      <c r="L21" s="3">
        <f t="shared" si="3"/>
        <v>359.36799999999999</v>
      </c>
      <c r="M21" s="3">
        <f t="shared" si="3"/>
        <v>359.43199999999996</v>
      </c>
    </row>
    <row r="22" spans="1:13">
      <c r="A22" s="1" t="s">
        <v>159</v>
      </c>
      <c r="B22" s="1" t="s">
        <v>170</v>
      </c>
      <c r="C22" s="1">
        <v>359.423</v>
      </c>
      <c r="H22" s="3">
        <v>2</v>
      </c>
      <c r="I22" s="3" t="str">
        <f t="shared" si="0"/>
        <v>点236.106(2/16)</v>
      </c>
      <c r="J22" s="3">
        <f t="shared" si="1"/>
        <v>5</v>
      </c>
      <c r="K22" s="3">
        <f t="shared" ca="1" si="2"/>
        <v>359.35700000000003</v>
      </c>
      <c r="L22" s="3">
        <f t="shared" si="3"/>
        <v>359.36799999999999</v>
      </c>
      <c r="M22" s="3">
        <f t="shared" si="3"/>
        <v>359.43199999999996</v>
      </c>
    </row>
    <row r="23" spans="1:13">
      <c r="A23" s="1" t="s">
        <v>482</v>
      </c>
      <c r="B23" s="1" t="s">
        <v>171</v>
      </c>
      <c r="C23" s="1">
        <v>2E-3</v>
      </c>
      <c r="H23" s="3"/>
      <c r="I23" s="3"/>
      <c r="J23" s="3"/>
      <c r="K23" s="3"/>
      <c r="L23" s="3"/>
      <c r="M23" s="3"/>
    </row>
    <row r="24" spans="1:13">
      <c r="A24" s="2" t="s">
        <v>483</v>
      </c>
      <c r="B24" s="1" t="s">
        <v>157</v>
      </c>
      <c r="C24" s="1">
        <v>-208.375</v>
      </c>
      <c r="H24" s="3"/>
      <c r="I24" s="3"/>
      <c r="J24" s="5" t="s">
        <v>3</v>
      </c>
      <c r="K24" s="3" t="str">
        <f>"&gt;"&amp;TEXT(($E$2+$E$3)/2, "0.###")</f>
        <v>&gt;359.432</v>
      </c>
      <c r="L24" s="3"/>
      <c r="M24" s="3"/>
    </row>
    <row r="25" spans="1:13">
      <c r="A25" s="1" t="s">
        <v>159</v>
      </c>
      <c r="B25" s="1" t="s">
        <v>170</v>
      </c>
      <c r="C25" s="1">
        <v>359.392</v>
      </c>
      <c r="H25" s="3"/>
      <c r="I25" s="3"/>
      <c r="J25" s="6" t="s">
        <v>4</v>
      </c>
      <c r="K25" s="3" t="str">
        <f>"&lt;"&amp;TEXT(($E$2+$C$4)/2, "0.###")</f>
        <v>&lt;359.368</v>
      </c>
      <c r="L25" s="3"/>
      <c r="M25" s="3"/>
    </row>
    <row r="26" spans="1:13">
      <c r="A26" s="1" t="s">
        <v>484</v>
      </c>
      <c r="B26" s="1" t="s">
        <v>171</v>
      </c>
      <c r="C26" s="1">
        <v>1E-3</v>
      </c>
      <c r="H26" s="3"/>
      <c r="I26" s="3"/>
      <c r="J26" s="7"/>
      <c r="K26" s="8" t="s">
        <v>5</v>
      </c>
      <c r="L26" s="3"/>
      <c r="M26" s="3"/>
    </row>
    <row r="27" spans="1:13">
      <c r="A27" s="2" t="s">
        <v>379</v>
      </c>
      <c r="B27" s="1" t="s">
        <v>157</v>
      </c>
      <c r="C27" s="1">
        <v>-208.376</v>
      </c>
      <c r="H27" s="3"/>
      <c r="I27" s="3"/>
      <c r="J27" s="9" t="s">
        <v>6</v>
      </c>
      <c r="K27" s="10">
        <f ca="1">AVERAGE(K7:K22)*2</f>
        <v>718.76962500000002</v>
      </c>
      <c r="L27" s="3"/>
      <c r="M27" s="3"/>
    </row>
    <row r="28" spans="1:13">
      <c r="A28" s="1" t="s">
        <v>159</v>
      </c>
      <c r="B28" s="1" t="s">
        <v>170</v>
      </c>
      <c r="C28" s="1">
        <v>359.37700000000001</v>
      </c>
      <c r="H28" s="3"/>
      <c r="I28" s="3"/>
      <c r="J28" s="9"/>
      <c r="K28" s="11" t="str">
        <f ca="1">IF(K27&lt;$E$2+$C$4, "U/Min "&amp;TEXT($E$2+$C$4-K27, "0.###"), IF(K27&gt;$E$2+$E$3, "O/Max "&amp;TEXT(K27-$E$2-$E$3, "0.###"), "-"))</f>
        <v>-</v>
      </c>
      <c r="L28" s="3"/>
      <c r="M28" s="3"/>
    </row>
    <row r="29" spans="1:13">
      <c r="A29" s="1" t="s">
        <v>485</v>
      </c>
      <c r="B29" s="1" t="s">
        <v>171</v>
      </c>
      <c r="C29" s="1">
        <v>-3.0000000000000001E-3</v>
      </c>
      <c r="H29" s="3"/>
      <c r="I29" s="3"/>
      <c r="J29" s="9" t="s">
        <v>37</v>
      </c>
      <c r="K29" s="10">
        <f ca="1">MAX(K7:K22)-MIN(K7:K22)</f>
        <v>7.6000000000021828E-2</v>
      </c>
      <c r="L29" s="3"/>
      <c r="M29" s="3"/>
    </row>
    <row r="30" spans="1:13">
      <c r="A30" s="2" t="s">
        <v>486</v>
      </c>
      <c r="B30" s="1" t="s">
        <v>157</v>
      </c>
      <c r="C30" s="1">
        <v>-208.375</v>
      </c>
      <c r="H30" s="3"/>
      <c r="I30" s="3"/>
      <c r="J30" s="9"/>
      <c r="K30" s="11" t="str">
        <f ca="1">IF(K29&gt;0.13, "O/Max "&amp;TEXT(K29-0.13, "0.###"), "-")</f>
        <v>-</v>
      </c>
      <c r="L30" s="3"/>
      <c r="M30" s="3"/>
    </row>
    <row r="31" spans="1:13">
      <c r="A31" s="1" t="s">
        <v>159</v>
      </c>
      <c r="B31" s="1" t="s">
        <v>170</v>
      </c>
      <c r="C31" s="1">
        <v>359.34699999999998</v>
      </c>
      <c r="H31" s="3"/>
      <c r="I31" s="3"/>
      <c r="J31" s="9" t="s">
        <v>38</v>
      </c>
      <c r="K31" s="12">
        <f ca="1">COUNTIF(K7:K22, $K24)</f>
        <v>0</v>
      </c>
      <c r="L31" s="3"/>
      <c r="M31" s="3"/>
    </row>
    <row r="32" spans="1:13">
      <c r="A32" s="1" t="s">
        <v>487</v>
      </c>
      <c r="B32" s="1" t="s">
        <v>171</v>
      </c>
      <c r="C32" s="1">
        <v>0</v>
      </c>
      <c r="H32" s="3"/>
      <c r="I32" s="3"/>
      <c r="J32" s="13" t="s">
        <v>39</v>
      </c>
      <c r="K32" s="12">
        <f ca="1">COUNTIF(K7:K22, $K25)</f>
        <v>5</v>
      </c>
      <c r="L32" s="3"/>
      <c r="M32" s="3"/>
    </row>
    <row r="33" spans="1:13">
      <c r="A33" s="2" t="s">
        <v>380</v>
      </c>
      <c r="B33" s="1" t="s">
        <v>157</v>
      </c>
      <c r="C33" s="1">
        <v>-208.375</v>
      </c>
      <c r="H33" s="3"/>
      <c r="I33" s="3"/>
      <c r="J33" s="12"/>
      <c r="K33" s="14" t="str">
        <f ca="1">TEXT(K31+K32,"0")&amp;"/16"</f>
        <v>5/16</v>
      </c>
      <c r="L33" s="3"/>
      <c r="M33" s="3"/>
    </row>
    <row r="34" spans="1:13">
      <c r="A34" s="1" t="s">
        <v>159</v>
      </c>
      <c r="B34" s="1" t="s">
        <v>170</v>
      </c>
      <c r="C34" s="1">
        <v>359.35</v>
      </c>
      <c r="J34" s="15" t="s">
        <v>90</v>
      </c>
      <c r="K34" s="15"/>
    </row>
    <row r="35" spans="1:13">
      <c r="A35" s="1" t="s">
        <v>488</v>
      </c>
      <c r="B35" s="1" t="s">
        <v>171</v>
      </c>
      <c r="C35" s="1">
        <v>2E-3</v>
      </c>
      <c r="J35" s="15" t="s">
        <v>91</v>
      </c>
      <c r="K35" s="16">
        <f ca="1">MAX(K7:K22)*2</f>
        <v>718.846</v>
      </c>
      <c r="L35" s="1" t="str">
        <f ca="1">IF(K35&gt;2*M22, "O/Max "&amp;TEXT(K35-2*M22, "0.000"), "-")</f>
        <v>-</v>
      </c>
    </row>
    <row r="36" spans="1:13">
      <c r="A36" s="2" t="s">
        <v>489</v>
      </c>
      <c r="B36" s="1" t="s">
        <v>157</v>
      </c>
      <c r="C36" s="1">
        <v>-208.375</v>
      </c>
      <c r="J36" s="15" t="s">
        <v>92</v>
      </c>
      <c r="K36" s="16">
        <f ca="1">MIN(K7:K22)*2</f>
        <v>718.69399999999996</v>
      </c>
      <c r="L36" s="1" t="str">
        <f ca="1">IF(K36&lt;2*L22, "U/Min "&amp;TEXT(2*L22-K36, "0.000"), "-")</f>
        <v>U/Min 0.042</v>
      </c>
    </row>
    <row r="37" spans="1:13">
      <c r="A37" s="1" t="s">
        <v>159</v>
      </c>
      <c r="B37" s="1" t="s">
        <v>170</v>
      </c>
      <c r="C37" s="1">
        <v>359.358</v>
      </c>
    </row>
    <row r="38" spans="1:13">
      <c r="A38" s="1" t="s">
        <v>490</v>
      </c>
      <c r="B38" s="1" t="s">
        <v>171</v>
      </c>
      <c r="C38" s="1">
        <v>1E-3</v>
      </c>
    </row>
    <row r="39" spans="1:13">
      <c r="A39" s="2" t="s">
        <v>381</v>
      </c>
      <c r="B39" s="1" t="s">
        <v>157</v>
      </c>
      <c r="C39" s="1">
        <v>-208.376</v>
      </c>
    </row>
    <row r="40" spans="1:13">
      <c r="A40" s="1" t="s">
        <v>159</v>
      </c>
      <c r="B40" s="1" t="s">
        <v>170</v>
      </c>
      <c r="C40" s="1">
        <v>359.416</v>
      </c>
    </row>
    <row r="41" spans="1:13">
      <c r="A41" s="1" t="s">
        <v>491</v>
      </c>
      <c r="B41" s="1" t="s">
        <v>171</v>
      </c>
      <c r="C41" s="1">
        <v>-2E-3</v>
      </c>
    </row>
    <row r="42" spans="1:13">
      <c r="A42" s="2" t="s">
        <v>492</v>
      </c>
      <c r="B42" s="1" t="s">
        <v>157</v>
      </c>
      <c r="C42" s="1">
        <v>-208.375</v>
      </c>
    </row>
    <row r="43" spans="1:13">
      <c r="A43" s="1" t="s">
        <v>159</v>
      </c>
      <c r="B43" s="1" t="s">
        <v>170</v>
      </c>
      <c r="C43" s="1">
        <v>359.41500000000002</v>
      </c>
    </row>
    <row r="44" spans="1:13">
      <c r="A44" s="1" t="s">
        <v>493</v>
      </c>
      <c r="B44" s="1" t="s">
        <v>171</v>
      </c>
      <c r="C44" s="1">
        <v>0</v>
      </c>
    </row>
    <row r="45" spans="1:13">
      <c r="A45" s="2" t="s">
        <v>382</v>
      </c>
      <c r="B45" s="1" t="s">
        <v>157</v>
      </c>
      <c r="C45" s="1">
        <v>-208.374</v>
      </c>
    </row>
    <row r="46" spans="1:13">
      <c r="A46" s="1" t="s">
        <v>159</v>
      </c>
      <c r="B46" s="1" t="s">
        <v>170</v>
      </c>
      <c r="C46" s="1">
        <v>359.416</v>
      </c>
    </row>
    <row r="47" spans="1:13">
      <c r="A47" s="1" t="s">
        <v>494</v>
      </c>
      <c r="B47" s="1" t="s">
        <v>171</v>
      </c>
      <c r="C47" s="1">
        <v>-1E-3</v>
      </c>
    </row>
    <row r="48" spans="1:13">
      <c r="A48" s="2" t="s">
        <v>495</v>
      </c>
      <c r="B48" s="1" t="s">
        <v>157</v>
      </c>
      <c r="C48" s="1">
        <v>-208.375</v>
      </c>
    </row>
    <row r="49" spans="1:3">
      <c r="A49" s="1" t="s">
        <v>159</v>
      </c>
      <c r="B49" s="1" t="s">
        <v>170</v>
      </c>
      <c r="C49" s="1">
        <v>359.37900000000002</v>
      </c>
    </row>
    <row r="50" spans="1:3">
      <c r="A50" s="1" t="s">
        <v>496</v>
      </c>
      <c r="B50" s="1" t="s">
        <v>171</v>
      </c>
      <c r="C50" s="1">
        <v>-1E-3</v>
      </c>
    </row>
    <row r="51" spans="1:3">
      <c r="A51" s="2" t="s">
        <v>383</v>
      </c>
      <c r="B51" s="1" t="s">
        <v>157</v>
      </c>
      <c r="C51" s="1">
        <v>-208.375</v>
      </c>
    </row>
    <row r="52" spans="1:3">
      <c r="A52" s="1" t="s">
        <v>159</v>
      </c>
      <c r="B52" s="1" t="s">
        <v>170</v>
      </c>
      <c r="C52" s="1">
        <v>359.37599999999998</v>
      </c>
    </row>
    <row r="53" spans="1:3">
      <c r="A53" s="1" t="s">
        <v>497</v>
      </c>
      <c r="B53" s="1" t="s">
        <v>171</v>
      </c>
      <c r="C53" s="1">
        <v>-6.0000000000000001E-3</v>
      </c>
    </row>
    <row r="54" spans="1:3">
      <c r="A54" s="2" t="s">
        <v>498</v>
      </c>
      <c r="B54" s="1" t="s">
        <v>157</v>
      </c>
      <c r="C54" s="1">
        <v>-208.374</v>
      </c>
    </row>
  </sheetData>
  <phoneticPr fontId="1"/>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M109"/>
  <sheetViews>
    <sheetView workbookViewId="0">
      <selection activeCell="F27" sqref="F27"/>
    </sheetView>
  </sheetViews>
  <sheetFormatPr defaultColWidth="9" defaultRowHeight="15"/>
  <cols>
    <col min="1" max="16384" width="9" style="1"/>
  </cols>
  <sheetData>
    <row r="1" spans="1:13">
      <c r="A1" s="1" t="s">
        <v>534</v>
      </c>
    </row>
    <row r="2" spans="1:13">
      <c r="A2" s="1" t="s">
        <v>160</v>
      </c>
      <c r="B2" s="1" t="s">
        <v>164</v>
      </c>
      <c r="C2" s="1">
        <v>749.06799999999998</v>
      </c>
      <c r="D2" s="1" t="s">
        <v>196</v>
      </c>
      <c r="E2" s="1">
        <v>749.1</v>
      </c>
    </row>
    <row r="3" spans="1:13">
      <c r="A3" s="1" t="s">
        <v>535</v>
      </c>
      <c r="B3" s="1" t="s">
        <v>162</v>
      </c>
      <c r="C3" s="1">
        <v>-3.2000000000000001E-2</v>
      </c>
      <c r="D3" s="1" t="s">
        <v>163</v>
      </c>
      <c r="E3" s="1">
        <v>6.4000000000000001E-2</v>
      </c>
      <c r="F3" s="1" t="s">
        <v>158</v>
      </c>
    </row>
    <row r="4" spans="1:13">
      <c r="A4" s="2" t="s">
        <v>536</v>
      </c>
      <c r="B4" s="1" t="s">
        <v>169</v>
      </c>
      <c r="C4" s="1">
        <v>-6.4000000000000001E-2</v>
      </c>
    </row>
    <row r="6" spans="1:13">
      <c r="A6" s="1" t="s">
        <v>1301</v>
      </c>
      <c r="C6" s="1" t="s">
        <v>161</v>
      </c>
      <c r="H6" s="3"/>
      <c r="I6" s="3" t="str">
        <f>CONCATENATE(A6," : ",MID(A1,11,8))</f>
        <v>JHV723EJ : 238_2001</v>
      </c>
      <c r="J6" s="3"/>
      <c r="K6" s="3" t="s">
        <v>5</v>
      </c>
      <c r="L6" s="3" t="s">
        <v>1</v>
      </c>
      <c r="M6" s="3" t="s">
        <v>2</v>
      </c>
    </row>
    <row r="7" spans="1:13">
      <c r="A7" s="1" t="s">
        <v>159</v>
      </c>
      <c r="B7" s="1" t="s">
        <v>170</v>
      </c>
      <c r="C7" s="1">
        <v>374.50400000000002</v>
      </c>
      <c r="H7" s="4">
        <v>1</v>
      </c>
      <c r="I7" s="3" t="str">
        <f>CONCATENATE("点238.109_F(", H7,"/16)")</f>
        <v>点238.109_F(1/16)</v>
      </c>
      <c r="J7" s="3">
        <f>MATCH(I7, A$7:A$54, 0)</f>
        <v>2</v>
      </c>
      <c r="K7" s="3">
        <f ca="1">OFFSET(C$6, J7-1, 0)</f>
        <v>374.50400000000002</v>
      </c>
      <c r="L7" s="3">
        <f>($E$2+$C$4)/2</f>
        <v>374.51800000000003</v>
      </c>
      <c r="M7" s="3">
        <f>($E$2+$E$3)/2</f>
        <v>374.58199999999999</v>
      </c>
    </row>
    <row r="8" spans="1:13">
      <c r="A8" s="1" t="s">
        <v>537</v>
      </c>
      <c r="B8" s="1" t="s">
        <v>171</v>
      </c>
      <c r="C8" s="1">
        <v>-1E-3</v>
      </c>
      <c r="H8" s="3">
        <v>16</v>
      </c>
      <c r="I8" s="3" t="str">
        <f t="shared" ref="I8:I22" si="0">CONCATENATE("点238.109_F(", H8,"/16)")</f>
        <v>点238.109_F(16/16)</v>
      </c>
      <c r="J8" s="3">
        <f t="shared" ref="J8:J22" si="1">MATCH(I8, A$7:A$54, 0)</f>
        <v>47</v>
      </c>
      <c r="K8" s="3">
        <f t="shared" ref="K8:K22" ca="1" si="2">OFFSET(C$6, J8-1, 0)</f>
        <v>374.52800000000002</v>
      </c>
      <c r="L8" s="3">
        <f>L7</f>
        <v>374.51800000000003</v>
      </c>
      <c r="M8" s="3">
        <f>M7</f>
        <v>374.58199999999999</v>
      </c>
    </row>
    <row r="9" spans="1:13">
      <c r="A9" s="2" t="s">
        <v>538</v>
      </c>
      <c r="B9" s="1" t="s">
        <v>157</v>
      </c>
      <c r="C9" s="1">
        <v>-185.155</v>
      </c>
      <c r="H9" s="3">
        <v>15</v>
      </c>
      <c r="I9" s="3" t="str">
        <f t="shared" si="0"/>
        <v>点238.109_F(15/16)</v>
      </c>
      <c r="J9" s="3">
        <f t="shared" si="1"/>
        <v>44</v>
      </c>
      <c r="K9" s="3">
        <f t="shared" ca="1" si="2"/>
        <v>374.53</v>
      </c>
      <c r="L9" s="3">
        <f t="shared" ref="L9:M22" si="3">L8</f>
        <v>374.51800000000003</v>
      </c>
      <c r="M9" s="3">
        <f t="shared" si="3"/>
        <v>374.58199999999999</v>
      </c>
    </row>
    <row r="10" spans="1:13">
      <c r="A10" s="1" t="s">
        <v>159</v>
      </c>
      <c r="B10" s="1" t="s">
        <v>170</v>
      </c>
      <c r="C10" s="1">
        <v>374.51100000000002</v>
      </c>
      <c r="H10" s="3">
        <v>14</v>
      </c>
      <c r="I10" s="3" t="str">
        <f t="shared" si="0"/>
        <v>点238.109_F(14/16)</v>
      </c>
      <c r="J10" s="3">
        <f t="shared" si="1"/>
        <v>41</v>
      </c>
      <c r="K10" s="3">
        <f t="shared" ca="1" si="2"/>
        <v>374.56299999999999</v>
      </c>
      <c r="L10" s="3">
        <f t="shared" si="3"/>
        <v>374.51800000000003</v>
      </c>
      <c r="M10" s="3">
        <f t="shared" si="3"/>
        <v>374.58199999999999</v>
      </c>
    </row>
    <row r="11" spans="1:13">
      <c r="A11" s="1" t="s">
        <v>539</v>
      </c>
      <c r="B11" s="1" t="s">
        <v>171</v>
      </c>
      <c r="C11" s="1">
        <v>3.0000000000000001E-3</v>
      </c>
      <c r="H11" s="3">
        <v>13</v>
      </c>
      <c r="I11" s="3" t="str">
        <f t="shared" si="0"/>
        <v>点238.109_F(13/16)</v>
      </c>
      <c r="J11" s="3">
        <f t="shared" si="1"/>
        <v>38</v>
      </c>
      <c r="K11" s="3">
        <f t="shared" ca="1" si="2"/>
        <v>374.56</v>
      </c>
      <c r="L11" s="3">
        <f t="shared" si="3"/>
        <v>374.51800000000003</v>
      </c>
      <c r="M11" s="3">
        <f t="shared" si="3"/>
        <v>374.58199999999999</v>
      </c>
    </row>
    <row r="12" spans="1:13">
      <c r="A12" s="2" t="s">
        <v>540</v>
      </c>
      <c r="B12" s="1" t="s">
        <v>157</v>
      </c>
      <c r="C12" s="1">
        <v>-185.14099999999999</v>
      </c>
      <c r="H12" s="3">
        <v>12</v>
      </c>
      <c r="I12" s="3" t="str">
        <f t="shared" si="0"/>
        <v>点238.109_F(12/16)</v>
      </c>
      <c r="J12" s="3">
        <f t="shared" si="1"/>
        <v>35</v>
      </c>
      <c r="K12" s="3">
        <f t="shared" ca="1" si="2"/>
        <v>374.56599999999997</v>
      </c>
      <c r="L12" s="3">
        <f t="shared" si="3"/>
        <v>374.51800000000003</v>
      </c>
      <c r="M12" s="3">
        <f t="shared" si="3"/>
        <v>374.58199999999999</v>
      </c>
    </row>
    <row r="13" spans="1:13">
      <c r="A13" s="1" t="s">
        <v>159</v>
      </c>
      <c r="B13" s="1" t="s">
        <v>170</v>
      </c>
      <c r="C13" s="1">
        <v>374.51400000000001</v>
      </c>
      <c r="H13" s="3">
        <v>11</v>
      </c>
      <c r="I13" s="3" t="str">
        <f t="shared" si="0"/>
        <v>点238.109_F(11/16)</v>
      </c>
      <c r="J13" s="3">
        <f t="shared" si="1"/>
        <v>32</v>
      </c>
      <c r="K13" s="3">
        <f t="shared" ca="1" si="2"/>
        <v>374.51</v>
      </c>
      <c r="L13" s="3">
        <f t="shared" si="3"/>
        <v>374.51800000000003</v>
      </c>
      <c r="M13" s="3">
        <f t="shared" si="3"/>
        <v>374.58199999999999</v>
      </c>
    </row>
    <row r="14" spans="1:13">
      <c r="A14" s="1" t="s">
        <v>541</v>
      </c>
      <c r="B14" s="1" t="s">
        <v>171</v>
      </c>
      <c r="C14" s="1">
        <v>1E-3</v>
      </c>
      <c r="H14" s="3">
        <v>10</v>
      </c>
      <c r="I14" s="3" t="str">
        <f t="shared" si="0"/>
        <v>点238.109_F(10/16)</v>
      </c>
      <c r="J14" s="3">
        <f t="shared" si="1"/>
        <v>29</v>
      </c>
      <c r="K14" s="3">
        <f t="shared" ca="1" si="2"/>
        <v>374.51100000000002</v>
      </c>
      <c r="L14" s="3">
        <f t="shared" si="3"/>
        <v>374.51800000000003</v>
      </c>
      <c r="M14" s="3">
        <f t="shared" si="3"/>
        <v>374.58199999999999</v>
      </c>
    </row>
    <row r="15" spans="1:13">
      <c r="A15" s="2" t="s">
        <v>542</v>
      </c>
      <c r="B15" s="1" t="s">
        <v>157</v>
      </c>
      <c r="C15" s="1">
        <v>-185.13200000000001</v>
      </c>
      <c r="H15" s="3">
        <v>9</v>
      </c>
      <c r="I15" s="3" t="str">
        <f t="shared" si="0"/>
        <v>点238.109_F(9/16)</v>
      </c>
      <c r="J15" s="3">
        <f t="shared" si="1"/>
        <v>26</v>
      </c>
      <c r="K15" s="3">
        <f t="shared" ca="1" si="2"/>
        <v>374.495</v>
      </c>
      <c r="L15" s="3">
        <f t="shared" si="3"/>
        <v>374.51800000000003</v>
      </c>
      <c r="M15" s="3">
        <f t="shared" si="3"/>
        <v>374.58199999999999</v>
      </c>
    </row>
    <row r="16" spans="1:13">
      <c r="A16" s="1" t="s">
        <v>159</v>
      </c>
      <c r="B16" s="1" t="s">
        <v>170</v>
      </c>
      <c r="C16" s="1">
        <v>374.56200000000001</v>
      </c>
      <c r="H16" s="3">
        <v>8</v>
      </c>
      <c r="I16" s="3" t="str">
        <f t="shared" si="0"/>
        <v>点238.109_F(8/16)</v>
      </c>
      <c r="J16" s="3">
        <f t="shared" si="1"/>
        <v>23</v>
      </c>
      <c r="K16" s="3">
        <f t="shared" ca="1" si="2"/>
        <v>374.51799999999997</v>
      </c>
      <c r="L16" s="3">
        <f t="shared" si="3"/>
        <v>374.51800000000003</v>
      </c>
      <c r="M16" s="3">
        <f t="shared" si="3"/>
        <v>374.58199999999999</v>
      </c>
    </row>
    <row r="17" spans="1:13">
      <c r="A17" s="1" t="s">
        <v>543</v>
      </c>
      <c r="B17" s="1" t="s">
        <v>171</v>
      </c>
      <c r="C17" s="1">
        <v>0</v>
      </c>
      <c r="H17" s="3">
        <v>7</v>
      </c>
      <c r="I17" s="3" t="str">
        <f t="shared" si="0"/>
        <v>点238.109_F(7/16)</v>
      </c>
      <c r="J17" s="3">
        <f t="shared" si="1"/>
        <v>20</v>
      </c>
      <c r="K17" s="3">
        <f t="shared" ca="1" si="2"/>
        <v>374.53800000000001</v>
      </c>
      <c r="L17" s="3">
        <f t="shared" si="3"/>
        <v>374.51800000000003</v>
      </c>
      <c r="M17" s="3">
        <f t="shared" si="3"/>
        <v>374.58199999999999</v>
      </c>
    </row>
    <row r="18" spans="1:13">
      <c r="A18" s="2" t="s">
        <v>544</v>
      </c>
      <c r="B18" s="1" t="s">
        <v>157</v>
      </c>
      <c r="C18" s="1">
        <v>-185.15700000000001</v>
      </c>
      <c r="H18" s="3">
        <v>6</v>
      </c>
      <c r="I18" s="3" t="str">
        <f t="shared" si="0"/>
        <v>点238.109_F(6/16)</v>
      </c>
      <c r="J18" s="3">
        <f t="shared" si="1"/>
        <v>17</v>
      </c>
      <c r="K18" s="3">
        <f t="shared" ca="1" si="2"/>
        <v>374.56900000000002</v>
      </c>
      <c r="L18" s="3">
        <f t="shared" si="3"/>
        <v>374.51800000000003</v>
      </c>
      <c r="M18" s="3">
        <f t="shared" si="3"/>
        <v>374.58199999999999</v>
      </c>
    </row>
    <row r="19" spans="1:13">
      <c r="A19" s="1" t="s">
        <v>159</v>
      </c>
      <c r="B19" s="1" t="s">
        <v>170</v>
      </c>
      <c r="C19" s="1">
        <v>374.56599999999997</v>
      </c>
      <c r="H19" s="3">
        <v>5</v>
      </c>
      <c r="I19" s="3" t="str">
        <f t="shared" si="0"/>
        <v>点238.109_F(5/16)</v>
      </c>
      <c r="J19" s="3">
        <f t="shared" si="1"/>
        <v>14</v>
      </c>
      <c r="K19" s="3">
        <f t="shared" ca="1" si="2"/>
        <v>374.56599999999997</v>
      </c>
      <c r="L19" s="3">
        <f t="shared" si="3"/>
        <v>374.51800000000003</v>
      </c>
      <c r="M19" s="3">
        <f t="shared" si="3"/>
        <v>374.58199999999999</v>
      </c>
    </row>
    <row r="20" spans="1:13">
      <c r="A20" s="1" t="s">
        <v>545</v>
      </c>
      <c r="B20" s="1" t="s">
        <v>171</v>
      </c>
      <c r="C20" s="1">
        <v>-1E-3</v>
      </c>
      <c r="H20" s="3">
        <v>4</v>
      </c>
      <c r="I20" s="3" t="str">
        <f t="shared" si="0"/>
        <v>点238.109_F(4/16)</v>
      </c>
      <c r="J20" s="3">
        <f t="shared" si="1"/>
        <v>11</v>
      </c>
      <c r="K20" s="3">
        <f t="shared" ca="1" si="2"/>
        <v>374.56200000000001</v>
      </c>
      <c r="L20" s="3">
        <f t="shared" si="3"/>
        <v>374.51800000000003</v>
      </c>
      <c r="M20" s="3">
        <f t="shared" si="3"/>
        <v>374.58199999999999</v>
      </c>
    </row>
    <row r="21" spans="1:13">
      <c r="A21" s="2" t="s">
        <v>546</v>
      </c>
      <c r="B21" s="1" t="s">
        <v>157</v>
      </c>
      <c r="C21" s="1">
        <v>-185.167</v>
      </c>
      <c r="H21" s="3">
        <v>3</v>
      </c>
      <c r="I21" s="3" t="str">
        <f t="shared" si="0"/>
        <v>点238.109_F(3/16)</v>
      </c>
      <c r="J21" s="3">
        <f t="shared" si="1"/>
        <v>8</v>
      </c>
      <c r="K21" s="3">
        <f t="shared" ca="1" si="2"/>
        <v>374.51400000000001</v>
      </c>
      <c r="L21" s="3">
        <f t="shared" si="3"/>
        <v>374.51800000000003</v>
      </c>
      <c r="M21" s="3">
        <f t="shared" si="3"/>
        <v>374.58199999999999</v>
      </c>
    </row>
    <row r="22" spans="1:13">
      <c r="A22" s="1" t="s">
        <v>159</v>
      </c>
      <c r="B22" s="1" t="s">
        <v>170</v>
      </c>
      <c r="C22" s="1">
        <v>374.56900000000002</v>
      </c>
      <c r="H22" s="3">
        <v>2</v>
      </c>
      <c r="I22" s="3" t="str">
        <f t="shared" si="0"/>
        <v>点238.109_F(2/16)</v>
      </c>
      <c r="J22" s="3">
        <f t="shared" si="1"/>
        <v>5</v>
      </c>
      <c r="K22" s="3">
        <f t="shared" ca="1" si="2"/>
        <v>374.51100000000002</v>
      </c>
      <c r="L22" s="3">
        <f t="shared" si="3"/>
        <v>374.51800000000003</v>
      </c>
      <c r="M22" s="3">
        <f t="shared" si="3"/>
        <v>374.58199999999999</v>
      </c>
    </row>
    <row r="23" spans="1:13">
      <c r="A23" s="1" t="s">
        <v>547</v>
      </c>
      <c r="B23" s="1" t="s">
        <v>171</v>
      </c>
      <c r="C23" s="1">
        <v>-1E-3</v>
      </c>
      <c r="H23" s="3"/>
      <c r="I23" s="3"/>
      <c r="J23" s="3"/>
      <c r="K23" s="3"/>
      <c r="L23" s="3"/>
      <c r="M23" s="3"/>
    </row>
    <row r="24" spans="1:13">
      <c r="A24" s="2" t="s">
        <v>548</v>
      </c>
      <c r="B24" s="1" t="s">
        <v>157</v>
      </c>
      <c r="C24" s="1">
        <v>-185.166</v>
      </c>
      <c r="H24" s="3"/>
      <c r="I24" s="3"/>
      <c r="J24" s="5" t="s">
        <v>3</v>
      </c>
      <c r="K24" s="3" t="str">
        <f>"&gt;"&amp;TEXT(($E$2+$E$3)/2, "0.###")</f>
        <v>&gt;374.582</v>
      </c>
      <c r="L24" s="3"/>
      <c r="M24" s="3"/>
    </row>
    <row r="25" spans="1:13">
      <c r="A25" s="1" t="s">
        <v>159</v>
      </c>
      <c r="B25" s="1" t="s">
        <v>170</v>
      </c>
      <c r="C25" s="1">
        <v>374.53800000000001</v>
      </c>
      <c r="H25" s="3"/>
      <c r="I25" s="3"/>
      <c r="J25" s="6" t="s">
        <v>43</v>
      </c>
      <c r="K25" s="3" t="str">
        <f>"&lt;"&amp;TEXT(($E$2+$C$4)/2, "0.###")</f>
        <v>&lt;374.518</v>
      </c>
      <c r="L25" s="3"/>
      <c r="M25" s="3"/>
    </row>
    <row r="26" spans="1:13">
      <c r="A26" s="1" t="s">
        <v>549</v>
      </c>
      <c r="B26" s="1" t="s">
        <v>171</v>
      </c>
      <c r="C26" s="1">
        <v>-2E-3</v>
      </c>
      <c r="H26" s="3"/>
      <c r="I26" s="3"/>
      <c r="J26" s="7"/>
      <c r="K26" s="8" t="s">
        <v>5</v>
      </c>
      <c r="L26" s="3"/>
      <c r="M26" s="3"/>
    </row>
    <row r="27" spans="1:13">
      <c r="A27" s="2" t="s">
        <v>550</v>
      </c>
      <c r="B27" s="1" t="s">
        <v>157</v>
      </c>
      <c r="C27" s="1">
        <v>-185.14699999999999</v>
      </c>
      <c r="H27" s="3"/>
      <c r="I27" s="3"/>
      <c r="J27" s="9" t="s">
        <v>44</v>
      </c>
      <c r="K27" s="10">
        <f ca="1">AVERAGE(K7:K22)*2</f>
        <v>749.06812500000001</v>
      </c>
      <c r="L27" s="3"/>
      <c r="M27" s="3"/>
    </row>
    <row r="28" spans="1:13">
      <c r="A28" s="1" t="s">
        <v>159</v>
      </c>
      <c r="B28" s="1" t="s">
        <v>170</v>
      </c>
      <c r="C28" s="1">
        <v>374.51799999999997</v>
      </c>
      <c r="H28" s="3"/>
      <c r="I28" s="3"/>
      <c r="J28" s="9"/>
      <c r="K28" s="11" t="str">
        <f ca="1">IF(K27&lt;$E$2+$C$4, "U/Min "&amp;TEXT($E$2+$C$4-K27, "0.###"), IF(K27&gt;$E$2+$E$3, "O/Max "&amp;TEXT(K27-$E$2-$E$3, "0.###"), "-"))</f>
        <v>-</v>
      </c>
      <c r="L28" s="3"/>
      <c r="M28" s="3"/>
    </row>
    <row r="29" spans="1:13">
      <c r="A29" s="1" t="s">
        <v>551</v>
      </c>
      <c r="B29" s="1" t="s">
        <v>171</v>
      </c>
      <c r="C29" s="1">
        <v>0</v>
      </c>
      <c r="H29" s="3"/>
      <c r="I29" s="3"/>
      <c r="J29" s="9" t="s">
        <v>13</v>
      </c>
      <c r="K29" s="10">
        <f ca="1">MAX(K7:K22)-MIN(K7:K22)</f>
        <v>7.4000000000012278E-2</v>
      </c>
      <c r="L29" s="3"/>
      <c r="M29" s="3"/>
    </row>
    <row r="30" spans="1:13">
      <c r="A30" s="2" t="s">
        <v>552</v>
      </c>
      <c r="B30" s="1" t="s">
        <v>157</v>
      </c>
      <c r="C30" s="1">
        <v>-185.136</v>
      </c>
      <c r="H30" s="3"/>
      <c r="I30" s="3"/>
      <c r="J30" s="9"/>
      <c r="K30" s="11" t="str">
        <f ca="1">IF(K29&gt;0.13, "O/Max "&amp;TEXT(K29-0.13, "0.###"), "-")</f>
        <v>-</v>
      </c>
      <c r="L30" s="3"/>
      <c r="M30" s="3"/>
    </row>
    <row r="31" spans="1:13">
      <c r="A31" s="1" t="s">
        <v>159</v>
      </c>
      <c r="B31" s="1" t="s">
        <v>170</v>
      </c>
      <c r="C31" s="1">
        <v>374.495</v>
      </c>
      <c r="H31" s="3"/>
      <c r="I31" s="3"/>
      <c r="J31" s="9" t="s">
        <v>14</v>
      </c>
      <c r="K31" s="12">
        <f ca="1">COUNTIF(K7:K22, $K24)</f>
        <v>0</v>
      </c>
      <c r="L31" s="3"/>
      <c r="M31" s="3"/>
    </row>
    <row r="32" spans="1:13">
      <c r="A32" s="1" t="s">
        <v>553</v>
      </c>
      <c r="B32" s="1" t="s">
        <v>171</v>
      </c>
      <c r="C32" s="1">
        <v>-1E-3</v>
      </c>
      <c r="H32" s="3"/>
      <c r="I32" s="3"/>
      <c r="J32" s="13" t="s">
        <v>9</v>
      </c>
      <c r="K32" s="12">
        <f ca="1">COUNTIF(K7:K22, $K25)</f>
        <v>6</v>
      </c>
      <c r="L32" s="3"/>
      <c r="M32" s="3"/>
    </row>
    <row r="33" spans="1:13">
      <c r="A33" s="2" t="s">
        <v>554</v>
      </c>
      <c r="B33" s="1" t="s">
        <v>157</v>
      </c>
      <c r="C33" s="1">
        <v>-185.136</v>
      </c>
      <c r="H33" s="3"/>
      <c r="I33" s="3"/>
      <c r="J33" s="12"/>
      <c r="K33" s="14" t="str">
        <f ca="1">TEXT(K31+K32,"0")&amp;"/16"</f>
        <v>6/16</v>
      </c>
      <c r="L33" s="3"/>
      <c r="M33" s="3"/>
    </row>
    <row r="34" spans="1:13">
      <c r="A34" s="1" t="s">
        <v>159</v>
      </c>
      <c r="B34" s="1" t="s">
        <v>170</v>
      </c>
      <c r="C34" s="1">
        <v>374.51100000000002</v>
      </c>
      <c r="J34" s="15" t="s">
        <v>90</v>
      </c>
      <c r="K34" s="15"/>
    </row>
    <row r="35" spans="1:13">
      <c r="A35" s="1" t="s">
        <v>555</v>
      </c>
      <c r="B35" s="1" t="s">
        <v>171</v>
      </c>
      <c r="C35" s="1">
        <v>8.9999999999999993E-3</v>
      </c>
      <c r="J35" s="15" t="s">
        <v>91</v>
      </c>
      <c r="K35" s="16">
        <f ca="1">MAX(K7:K22)*2</f>
        <v>749.13800000000003</v>
      </c>
    </row>
    <row r="36" spans="1:13">
      <c r="A36" s="2" t="s">
        <v>556</v>
      </c>
      <c r="B36" s="1" t="s">
        <v>157</v>
      </c>
      <c r="C36" s="1">
        <v>-185.14699999999999</v>
      </c>
      <c r="J36" s="15" t="s">
        <v>92</v>
      </c>
      <c r="K36" s="16">
        <f ca="1">MIN(K7:K22)*2</f>
        <v>748.99</v>
      </c>
    </row>
    <row r="37" spans="1:13">
      <c r="A37" s="1" t="s">
        <v>159</v>
      </c>
      <c r="B37" s="1" t="s">
        <v>170</v>
      </c>
      <c r="C37" s="1">
        <v>374.51</v>
      </c>
    </row>
    <row r="38" spans="1:13">
      <c r="A38" s="1" t="s">
        <v>557</v>
      </c>
      <c r="B38" s="1" t="s">
        <v>171</v>
      </c>
      <c r="C38" s="1">
        <v>0</v>
      </c>
    </row>
    <row r="39" spans="1:13">
      <c r="A39" s="2" t="s">
        <v>558</v>
      </c>
      <c r="B39" s="1" t="s">
        <v>157</v>
      </c>
      <c r="C39" s="1">
        <v>-185.14699999999999</v>
      </c>
    </row>
    <row r="40" spans="1:13">
      <c r="A40" s="1" t="s">
        <v>159</v>
      </c>
      <c r="B40" s="1" t="s">
        <v>170</v>
      </c>
      <c r="C40" s="1">
        <v>374.56599999999997</v>
      </c>
    </row>
    <row r="41" spans="1:13">
      <c r="A41" s="1" t="s">
        <v>559</v>
      </c>
      <c r="B41" s="1" t="s">
        <v>171</v>
      </c>
      <c r="C41" s="1">
        <v>1E-3</v>
      </c>
    </row>
    <row r="42" spans="1:13">
      <c r="A42" s="2" t="s">
        <v>560</v>
      </c>
      <c r="B42" s="1" t="s">
        <v>157</v>
      </c>
      <c r="C42" s="1">
        <v>-185.167</v>
      </c>
    </row>
    <row r="43" spans="1:13">
      <c r="A43" s="1" t="s">
        <v>159</v>
      </c>
      <c r="B43" s="1" t="s">
        <v>170</v>
      </c>
      <c r="C43" s="1">
        <v>374.56</v>
      </c>
    </row>
    <row r="44" spans="1:13">
      <c r="A44" s="1" t="s">
        <v>561</v>
      </c>
      <c r="B44" s="1" t="s">
        <v>171</v>
      </c>
      <c r="C44" s="1">
        <v>-1E-3</v>
      </c>
    </row>
    <row r="45" spans="1:13">
      <c r="A45" s="2" t="s">
        <v>562</v>
      </c>
      <c r="B45" s="1" t="s">
        <v>157</v>
      </c>
      <c r="C45" s="1">
        <v>-185.15799999999999</v>
      </c>
    </row>
    <row r="46" spans="1:13">
      <c r="A46" s="1" t="s">
        <v>159</v>
      </c>
      <c r="B46" s="1" t="s">
        <v>170</v>
      </c>
      <c r="C46" s="1">
        <v>374.56299999999999</v>
      </c>
    </row>
    <row r="47" spans="1:13">
      <c r="A47" s="1" t="s">
        <v>563</v>
      </c>
      <c r="B47" s="1" t="s">
        <v>171</v>
      </c>
      <c r="C47" s="1">
        <v>1E-3</v>
      </c>
    </row>
    <row r="48" spans="1:13">
      <c r="A48" s="2" t="s">
        <v>564</v>
      </c>
      <c r="B48" s="1" t="s">
        <v>157</v>
      </c>
      <c r="C48" s="1">
        <v>-185.172</v>
      </c>
    </row>
    <row r="49" spans="1:13">
      <c r="A49" s="1" t="s">
        <v>159</v>
      </c>
      <c r="B49" s="1" t="s">
        <v>170</v>
      </c>
      <c r="C49" s="1">
        <v>374.53</v>
      </c>
    </row>
    <row r="50" spans="1:13">
      <c r="A50" s="1" t="s">
        <v>565</v>
      </c>
      <c r="B50" s="1" t="s">
        <v>171</v>
      </c>
      <c r="C50" s="1">
        <v>0</v>
      </c>
    </row>
    <row r="51" spans="1:13">
      <c r="A51" s="2" t="s">
        <v>566</v>
      </c>
      <c r="B51" s="1" t="s">
        <v>157</v>
      </c>
      <c r="C51" s="1">
        <v>-185.17099999999999</v>
      </c>
    </row>
    <row r="52" spans="1:13">
      <c r="A52" s="1" t="s">
        <v>159</v>
      </c>
      <c r="B52" s="1" t="s">
        <v>170</v>
      </c>
      <c r="C52" s="1">
        <v>374.52800000000002</v>
      </c>
    </row>
    <row r="53" spans="1:13">
      <c r="A53" s="1" t="s">
        <v>567</v>
      </c>
      <c r="B53" s="1" t="s">
        <v>171</v>
      </c>
      <c r="C53" s="1">
        <v>-3.0000000000000001E-3</v>
      </c>
    </row>
    <row r="54" spans="1:13">
      <c r="A54" s="2" t="s">
        <v>568</v>
      </c>
      <c r="B54" s="1" t="s">
        <v>157</v>
      </c>
      <c r="C54" s="1">
        <v>-185.17599999999999</v>
      </c>
    </row>
    <row r="56" spans="1:13">
      <c r="A56" s="1" t="s">
        <v>569</v>
      </c>
    </row>
    <row r="57" spans="1:13">
      <c r="A57" s="1" t="s">
        <v>160</v>
      </c>
      <c r="B57" s="1" t="s">
        <v>164</v>
      </c>
      <c r="C57" s="1">
        <v>749.09100000000001</v>
      </c>
      <c r="D57" s="1" t="s">
        <v>196</v>
      </c>
      <c r="E57" s="1">
        <v>749.1</v>
      </c>
    </row>
    <row r="58" spans="1:13">
      <c r="A58" s="1" t="s">
        <v>570</v>
      </c>
      <c r="B58" s="1" t="s">
        <v>162</v>
      </c>
      <c r="C58" s="1">
        <v>-8.9999999999999993E-3</v>
      </c>
      <c r="D58" s="1" t="s">
        <v>163</v>
      </c>
      <c r="E58" s="1">
        <v>6.4000000000000001E-2</v>
      </c>
      <c r="F58" s="1" t="s">
        <v>158</v>
      </c>
    </row>
    <row r="59" spans="1:13">
      <c r="A59" s="2" t="s">
        <v>571</v>
      </c>
      <c r="B59" s="1" t="s">
        <v>169</v>
      </c>
      <c r="C59" s="1">
        <v>-6.4000000000000001E-2</v>
      </c>
    </row>
    <row r="61" spans="1:13">
      <c r="A61" s="1" t="s">
        <v>1301</v>
      </c>
      <c r="C61" s="1" t="s">
        <v>161</v>
      </c>
      <c r="H61" s="3"/>
      <c r="I61" s="3" t="str">
        <f>CONCATENATE(A61," : ",MID(A56,11,8))</f>
        <v>JHV723EJ : 238_2002</v>
      </c>
      <c r="J61" s="3"/>
      <c r="K61" s="3" t="s">
        <v>45</v>
      </c>
      <c r="L61" s="3" t="s">
        <v>46</v>
      </c>
      <c r="M61" s="3" t="s">
        <v>47</v>
      </c>
    </row>
    <row r="62" spans="1:13">
      <c r="A62" s="1" t="s">
        <v>159</v>
      </c>
      <c r="B62" s="1" t="s">
        <v>170</v>
      </c>
      <c r="C62" s="1">
        <v>374.51499999999999</v>
      </c>
      <c r="H62" s="4">
        <v>1</v>
      </c>
      <c r="I62" s="3" t="str">
        <f>CONCATENATE("点238.109_A(", H62,"/16)")</f>
        <v>点238.109_A(1/16)</v>
      </c>
      <c r="J62" s="3">
        <f t="shared" ref="J62:J77" si="4">MATCH(I62, A$62:A$109, 0)</f>
        <v>2</v>
      </c>
      <c r="K62" s="3">
        <f t="shared" ref="K62:K77" ca="1" si="5">SQRT(OFFSET(C$61, J62-1, 0)^2 + OFFSET(C$61, J62, 0)^2)</f>
        <v>374.51500000133507</v>
      </c>
      <c r="L62" s="3">
        <f>($E$57+$C$59)/2</f>
        <v>374.51800000000003</v>
      </c>
      <c r="M62" s="3">
        <f>($E$57+$E$58)/2</f>
        <v>374.58199999999999</v>
      </c>
    </row>
    <row r="63" spans="1:13">
      <c r="A63" s="1" t="s">
        <v>572</v>
      </c>
      <c r="B63" s="1" t="s">
        <v>171</v>
      </c>
      <c r="C63" s="1">
        <v>-1E-3</v>
      </c>
      <c r="H63" s="3">
        <v>16</v>
      </c>
      <c r="I63" s="3" t="str">
        <f t="shared" ref="I63:I77" si="6">CONCATENATE("点238.109_A(", H63,"/16)")</f>
        <v>点238.109_A(16/16)</v>
      </c>
      <c r="J63" s="3">
        <f t="shared" si="4"/>
        <v>47</v>
      </c>
      <c r="K63" s="3">
        <f t="shared" ca="1" si="5"/>
        <v>374.53800001201483</v>
      </c>
      <c r="L63" s="3">
        <f>L62</f>
        <v>374.51800000000003</v>
      </c>
      <c r="M63" s="3">
        <f>M62</f>
        <v>374.58199999999999</v>
      </c>
    </row>
    <row r="64" spans="1:13">
      <c r="A64" s="2" t="s">
        <v>573</v>
      </c>
      <c r="B64" s="1" t="s">
        <v>157</v>
      </c>
      <c r="C64" s="1">
        <v>-176.30600000000001</v>
      </c>
      <c r="H64" s="3">
        <v>15</v>
      </c>
      <c r="I64" s="3" t="str">
        <f t="shared" si="6"/>
        <v>点238.109_A(15/16)</v>
      </c>
      <c r="J64" s="3">
        <f t="shared" si="4"/>
        <v>44</v>
      </c>
      <c r="K64" s="3">
        <f t="shared" ca="1" si="5"/>
        <v>374.54</v>
      </c>
      <c r="L64" s="3">
        <f t="shared" ref="L64:M77" si="7">L63</f>
        <v>374.51800000000003</v>
      </c>
      <c r="M64" s="3">
        <f t="shared" si="7"/>
        <v>374.58199999999999</v>
      </c>
    </row>
    <row r="65" spans="1:13">
      <c r="A65" s="1" t="s">
        <v>159</v>
      </c>
      <c r="B65" s="1" t="s">
        <v>170</v>
      </c>
      <c r="C65" s="1">
        <v>374.51499999999999</v>
      </c>
      <c r="H65" s="3">
        <v>14</v>
      </c>
      <c r="I65" s="3" t="str">
        <f t="shared" si="6"/>
        <v>点238.109_A(14/16)</v>
      </c>
      <c r="J65" s="3">
        <f t="shared" si="4"/>
        <v>41</v>
      </c>
      <c r="K65" s="3">
        <f t="shared" ca="1" si="5"/>
        <v>374.57500002135754</v>
      </c>
      <c r="L65" s="3">
        <f t="shared" si="7"/>
        <v>374.51800000000003</v>
      </c>
      <c r="M65" s="3">
        <f t="shared" si="7"/>
        <v>374.58199999999999</v>
      </c>
    </row>
    <row r="66" spans="1:13">
      <c r="A66" s="1" t="s">
        <v>574</v>
      </c>
      <c r="B66" s="1" t="s">
        <v>171</v>
      </c>
      <c r="C66" s="1">
        <v>3.0000000000000001E-3</v>
      </c>
      <c r="H66" s="3">
        <v>13</v>
      </c>
      <c r="I66" s="3" t="str">
        <f t="shared" si="6"/>
        <v>点238.109_A(13/16)</v>
      </c>
      <c r="J66" s="3">
        <f t="shared" si="4"/>
        <v>38</v>
      </c>
      <c r="K66" s="3">
        <f t="shared" ca="1" si="5"/>
        <v>374.57000000133485</v>
      </c>
      <c r="L66" s="3">
        <f t="shared" si="7"/>
        <v>374.51800000000003</v>
      </c>
      <c r="M66" s="3">
        <f t="shared" si="7"/>
        <v>374.58199999999999</v>
      </c>
    </row>
    <row r="67" spans="1:13">
      <c r="A67" s="2" t="s">
        <v>575</v>
      </c>
      <c r="B67" s="1" t="s">
        <v>157</v>
      </c>
      <c r="C67" s="1">
        <v>-176.292</v>
      </c>
      <c r="H67" s="3">
        <v>12</v>
      </c>
      <c r="I67" s="3" t="str">
        <f t="shared" si="6"/>
        <v>点238.109_A(12/16)</v>
      </c>
      <c r="J67" s="3">
        <f t="shared" si="4"/>
        <v>35</v>
      </c>
      <c r="K67" s="3">
        <f t="shared" ca="1" si="5"/>
        <v>374.57900000533931</v>
      </c>
      <c r="L67" s="3">
        <f t="shared" si="7"/>
        <v>374.51800000000003</v>
      </c>
      <c r="M67" s="3">
        <f t="shared" si="7"/>
        <v>374.58199999999999</v>
      </c>
    </row>
    <row r="68" spans="1:13">
      <c r="A68" s="1" t="s">
        <v>159</v>
      </c>
      <c r="B68" s="1" t="s">
        <v>170</v>
      </c>
      <c r="C68" s="1">
        <v>374.52</v>
      </c>
      <c r="H68" s="3">
        <v>11</v>
      </c>
      <c r="I68" s="3" t="str">
        <f t="shared" si="6"/>
        <v>点238.109_A(11/16)</v>
      </c>
      <c r="J68" s="3">
        <f t="shared" si="4"/>
        <v>32</v>
      </c>
      <c r="K68" s="3">
        <f t="shared" ca="1" si="5"/>
        <v>374.529</v>
      </c>
      <c r="L68" s="3">
        <f t="shared" si="7"/>
        <v>374.51800000000003</v>
      </c>
      <c r="M68" s="3">
        <f t="shared" si="7"/>
        <v>374.58199999999999</v>
      </c>
    </row>
    <row r="69" spans="1:13">
      <c r="A69" s="1" t="s">
        <v>576</v>
      </c>
      <c r="B69" s="1" t="s">
        <v>171</v>
      </c>
      <c r="C69" s="1">
        <v>1E-3</v>
      </c>
      <c r="H69" s="3">
        <v>10</v>
      </c>
      <c r="I69" s="3" t="str">
        <f t="shared" si="6"/>
        <v>点238.109_A(10/16)</v>
      </c>
      <c r="J69" s="3">
        <f t="shared" si="4"/>
        <v>29</v>
      </c>
      <c r="K69" s="3">
        <f t="shared" ca="1" si="5"/>
        <v>374.52700000534008</v>
      </c>
      <c r="L69" s="3">
        <f t="shared" si="7"/>
        <v>374.51800000000003</v>
      </c>
      <c r="M69" s="3">
        <f t="shared" si="7"/>
        <v>374.58199999999999</v>
      </c>
    </row>
    <row r="70" spans="1:13">
      <c r="A70" s="2" t="s">
        <v>577</v>
      </c>
      <c r="B70" s="1" t="s">
        <v>157</v>
      </c>
      <c r="C70" s="1">
        <v>-176.28200000000001</v>
      </c>
      <c r="H70" s="3">
        <v>9</v>
      </c>
      <c r="I70" s="3" t="str">
        <f t="shared" si="6"/>
        <v>点238.109_A(9/16)</v>
      </c>
      <c r="J70" s="3">
        <f t="shared" si="4"/>
        <v>26</v>
      </c>
      <c r="K70" s="3">
        <f t="shared" ca="1" si="5"/>
        <v>374.51400000133509</v>
      </c>
      <c r="L70" s="3">
        <f t="shared" si="7"/>
        <v>374.51800000000003</v>
      </c>
      <c r="M70" s="3">
        <f t="shared" si="7"/>
        <v>374.58199999999999</v>
      </c>
    </row>
    <row r="71" spans="1:13">
      <c r="A71" s="1" t="s">
        <v>159</v>
      </c>
      <c r="B71" s="1" t="s">
        <v>170</v>
      </c>
      <c r="C71" s="1">
        <v>374.56799999999998</v>
      </c>
      <c r="H71" s="3">
        <v>8</v>
      </c>
      <c r="I71" s="3" t="str">
        <f t="shared" si="6"/>
        <v>点238.109_A(8/16)</v>
      </c>
      <c r="J71" s="3">
        <f t="shared" si="4"/>
        <v>23</v>
      </c>
      <c r="K71" s="3">
        <f t="shared" ca="1" si="5"/>
        <v>374.52600000534011</v>
      </c>
      <c r="L71" s="3">
        <f t="shared" si="7"/>
        <v>374.51800000000003</v>
      </c>
      <c r="M71" s="3">
        <f t="shared" si="7"/>
        <v>374.58199999999999</v>
      </c>
    </row>
    <row r="72" spans="1:13">
      <c r="A72" s="1" t="s">
        <v>578</v>
      </c>
      <c r="B72" s="1" t="s">
        <v>171</v>
      </c>
      <c r="C72" s="1">
        <v>1E-3</v>
      </c>
      <c r="H72" s="3">
        <v>7</v>
      </c>
      <c r="I72" s="3" t="str">
        <f t="shared" si="6"/>
        <v>点238.109_A(7/16)</v>
      </c>
      <c r="J72" s="3">
        <f t="shared" si="4"/>
        <v>20</v>
      </c>
      <c r="K72" s="3">
        <f t="shared" ca="1" si="5"/>
        <v>374.54900001201446</v>
      </c>
      <c r="L72" s="3">
        <f t="shared" si="7"/>
        <v>374.51800000000003</v>
      </c>
      <c r="M72" s="3">
        <f t="shared" si="7"/>
        <v>374.58199999999999</v>
      </c>
    </row>
    <row r="73" spans="1:13">
      <c r="A73" s="2" t="s">
        <v>579</v>
      </c>
      <c r="B73" s="1" t="s">
        <v>157</v>
      </c>
      <c r="C73" s="1">
        <v>-176.30699999999999</v>
      </c>
      <c r="H73" s="3">
        <v>6</v>
      </c>
      <c r="I73" s="3" t="str">
        <f t="shared" si="6"/>
        <v>点238.109_A(6/16)</v>
      </c>
      <c r="J73" s="3">
        <f t="shared" si="4"/>
        <v>17</v>
      </c>
      <c r="K73" s="3">
        <f t="shared" ca="1" si="5"/>
        <v>374.58100000133487</v>
      </c>
      <c r="L73" s="3">
        <f t="shared" si="7"/>
        <v>374.51800000000003</v>
      </c>
      <c r="M73" s="3">
        <f t="shared" si="7"/>
        <v>374.58199999999999</v>
      </c>
    </row>
    <row r="74" spans="1:13">
      <c r="A74" s="1" t="s">
        <v>159</v>
      </c>
      <c r="B74" s="1" t="s">
        <v>170</v>
      </c>
      <c r="C74" s="1">
        <v>374.58</v>
      </c>
      <c r="H74" s="3">
        <v>5</v>
      </c>
      <c r="I74" s="3" t="str">
        <f t="shared" si="6"/>
        <v>点238.109_A(5/16)</v>
      </c>
      <c r="J74" s="3">
        <f t="shared" si="4"/>
        <v>14</v>
      </c>
      <c r="K74" s="3">
        <f t="shared" ca="1" si="5"/>
        <v>374.58000000133484</v>
      </c>
      <c r="L74" s="3">
        <f t="shared" si="7"/>
        <v>374.51800000000003</v>
      </c>
      <c r="M74" s="3">
        <f t="shared" si="7"/>
        <v>374.58199999999999</v>
      </c>
    </row>
    <row r="75" spans="1:13">
      <c r="A75" s="1" t="s">
        <v>580</v>
      </c>
      <c r="B75" s="1" t="s">
        <v>171</v>
      </c>
      <c r="C75" s="1">
        <v>-1E-3</v>
      </c>
      <c r="H75" s="3">
        <v>4</v>
      </c>
      <c r="I75" s="3" t="str">
        <f t="shared" si="6"/>
        <v>点238.109_A(4/16)</v>
      </c>
      <c r="J75" s="3">
        <f t="shared" si="4"/>
        <v>11</v>
      </c>
      <c r="K75" s="3">
        <f t="shared" ca="1" si="5"/>
        <v>374.56800000133489</v>
      </c>
      <c r="L75" s="3">
        <f t="shared" si="7"/>
        <v>374.51800000000003</v>
      </c>
      <c r="M75" s="3">
        <f t="shared" si="7"/>
        <v>374.58199999999999</v>
      </c>
    </row>
    <row r="76" spans="1:13">
      <c r="A76" s="2" t="s">
        <v>581</v>
      </c>
      <c r="B76" s="1" t="s">
        <v>157</v>
      </c>
      <c r="C76" s="1">
        <v>-176.316</v>
      </c>
      <c r="H76" s="3">
        <v>3</v>
      </c>
      <c r="I76" s="3" t="str">
        <f t="shared" si="6"/>
        <v>点238.109_A(3/16)</v>
      </c>
      <c r="J76" s="3">
        <f t="shared" si="4"/>
        <v>8</v>
      </c>
      <c r="K76" s="3">
        <f t="shared" ca="1" si="5"/>
        <v>374.52000000133506</v>
      </c>
      <c r="L76" s="3">
        <f t="shared" si="7"/>
        <v>374.51800000000003</v>
      </c>
      <c r="M76" s="3">
        <f t="shared" si="7"/>
        <v>374.58199999999999</v>
      </c>
    </row>
    <row r="77" spans="1:13">
      <c r="A77" s="1" t="s">
        <v>159</v>
      </c>
      <c r="B77" s="1" t="s">
        <v>170</v>
      </c>
      <c r="C77" s="1">
        <v>374.58100000000002</v>
      </c>
      <c r="H77" s="3">
        <v>2</v>
      </c>
      <c r="I77" s="3" t="str">
        <f t="shared" si="6"/>
        <v>点238.109_A(2/16)</v>
      </c>
      <c r="J77" s="3">
        <f t="shared" si="4"/>
        <v>5</v>
      </c>
      <c r="K77" s="3">
        <f t="shared" ca="1" si="5"/>
        <v>374.51500001201555</v>
      </c>
      <c r="L77" s="3">
        <f t="shared" si="7"/>
        <v>374.51800000000003</v>
      </c>
      <c r="M77" s="3">
        <f t="shared" si="7"/>
        <v>374.58199999999999</v>
      </c>
    </row>
    <row r="78" spans="1:13">
      <c r="A78" s="1" t="s">
        <v>582</v>
      </c>
      <c r="B78" s="1" t="s">
        <v>171</v>
      </c>
      <c r="C78" s="1">
        <v>-1E-3</v>
      </c>
      <c r="H78" s="3"/>
      <c r="I78" s="3"/>
      <c r="J78" s="3"/>
      <c r="K78" s="3"/>
      <c r="L78" s="3"/>
      <c r="M78" s="3"/>
    </row>
    <row r="79" spans="1:13">
      <c r="A79" s="2" t="s">
        <v>583</v>
      </c>
      <c r="B79" s="1" t="s">
        <v>157</v>
      </c>
      <c r="C79" s="1">
        <v>-176.31700000000001</v>
      </c>
      <c r="H79" s="3"/>
      <c r="I79" s="3"/>
      <c r="J79" s="5" t="s">
        <v>48</v>
      </c>
      <c r="K79" s="3" t="str">
        <f>"&gt;"&amp;TEXT(($E$57+$E$58)/2, "0.###")</f>
        <v>&gt;374.582</v>
      </c>
      <c r="L79" s="3"/>
      <c r="M79" s="3"/>
    </row>
    <row r="80" spans="1:13">
      <c r="A80" s="1" t="s">
        <v>159</v>
      </c>
      <c r="B80" s="1" t="s">
        <v>170</v>
      </c>
      <c r="C80" s="1">
        <v>374.54899999999998</v>
      </c>
      <c r="H80" s="3"/>
      <c r="I80" s="3"/>
      <c r="J80" s="6" t="s">
        <v>49</v>
      </c>
      <c r="K80" s="3" t="str">
        <f>"&lt;"&amp;TEXT(($E$57+$C$59)/2, "0.###")</f>
        <v>&lt;374.518</v>
      </c>
      <c r="L80" s="3"/>
      <c r="M80" s="3"/>
    </row>
    <row r="81" spans="1:13">
      <c r="A81" s="1" t="s">
        <v>584</v>
      </c>
      <c r="B81" s="1" t="s">
        <v>171</v>
      </c>
      <c r="C81" s="1">
        <v>-3.0000000000000001E-3</v>
      </c>
      <c r="H81" s="3"/>
      <c r="I81" s="3"/>
      <c r="J81" s="7"/>
      <c r="K81" s="8" t="s">
        <v>50</v>
      </c>
      <c r="L81" s="3"/>
      <c r="M81" s="3"/>
    </row>
    <row r="82" spans="1:13">
      <c r="A82" s="2" t="s">
        <v>585</v>
      </c>
      <c r="B82" s="1" t="s">
        <v>157</v>
      </c>
      <c r="C82" s="1">
        <v>-176.297</v>
      </c>
      <c r="H82" s="3"/>
      <c r="I82" s="3"/>
      <c r="J82" s="9" t="s">
        <v>44</v>
      </c>
      <c r="K82" s="10">
        <f ca="1">AVERAGE(K62:K77)*2</f>
        <v>749.09075001034591</v>
      </c>
      <c r="L82" s="3"/>
      <c r="M82" s="3"/>
    </row>
    <row r="83" spans="1:13">
      <c r="A83" s="1" t="s">
        <v>159</v>
      </c>
      <c r="B83" s="1" t="s">
        <v>170</v>
      </c>
      <c r="C83" s="1">
        <v>374.52600000000001</v>
      </c>
      <c r="H83" s="3"/>
      <c r="I83" s="3"/>
      <c r="J83" s="9"/>
      <c r="K83" s="11" t="str">
        <f ca="1">IF(K82&lt;$E$2+$C$4, "U/Min "&amp;TEXT($E$2+$C$4-K82, "0.###"), IF(K82&gt;$E$2+$E$3, "O/Max "&amp;TEXT(K82-$E$2-$E$3, "0.###"), "-"))</f>
        <v>-</v>
      </c>
      <c r="L83" s="3"/>
      <c r="M83" s="3"/>
    </row>
    <row r="84" spans="1:13">
      <c r="A84" s="1" t="s">
        <v>586</v>
      </c>
      <c r="B84" s="1" t="s">
        <v>171</v>
      </c>
      <c r="C84" s="1">
        <v>-2E-3</v>
      </c>
      <c r="H84" s="3"/>
      <c r="I84" s="3"/>
      <c r="J84" s="9" t="s">
        <v>51</v>
      </c>
      <c r="K84" s="10">
        <f ca="1">MAX(K62:K77)-MIN(K62:K77)</f>
        <v>6.6999999999779902E-2</v>
      </c>
      <c r="L84" s="3"/>
      <c r="M84" s="3"/>
    </row>
    <row r="85" spans="1:13">
      <c r="A85" s="2" t="s">
        <v>587</v>
      </c>
      <c r="B85" s="1" t="s">
        <v>157</v>
      </c>
      <c r="C85" s="1">
        <v>-176.286</v>
      </c>
      <c r="H85" s="3"/>
      <c r="I85" s="3"/>
      <c r="J85" s="9"/>
      <c r="K85" s="11" t="str">
        <f ca="1">IF(K84&gt;0.13, "O/Max "&amp;TEXT(K84-0.13, "0.###"), "-")</f>
        <v>-</v>
      </c>
      <c r="L85" s="3"/>
      <c r="M85" s="3"/>
    </row>
    <row r="86" spans="1:13">
      <c r="A86" s="1" t="s">
        <v>159</v>
      </c>
      <c r="B86" s="1" t="s">
        <v>170</v>
      </c>
      <c r="C86" s="1">
        <v>374.51400000000001</v>
      </c>
      <c r="H86" s="3"/>
      <c r="I86" s="3"/>
      <c r="J86" s="9" t="s">
        <v>52</v>
      </c>
      <c r="K86" s="12">
        <f ca="1">COUNTIF(K62:K77, $K79)</f>
        <v>0</v>
      </c>
      <c r="L86" s="3"/>
      <c r="M86" s="3"/>
    </row>
    <row r="87" spans="1:13">
      <c r="A87" s="1" t="s">
        <v>588</v>
      </c>
      <c r="B87" s="1" t="s">
        <v>171</v>
      </c>
      <c r="C87" s="1">
        <v>-1E-3</v>
      </c>
      <c r="H87" s="3"/>
      <c r="I87" s="3"/>
      <c r="J87" s="13" t="s">
        <v>53</v>
      </c>
      <c r="K87" s="12">
        <f ca="1">COUNTIF(K62:K77, $K80)</f>
        <v>3</v>
      </c>
      <c r="L87" s="3"/>
      <c r="M87" s="3"/>
    </row>
    <row r="88" spans="1:13">
      <c r="A88" s="2" t="s">
        <v>589</v>
      </c>
      <c r="B88" s="1" t="s">
        <v>157</v>
      </c>
      <c r="C88" s="1">
        <v>-176.286</v>
      </c>
      <c r="H88" s="3"/>
      <c r="I88" s="3"/>
      <c r="J88" s="12"/>
      <c r="K88" s="14" t="str">
        <f ca="1">TEXT(K86+K87,"0")&amp;"/16"</f>
        <v>3/16</v>
      </c>
      <c r="L88" s="3"/>
      <c r="M88" s="3"/>
    </row>
    <row r="89" spans="1:13">
      <c r="A89" s="1" t="s">
        <v>159</v>
      </c>
      <c r="B89" s="1" t="s">
        <v>170</v>
      </c>
      <c r="C89" s="1">
        <v>374.52699999999999</v>
      </c>
      <c r="J89" s="15" t="s">
        <v>90</v>
      </c>
      <c r="K89" s="15"/>
    </row>
    <row r="90" spans="1:13">
      <c r="A90" s="1" t="s">
        <v>590</v>
      </c>
      <c r="B90" s="1" t="s">
        <v>171</v>
      </c>
      <c r="C90" s="1">
        <v>-2E-3</v>
      </c>
      <c r="J90" s="15" t="s">
        <v>91</v>
      </c>
      <c r="K90" s="16">
        <f ca="1">MAX(K62:K77)*2</f>
        <v>749.16200000266974</v>
      </c>
    </row>
    <row r="91" spans="1:13">
      <c r="A91" s="2" t="s">
        <v>591</v>
      </c>
      <c r="B91" s="1" t="s">
        <v>157</v>
      </c>
      <c r="C91" s="1">
        <v>-176.298</v>
      </c>
      <c r="J91" s="15" t="s">
        <v>92</v>
      </c>
      <c r="K91" s="16">
        <f ca="1">MIN(K62:K77)*2</f>
        <v>749.02800000267018</v>
      </c>
    </row>
    <row r="92" spans="1:13">
      <c r="A92" s="1" t="s">
        <v>159</v>
      </c>
      <c r="B92" s="1" t="s">
        <v>170</v>
      </c>
      <c r="C92" s="1">
        <v>374.529</v>
      </c>
    </row>
    <row r="93" spans="1:13">
      <c r="A93" s="1" t="s">
        <v>592</v>
      </c>
      <c r="B93" s="1" t="s">
        <v>171</v>
      </c>
      <c r="C93" s="1">
        <v>0</v>
      </c>
    </row>
    <row r="94" spans="1:13">
      <c r="A94" s="2" t="s">
        <v>593</v>
      </c>
      <c r="B94" s="1" t="s">
        <v>157</v>
      </c>
      <c r="C94" s="1">
        <v>-176.29599999999999</v>
      </c>
    </row>
    <row r="95" spans="1:13">
      <c r="A95" s="1" t="s">
        <v>159</v>
      </c>
      <c r="B95" s="1" t="s">
        <v>170</v>
      </c>
      <c r="C95" s="1">
        <v>374.57900000000001</v>
      </c>
    </row>
    <row r="96" spans="1:13">
      <c r="A96" s="1" t="s">
        <v>594</v>
      </c>
      <c r="B96" s="1" t="s">
        <v>171</v>
      </c>
      <c r="C96" s="1">
        <v>-2E-3</v>
      </c>
    </row>
    <row r="97" spans="1:3">
      <c r="A97" s="2" t="s">
        <v>595</v>
      </c>
      <c r="B97" s="1" t="s">
        <v>157</v>
      </c>
      <c r="C97" s="1">
        <v>-176.31800000000001</v>
      </c>
    </row>
    <row r="98" spans="1:3">
      <c r="A98" s="1" t="s">
        <v>159</v>
      </c>
      <c r="B98" s="1" t="s">
        <v>170</v>
      </c>
      <c r="C98" s="1">
        <v>374.57</v>
      </c>
    </row>
    <row r="99" spans="1:3">
      <c r="A99" s="1" t="s">
        <v>596</v>
      </c>
      <c r="B99" s="1" t="s">
        <v>171</v>
      </c>
      <c r="C99" s="1">
        <v>-1E-3</v>
      </c>
    </row>
    <row r="100" spans="1:3">
      <c r="A100" s="2" t="s">
        <v>597</v>
      </c>
      <c r="B100" s="1" t="s">
        <v>157</v>
      </c>
      <c r="C100" s="1">
        <v>-176.30799999999999</v>
      </c>
    </row>
    <row r="101" spans="1:3">
      <c r="A101" s="1" t="s">
        <v>159</v>
      </c>
      <c r="B101" s="1" t="s">
        <v>170</v>
      </c>
      <c r="C101" s="1">
        <v>374.57499999999999</v>
      </c>
    </row>
    <row r="102" spans="1:3">
      <c r="A102" s="1" t="s">
        <v>598</v>
      </c>
      <c r="B102" s="1" t="s">
        <v>171</v>
      </c>
      <c r="C102" s="1">
        <v>4.0000000000000001E-3</v>
      </c>
    </row>
    <row r="103" spans="1:3">
      <c r="A103" s="2" t="s">
        <v>599</v>
      </c>
      <c r="B103" s="1" t="s">
        <v>157</v>
      </c>
      <c r="C103" s="1">
        <v>-176.322</v>
      </c>
    </row>
    <row r="104" spans="1:3">
      <c r="A104" s="1" t="s">
        <v>159</v>
      </c>
      <c r="B104" s="1" t="s">
        <v>170</v>
      </c>
      <c r="C104" s="1">
        <v>374.54</v>
      </c>
    </row>
    <row r="105" spans="1:3">
      <c r="A105" s="1" t="s">
        <v>600</v>
      </c>
      <c r="B105" s="1" t="s">
        <v>171</v>
      </c>
      <c r="C105" s="1">
        <v>0</v>
      </c>
    </row>
    <row r="106" spans="1:3">
      <c r="A106" s="2" t="s">
        <v>601</v>
      </c>
      <c r="B106" s="1" t="s">
        <v>157</v>
      </c>
      <c r="C106" s="1">
        <v>-176.321</v>
      </c>
    </row>
    <row r="107" spans="1:3">
      <c r="A107" s="1" t="s">
        <v>159</v>
      </c>
      <c r="B107" s="1" t="s">
        <v>170</v>
      </c>
      <c r="C107" s="1">
        <v>374.53800000000001</v>
      </c>
    </row>
    <row r="108" spans="1:3">
      <c r="A108" s="1" t="s">
        <v>602</v>
      </c>
      <c r="B108" s="1" t="s">
        <v>171</v>
      </c>
      <c r="C108" s="1">
        <v>-3.0000000000000001E-3</v>
      </c>
    </row>
    <row r="109" spans="1:3">
      <c r="A109" s="2" t="s">
        <v>603</v>
      </c>
      <c r="B109" s="1" t="s">
        <v>157</v>
      </c>
      <c r="C109" s="1">
        <v>-176.32499999999999</v>
      </c>
    </row>
  </sheetData>
  <phoneticPr fontId="1"/>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M54"/>
  <sheetViews>
    <sheetView workbookViewId="0">
      <selection activeCell="K7" sqref="K7"/>
    </sheetView>
  </sheetViews>
  <sheetFormatPr defaultColWidth="9" defaultRowHeight="15"/>
  <cols>
    <col min="1" max="16384" width="9" style="1"/>
  </cols>
  <sheetData>
    <row r="1" spans="1:13">
      <c r="A1" s="1" t="s">
        <v>604</v>
      </c>
    </row>
    <row r="2" spans="1:13">
      <c r="A2" s="1" t="s">
        <v>160</v>
      </c>
      <c r="B2" s="1" t="s">
        <v>164</v>
      </c>
      <c r="C2" s="1">
        <v>753.47799999999995</v>
      </c>
      <c r="D2" s="1" t="s">
        <v>196</v>
      </c>
      <c r="E2" s="1">
        <v>753.5</v>
      </c>
    </row>
    <row r="3" spans="1:13">
      <c r="A3" s="1" t="s">
        <v>605</v>
      </c>
      <c r="B3" s="1" t="s">
        <v>162</v>
      </c>
      <c r="C3" s="1">
        <v>-2.1999999999999999E-2</v>
      </c>
      <c r="D3" s="1" t="s">
        <v>163</v>
      </c>
      <c r="E3" s="1">
        <v>6.4000000000000001E-2</v>
      </c>
      <c r="F3" s="1" t="s">
        <v>158</v>
      </c>
    </row>
    <row r="4" spans="1:13">
      <c r="A4" s="2" t="s">
        <v>606</v>
      </c>
      <c r="B4" s="1" t="s">
        <v>169</v>
      </c>
      <c r="C4" s="1">
        <v>-6.4000000000000001E-2</v>
      </c>
    </row>
    <row r="6" spans="1:13">
      <c r="A6" s="1" t="s">
        <v>1301</v>
      </c>
      <c r="C6" s="1" t="s">
        <v>161</v>
      </c>
      <c r="H6" s="3"/>
      <c r="I6" s="3" t="str">
        <f>CONCATENATE(A6," : ",MID(A1,11,3))</f>
        <v>JHV723EJ : 239</v>
      </c>
      <c r="J6" s="3"/>
      <c r="K6" s="3" t="s">
        <v>54</v>
      </c>
      <c r="L6" s="3" t="s">
        <v>1</v>
      </c>
      <c r="M6" s="3" t="s">
        <v>2</v>
      </c>
    </row>
    <row r="7" spans="1:13">
      <c r="A7" s="1" t="s">
        <v>159</v>
      </c>
      <c r="B7" s="1" t="s">
        <v>170</v>
      </c>
      <c r="C7" s="1">
        <v>376.71199999999999</v>
      </c>
      <c r="H7" s="4">
        <v>1</v>
      </c>
      <c r="I7" s="3" t="str">
        <f>CONCATENATE("点239.108(", H7,"/16)")</f>
        <v>点239.108(1/16)</v>
      </c>
      <c r="J7" s="3">
        <f>MATCH(I7, A$7:A$54, 0)</f>
        <v>2</v>
      </c>
      <c r="K7" s="3">
        <f ca="1">OFFSET(C$6, J7-1, 0)</f>
        <v>376.71199999999999</v>
      </c>
      <c r="L7" s="3">
        <f>($E$2+$C$4)/2</f>
        <v>376.71800000000002</v>
      </c>
      <c r="M7" s="3">
        <f>($E$2+$E$3)/2</f>
        <v>376.78199999999998</v>
      </c>
    </row>
    <row r="8" spans="1:13">
      <c r="A8" s="1" t="s">
        <v>197</v>
      </c>
      <c r="B8" s="1" t="s">
        <v>171</v>
      </c>
      <c r="C8" s="1">
        <v>0</v>
      </c>
      <c r="H8" s="3">
        <v>16</v>
      </c>
      <c r="I8" s="3" t="str">
        <f t="shared" ref="I8:I22" si="0">CONCATENATE("点239.108(", H8,"/16)")</f>
        <v>点239.108(16/16)</v>
      </c>
      <c r="J8" s="3">
        <f t="shared" ref="J8:J22" si="1">MATCH(I8, A$7:A$54, 0)</f>
        <v>47</v>
      </c>
      <c r="K8" s="3">
        <f t="shared" ref="K8:K22" ca="1" si="2">OFFSET(C$6, J8-1, 0)</f>
        <v>376.72899999999998</v>
      </c>
      <c r="L8" s="3">
        <f>L7</f>
        <v>376.71800000000002</v>
      </c>
      <c r="M8" s="3">
        <f>M7</f>
        <v>376.78199999999998</v>
      </c>
    </row>
    <row r="9" spans="1:13">
      <c r="A9" s="2" t="s">
        <v>607</v>
      </c>
      <c r="B9" s="1" t="s">
        <v>157</v>
      </c>
      <c r="C9" s="1">
        <v>-180.9</v>
      </c>
      <c r="H9" s="3">
        <v>15</v>
      </c>
      <c r="I9" s="3" t="str">
        <f t="shared" si="0"/>
        <v>点239.108(15/16)</v>
      </c>
      <c r="J9" s="3">
        <f t="shared" si="1"/>
        <v>44</v>
      </c>
      <c r="K9" s="3">
        <f t="shared" ca="1" si="2"/>
        <v>376.73399999999998</v>
      </c>
      <c r="L9" s="3">
        <f t="shared" ref="L9:M22" si="3">L8</f>
        <v>376.71800000000002</v>
      </c>
      <c r="M9" s="3">
        <f t="shared" si="3"/>
        <v>376.78199999999998</v>
      </c>
    </row>
    <row r="10" spans="1:13">
      <c r="A10" s="1" t="s">
        <v>159</v>
      </c>
      <c r="B10" s="1" t="s">
        <v>170</v>
      </c>
      <c r="C10" s="1">
        <v>376.70800000000003</v>
      </c>
      <c r="H10" s="3">
        <v>14</v>
      </c>
      <c r="I10" s="3" t="str">
        <f t="shared" si="0"/>
        <v>点239.108(14/16)</v>
      </c>
      <c r="J10" s="3">
        <f t="shared" si="1"/>
        <v>41</v>
      </c>
      <c r="K10" s="3">
        <f t="shared" ca="1" si="2"/>
        <v>376.77199999999999</v>
      </c>
      <c r="L10" s="3">
        <f t="shared" si="3"/>
        <v>376.71800000000002</v>
      </c>
      <c r="M10" s="3">
        <f t="shared" si="3"/>
        <v>376.78199999999998</v>
      </c>
    </row>
    <row r="11" spans="1:13">
      <c r="A11" s="1" t="s">
        <v>198</v>
      </c>
      <c r="B11" s="1" t="s">
        <v>171</v>
      </c>
      <c r="C11" s="1">
        <v>0</v>
      </c>
      <c r="H11" s="3">
        <v>13</v>
      </c>
      <c r="I11" s="3" t="str">
        <f t="shared" si="0"/>
        <v>点239.108(13/16)</v>
      </c>
      <c r="J11" s="3">
        <f t="shared" si="1"/>
        <v>38</v>
      </c>
      <c r="K11" s="3">
        <f t="shared" ca="1" si="2"/>
        <v>376.762</v>
      </c>
      <c r="L11" s="3">
        <f t="shared" si="3"/>
        <v>376.71800000000002</v>
      </c>
      <c r="M11" s="3">
        <f t="shared" si="3"/>
        <v>376.78199999999998</v>
      </c>
    </row>
    <row r="12" spans="1:13">
      <c r="A12" s="2" t="s">
        <v>199</v>
      </c>
      <c r="B12" s="1" t="s">
        <v>157</v>
      </c>
      <c r="C12" s="1">
        <v>-180.9</v>
      </c>
      <c r="H12" s="3">
        <v>12</v>
      </c>
      <c r="I12" s="3" t="str">
        <f t="shared" si="0"/>
        <v>点239.108(12/16)</v>
      </c>
      <c r="J12" s="3">
        <f t="shared" si="1"/>
        <v>35</v>
      </c>
      <c r="K12" s="3">
        <f t="shared" ca="1" si="2"/>
        <v>376.77300000000002</v>
      </c>
      <c r="L12" s="3">
        <f t="shared" si="3"/>
        <v>376.71800000000002</v>
      </c>
      <c r="M12" s="3">
        <f t="shared" si="3"/>
        <v>376.78199999999998</v>
      </c>
    </row>
    <row r="13" spans="1:13">
      <c r="A13" s="1" t="s">
        <v>159</v>
      </c>
      <c r="B13" s="1" t="s">
        <v>170</v>
      </c>
      <c r="C13" s="1">
        <v>376.71800000000002</v>
      </c>
      <c r="H13" s="3">
        <v>11</v>
      </c>
      <c r="I13" s="3" t="str">
        <f t="shared" si="0"/>
        <v>点239.108(11/16)</v>
      </c>
      <c r="J13" s="3">
        <f t="shared" si="1"/>
        <v>32</v>
      </c>
      <c r="K13" s="3">
        <f t="shared" ca="1" si="2"/>
        <v>376.71800000000002</v>
      </c>
      <c r="L13" s="3">
        <f t="shared" si="3"/>
        <v>376.71800000000002</v>
      </c>
      <c r="M13" s="3">
        <f t="shared" si="3"/>
        <v>376.78199999999998</v>
      </c>
    </row>
    <row r="14" spans="1:13">
      <c r="A14" s="1" t="s">
        <v>200</v>
      </c>
      <c r="B14" s="1" t="s">
        <v>171</v>
      </c>
      <c r="C14" s="1">
        <v>0</v>
      </c>
      <c r="H14" s="3">
        <v>10</v>
      </c>
      <c r="I14" s="3" t="str">
        <f t="shared" si="0"/>
        <v>点239.108(10/16)</v>
      </c>
      <c r="J14" s="3">
        <f t="shared" si="1"/>
        <v>29</v>
      </c>
      <c r="K14" s="3">
        <f t="shared" ca="1" si="2"/>
        <v>376.71600000000001</v>
      </c>
      <c r="L14" s="3">
        <f t="shared" si="3"/>
        <v>376.71800000000002</v>
      </c>
      <c r="M14" s="3">
        <f t="shared" si="3"/>
        <v>376.78199999999998</v>
      </c>
    </row>
    <row r="15" spans="1:13">
      <c r="A15" s="2" t="s">
        <v>201</v>
      </c>
      <c r="B15" s="1" t="s">
        <v>157</v>
      </c>
      <c r="C15" s="1">
        <v>-180.90100000000001</v>
      </c>
      <c r="H15" s="3">
        <v>9</v>
      </c>
      <c r="I15" s="3" t="str">
        <f t="shared" si="0"/>
        <v>点239.108(9/16)</v>
      </c>
      <c r="J15" s="3">
        <f t="shared" si="1"/>
        <v>26</v>
      </c>
      <c r="K15" s="3">
        <f t="shared" ca="1" si="2"/>
        <v>376.70499999999998</v>
      </c>
      <c r="L15" s="3">
        <f t="shared" si="3"/>
        <v>376.71800000000002</v>
      </c>
      <c r="M15" s="3">
        <f t="shared" si="3"/>
        <v>376.78199999999998</v>
      </c>
    </row>
    <row r="16" spans="1:13">
      <c r="A16" s="1" t="s">
        <v>159</v>
      </c>
      <c r="B16" s="1" t="s">
        <v>170</v>
      </c>
      <c r="C16" s="1">
        <v>376.76799999999997</v>
      </c>
      <c r="H16" s="3">
        <v>8</v>
      </c>
      <c r="I16" s="3" t="str">
        <f t="shared" si="0"/>
        <v>点239.108(8/16)</v>
      </c>
      <c r="J16" s="3">
        <f t="shared" si="1"/>
        <v>23</v>
      </c>
      <c r="K16" s="3">
        <f t="shared" ca="1" si="2"/>
        <v>376.71800000000002</v>
      </c>
      <c r="L16" s="3">
        <f t="shared" si="3"/>
        <v>376.71800000000002</v>
      </c>
      <c r="M16" s="3">
        <f t="shared" si="3"/>
        <v>376.78199999999998</v>
      </c>
    </row>
    <row r="17" spans="1:13">
      <c r="A17" s="1" t="s">
        <v>202</v>
      </c>
      <c r="B17" s="1" t="s">
        <v>171</v>
      </c>
      <c r="C17" s="1">
        <v>1E-3</v>
      </c>
      <c r="H17" s="3">
        <v>7</v>
      </c>
      <c r="I17" s="3" t="str">
        <f t="shared" si="0"/>
        <v>点239.108(7/16)</v>
      </c>
      <c r="J17" s="3">
        <f t="shared" si="1"/>
        <v>20</v>
      </c>
      <c r="K17" s="3">
        <f t="shared" ca="1" si="2"/>
        <v>376.74200000000002</v>
      </c>
      <c r="L17" s="3">
        <f t="shared" si="3"/>
        <v>376.71800000000002</v>
      </c>
      <c r="M17" s="3">
        <f t="shared" si="3"/>
        <v>376.78199999999998</v>
      </c>
    </row>
    <row r="18" spans="1:13">
      <c r="A18" s="2" t="s">
        <v>203</v>
      </c>
      <c r="B18" s="1" t="s">
        <v>157</v>
      </c>
      <c r="C18" s="1">
        <v>-180.9</v>
      </c>
      <c r="H18" s="3">
        <v>6</v>
      </c>
      <c r="I18" s="3" t="str">
        <f t="shared" si="0"/>
        <v>点239.108(6/16)</v>
      </c>
      <c r="J18" s="3">
        <f t="shared" si="1"/>
        <v>17</v>
      </c>
      <c r="K18" s="3">
        <f t="shared" ca="1" si="2"/>
        <v>376.77600000000001</v>
      </c>
      <c r="L18" s="3">
        <f t="shared" si="3"/>
        <v>376.71800000000002</v>
      </c>
      <c r="M18" s="3">
        <f t="shared" si="3"/>
        <v>376.78199999999998</v>
      </c>
    </row>
    <row r="19" spans="1:13">
      <c r="A19" s="1" t="s">
        <v>159</v>
      </c>
      <c r="B19" s="1" t="s">
        <v>170</v>
      </c>
      <c r="C19" s="1">
        <v>376.77</v>
      </c>
      <c r="H19" s="3">
        <v>5</v>
      </c>
      <c r="I19" s="3" t="str">
        <f t="shared" si="0"/>
        <v>点239.108(5/16)</v>
      </c>
      <c r="J19" s="3">
        <f t="shared" si="1"/>
        <v>14</v>
      </c>
      <c r="K19" s="3">
        <f t="shared" ca="1" si="2"/>
        <v>376.77</v>
      </c>
      <c r="L19" s="3">
        <f t="shared" si="3"/>
        <v>376.71800000000002</v>
      </c>
      <c r="M19" s="3">
        <f t="shared" si="3"/>
        <v>376.78199999999998</v>
      </c>
    </row>
    <row r="20" spans="1:13">
      <c r="A20" s="1" t="s">
        <v>608</v>
      </c>
      <c r="B20" s="1" t="s">
        <v>171</v>
      </c>
      <c r="C20" s="1">
        <v>0</v>
      </c>
      <c r="H20" s="3">
        <v>4</v>
      </c>
      <c r="I20" s="3" t="str">
        <f t="shared" si="0"/>
        <v>点239.108(4/16)</v>
      </c>
      <c r="J20" s="3">
        <f t="shared" si="1"/>
        <v>11</v>
      </c>
      <c r="K20" s="3">
        <f t="shared" ca="1" si="2"/>
        <v>376.76799999999997</v>
      </c>
      <c r="L20" s="3">
        <f t="shared" si="3"/>
        <v>376.71800000000002</v>
      </c>
      <c r="M20" s="3">
        <f t="shared" si="3"/>
        <v>376.78199999999998</v>
      </c>
    </row>
    <row r="21" spans="1:13">
      <c r="A21" s="2" t="s">
        <v>204</v>
      </c>
      <c r="B21" s="1" t="s">
        <v>157</v>
      </c>
      <c r="C21" s="1">
        <v>-180.90100000000001</v>
      </c>
      <c r="H21" s="3">
        <v>3</v>
      </c>
      <c r="I21" s="3" t="str">
        <f t="shared" si="0"/>
        <v>点239.108(3/16)</v>
      </c>
      <c r="J21" s="3">
        <f t="shared" si="1"/>
        <v>8</v>
      </c>
      <c r="K21" s="3">
        <f t="shared" ca="1" si="2"/>
        <v>376.71800000000002</v>
      </c>
      <c r="L21" s="3">
        <f t="shared" si="3"/>
        <v>376.71800000000002</v>
      </c>
      <c r="M21" s="3">
        <f t="shared" si="3"/>
        <v>376.78199999999998</v>
      </c>
    </row>
    <row r="22" spans="1:13">
      <c r="A22" s="1" t="s">
        <v>159</v>
      </c>
      <c r="B22" s="1" t="s">
        <v>170</v>
      </c>
      <c r="C22" s="1">
        <v>376.77600000000001</v>
      </c>
      <c r="H22" s="3">
        <v>2</v>
      </c>
      <c r="I22" s="3" t="str">
        <f t="shared" si="0"/>
        <v>点239.108(2/16)</v>
      </c>
      <c r="J22" s="3">
        <f t="shared" si="1"/>
        <v>5</v>
      </c>
      <c r="K22" s="3">
        <f t="shared" ca="1" si="2"/>
        <v>376.70800000000003</v>
      </c>
      <c r="L22" s="3">
        <f t="shared" si="3"/>
        <v>376.71800000000002</v>
      </c>
      <c r="M22" s="3">
        <f t="shared" si="3"/>
        <v>376.78199999999998</v>
      </c>
    </row>
    <row r="23" spans="1:13">
      <c r="A23" s="1" t="s">
        <v>205</v>
      </c>
      <c r="B23" s="1" t="s">
        <v>171</v>
      </c>
      <c r="C23" s="1">
        <v>3.0000000000000001E-3</v>
      </c>
      <c r="H23" s="3"/>
      <c r="I23" s="3"/>
      <c r="J23" s="3"/>
      <c r="K23" s="3"/>
      <c r="L23" s="3"/>
      <c r="M23" s="3"/>
    </row>
    <row r="24" spans="1:13">
      <c r="A24" s="2" t="s">
        <v>609</v>
      </c>
      <c r="B24" s="1" t="s">
        <v>157</v>
      </c>
      <c r="C24" s="1">
        <v>-180.9</v>
      </c>
      <c r="H24" s="3"/>
      <c r="I24" s="3"/>
      <c r="J24" s="5" t="s">
        <v>3</v>
      </c>
      <c r="K24" s="3" t="str">
        <f>"&gt;"&amp;TEXT(($E$2+$E$3)/2, "0.###")</f>
        <v>&gt;376.782</v>
      </c>
      <c r="L24" s="3"/>
      <c r="M24" s="3"/>
    </row>
    <row r="25" spans="1:13">
      <c r="A25" s="1" t="s">
        <v>159</v>
      </c>
      <c r="B25" s="1" t="s">
        <v>170</v>
      </c>
      <c r="C25" s="1">
        <v>376.74200000000002</v>
      </c>
      <c r="H25" s="3"/>
      <c r="I25" s="3"/>
      <c r="J25" s="6" t="s">
        <v>55</v>
      </c>
      <c r="K25" s="3" t="str">
        <f>"&lt;"&amp;TEXT(($E$2+$C$4)/2, "0.###")</f>
        <v>&lt;376.718</v>
      </c>
      <c r="L25" s="3"/>
      <c r="M25" s="3"/>
    </row>
    <row r="26" spans="1:13">
      <c r="A26" s="1" t="s">
        <v>206</v>
      </c>
      <c r="B26" s="1" t="s">
        <v>171</v>
      </c>
      <c r="C26" s="1">
        <v>-1E-3</v>
      </c>
      <c r="H26" s="3"/>
      <c r="I26" s="3"/>
      <c r="J26" s="7"/>
      <c r="K26" s="8" t="s">
        <v>5</v>
      </c>
      <c r="L26" s="3"/>
      <c r="M26" s="3"/>
    </row>
    <row r="27" spans="1:13">
      <c r="A27" s="2" t="s">
        <v>207</v>
      </c>
      <c r="B27" s="1" t="s">
        <v>157</v>
      </c>
      <c r="C27" s="1">
        <v>-180.9</v>
      </c>
      <c r="H27" s="3"/>
      <c r="I27" s="3"/>
      <c r="J27" s="9" t="s">
        <v>6</v>
      </c>
      <c r="K27" s="10">
        <f ca="1">AVERAGE(K7:K22)*2</f>
        <v>753.47762499999976</v>
      </c>
      <c r="L27" s="3"/>
      <c r="M27" s="3"/>
    </row>
    <row r="28" spans="1:13">
      <c r="A28" s="1" t="s">
        <v>159</v>
      </c>
      <c r="B28" s="1" t="s">
        <v>170</v>
      </c>
      <c r="C28" s="1">
        <v>376.71800000000002</v>
      </c>
      <c r="H28" s="3"/>
      <c r="I28" s="3"/>
      <c r="J28" s="9"/>
      <c r="K28" s="11" t="str">
        <f ca="1">IF(K27&lt;$E$2+$C$4, "U/Min "&amp;TEXT($E$2+$C$4-K27, "0.###"), IF(K27&gt;$E$2+$E$3, "O/Max "&amp;TEXT(K27-$E$2-$E$3, "0.###"), "-"))</f>
        <v>-</v>
      </c>
      <c r="L28" s="3"/>
      <c r="M28" s="3"/>
    </row>
    <row r="29" spans="1:13">
      <c r="A29" s="1" t="s">
        <v>208</v>
      </c>
      <c r="B29" s="1" t="s">
        <v>171</v>
      </c>
      <c r="C29" s="1">
        <v>-5.0000000000000001E-3</v>
      </c>
      <c r="H29" s="3"/>
      <c r="I29" s="3"/>
      <c r="J29" s="9" t="s">
        <v>56</v>
      </c>
      <c r="K29" s="10">
        <f ca="1">MAX(K7:K22)-MIN(K7:K22)</f>
        <v>7.1000000000026375E-2</v>
      </c>
      <c r="L29" s="3"/>
      <c r="M29" s="3"/>
    </row>
    <row r="30" spans="1:13">
      <c r="A30" s="2" t="s">
        <v>610</v>
      </c>
      <c r="B30" s="1" t="s">
        <v>157</v>
      </c>
      <c r="C30" s="1">
        <v>-180.9</v>
      </c>
      <c r="H30" s="3"/>
      <c r="I30" s="3"/>
      <c r="J30" s="9"/>
      <c r="K30" s="11" t="str">
        <f ca="1">IF(K29&gt;0.13, "O/Max "&amp;TEXT(K29-0.13, "0.###"), "-")</f>
        <v>-</v>
      </c>
      <c r="L30" s="3"/>
      <c r="M30" s="3"/>
    </row>
    <row r="31" spans="1:13">
      <c r="A31" s="1" t="s">
        <v>159</v>
      </c>
      <c r="B31" s="1" t="s">
        <v>170</v>
      </c>
      <c r="C31" s="1">
        <v>376.70499999999998</v>
      </c>
      <c r="H31" s="3"/>
      <c r="I31" s="3"/>
      <c r="J31" s="9" t="s">
        <v>57</v>
      </c>
      <c r="K31" s="12">
        <f ca="1">COUNTIF(K7:K22, $K24)</f>
        <v>0</v>
      </c>
      <c r="L31" s="3"/>
      <c r="M31" s="3"/>
    </row>
    <row r="32" spans="1:13">
      <c r="A32" s="1" t="s">
        <v>611</v>
      </c>
      <c r="B32" s="1" t="s">
        <v>171</v>
      </c>
      <c r="C32" s="1">
        <v>0</v>
      </c>
      <c r="H32" s="3"/>
      <c r="I32" s="3"/>
      <c r="J32" s="13" t="s">
        <v>58</v>
      </c>
      <c r="K32" s="12">
        <f ca="1">COUNTIF(K7:K22, $K25)</f>
        <v>4</v>
      </c>
      <c r="L32" s="3"/>
      <c r="M32" s="3"/>
    </row>
    <row r="33" spans="1:13">
      <c r="A33" s="2" t="s">
        <v>209</v>
      </c>
      <c r="B33" s="1" t="s">
        <v>157</v>
      </c>
      <c r="C33" s="1">
        <v>-180.90100000000001</v>
      </c>
      <c r="H33" s="3"/>
      <c r="I33" s="3"/>
      <c r="J33" s="12"/>
      <c r="K33" s="14" t="str">
        <f ca="1">TEXT(K31+K32,"0")&amp;"/16"</f>
        <v>4/16</v>
      </c>
      <c r="L33" s="3"/>
      <c r="M33" s="3"/>
    </row>
    <row r="34" spans="1:13">
      <c r="A34" s="1" t="s">
        <v>159</v>
      </c>
      <c r="B34" s="1" t="s">
        <v>170</v>
      </c>
      <c r="C34" s="1">
        <v>376.71600000000001</v>
      </c>
      <c r="J34" s="15" t="s">
        <v>90</v>
      </c>
      <c r="K34" s="15"/>
    </row>
    <row r="35" spans="1:13">
      <c r="A35" s="1" t="s">
        <v>210</v>
      </c>
      <c r="B35" s="1" t="s">
        <v>171</v>
      </c>
      <c r="C35" s="1">
        <v>3.0000000000000001E-3</v>
      </c>
      <c r="J35" s="15" t="s">
        <v>91</v>
      </c>
      <c r="K35" s="16">
        <f ca="1">MAX(K7:K22)*2</f>
        <v>753.55200000000002</v>
      </c>
    </row>
    <row r="36" spans="1:13">
      <c r="A36" s="2" t="s">
        <v>211</v>
      </c>
      <c r="B36" s="1" t="s">
        <v>157</v>
      </c>
      <c r="C36" s="1">
        <v>-180.90100000000001</v>
      </c>
      <c r="J36" s="15" t="s">
        <v>92</v>
      </c>
      <c r="K36" s="16">
        <f ca="1">MIN(K7:K22)*2</f>
        <v>753.41</v>
      </c>
    </row>
    <row r="37" spans="1:13">
      <c r="A37" s="1" t="s">
        <v>159</v>
      </c>
      <c r="B37" s="1" t="s">
        <v>170</v>
      </c>
      <c r="C37" s="1">
        <v>376.71800000000002</v>
      </c>
    </row>
    <row r="38" spans="1:13">
      <c r="A38" s="1" t="s">
        <v>212</v>
      </c>
      <c r="B38" s="1" t="s">
        <v>171</v>
      </c>
      <c r="C38" s="1">
        <v>1E-3</v>
      </c>
    </row>
    <row r="39" spans="1:13">
      <c r="A39" s="2" t="s">
        <v>213</v>
      </c>
      <c r="B39" s="1" t="s">
        <v>157</v>
      </c>
      <c r="C39" s="1">
        <v>-180.90100000000001</v>
      </c>
    </row>
    <row r="40" spans="1:13">
      <c r="A40" s="1" t="s">
        <v>159</v>
      </c>
      <c r="B40" s="1" t="s">
        <v>170</v>
      </c>
      <c r="C40" s="1">
        <v>376.77300000000002</v>
      </c>
    </row>
    <row r="41" spans="1:13">
      <c r="A41" s="1" t="s">
        <v>214</v>
      </c>
      <c r="B41" s="1" t="s">
        <v>171</v>
      </c>
      <c r="C41" s="1">
        <v>-1.4999999999999999E-2</v>
      </c>
    </row>
    <row r="42" spans="1:13">
      <c r="A42" s="2" t="s">
        <v>215</v>
      </c>
      <c r="B42" s="1" t="s">
        <v>157</v>
      </c>
      <c r="C42" s="1">
        <v>-180.90100000000001</v>
      </c>
    </row>
    <row r="43" spans="1:13">
      <c r="A43" s="1" t="s">
        <v>159</v>
      </c>
      <c r="B43" s="1" t="s">
        <v>170</v>
      </c>
      <c r="C43" s="1">
        <v>376.762</v>
      </c>
    </row>
    <row r="44" spans="1:13">
      <c r="A44" s="1" t="s">
        <v>216</v>
      </c>
      <c r="B44" s="1" t="s">
        <v>171</v>
      </c>
      <c r="C44" s="1">
        <v>0</v>
      </c>
    </row>
    <row r="45" spans="1:13">
      <c r="A45" s="2" t="s">
        <v>612</v>
      </c>
      <c r="B45" s="1" t="s">
        <v>157</v>
      </c>
      <c r="C45" s="1">
        <v>-180.9</v>
      </c>
    </row>
    <row r="46" spans="1:13">
      <c r="A46" s="1" t="s">
        <v>159</v>
      </c>
      <c r="B46" s="1" t="s">
        <v>170</v>
      </c>
      <c r="C46" s="1">
        <v>376.77199999999999</v>
      </c>
    </row>
    <row r="47" spans="1:13">
      <c r="A47" s="1" t="s">
        <v>613</v>
      </c>
      <c r="B47" s="1" t="s">
        <v>171</v>
      </c>
      <c r="C47" s="1">
        <v>-1E-3</v>
      </c>
    </row>
    <row r="48" spans="1:13">
      <c r="A48" s="2" t="s">
        <v>217</v>
      </c>
      <c r="B48" s="1" t="s">
        <v>157</v>
      </c>
      <c r="C48" s="1">
        <v>-180.899</v>
      </c>
    </row>
    <row r="49" spans="1:3">
      <c r="A49" s="1" t="s">
        <v>159</v>
      </c>
      <c r="B49" s="1" t="s">
        <v>170</v>
      </c>
      <c r="C49" s="1">
        <v>376.73399999999998</v>
      </c>
    </row>
    <row r="50" spans="1:3">
      <c r="A50" s="1" t="s">
        <v>218</v>
      </c>
      <c r="B50" s="1" t="s">
        <v>171</v>
      </c>
      <c r="C50" s="1">
        <v>0</v>
      </c>
    </row>
    <row r="51" spans="1:3">
      <c r="A51" s="2" t="s">
        <v>219</v>
      </c>
      <c r="B51" s="1" t="s">
        <v>157</v>
      </c>
      <c r="C51" s="1">
        <v>-180.9</v>
      </c>
    </row>
    <row r="52" spans="1:3">
      <c r="A52" s="1" t="s">
        <v>159</v>
      </c>
      <c r="B52" s="1" t="s">
        <v>170</v>
      </c>
      <c r="C52" s="1">
        <v>376.72899999999998</v>
      </c>
    </row>
    <row r="53" spans="1:3">
      <c r="A53" s="1" t="s">
        <v>614</v>
      </c>
      <c r="B53" s="1" t="s">
        <v>171</v>
      </c>
      <c r="C53" s="1">
        <v>-5.0000000000000001E-3</v>
      </c>
    </row>
    <row r="54" spans="1:3">
      <c r="A54" s="2" t="s">
        <v>615</v>
      </c>
      <c r="B54" s="1" t="s">
        <v>157</v>
      </c>
      <c r="C54" s="1">
        <v>-180.899</v>
      </c>
    </row>
  </sheetData>
  <phoneticPr fontId="1"/>
  <pageMargins left="0.7" right="0.7" top="0.75" bottom="0.75" header="0.3" footer="0.3"/>
  <pageSetup paperSize="9"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1:M54"/>
  <sheetViews>
    <sheetView workbookViewId="0">
      <selection activeCell="X40" sqref="X40"/>
    </sheetView>
  </sheetViews>
  <sheetFormatPr defaultColWidth="9" defaultRowHeight="15"/>
  <cols>
    <col min="1" max="16384" width="9" style="1"/>
  </cols>
  <sheetData>
    <row r="1" spans="1:13">
      <c r="A1" s="1" t="s">
        <v>616</v>
      </c>
    </row>
    <row r="2" spans="1:13">
      <c r="A2" s="1" t="s">
        <v>160</v>
      </c>
      <c r="B2" s="1" t="s">
        <v>164</v>
      </c>
      <c r="C2" s="1">
        <v>789.78700000000003</v>
      </c>
      <c r="D2" s="1" t="s">
        <v>196</v>
      </c>
      <c r="E2" s="1">
        <v>789.8</v>
      </c>
    </row>
    <row r="3" spans="1:13">
      <c r="A3" s="1" t="s">
        <v>617</v>
      </c>
      <c r="B3" s="1" t="s">
        <v>162</v>
      </c>
      <c r="C3" s="1">
        <v>-1.2999999999999999E-2</v>
      </c>
      <c r="D3" s="1" t="s">
        <v>163</v>
      </c>
      <c r="E3" s="1">
        <v>6.4000000000000001E-2</v>
      </c>
      <c r="F3" s="1" t="s">
        <v>158</v>
      </c>
    </row>
    <row r="4" spans="1:13">
      <c r="A4" s="2" t="s">
        <v>618</v>
      </c>
      <c r="B4" s="1" t="s">
        <v>169</v>
      </c>
      <c r="C4" s="1">
        <v>-6.4000000000000001E-2</v>
      </c>
    </row>
    <row r="6" spans="1:13">
      <c r="A6" s="1" t="s">
        <v>1301</v>
      </c>
      <c r="C6" s="1" t="s">
        <v>161</v>
      </c>
      <c r="H6" s="3"/>
      <c r="I6" s="3" t="str">
        <f>CONCATENATE(A6," : ",MID(A1,11,3))</f>
        <v>JHV723EJ : 240</v>
      </c>
      <c r="J6" s="3"/>
      <c r="K6" s="3" t="s">
        <v>5</v>
      </c>
      <c r="L6" s="3" t="s">
        <v>1</v>
      </c>
      <c r="M6" s="3" t="s">
        <v>2</v>
      </c>
    </row>
    <row r="7" spans="1:13">
      <c r="A7" s="1" t="s">
        <v>159</v>
      </c>
      <c r="B7" s="1" t="s">
        <v>170</v>
      </c>
      <c r="C7" s="1">
        <v>394.86599999999999</v>
      </c>
      <c r="H7" s="4">
        <v>1</v>
      </c>
      <c r="I7" s="3" t="str">
        <f>CONCATENATE("点240.111(", H7,"/16)")</f>
        <v>点240.111(1/16)</v>
      </c>
      <c r="J7" s="3">
        <f>MATCH(I7, A$7:A$54, 0)</f>
        <v>2</v>
      </c>
      <c r="K7" s="3">
        <f ca="1">OFFSET(C$6, J7-1, 0)</f>
        <v>394.86599999999999</v>
      </c>
      <c r="L7" s="3">
        <f>($E$2+$C$4)/2</f>
        <v>394.86799999999999</v>
      </c>
      <c r="M7" s="3">
        <f>($E$2+$E$3)/2</f>
        <v>394.93199999999996</v>
      </c>
    </row>
    <row r="8" spans="1:13">
      <c r="A8" s="1" t="s">
        <v>619</v>
      </c>
      <c r="B8" s="1" t="s">
        <v>171</v>
      </c>
      <c r="C8" s="1">
        <v>0</v>
      </c>
      <c r="H8" s="3">
        <v>16</v>
      </c>
      <c r="I8" s="3" t="str">
        <f t="shared" ref="I8:I22" si="0">CONCATENATE("点240.111(", H8,"/16)")</f>
        <v>点240.111(16/16)</v>
      </c>
      <c r="J8" s="3">
        <f t="shared" ref="J8:J22" si="1">MATCH(I8, A$7:A$54, 0)</f>
        <v>47</v>
      </c>
      <c r="K8" s="3">
        <f t="shared" ref="K8:K22" ca="1" si="2">OFFSET(C$6, J8-1, 0)</f>
        <v>394.89100000000002</v>
      </c>
      <c r="L8" s="3">
        <f>L7</f>
        <v>394.86799999999999</v>
      </c>
      <c r="M8" s="3">
        <f>M7</f>
        <v>394.93199999999996</v>
      </c>
    </row>
    <row r="9" spans="1:13">
      <c r="A9" s="2" t="s">
        <v>620</v>
      </c>
      <c r="B9" s="1" t="s">
        <v>157</v>
      </c>
      <c r="C9" s="1">
        <v>-139.375</v>
      </c>
      <c r="H9" s="3">
        <v>15</v>
      </c>
      <c r="I9" s="3" t="str">
        <f t="shared" si="0"/>
        <v>点240.111(15/16)</v>
      </c>
      <c r="J9" s="3">
        <f t="shared" si="1"/>
        <v>44</v>
      </c>
      <c r="K9" s="3">
        <f t="shared" ca="1" si="2"/>
        <v>394.9</v>
      </c>
      <c r="L9" s="3">
        <f t="shared" ref="L9:M22" si="3">L8</f>
        <v>394.86799999999999</v>
      </c>
      <c r="M9" s="3">
        <f t="shared" si="3"/>
        <v>394.93199999999996</v>
      </c>
    </row>
    <row r="10" spans="1:13">
      <c r="A10" s="1" t="s">
        <v>159</v>
      </c>
      <c r="B10" s="1" t="s">
        <v>170</v>
      </c>
      <c r="C10" s="1">
        <v>394.85700000000003</v>
      </c>
      <c r="H10" s="3">
        <v>14</v>
      </c>
      <c r="I10" s="3" t="str">
        <f t="shared" si="0"/>
        <v>点240.111(14/16)</v>
      </c>
      <c r="J10" s="3">
        <f t="shared" si="1"/>
        <v>41</v>
      </c>
      <c r="K10" s="3">
        <f t="shared" ca="1" si="2"/>
        <v>394.91699999999997</v>
      </c>
      <c r="L10" s="3">
        <f t="shared" si="3"/>
        <v>394.86799999999999</v>
      </c>
      <c r="M10" s="3">
        <f t="shared" si="3"/>
        <v>394.93199999999996</v>
      </c>
    </row>
    <row r="11" spans="1:13">
      <c r="A11" s="1" t="s">
        <v>621</v>
      </c>
      <c r="B11" s="1" t="s">
        <v>171</v>
      </c>
      <c r="C11" s="1">
        <v>1E-3</v>
      </c>
      <c r="H11" s="3">
        <v>13</v>
      </c>
      <c r="I11" s="3" t="str">
        <f t="shared" si="0"/>
        <v>点240.111(13/16)</v>
      </c>
      <c r="J11" s="3">
        <f t="shared" si="1"/>
        <v>38</v>
      </c>
      <c r="K11" s="3">
        <f t="shared" ca="1" si="2"/>
        <v>394.91</v>
      </c>
      <c r="L11" s="3">
        <f t="shared" si="3"/>
        <v>394.86799999999999</v>
      </c>
      <c r="M11" s="3">
        <f t="shared" si="3"/>
        <v>394.93199999999996</v>
      </c>
    </row>
    <row r="12" spans="1:13">
      <c r="A12" s="2" t="s">
        <v>622</v>
      </c>
      <c r="B12" s="1" t="s">
        <v>157</v>
      </c>
      <c r="C12" s="1">
        <v>-139.375</v>
      </c>
      <c r="H12" s="3">
        <v>12</v>
      </c>
      <c r="I12" s="3" t="str">
        <f t="shared" si="0"/>
        <v>点240.111(12/16)</v>
      </c>
      <c r="J12" s="3">
        <f t="shared" si="1"/>
        <v>35</v>
      </c>
      <c r="K12" s="3">
        <f t="shared" ca="1" si="2"/>
        <v>394.91399999999999</v>
      </c>
      <c r="L12" s="3">
        <f t="shared" si="3"/>
        <v>394.86799999999999</v>
      </c>
      <c r="M12" s="3">
        <f t="shared" si="3"/>
        <v>394.93199999999996</v>
      </c>
    </row>
    <row r="13" spans="1:13">
      <c r="A13" s="1" t="s">
        <v>159</v>
      </c>
      <c r="B13" s="1" t="s">
        <v>170</v>
      </c>
      <c r="C13" s="1">
        <v>394.86799999999999</v>
      </c>
      <c r="H13" s="3">
        <v>11</v>
      </c>
      <c r="I13" s="3" t="str">
        <f t="shared" si="0"/>
        <v>点240.111(11/16)</v>
      </c>
      <c r="J13" s="3">
        <f t="shared" si="1"/>
        <v>32</v>
      </c>
      <c r="K13" s="3">
        <f t="shared" ca="1" si="2"/>
        <v>394.88499999999999</v>
      </c>
      <c r="L13" s="3">
        <f t="shared" si="3"/>
        <v>394.86799999999999</v>
      </c>
      <c r="M13" s="3">
        <f t="shared" si="3"/>
        <v>394.93199999999996</v>
      </c>
    </row>
    <row r="14" spans="1:13">
      <c r="A14" s="1" t="s">
        <v>623</v>
      </c>
      <c r="B14" s="1" t="s">
        <v>171</v>
      </c>
      <c r="C14" s="1">
        <v>0</v>
      </c>
      <c r="H14" s="3">
        <v>10</v>
      </c>
      <c r="I14" s="3" t="str">
        <f t="shared" si="0"/>
        <v>点240.111(10/16)</v>
      </c>
      <c r="J14" s="3">
        <f t="shared" si="1"/>
        <v>29</v>
      </c>
      <c r="K14" s="3">
        <f t="shared" ca="1" si="2"/>
        <v>394.88</v>
      </c>
      <c r="L14" s="3">
        <f t="shared" si="3"/>
        <v>394.86799999999999</v>
      </c>
      <c r="M14" s="3">
        <f t="shared" si="3"/>
        <v>394.93199999999996</v>
      </c>
    </row>
    <row r="15" spans="1:13">
      <c r="A15" s="2" t="s">
        <v>624</v>
      </c>
      <c r="B15" s="1" t="s">
        <v>157</v>
      </c>
      <c r="C15" s="1">
        <v>-139.375</v>
      </c>
      <c r="H15" s="3">
        <v>9</v>
      </c>
      <c r="I15" s="3" t="str">
        <f t="shared" si="0"/>
        <v>点240.111(9/16)</v>
      </c>
      <c r="J15" s="3">
        <f t="shared" si="1"/>
        <v>26</v>
      </c>
      <c r="K15" s="3">
        <f t="shared" ca="1" si="2"/>
        <v>394.86399999999998</v>
      </c>
      <c r="L15" s="3">
        <f t="shared" si="3"/>
        <v>394.86799999999999</v>
      </c>
      <c r="M15" s="3">
        <f t="shared" si="3"/>
        <v>394.93199999999996</v>
      </c>
    </row>
    <row r="16" spans="1:13">
      <c r="A16" s="1" t="s">
        <v>159</v>
      </c>
      <c r="B16" s="1" t="s">
        <v>170</v>
      </c>
      <c r="C16" s="1">
        <v>394.911</v>
      </c>
      <c r="H16" s="3">
        <v>8</v>
      </c>
      <c r="I16" s="3" t="str">
        <f t="shared" si="0"/>
        <v>点240.111(8/16)</v>
      </c>
      <c r="J16" s="3">
        <f t="shared" si="1"/>
        <v>23</v>
      </c>
      <c r="K16" s="3">
        <f t="shared" ca="1" si="2"/>
        <v>394.87400000000002</v>
      </c>
      <c r="L16" s="3">
        <f t="shared" si="3"/>
        <v>394.86799999999999</v>
      </c>
      <c r="M16" s="3">
        <f t="shared" si="3"/>
        <v>394.93199999999996</v>
      </c>
    </row>
    <row r="17" spans="1:13">
      <c r="A17" s="1" t="s">
        <v>625</v>
      </c>
      <c r="B17" s="1" t="s">
        <v>171</v>
      </c>
      <c r="C17" s="1">
        <v>0</v>
      </c>
      <c r="H17" s="3">
        <v>7</v>
      </c>
      <c r="I17" s="3" t="str">
        <f t="shared" si="0"/>
        <v>点240.111(7/16)</v>
      </c>
      <c r="J17" s="3">
        <f t="shared" si="1"/>
        <v>20</v>
      </c>
      <c r="K17" s="3">
        <f t="shared" ca="1" si="2"/>
        <v>394.89</v>
      </c>
      <c r="L17" s="3">
        <f t="shared" si="3"/>
        <v>394.86799999999999</v>
      </c>
      <c r="M17" s="3">
        <f t="shared" si="3"/>
        <v>394.93199999999996</v>
      </c>
    </row>
    <row r="18" spans="1:13">
      <c r="A18" s="2" t="s">
        <v>626</v>
      </c>
      <c r="B18" s="1" t="s">
        <v>157</v>
      </c>
      <c r="C18" s="1">
        <v>-139.375</v>
      </c>
      <c r="H18" s="3">
        <v>6</v>
      </c>
      <c r="I18" s="3" t="str">
        <f t="shared" si="0"/>
        <v>点240.111(6/16)</v>
      </c>
      <c r="J18" s="3">
        <f t="shared" si="1"/>
        <v>17</v>
      </c>
      <c r="K18" s="3">
        <f t="shared" ca="1" si="2"/>
        <v>394.935</v>
      </c>
      <c r="L18" s="3">
        <f t="shared" si="3"/>
        <v>394.86799999999999</v>
      </c>
      <c r="M18" s="3">
        <f t="shared" si="3"/>
        <v>394.93199999999996</v>
      </c>
    </row>
    <row r="19" spans="1:13">
      <c r="A19" s="1" t="s">
        <v>159</v>
      </c>
      <c r="B19" s="1" t="s">
        <v>170</v>
      </c>
      <c r="C19" s="1">
        <v>394.93</v>
      </c>
      <c r="H19" s="3">
        <v>5</v>
      </c>
      <c r="I19" s="3" t="str">
        <f t="shared" si="0"/>
        <v>点240.111(5/16)</v>
      </c>
      <c r="J19" s="3">
        <f t="shared" si="1"/>
        <v>14</v>
      </c>
      <c r="K19" s="3">
        <f t="shared" ca="1" si="2"/>
        <v>394.93</v>
      </c>
      <c r="L19" s="3">
        <f t="shared" si="3"/>
        <v>394.86799999999999</v>
      </c>
      <c r="M19" s="3">
        <f t="shared" si="3"/>
        <v>394.93199999999996</v>
      </c>
    </row>
    <row r="20" spans="1:13">
      <c r="A20" s="1" t="s">
        <v>627</v>
      </c>
      <c r="B20" s="1" t="s">
        <v>171</v>
      </c>
      <c r="C20" s="1">
        <v>0</v>
      </c>
      <c r="H20" s="3">
        <v>4</v>
      </c>
      <c r="I20" s="3" t="str">
        <f t="shared" si="0"/>
        <v>点240.111(4/16)</v>
      </c>
      <c r="J20" s="3">
        <f t="shared" si="1"/>
        <v>11</v>
      </c>
      <c r="K20" s="3">
        <f t="shared" ca="1" si="2"/>
        <v>394.911</v>
      </c>
      <c r="L20" s="3">
        <f t="shared" si="3"/>
        <v>394.86799999999999</v>
      </c>
      <c r="M20" s="3">
        <f t="shared" si="3"/>
        <v>394.93199999999996</v>
      </c>
    </row>
    <row r="21" spans="1:13">
      <c r="A21" s="2" t="s">
        <v>628</v>
      </c>
      <c r="B21" s="1" t="s">
        <v>157</v>
      </c>
      <c r="C21" s="1">
        <v>-139.375</v>
      </c>
      <c r="H21" s="3">
        <v>3</v>
      </c>
      <c r="I21" s="3" t="str">
        <f t="shared" si="0"/>
        <v>点240.111(3/16)</v>
      </c>
      <c r="J21" s="3">
        <f t="shared" si="1"/>
        <v>8</v>
      </c>
      <c r="K21" s="3">
        <f t="shared" ca="1" si="2"/>
        <v>394.86799999999999</v>
      </c>
      <c r="L21" s="3">
        <f t="shared" si="3"/>
        <v>394.86799999999999</v>
      </c>
      <c r="M21" s="3">
        <f t="shared" si="3"/>
        <v>394.93199999999996</v>
      </c>
    </row>
    <row r="22" spans="1:13">
      <c r="A22" s="1" t="s">
        <v>159</v>
      </c>
      <c r="B22" s="1" t="s">
        <v>170</v>
      </c>
      <c r="C22" s="1">
        <v>394.935</v>
      </c>
      <c r="H22" s="3">
        <v>2</v>
      </c>
      <c r="I22" s="3" t="str">
        <f t="shared" si="0"/>
        <v>点240.111(2/16)</v>
      </c>
      <c r="J22" s="3">
        <f t="shared" si="1"/>
        <v>5</v>
      </c>
      <c r="K22" s="3">
        <f t="shared" ca="1" si="2"/>
        <v>394.85700000000003</v>
      </c>
      <c r="L22" s="3">
        <f t="shared" si="3"/>
        <v>394.86799999999999</v>
      </c>
      <c r="M22" s="3">
        <f t="shared" si="3"/>
        <v>394.93199999999996</v>
      </c>
    </row>
    <row r="23" spans="1:13">
      <c r="A23" s="1" t="s">
        <v>629</v>
      </c>
      <c r="B23" s="1" t="s">
        <v>171</v>
      </c>
      <c r="C23" s="1">
        <v>-3.0000000000000001E-3</v>
      </c>
      <c r="H23" s="3"/>
      <c r="I23" s="3"/>
      <c r="J23" s="3"/>
      <c r="K23" s="3"/>
      <c r="L23" s="3"/>
      <c r="M23" s="3"/>
    </row>
    <row r="24" spans="1:13">
      <c r="A24" s="2" t="s">
        <v>630</v>
      </c>
      <c r="B24" s="1" t="s">
        <v>157</v>
      </c>
      <c r="C24" s="1">
        <v>-139.376</v>
      </c>
      <c r="H24" s="3"/>
      <c r="I24" s="3"/>
      <c r="J24" s="5" t="s">
        <v>3</v>
      </c>
      <c r="K24" s="3" t="str">
        <f>"&gt;"&amp;TEXT(($E$2+$E$3)/2, "0.###")</f>
        <v>&gt;394.932</v>
      </c>
      <c r="L24" s="3"/>
      <c r="M24" s="3"/>
    </row>
    <row r="25" spans="1:13">
      <c r="A25" s="1" t="s">
        <v>159</v>
      </c>
      <c r="B25" s="1" t="s">
        <v>170</v>
      </c>
      <c r="C25" s="1">
        <v>394.89</v>
      </c>
      <c r="H25" s="3"/>
      <c r="I25" s="3"/>
      <c r="J25" s="6" t="s">
        <v>59</v>
      </c>
      <c r="K25" s="3" t="str">
        <f>"&lt;"&amp;TEXT(($E$2+$C$4)/2, "0.###")</f>
        <v>&lt;394.868</v>
      </c>
      <c r="L25" s="3"/>
      <c r="M25" s="3"/>
    </row>
    <row r="26" spans="1:13">
      <c r="A26" s="1" t="s">
        <v>631</v>
      </c>
      <c r="B26" s="1" t="s">
        <v>171</v>
      </c>
      <c r="C26" s="1">
        <v>-2E-3</v>
      </c>
      <c r="H26" s="3"/>
      <c r="I26" s="3"/>
      <c r="J26" s="7"/>
      <c r="K26" s="8" t="s">
        <v>5</v>
      </c>
      <c r="L26" s="3"/>
      <c r="M26" s="3"/>
    </row>
    <row r="27" spans="1:13">
      <c r="A27" s="2" t="s">
        <v>632</v>
      </c>
      <c r="B27" s="1" t="s">
        <v>157</v>
      </c>
      <c r="C27" s="1">
        <v>-139.375</v>
      </c>
      <c r="H27" s="3"/>
      <c r="I27" s="3"/>
      <c r="J27" s="9" t="s">
        <v>6</v>
      </c>
      <c r="K27" s="10">
        <f ca="1">AVERAGE(K7:K22)*2</f>
        <v>789.78650000000027</v>
      </c>
      <c r="L27" s="3"/>
      <c r="M27" s="3"/>
    </row>
    <row r="28" spans="1:13">
      <c r="A28" s="1" t="s">
        <v>159</v>
      </c>
      <c r="B28" s="1" t="s">
        <v>170</v>
      </c>
      <c r="C28" s="1">
        <v>394.87400000000002</v>
      </c>
      <c r="H28" s="3"/>
      <c r="I28" s="3"/>
      <c r="J28" s="9"/>
      <c r="K28" s="11" t="str">
        <f ca="1">IF(K27&lt;$E$2+$C$4, "U/Min "&amp;TEXT($E$2+$C$4-K27, "0.###"), IF(K27&gt;$E$2+$E$3, "O/Max "&amp;TEXT(K27-$E$2-$E$3, "0.###"), "-"))</f>
        <v>-</v>
      </c>
      <c r="L28" s="3"/>
      <c r="M28" s="3"/>
    </row>
    <row r="29" spans="1:13">
      <c r="A29" s="1" t="s">
        <v>633</v>
      </c>
      <c r="B29" s="1" t="s">
        <v>171</v>
      </c>
      <c r="C29" s="1">
        <v>-4.0000000000000001E-3</v>
      </c>
      <c r="H29" s="3"/>
      <c r="I29" s="3"/>
      <c r="J29" s="9" t="s">
        <v>60</v>
      </c>
      <c r="K29" s="10">
        <f ca="1">MAX(K7:K22)-MIN(K7:K22)</f>
        <v>7.7999999999974534E-2</v>
      </c>
      <c r="L29" s="3"/>
      <c r="M29" s="3"/>
    </row>
    <row r="30" spans="1:13">
      <c r="A30" s="2" t="s">
        <v>634</v>
      </c>
      <c r="B30" s="1" t="s">
        <v>157</v>
      </c>
      <c r="C30" s="1">
        <v>-139.376</v>
      </c>
      <c r="H30" s="3"/>
      <c r="I30" s="3"/>
      <c r="J30" s="9"/>
      <c r="K30" s="11" t="str">
        <f ca="1">IF(K29&gt;0.13, "O/Max "&amp;TEXT(K29-0.13, "0.###"), "-")</f>
        <v>-</v>
      </c>
      <c r="L30" s="3"/>
      <c r="M30" s="3"/>
    </row>
    <row r="31" spans="1:13">
      <c r="A31" s="1" t="s">
        <v>159</v>
      </c>
      <c r="B31" s="1" t="s">
        <v>170</v>
      </c>
      <c r="C31" s="1">
        <v>394.86399999999998</v>
      </c>
      <c r="H31" s="3"/>
      <c r="I31" s="3"/>
      <c r="J31" s="9" t="s">
        <v>61</v>
      </c>
      <c r="K31" s="12">
        <f ca="1">COUNTIF(K7:K22, $K24)</f>
        <v>1</v>
      </c>
      <c r="L31" s="3"/>
      <c r="M31" s="3"/>
    </row>
    <row r="32" spans="1:13">
      <c r="A32" s="1" t="s">
        <v>635</v>
      </c>
      <c r="B32" s="1" t="s">
        <v>171</v>
      </c>
      <c r="C32" s="1">
        <v>0</v>
      </c>
      <c r="H32" s="3"/>
      <c r="I32" s="3"/>
      <c r="J32" s="13" t="s">
        <v>62</v>
      </c>
      <c r="K32" s="12">
        <f ca="1">COUNTIF(K7:K22, $K25)</f>
        <v>3</v>
      </c>
      <c r="L32" s="3"/>
      <c r="M32" s="3"/>
    </row>
    <row r="33" spans="1:13">
      <c r="A33" s="2" t="s">
        <v>636</v>
      </c>
      <c r="B33" s="1" t="s">
        <v>157</v>
      </c>
      <c r="C33" s="1">
        <v>-139.375</v>
      </c>
      <c r="H33" s="3"/>
      <c r="I33" s="3"/>
      <c r="J33" s="12"/>
      <c r="K33" s="14" t="str">
        <f ca="1">TEXT(K31+K32,"0")&amp;"/16"</f>
        <v>4/16</v>
      </c>
      <c r="L33" s="3"/>
      <c r="M33" s="3"/>
    </row>
    <row r="34" spans="1:13">
      <c r="A34" s="1" t="s">
        <v>159</v>
      </c>
      <c r="B34" s="1" t="s">
        <v>170</v>
      </c>
      <c r="C34" s="1">
        <v>394.88</v>
      </c>
      <c r="J34" s="15" t="s">
        <v>90</v>
      </c>
      <c r="K34" s="15"/>
    </row>
    <row r="35" spans="1:13">
      <c r="A35" s="1" t="s">
        <v>637</v>
      </c>
      <c r="B35" s="1" t="s">
        <v>171</v>
      </c>
      <c r="C35" s="1">
        <v>-1E-3</v>
      </c>
      <c r="J35" s="15" t="s">
        <v>91</v>
      </c>
      <c r="K35" s="16">
        <f ca="1">MAX(K7:K22)*2</f>
        <v>789.87</v>
      </c>
    </row>
    <row r="36" spans="1:13">
      <c r="A36" s="2" t="s">
        <v>638</v>
      </c>
      <c r="B36" s="1" t="s">
        <v>157</v>
      </c>
      <c r="C36" s="1">
        <v>-139.375</v>
      </c>
      <c r="J36" s="15" t="s">
        <v>92</v>
      </c>
      <c r="K36" s="16">
        <f ca="1">MIN(K7:K22)*2</f>
        <v>789.71400000000006</v>
      </c>
    </row>
    <row r="37" spans="1:13">
      <c r="A37" s="1" t="s">
        <v>159</v>
      </c>
      <c r="B37" s="1" t="s">
        <v>170</v>
      </c>
      <c r="C37" s="1">
        <v>394.88499999999999</v>
      </c>
    </row>
    <row r="38" spans="1:13">
      <c r="A38" s="1" t="s">
        <v>639</v>
      </c>
      <c r="B38" s="1" t="s">
        <v>171</v>
      </c>
      <c r="C38" s="1">
        <v>1E-3</v>
      </c>
    </row>
    <row r="39" spans="1:13">
      <c r="A39" s="2" t="s">
        <v>640</v>
      </c>
      <c r="B39" s="1" t="s">
        <v>157</v>
      </c>
      <c r="C39" s="1">
        <v>-139.375</v>
      </c>
    </row>
    <row r="40" spans="1:13">
      <c r="A40" s="1" t="s">
        <v>159</v>
      </c>
      <c r="B40" s="1" t="s">
        <v>170</v>
      </c>
      <c r="C40" s="1">
        <v>394.91399999999999</v>
      </c>
    </row>
    <row r="41" spans="1:13">
      <c r="A41" s="1" t="s">
        <v>641</v>
      </c>
      <c r="B41" s="1" t="s">
        <v>171</v>
      </c>
      <c r="C41" s="1">
        <v>-2E-3</v>
      </c>
    </row>
    <row r="42" spans="1:13">
      <c r="A42" s="2" t="s">
        <v>642</v>
      </c>
      <c r="B42" s="1" t="s">
        <v>157</v>
      </c>
      <c r="C42" s="1">
        <v>-139.375</v>
      </c>
    </row>
    <row r="43" spans="1:13">
      <c r="A43" s="1" t="s">
        <v>159</v>
      </c>
      <c r="B43" s="1" t="s">
        <v>170</v>
      </c>
      <c r="C43" s="1">
        <v>394.91</v>
      </c>
    </row>
    <row r="44" spans="1:13">
      <c r="A44" s="1" t="s">
        <v>643</v>
      </c>
      <c r="B44" s="1" t="s">
        <v>171</v>
      </c>
      <c r="C44" s="1">
        <v>0</v>
      </c>
    </row>
    <row r="45" spans="1:13">
      <c r="A45" s="2" t="s">
        <v>644</v>
      </c>
      <c r="B45" s="1" t="s">
        <v>157</v>
      </c>
      <c r="C45" s="1">
        <v>-139.375</v>
      </c>
    </row>
    <row r="46" spans="1:13">
      <c r="A46" s="1" t="s">
        <v>159</v>
      </c>
      <c r="B46" s="1" t="s">
        <v>170</v>
      </c>
      <c r="C46" s="1">
        <v>394.91699999999997</v>
      </c>
    </row>
    <row r="47" spans="1:13">
      <c r="A47" s="1" t="s">
        <v>645</v>
      </c>
      <c r="B47" s="1" t="s">
        <v>171</v>
      </c>
      <c r="C47" s="1">
        <v>-2E-3</v>
      </c>
    </row>
    <row r="48" spans="1:13">
      <c r="A48" s="2" t="s">
        <v>646</v>
      </c>
      <c r="B48" s="1" t="s">
        <v>157</v>
      </c>
      <c r="C48" s="1">
        <v>-139.374</v>
      </c>
    </row>
    <row r="49" spans="1:3">
      <c r="A49" s="1" t="s">
        <v>159</v>
      </c>
      <c r="B49" s="1" t="s">
        <v>170</v>
      </c>
      <c r="C49" s="1">
        <v>394.9</v>
      </c>
    </row>
    <row r="50" spans="1:3">
      <c r="A50" s="1" t="s">
        <v>647</v>
      </c>
      <c r="B50" s="1" t="s">
        <v>171</v>
      </c>
      <c r="C50" s="1">
        <v>0</v>
      </c>
    </row>
    <row r="51" spans="1:3">
      <c r="A51" s="2" t="s">
        <v>648</v>
      </c>
      <c r="B51" s="1" t="s">
        <v>157</v>
      </c>
      <c r="C51" s="1">
        <v>-139.376</v>
      </c>
    </row>
    <row r="52" spans="1:3">
      <c r="A52" s="1" t="s">
        <v>159</v>
      </c>
      <c r="B52" s="1" t="s">
        <v>170</v>
      </c>
      <c r="C52" s="1">
        <v>394.89100000000002</v>
      </c>
    </row>
    <row r="53" spans="1:3">
      <c r="A53" s="1" t="s">
        <v>649</v>
      </c>
      <c r="B53" s="1" t="s">
        <v>171</v>
      </c>
      <c r="C53" s="1">
        <v>1E-3</v>
      </c>
    </row>
    <row r="54" spans="1:3">
      <c r="A54" s="2" t="s">
        <v>650</v>
      </c>
      <c r="B54" s="1" t="s">
        <v>157</v>
      </c>
      <c r="C54" s="1">
        <v>-139.375</v>
      </c>
    </row>
  </sheetData>
  <phoneticPr fontId="1"/>
  <pageMargins left="0.7" right="0.7" top="0.75" bottom="0.75" header="0.3" footer="0.3"/>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dimension ref="A1:M54"/>
  <sheetViews>
    <sheetView workbookViewId="0">
      <selection activeCell="K7" sqref="K7:K22"/>
    </sheetView>
  </sheetViews>
  <sheetFormatPr defaultColWidth="9" defaultRowHeight="15"/>
  <cols>
    <col min="1" max="16384" width="9" style="1"/>
  </cols>
  <sheetData>
    <row r="1" spans="1:13">
      <c r="A1" s="1" t="s">
        <v>651</v>
      </c>
    </row>
    <row r="2" spans="1:13">
      <c r="A2" s="1" t="s">
        <v>160</v>
      </c>
      <c r="B2" s="1" t="s">
        <v>164</v>
      </c>
      <c r="C2" s="1">
        <v>793.81100000000004</v>
      </c>
      <c r="D2" s="1" t="s">
        <v>196</v>
      </c>
      <c r="E2" s="1">
        <v>793.8</v>
      </c>
    </row>
    <row r="3" spans="1:13">
      <c r="A3" s="1" t="s">
        <v>652</v>
      </c>
      <c r="B3" s="1" t="s">
        <v>162</v>
      </c>
      <c r="C3" s="1">
        <v>1.0999999999999999E-2</v>
      </c>
      <c r="D3" s="1" t="s">
        <v>163</v>
      </c>
      <c r="E3" s="1">
        <v>6.4000000000000001E-2</v>
      </c>
      <c r="F3" s="1" t="s">
        <v>158</v>
      </c>
    </row>
    <row r="4" spans="1:13">
      <c r="A4" s="2" t="s">
        <v>653</v>
      </c>
      <c r="B4" s="1" t="s">
        <v>169</v>
      </c>
      <c r="C4" s="1">
        <v>-6.4000000000000001E-2</v>
      </c>
    </row>
    <row r="6" spans="1:13">
      <c r="A6" s="1" t="s">
        <v>1301</v>
      </c>
      <c r="C6" s="1" t="s">
        <v>161</v>
      </c>
      <c r="H6" s="3"/>
      <c r="I6" s="3" t="str">
        <f>CONCATENATE(A6," : ",MID(A1,11,3))</f>
        <v>JHV723EJ : 241</v>
      </c>
      <c r="J6" s="3"/>
      <c r="K6" s="3" t="s">
        <v>23</v>
      </c>
      <c r="L6" s="3" t="s">
        <v>63</v>
      </c>
      <c r="M6" s="3" t="s">
        <v>64</v>
      </c>
    </row>
    <row r="7" spans="1:13">
      <c r="A7" s="1" t="s">
        <v>159</v>
      </c>
      <c r="B7" s="1" t="s">
        <v>170</v>
      </c>
      <c r="C7" s="1">
        <v>396.88499999999999</v>
      </c>
      <c r="H7" s="4">
        <v>1</v>
      </c>
      <c r="I7" s="3" t="str">
        <f>CONCATENATE("点241.113(", H7,"/16)")</f>
        <v>点241.113(1/16)</v>
      </c>
      <c r="J7" s="3">
        <f>MATCH(I7, A$7:A$54, 0)</f>
        <v>2</v>
      </c>
      <c r="K7" s="3">
        <f ca="1">OFFSET(C$6, J7-1, 0)</f>
        <v>396.88499999999999</v>
      </c>
      <c r="L7" s="3">
        <f>($E$2+$C$4)/2</f>
        <v>396.86799999999999</v>
      </c>
      <c r="M7" s="3">
        <f>($E$2+$E$3)/2</f>
        <v>396.93199999999996</v>
      </c>
    </row>
    <row r="8" spans="1:13">
      <c r="A8" s="1" t="s">
        <v>654</v>
      </c>
      <c r="B8" s="1" t="s">
        <v>171</v>
      </c>
      <c r="C8" s="1">
        <v>1E-3</v>
      </c>
      <c r="H8" s="3">
        <v>16</v>
      </c>
      <c r="I8" s="3" t="str">
        <f t="shared" ref="I8:I22" si="0">CONCATENATE("点241.113(", H8,"/16)")</f>
        <v>点241.113(16/16)</v>
      </c>
      <c r="J8" s="3">
        <f t="shared" ref="J8:J22" si="1">MATCH(I8, A$7:A$54, 0)</f>
        <v>47</v>
      </c>
      <c r="K8" s="3">
        <f t="shared" ref="K8:K22" ca="1" si="2">OFFSET(C$6, J8-1, 0)</f>
        <v>396.904</v>
      </c>
      <c r="L8" s="3">
        <f>L7</f>
        <v>396.86799999999999</v>
      </c>
      <c r="M8" s="3">
        <f>M7</f>
        <v>396.93199999999996</v>
      </c>
    </row>
    <row r="9" spans="1:13">
      <c r="A9" s="2" t="s">
        <v>655</v>
      </c>
      <c r="B9" s="1" t="s">
        <v>157</v>
      </c>
      <c r="C9" s="1">
        <v>-137.81100000000001</v>
      </c>
      <c r="H9" s="3">
        <v>15</v>
      </c>
      <c r="I9" s="3" t="str">
        <f t="shared" si="0"/>
        <v>点241.113(15/16)</v>
      </c>
      <c r="J9" s="3">
        <f t="shared" si="1"/>
        <v>44</v>
      </c>
      <c r="K9" s="3">
        <f t="shared" ca="1" si="2"/>
        <v>396.90899999999999</v>
      </c>
      <c r="L9" s="3">
        <f t="shared" ref="L9:M22" si="3">L8</f>
        <v>396.86799999999999</v>
      </c>
      <c r="M9" s="3">
        <f t="shared" si="3"/>
        <v>396.93199999999996</v>
      </c>
    </row>
    <row r="10" spans="1:13">
      <c r="A10" s="1" t="s">
        <v>159</v>
      </c>
      <c r="B10" s="1" t="s">
        <v>170</v>
      </c>
      <c r="C10" s="1">
        <v>396.87</v>
      </c>
      <c r="H10" s="3">
        <v>14</v>
      </c>
      <c r="I10" s="3" t="str">
        <f t="shared" si="0"/>
        <v>点241.113(14/16)</v>
      </c>
      <c r="J10" s="3">
        <f t="shared" si="1"/>
        <v>41</v>
      </c>
      <c r="K10" s="3">
        <f t="shared" ca="1" si="2"/>
        <v>396.92899999999997</v>
      </c>
      <c r="L10" s="3">
        <f t="shared" si="3"/>
        <v>396.86799999999999</v>
      </c>
      <c r="M10" s="3">
        <f t="shared" si="3"/>
        <v>396.93199999999996</v>
      </c>
    </row>
    <row r="11" spans="1:13">
      <c r="A11" s="1" t="s">
        <v>656</v>
      </c>
      <c r="B11" s="1" t="s">
        <v>171</v>
      </c>
      <c r="C11" s="1">
        <v>-3.0000000000000001E-3</v>
      </c>
      <c r="H11" s="3">
        <v>13</v>
      </c>
      <c r="I11" s="3" t="str">
        <f t="shared" si="0"/>
        <v>点241.113(13/16)</v>
      </c>
      <c r="J11" s="3">
        <f t="shared" si="1"/>
        <v>38</v>
      </c>
      <c r="K11" s="3">
        <f t="shared" ca="1" si="2"/>
        <v>396.916</v>
      </c>
      <c r="L11" s="3">
        <f t="shared" si="3"/>
        <v>396.86799999999999</v>
      </c>
      <c r="M11" s="3">
        <f t="shared" si="3"/>
        <v>396.93199999999996</v>
      </c>
    </row>
    <row r="12" spans="1:13">
      <c r="A12" s="2" t="s">
        <v>657</v>
      </c>
      <c r="B12" s="1" t="s">
        <v>157</v>
      </c>
      <c r="C12" s="1">
        <v>-137.81</v>
      </c>
      <c r="H12" s="3">
        <v>12</v>
      </c>
      <c r="I12" s="3" t="str">
        <f t="shared" si="0"/>
        <v>点241.113(12/16)</v>
      </c>
      <c r="J12" s="3">
        <f t="shared" si="1"/>
        <v>35</v>
      </c>
      <c r="K12" s="3">
        <f t="shared" ca="1" si="2"/>
        <v>396.92500000000001</v>
      </c>
      <c r="L12" s="3">
        <f t="shared" si="3"/>
        <v>396.86799999999999</v>
      </c>
      <c r="M12" s="3">
        <f t="shared" si="3"/>
        <v>396.93199999999996</v>
      </c>
    </row>
    <row r="13" spans="1:13">
      <c r="A13" s="1" t="s">
        <v>159</v>
      </c>
      <c r="B13" s="1" t="s">
        <v>170</v>
      </c>
      <c r="C13" s="1">
        <v>396.88299999999998</v>
      </c>
      <c r="H13" s="3">
        <v>11</v>
      </c>
      <c r="I13" s="3" t="str">
        <f t="shared" si="0"/>
        <v>点241.113(11/16)</v>
      </c>
      <c r="J13" s="3">
        <f t="shared" si="1"/>
        <v>32</v>
      </c>
      <c r="K13" s="3">
        <f t="shared" ca="1" si="2"/>
        <v>396.892</v>
      </c>
      <c r="L13" s="3">
        <f t="shared" si="3"/>
        <v>396.86799999999999</v>
      </c>
      <c r="M13" s="3">
        <f t="shared" si="3"/>
        <v>396.93199999999996</v>
      </c>
    </row>
    <row r="14" spans="1:13">
      <c r="A14" s="1" t="s">
        <v>658</v>
      </c>
      <c r="B14" s="1" t="s">
        <v>171</v>
      </c>
      <c r="C14" s="1">
        <v>1E-3</v>
      </c>
      <c r="H14" s="3">
        <v>10</v>
      </c>
      <c r="I14" s="3" t="str">
        <f t="shared" si="0"/>
        <v>点241.113(10/16)</v>
      </c>
      <c r="J14" s="3">
        <f t="shared" si="1"/>
        <v>29</v>
      </c>
      <c r="K14" s="3">
        <f t="shared" ca="1" si="2"/>
        <v>396.88499999999999</v>
      </c>
      <c r="L14" s="3">
        <f t="shared" si="3"/>
        <v>396.86799999999999</v>
      </c>
      <c r="M14" s="3">
        <f t="shared" si="3"/>
        <v>396.93199999999996</v>
      </c>
    </row>
    <row r="15" spans="1:13">
      <c r="A15" s="2" t="s">
        <v>659</v>
      </c>
      <c r="B15" s="1" t="s">
        <v>157</v>
      </c>
      <c r="C15" s="1">
        <v>-137.786</v>
      </c>
      <c r="H15" s="3">
        <v>9</v>
      </c>
      <c r="I15" s="3" t="str">
        <f t="shared" si="0"/>
        <v>点241.113(9/16)</v>
      </c>
      <c r="J15" s="3">
        <f t="shared" si="1"/>
        <v>26</v>
      </c>
      <c r="K15" s="3">
        <f t="shared" ca="1" si="2"/>
        <v>396.87200000000001</v>
      </c>
      <c r="L15" s="3">
        <f t="shared" si="3"/>
        <v>396.86799999999999</v>
      </c>
      <c r="M15" s="3">
        <f t="shared" si="3"/>
        <v>396.93199999999996</v>
      </c>
    </row>
    <row r="16" spans="1:13">
      <c r="A16" s="1" t="s">
        <v>159</v>
      </c>
      <c r="B16" s="1" t="s">
        <v>170</v>
      </c>
      <c r="C16" s="1">
        <v>396.92599999999999</v>
      </c>
      <c r="H16" s="3">
        <v>8</v>
      </c>
      <c r="I16" s="3" t="str">
        <f t="shared" si="0"/>
        <v>点241.113(8/16)</v>
      </c>
      <c r="J16" s="3">
        <f t="shared" si="1"/>
        <v>23</v>
      </c>
      <c r="K16" s="3">
        <f t="shared" ca="1" si="2"/>
        <v>396.887</v>
      </c>
      <c r="L16" s="3">
        <f t="shared" si="3"/>
        <v>396.86799999999999</v>
      </c>
      <c r="M16" s="3">
        <f t="shared" si="3"/>
        <v>396.93199999999996</v>
      </c>
    </row>
    <row r="17" spans="1:13">
      <c r="A17" s="1" t="s">
        <v>660</v>
      </c>
      <c r="B17" s="1" t="s">
        <v>171</v>
      </c>
      <c r="C17" s="1">
        <v>6.0000000000000001E-3</v>
      </c>
      <c r="H17" s="3">
        <v>7</v>
      </c>
      <c r="I17" s="3" t="str">
        <f t="shared" si="0"/>
        <v>点241.113(7/16)</v>
      </c>
      <c r="J17" s="3">
        <f t="shared" si="1"/>
        <v>20</v>
      </c>
      <c r="K17" s="3">
        <f t="shared" ca="1" si="2"/>
        <v>396.899</v>
      </c>
      <c r="L17" s="3">
        <f t="shared" si="3"/>
        <v>396.86799999999999</v>
      </c>
      <c r="M17" s="3">
        <f t="shared" si="3"/>
        <v>396.93199999999996</v>
      </c>
    </row>
    <row r="18" spans="1:13">
      <c r="A18" s="2" t="s">
        <v>661</v>
      </c>
      <c r="B18" s="1" t="s">
        <v>157</v>
      </c>
      <c r="C18" s="1">
        <v>-137.786</v>
      </c>
      <c r="H18" s="3">
        <v>6</v>
      </c>
      <c r="I18" s="3" t="str">
        <f t="shared" si="0"/>
        <v>点241.113(6/16)</v>
      </c>
      <c r="J18" s="3">
        <f t="shared" si="1"/>
        <v>17</v>
      </c>
      <c r="K18" s="3">
        <f t="shared" ca="1" si="2"/>
        <v>396.95400000000001</v>
      </c>
      <c r="L18" s="3">
        <f t="shared" si="3"/>
        <v>396.86799999999999</v>
      </c>
      <c r="M18" s="3">
        <f t="shared" si="3"/>
        <v>396.93199999999996</v>
      </c>
    </row>
    <row r="19" spans="1:13">
      <c r="A19" s="1" t="s">
        <v>159</v>
      </c>
      <c r="B19" s="1" t="s">
        <v>170</v>
      </c>
      <c r="C19" s="1">
        <v>396.94099999999997</v>
      </c>
      <c r="H19" s="3">
        <v>5</v>
      </c>
      <c r="I19" s="3" t="str">
        <f t="shared" si="0"/>
        <v>点241.113(5/16)</v>
      </c>
      <c r="J19" s="3">
        <f t="shared" si="1"/>
        <v>14</v>
      </c>
      <c r="K19" s="3">
        <f t="shared" ca="1" si="2"/>
        <v>396.94099999999997</v>
      </c>
      <c r="L19" s="3">
        <f t="shared" si="3"/>
        <v>396.86799999999999</v>
      </c>
      <c r="M19" s="3">
        <f t="shared" si="3"/>
        <v>396.93199999999996</v>
      </c>
    </row>
    <row r="20" spans="1:13">
      <c r="A20" s="1" t="s">
        <v>662</v>
      </c>
      <c r="B20" s="1" t="s">
        <v>171</v>
      </c>
      <c r="C20" s="1">
        <v>1E-3</v>
      </c>
      <c r="H20" s="3">
        <v>4</v>
      </c>
      <c r="I20" s="3" t="str">
        <f t="shared" si="0"/>
        <v>点241.113(4/16)</v>
      </c>
      <c r="J20" s="3">
        <f t="shared" si="1"/>
        <v>11</v>
      </c>
      <c r="K20" s="3">
        <f t="shared" ca="1" si="2"/>
        <v>396.92599999999999</v>
      </c>
      <c r="L20" s="3">
        <f t="shared" si="3"/>
        <v>396.86799999999999</v>
      </c>
      <c r="M20" s="3">
        <f t="shared" si="3"/>
        <v>396.93199999999996</v>
      </c>
    </row>
    <row r="21" spans="1:13">
      <c r="A21" s="2" t="s">
        <v>663</v>
      </c>
      <c r="B21" s="1" t="s">
        <v>157</v>
      </c>
      <c r="C21" s="1">
        <v>-137.828</v>
      </c>
      <c r="H21" s="3">
        <v>3</v>
      </c>
      <c r="I21" s="3" t="str">
        <f t="shared" si="0"/>
        <v>点241.113(3/16)</v>
      </c>
      <c r="J21" s="3">
        <f t="shared" si="1"/>
        <v>8</v>
      </c>
      <c r="K21" s="3">
        <f t="shared" ca="1" si="2"/>
        <v>396.88299999999998</v>
      </c>
      <c r="L21" s="3">
        <f t="shared" si="3"/>
        <v>396.86799999999999</v>
      </c>
      <c r="M21" s="3">
        <f t="shared" si="3"/>
        <v>396.93199999999996</v>
      </c>
    </row>
    <row r="22" spans="1:13">
      <c r="A22" s="1" t="s">
        <v>159</v>
      </c>
      <c r="B22" s="1" t="s">
        <v>170</v>
      </c>
      <c r="C22" s="1">
        <v>396.95400000000001</v>
      </c>
      <c r="H22" s="3">
        <v>2</v>
      </c>
      <c r="I22" s="3" t="str">
        <f t="shared" si="0"/>
        <v>点241.113(2/16)</v>
      </c>
      <c r="J22" s="3">
        <f t="shared" si="1"/>
        <v>5</v>
      </c>
      <c r="K22" s="3">
        <f t="shared" ca="1" si="2"/>
        <v>396.87</v>
      </c>
      <c r="L22" s="3">
        <f t="shared" si="3"/>
        <v>396.86799999999999</v>
      </c>
      <c r="M22" s="3">
        <f t="shared" si="3"/>
        <v>396.93199999999996</v>
      </c>
    </row>
    <row r="23" spans="1:13">
      <c r="A23" s="1" t="s">
        <v>664</v>
      </c>
      <c r="B23" s="1" t="s">
        <v>171</v>
      </c>
      <c r="C23" s="1">
        <v>-1.0999999999999999E-2</v>
      </c>
      <c r="H23" s="3"/>
      <c r="I23" s="3"/>
      <c r="J23" s="3"/>
      <c r="K23" s="3"/>
      <c r="L23" s="3"/>
      <c r="M23" s="3"/>
    </row>
    <row r="24" spans="1:13">
      <c r="A24" s="2" t="s">
        <v>665</v>
      </c>
      <c r="B24" s="1" t="s">
        <v>157</v>
      </c>
      <c r="C24" s="1">
        <v>-137.827</v>
      </c>
      <c r="H24" s="3"/>
      <c r="I24" s="3"/>
      <c r="J24" s="5" t="s">
        <v>3</v>
      </c>
      <c r="K24" s="3" t="str">
        <f>"&gt;"&amp;TEXT(($E$2+$E$3)/2, "0.###")</f>
        <v>&gt;396.932</v>
      </c>
      <c r="L24" s="3"/>
      <c r="M24" s="3"/>
    </row>
    <row r="25" spans="1:13">
      <c r="A25" s="1" t="s">
        <v>159</v>
      </c>
      <c r="B25" s="1" t="s">
        <v>170</v>
      </c>
      <c r="C25" s="1">
        <v>396.899</v>
      </c>
      <c r="H25" s="3"/>
      <c r="I25" s="3"/>
      <c r="J25" s="6" t="s">
        <v>4</v>
      </c>
      <c r="K25" s="3" t="str">
        <f>"&lt;"&amp;TEXT(($E$2+$C$4)/2, "0.###")</f>
        <v>&lt;396.868</v>
      </c>
      <c r="L25" s="3"/>
      <c r="M25" s="3"/>
    </row>
    <row r="26" spans="1:13">
      <c r="A26" s="1" t="s">
        <v>666</v>
      </c>
      <c r="B26" s="1" t="s">
        <v>171</v>
      </c>
      <c r="C26" s="1">
        <v>1E-3</v>
      </c>
      <c r="H26" s="3"/>
      <c r="I26" s="3"/>
      <c r="J26" s="7"/>
      <c r="K26" s="8" t="s">
        <v>5</v>
      </c>
      <c r="L26" s="3"/>
      <c r="M26" s="3"/>
    </row>
    <row r="27" spans="1:13">
      <c r="A27" s="2" t="s">
        <v>667</v>
      </c>
      <c r="B27" s="1" t="s">
        <v>157</v>
      </c>
      <c r="C27" s="1">
        <v>-137.798</v>
      </c>
      <c r="H27" s="3"/>
      <c r="I27" s="3"/>
      <c r="J27" s="9" t="s">
        <v>6</v>
      </c>
      <c r="K27" s="10">
        <f ca="1">AVERAGE(K7:K22)*2</f>
        <v>793.80962499999998</v>
      </c>
      <c r="L27" s="3"/>
      <c r="M27" s="3"/>
    </row>
    <row r="28" spans="1:13">
      <c r="A28" s="1" t="s">
        <v>159</v>
      </c>
      <c r="B28" s="1" t="s">
        <v>170</v>
      </c>
      <c r="C28" s="1">
        <v>396.887</v>
      </c>
      <c r="H28" s="3"/>
      <c r="I28" s="3"/>
      <c r="J28" s="9"/>
      <c r="K28" s="11" t="str">
        <f ca="1">IF(K27&lt;$E$2+$C$4, "U/Min "&amp;TEXT($E$2+$C$4-K27, "0.###"), IF(K27&gt;$E$2+$E$3, "O/Max "&amp;TEXT(K27-$E$2-$E$3, "0.###"), "-"))</f>
        <v>-</v>
      </c>
      <c r="L28" s="3"/>
      <c r="M28" s="3"/>
    </row>
    <row r="29" spans="1:13">
      <c r="A29" s="1" t="s">
        <v>668</v>
      </c>
      <c r="B29" s="1" t="s">
        <v>171</v>
      </c>
      <c r="C29" s="1">
        <v>3.0000000000000001E-3</v>
      </c>
      <c r="H29" s="3"/>
      <c r="I29" s="3"/>
      <c r="J29" s="9" t="s">
        <v>13</v>
      </c>
      <c r="K29" s="10">
        <f ca="1">MAX(K7:K22)-MIN(K7:K22)</f>
        <v>8.4000000000003183E-2</v>
      </c>
      <c r="L29" s="3"/>
      <c r="M29" s="3"/>
    </row>
    <row r="30" spans="1:13">
      <c r="A30" s="2" t="s">
        <v>669</v>
      </c>
      <c r="B30" s="1" t="s">
        <v>157</v>
      </c>
      <c r="C30" s="1">
        <v>-137.797</v>
      </c>
      <c r="H30" s="3"/>
      <c r="I30" s="3"/>
      <c r="J30" s="9"/>
      <c r="K30" s="11" t="str">
        <f ca="1">IF(K29&gt;0.13, "O/Max "&amp;TEXT(K29-0.13, "0.###"), "-")</f>
        <v>-</v>
      </c>
      <c r="L30" s="3"/>
      <c r="M30" s="3"/>
    </row>
    <row r="31" spans="1:13">
      <c r="A31" s="1" t="s">
        <v>159</v>
      </c>
      <c r="B31" s="1" t="s">
        <v>170</v>
      </c>
      <c r="C31" s="1">
        <v>396.87200000000001</v>
      </c>
      <c r="H31" s="3"/>
      <c r="I31" s="3"/>
      <c r="J31" s="9" t="s">
        <v>14</v>
      </c>
      <c r="K31" s="12">
        <f ca="1">COUNTIF(K7:K22, $K24)</f>
        <v>2</v>
      </c>
      <c r="L31" s="3"/>
      <c r="M31" s="3"/>
    </row>
    <row r="32" spans="1:13">
      <c r="A32" s="1" t="s">
        <v>670</v>
      </c>
      <c r="B32" s="1" t="s">
        <v>171</v>
      </c>
      <c r="C32" s="1">
        <v>1E-3</v>
      </c>
      <c r="H32" s="3"/>
      <c r="I32" s="3"/>
      <c r="J32" s="13" t="s">
        <v>9</v>
      </c>
      <c r="K32" s="12">
        <f ca="1">COUNTIF(K7:K22, $K25)</f>
        <v>0</v>
      </c>
      <c r="L32" s="3"/>
      <c r="M32" s="3"/>
    </row>
    <row r="33" spans="1:13">
      <c r="A33" s="2" t="s">
        <v>671</v>
      </c>
      <c r="B33" s="1" t="s">
        <v>157</v>
      </c>
      <c r="C33" s="1">
        <v>-137.80099999999999</v>
      </c>
      <c r="H33" s="3"/>
      <c r="I33" s="3"/>
      <c r="J33" s="12"/>
      <c r="K33" s="14" t="str">
        <f ca="1">TEXT(K31+K32,"0")&amp;"/16"</f>
        <v>2/16</v>
      </c>
      <c r="L33" s="3"/>
      <c r="M33" s="3"/>
    </row>
    <row r="34" spans="1:13">
      <c r="A34" s="1" t="s">
        <v>159</v>
      </c>
      <c r="B34" s="1" t="s">
        <v>170</v>
      </c>
      <c r="C34" s="1">
        <v>396.88499999999999</v>
      </c>
      <c r="J34" s="15" t="s">
        <v>90</v>
      </c>
      <c r="K34" s="15"/>
    </row>
    <row r="35" spans="1:13">
      <c r="A35" s="1" t="s">
        <v>672</v>
      </c>
      <c r="B35" s="1" t="s">
        <v>171</v>
      </c>
      <c r="C35" s="1">
        <v>-5.0000000000000001E-3</v>
      </c>
      <c r="J35" s="15" t="s">
        <v>91</v>
      </c>
      <c r="K35" s="16">
        <f ca="1">MAX(K7:K22)*2</f>
        <v>793.90800000000002</v>
      </c>
    </row>
    <row r="36" spans="1:13">
      <c r="A36" s="2" t="s">
        <v>673</v>
      </c>
      <c r="B36" s="1" t="s">
        <v>157</v>
      </c>
      <c r="C36" s="1">
        <v>-137.80199999999999</v>
      </c>
      <c r="J36" s="15" t="s">
        <v>92</v>
      </c>
      <c r="K36" s="16">
        <f ca="1">MIN(K7:K22)*2</f>
        <v>793.74</v>
      </c>
    </row>
    <row r="37" spans="1:13">
      <c r="A37" s="1" t="s">
        <v>159</v>
      </c>
      <c r="B37" s="1" t="s">
        <v>170</v>
      </c>
      <c r="C37" s="1">
        <v>396.892</v>
      </c>
    </row>
    <row r="38" spans="1:13">
      <c r="A38" s="1" t="s">
        <v>674</v>
      </c>
      <c r="B38" s="1" t="s">
        <v>171</v>
      </c>
      <c r="C38" s="1">
        <v>0</v>
      </c>
    </row>
    <row r="39" spans="1:13">
      <c r="A39" s="2" t="s">
        <v>675</v>
      </c>
      <c r="B39" s="1" t="s">
        <v>157</v>
      </c>
      <c r="C39" s="1">
        <v>-137.81700000000001</v>
      </c>
    </row>
    <row r="40" spans="1:13">
      <c r="A40" s="1" t="s">
        <v>159</v>
      </c>
      <c r="B40" s="1" t="s">
        <v>170</v>
      </c>
      <c r="C40" s="1">
        <v>396.92500000000001</v>
      </c>
    </row>
    <row r="41" spans="1:13">
      <c r="A41" s="1" t="s">
        <v>676</v>
      </c>
      <c r="B41" s="1" t="s">
        <v>171</v>
      </c>
      <c r="C41" s="1">
        <v>3.0000000000000001E-3</v>
      </c>
    </row>
    <row r="42" spans="1:13">
      <c r="A42" s="2" t="s">
        <v>677</v>
      </c>
      <c r="B42" s="1" t="s">
        <v>157</v>
      </c>
      <c r="C42" s="1">
        <v>-137.81700000000001</v>
      </c>
    </row>
    <row r="43" spans="1:13">
      <c r="A43" s="1" t="s">
        <v>159</v>
      </c>
      <c r="B43" s="1" t="s">
        <v>170</v>
      </c>
      <c r="C43" s="1">
        <v>396.916</v>
      </c>
    </row>
    <row r="44" spans="1:13">
      <c r="A44" s="1" t="s">
        <v>678</v>
      </c>
      <c r="B44" s="1" t="s">
        <v>171</v>
      </c>
      <c r="C44" s="1">
        <v>0</v>
      </c>
    </row>
    <row r="45" spans="1:13">
      <c r="A45" s="2" t="s">
        <v>679</v>
      </c>
      <c r="B45" s="1" t="s">
        <v>157</v>
      </c>
      <c r="C45" s="1">
        <v>-137.81299999999999</v>
      </c>
    </row>
    <row r="46" spans="1:13">
      <c r="A46" s="1" t="s">
        <v>159</v>
      </c>
      <c r="B46" s="1" t="s">
        <v>170</v>
      </c>
      <c r="C46" s="1">
        <v>396.92899999999997</v>
      </c>
    </row>
    <row r="47" spans="1:13">
      <c r="A47" s="1" t="s">
        <v>680</v>
      </c>
      <c r="B47" s="1" t="s">
        <v>171</v>
      </c>
      <c r="C47" s="1">
        <v>-6.0000000000000001E-3</v>
      </c>
    </row>
    <row r="48" spans="1:13">
      <c r="A48" s="2" t="s">
        <v>681</v>
      </c>
      <c r="B48" s="1" t="s">
        <v>157</v>
      </c>
      <c r="C48" s="1">
        <v>-137.81200000000001</v>
      </c>
    </row>
    <row r="49" spans="1:3">
      <c r="A49" s="1" t="s">
        <v>159</v>
      </c>
      <c r="B49" s="1" t="s">
        <v>170</v>
      </c>
      <c r="C49" s="1">
        <v>396.90899999999999</v>
      </c>
    </row>
    <row r="50" spans="1:3">
      <c r="A50" s="1" t="s">
        <v>682</v>
      </c>
      <c r="B50" s="1" t="s">
        <v>171</v>
      </c>
      <c r="C50" s="1">
        <v>1E-3</v>
      </c>
    </row>
    <row r="51" spans="1:3">
      <c r="A51" s="2" t="s">
        <v>683</v>
      </c>
      <c r="B51" s="1" t="s">
        <v>157</v>
      </c>
      <c r="C51" s="1">
        <v>-137.83099999999999</v>
      </c>
    </row>
    <row r="52" spans="1:3">
      <c r="A52" s="1" t="s">
        <v>159</v>
      </c>
      <c r="B52" s="1" t="s">
        <v>170</v>
      </c>
      <c r="C52" s="1">
        <v>396.904</v>
      </c>
    </row>
    <row r="53" spans="1:3">
      <c r="A53" s="1" t="s">
        <v>684</v>
      </c>
      <c r="B53" s="1" t="s">
        <v>171</v>
      </c>
      <c r="C53" s="1">
        <v>2E-3</v>
      </c>
    </row>
    <row r="54" spans="1:3">
      <c r="A54" s="2" t="s">
        <v>685</v>
      </c>
      <c r="B54" s="1" t="s">
        <v>157</v>
      </c>
      <c r="C54" s="1">
        <v>-137.83099999999999</v>
      </c>
    </row>
  </sheetData>
  <phoneticPr fontId="1"/>
  <pageMargins left="0.7" right="0.7" top="0.75" bottom="0.75" header="0.3" footer="0.3"/>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A1:M109"/>
  <sheetViews>
    <sheetView workbookViewId="0">
      <selection activeCell="K28" sqref="K28"/>
    </sheetView>
  </sheetViews>
  <sheetFormatPr defaultColWidth="9" defaultRowHeight="15"/>
  <cols>
    <col min="1" max="16384" width="9" style="1"/>
  </cols>
  <sheetData>
    <row r="1" spans="1:13">
      <c r="A1" s="1" t="s">
        <v>686</v>
      </c>
    </row>
    <row r="2" spans="1:13">
      <c r="A2" s="1" t="s">
        <v>160</v>
      </c>
      <c r="B2" s="1" t="s">
        <v>164</v>
      </c>
      <c r="C2" s="1">
        <v>811.00699999999995</v>
      </c>
      <c r="D2" s="1" t="s">
        <v>196</v>
      </c>
      <c r="E2" s="1">
        <v>811</v>
      </c>
    </row>
    <row r="3" spans="1:13">
      <c r="A3" s="1" t="s">
        <v>687</v>
      </c>
      <c r="B3" s="1" t="s">
        <v>162</v>
      </c>
      <c r="C3" s="1">
        <v>7.0000000000000001E-3</v>
      </c>
      <c r="D3" s="1" t="s">
        <v>163</v>
      </c>
      <c r="E3" s="1">
        <v>6.4000000000000001E-2</v>
      </c>
      <c r="F3" s="1" t="s">
        <v>158</v>
      </c>
    </row>
    <row r="4" spans="1:13">
      <c r="A4" s="2" t="s">
        <v>688</v>
      </c>
      <c r="B4" s="1" t="s">
        <v>169</v>
      </c>
      <c r="C4" s="1">
        <v>-6.4000000000000001E-2</v>
      </c>
    </row>
    <row r="6" spans="1:13">
      <c r="A6" s="1" t="s">
        <v>1301</v>
      </c>
      <c r="C6" s="1" t="s">
        <v>161</v>
      </c>
      <c r="H6" s="3"/>
      <c r="I6" s="3" t="str">
        <f>CONCATENATE(A6," : ",MID(A1,11,8))</f>
        <v>JHV723EJ : 242_2001</v>
      </c>
      <c r="J6" s="3"/>
      <c r="K6" s="3" t="s">
        <v>5</v>
      </c>
      <c r="L6" s="3" t="s">
        <v>1</v>
      </c>
      <c r="M6" s="3" t="s">
        <v>2</v>
      </c>
    </row>
    <row r="7" spans="1:13">
      <c r="A7" s="1" t="s">
        <v>159</v>
      </c>
      <c r="B7" s="1" t="s">
        <v>170</v>
      </c>
      <c r="C7" s="1">
        <v>405.483</v>
      </c>
      <c r="H7" s="4">
        <v>1</v>
      </c>
      <c r="I7" s="3" t="str">
        <f>CONCATENATE("点242.115_F(", H7,"/16)")</f>
        <v>点242.115_F(1/16)</v>
      </c>
      <c r="J7" s="3">
        <f>MATCH(I7, A$7:A$54, 0)</f>
        <v>2</v>
      </c>
      <c r="K7" s="3">
        <f ca="1">OFFSET(C$6, J7-1, 0)</f>
        <v>405.483</v>
      </c>
      <c r="L7" s="3">
        <f>($E$2+$C$4)/2</f>
        <v>405.46800000000002</v>
      </c>
      <c r="M7" s="3">
        <f>($E$2+$E$3)/2</f>
        <v>405.53199999999998</v>
      </c>
    </row>
    <row r="8" spans="1:13">
      <c r="A8" s="1" t="s">
        <v>689</v>
      </c>
      <c r="B8" s="1" t="s">
        <v>171</v>
      </c>
      <c r="C8" s="1">
        <v>-1E-3</v>
      </c>
      <c r="H8" s="3">
        <v>16</v>
      </c>
      <c r="I8" s="3" t="str">
        <f t="shared" ref="I8:I22" si="0">CONCATENATE("点242.115_F(", H8,"/16)")</f>
        <v>点242.115_F(16/16)</v>
      </c>
      <c r="J8" s="3">
        <f t="shared" ref="J8:J22" si="1">MATCH(I8, A$7:A$54, 0)</f>
        <v>47</v>
      </c>
      <c r="K8" s="3">
        <f t="shared" ref="K8:K22" ca="1" si="2">OFFSET(C$6, J8-1, 0)</f>
        <v>405.51</v>
      </c>
      <c r="L8" s="3">
        <f>L7</f>
        <v>405.46800000000002</v>
      </c>
      <c r="M8" s="3">
        <f>M7</f>
        <v>405.53199999999998</v>
      </c>
    </row>
    <row r="9" spans="1:13">
      <c r="A9" s="2" t="s">
        <v>220</v>
      </c>
      <c r="B9" s="1" t="s">
        <v>157</v>
      </c>
      <c r="C9" s="1">
        <v>-117.057</v>
      </c>
      <c r="H9" s="3">
        <v>15</v>
      </c>
      <c r="I9" s="3" t="str">
        <f t="shared" si="0"/>
        <v>点242.115_F(15/16)</v>
      </c>
      <c r="J9" s="3">
        <f t="shared" si="1"/>
        <v>44</v>
      </c>
      <c r="K9" s="3">
        <f t="shared" ca="1" si="2"/>
        <v>405.51600000000002</v>
      </c>
      <c r="L9" s="3">
        <f t="shared" ref="L9:M22" si="3">L8</f>
        <v>405.46800000000002</v>
      </c>
      <c r="M9" s="3">
        <f t="shared" si="3"/>
        <v>405.53199999999998</v>
      </c>
    </row>
    <row r="10" spans="1:13">
      <c r="A10" s="1" t="s">
        <v>159</v>
      </c>
      <c r="B10" s="1" t="s">
        <v>170</v>
      </c>
      <c r="C10" s="1">
        <v>405.46800000000002</v>
      </c>
      <c r="H10" s="3">
        <v>14</v>
      </c>
      <c r="I10" s="3" t="str">
        <f t="shared" si="0"/>
        <v>点242.115_F(14/16)</v>
      </c>
      <c r="J10" s="3">
        <f t="shared" si="1"/>
        <v>41</v>
      </c>
      <c r="K10" s="3">
        <f t="shared" ca="1" si="2"/>
        <v>405.52600000000001</v>
      </c>
      <c r="L10" s="3">
        <f t="shared" si="3"/>
        <v>405.46800000000002</v>
      </c>
      <c r="M10" s="3">
        <f t="shared" si="3"/>
        <v>405.53199999999998</v>
      </c>
    </row>
    <row r="11" spans="1:13">
      <c r="A11" s="1" t="s">
        <v>690</v>
      </c>
      <c r="B11" s="1" t="s">
        <v>171</v>
      </c>
      <c r="C11" s="1">
        <v>2E-3</v>
      </c>
      <c r="H11" s="3">
        <v>13</v>
      </c>
      <c r="I11" s="3" t="str">
        <f t="shared" si="0"/>
        <v>点242.115_F(13/16)</v>
      </c>
      <c r="J11" s="3">
        <f t="shared" si="1"/>
        <v>38</v>
      </c>
      <c r="K11" s="3">
        <f t="shared" ca="1" si="2"/>
        <v>405.51600000000002</v>
      </c>
      <c r="L11" s="3">
        <f t="shared" si="3"/>
        <v>405.46800000000002</v>
      </c>
      <c r="M11" s="3">
        <f t="shared" si="3"/>
        <v>405.53199999999998</v>
      </c>
    </row>
    <row r="12" spans="1:13">
      <c r="A12" s="2" t="s">
        <v>221</v>
      </c>
      <c r="B12" s="1" t="s">
        <v>157</v>
      </c>
      <c r="C12" s="1">
        <v>-117.039</v>
      </c>
      <c r="H12" s="3">
        <v>12</v>
      </c>
      <c r="I12" s="3" t="str">
        <f t="shared" si="0"/>
        <v>点242.115_F(12/16)</v>
      </c>
      <c r="J12" s="3">
        <f t="shared" si="1"/>
        <v>35</v>
      </c>
      <c r="K12" s="3">
        <f t="shared" ca="1" si="2"/>
        <v>405.517</v>
      </c>
      <c r="L12" s="3">
        <f t="shared" si="3"/>
        <v>405.46800000000002</v>
      </c>
      <c r="M12" s="3">
        <f t="shared" si="3"/>
        <v>405.53199999999998</v>
      </c>
    </row>
    <row r="13" spans="1:13">
      <c r="A13" s="1" t="s">
        <v>159</v>
      </c>
      <c r="B13" s="1" t="s">
        <v>170</v>
      </c>
      <c r="C13" s="1">
        <v>405.47699999999998</v>
      </c>
      <c r="H13" s="3">
        <v>11</v>
      </c>
      <c r="I13" s="3" t="str">
        <f t="shared" si="0"/>
        <v>点242.115_F(11/16)</v>
      </c>
      <c r="J13" s="3">
        <f t="shared" si="1"/>
        <v>32</v>
      </c>
      <c r="K13" s="3">
        <f t="shared" ca="1" si="2"/>
        <v>405.49299999999999</v>
      </c>
      <c r="L13" s="3">
        <f t="shared" si="3"/>
        <v>405.46800000000002</v>
      </c>
      <c r="M13" s="3">
        <f t="shared" si="3"/>
        <v>405.53199999999998</v>
      </c>
    </row>
    <row r="14" spans="1:13">
      <c r="A14" s="1" t="s">
        <v>691</v>
      </c>
      <c r="B14" s="1" t="s">
        <v>171</v>
      </c>
      <c r="C14" s="1">
        <v>2E-3</v>
      </c>
      <c r="H14" s="3">
        <v>10</v>
      </c>
      <c r="I14" s="3" t="str">
        <f t="shared" si="0"/>
        <v>点242.115_F(10/16)</v>
      </c>
      <c r="J14" s="3">
        <f t="shared" si="1"/>
        <v>29</v>
      </c>
      <c r="K14" s="3">
        <f t="shared" ca="1" si="2"/>
        <v>405.483</v>
      </c>
      <c r="L14" s="3">
        <f t="shared" si="3"/>
        <v>405.46800000000002</v>
      </c>
      <c r="M14" s="3">
        <f t="shared" si="3"/>
        <v>405.53199999999998</v>
      </c>
    </row>
    <row r="15" spans="1:13">
      <c r="A15" s="2" t="s">
        <v>222</v>
      </c>
      <c r="B15" s="1" t="s">
        <v>157</v>
      </c>
      <c r="C15" s="1">
        <v>-117.036</v>
      </c>
      <c r="H15" s="3">
        <v>9</v>
      </c>
      <c r="I15" s="3" t="str">
        <f t="shared" si="0"/>
        <v>点242.115_F(9/16)</v>
      </c>
      <c r="J15" s="3">
        <f t="shared" si="1"/>
        <v>26</v>
      </c>
      <c r="K15" s="3">
        <f t="shared" ca="1" si="2"/>
        <v>405.47</v>
      </c>
      <c r="L15" s="3">
        <f t="shared" si="3"/>
        <v>405.46800000000002</v>
      </c>
      <c r="M15" s="3">
        <f t="shared" si="3"/>
        <v>405.53199999999998</v>
      </c>
    </row>
    <row r="16" spans="1:13">
      <c r="A16" s="1" t="s">
        <v>159</v>
      </c>
      <c r="B16" s="1" t="s">
        <v>170</v>
      </c>
      <c r="C16" s="1">
        <v>405.52199999999999</v>
      </c>
      <c r="H16" s="3">
        <v>8</v>
      </c>
      <c r="I16" s="3" t="str">
        <f t="shared" si="0"/>
        <v>点242.115_F(8/16)</v>
      </c>
      <c r="J16" s="3">
        <f t="shared" si="1"/>
        <v>23</v>
      </c>
      <c r="K16" s="3">
        <f t="shared" ca="1" si="2"/>
        <v>405.483</v>
      </c>
      <c r="L16" s="3">
        <f t="shared" si="3"/>
        <v>405.46800000000002</v>
      </c>
      <c r="M16" s="3">
        <f t="shared" si="3"/>
        <v>405.53199999999998</v>
      </c>
    </row>
    <row r="17" spans="1:13">
      <c r="A17" s="1" t="s">
        <v>692</v>
      </c>
      <c r="B17" s="1" t="s">
        <v>171</v>
      </c>
      <c r="C17" s="1">
        <v>-1E-3</v>
      </c>
      <c r="H17" s="3">
        <v>7</v>
      </c>
      <c r="I17" s="3" t="str">
        <f t="shared" si="0"/>
        <v>点242.115_F(7/16)</v>
      </c>
      <c r="J17" s="3">
        <f t="shared" si="1"/>
        <v>20</v>
      </c>
      <c r="K17" s="3">
        <f t="shared" ca="1" si="2"/>
        <v>405.49799999999999</v>
      </c>
      <c r="L17" s="3">
        <f t="shared" si="3"/>
        <v>405.46800000000002</v>
      </c>
      <c r="M17" s="3">
        <f t="shared" si="3"/>
        <v>405.53199999999998</v>
      </c>
    </row>
    <row r="18" spans="1:13">
      <c r="A18" s="2" t="s">
        <v>223</v>
      </c>
      <c r="B18" s="1" t="s">
        <v>157</v>
      </c>
      <c r="C18" s="1">
        <v>-117.05500000000001</v>
      </c>
      <c r="H18" s="3">
        <v>6</v>
      </c>
      <c r="I18" s="3" t="str">
        <f t="shared" si="0"/>
        <v>点242.115_F(6/16)</v>
      </c>
      <c r="J18" s="3">
        <f t="shared" si="1"/>
        <v>17</v>
      </c>
      <c r="K18" s="3">
        <f t="shared" ca="1" si="2"/>
        <v>405.54700000000003</v>
      </c>
      <c r="L18" s="3">
        <f t="shared" si="3"/>
        <v>405.46800000000002</v>
      </c>
      <c r="M18" s="3">
        <f t="shared" si="3"/>
        <v>405.53199999999998</v>
      </c>
    </row>
    <row r="19" spans="1:13">
      <c r="A19" s="1" t="s">
        <v>159</v>
      </c>
      <c r="B19" s="1" t="s">
        <v>170</v>
      </c>
      <c r="C19" s="1">
        <v>405.54399999999998</v>
      </c>
      <c r="H19" s="3">
        <v>5</v>
      </c>
      <c r="I19" s="3" t="str">
        <f t="shared" si="0"/>
        <v>点242.115_F(5/16)</v>
      </c>
      <c r="J19" s="3">
        <f t="shared" si="1"/>
        <v>14</v>
      </c>
      <c r="K19" s="3">
        <f t="shared" ca="1" si="2"/>
        <v>405.54399999999998</v>
      </c>
      <c r="L19" s="3">
        <f t="shared" si="3"/>
        <v>405.46800000000002</v>
      </c>
      <c r="M19" s="3">
        <f t="shared" si="3"/>
        <v>405.53199999999998</v>
      </c>
    </row>
    <row r="20" spans="1:13">
      <c r="A20" s="1" t="s">
        <v>224</v>
      </c>
      <c r="B20" s="1" t="s">
        <v>171</v>
      </c>
      <c r="C20" s="1">
        <v>-1E-3</v>
      </c>
      <c r="H20" s="3">
        <v>4</v>
      </c>
      <c r="I20" s="3" t="str">
        <f t="shared" si="0"/>
        <v>点242.115_F(4/16)</v>
      </c>
      <c r="J20" s="3">
        <f t="shared" si="1"/>
        <v>11</v>
      </c>
      <c r="K20" s="3">
        <f t="shared" ca="1" si="2"/>
        <v>405.52199999999999</v>
      </c>
      <c r="L20" s="3">
        <f t="shared" si="3"/>
        <v>405.46800000000002</v>
      </c>
      <c r="M20" s="3">
        <f t="shared" si="3"/>
        <v>405.53199999999998</v>
      </c>
    </row>
    <row r="21" spans="1:13">
      <c r="A21" s="2" t="s">
        <v>225</v>
      </c>
      <c r="B21" s="1" t="s">
        <v>157</v>
      </c>
      <c r="C21" s="1">
        <v>-117.074</v>
      </c>
      <c r="H21" s="3">
        <v>3</v>
      </c>
      <c r="I21" s="3" t="str">
        <f t="shared" si="0"/>
        <v>点242.115_F(3/16)</v>
      </c>
      <c r="J21" s="3">
        <f t="shared" si="1"/>
        <v>8</v>
      </c>
      <c r="K21" s="3">
        <f t="shared" ca="1" si="2"/>
        <v>405.47699999999998</v>
      </c>
      <c r="L21" s="3">
        <f t="shared" si="3"/>
        <v>405.46800000000002</v>
      </c>
      <c r="M21" s="3">
        <f t="shared" si="3"/>
        <v>405.53199999999998</v>
      </c>
    </row>
    <row r="22" spans="1:13">
      <c r="A22" s="1" t="s">
        <v>159</v>
      </c>
      <c r="B22" s="1" t="s">
        <v>170</v>
      </c>
      <c r="C22" s="1">
        <v>405.54700000000003</v>
      </c>
      <c r="H22" s="3">
        <v>2</v>
      </c>
      <c r="I22" s="3" t="str">
        <f t="shared" si="0"/>
        <v>点242.115_F(2/16)</v>
      </c>
      <c r="J22" s="3">
        <f t="shared" si="1"/>
        <v>5</v>
      </c>
      <c r="K22" s="3">
        <f t="shared" ca="1" si="2"/>
        <v>405.46800000000002</v>
      </c>
      <c r="L22" s="3">
        <f t="shared" si="3"/>
        <v>405.46800000000002</v>
      </c>
      <c r="M22" s="3">
        <f t="shared" si="3"/>
        <v>405.53199999999998</v>
      </c>
    </row>
    <row r="23" spans="1:13">
      <c r="A23" s="1" t="s">
        <v>693</v>
      </c>
      <c r="B23" s="1" t="s">
        <v>171</v>
      </c>
      <c r="C23" s="1">
        <v>8.9999999999999993E-3</v>
      </c>
      <c r="H23" s="3"/>
      <c r="I23" s="3"/>
      <c r="J23" s="3"/>
      <c r="K23" s="3"/>
      <c r="L23" s="3"/>
      <c r="M23" s="3"/>
    </row>
    <row r="24" spans="1:13">
      <c r="A24" s="2" t="s">
        <v>226</v>
      </c>
      <c r="B24" s="1" t="s">
        <v>157</v>
      </c>
      <c r="C24" s="1">
        <v>-117.074</v>
      </c>
      <c r="H24" s="3"/>
      <c r="I24" s="3"/>
      <c r="J24" s="5" t="s">
        <v>3</v>
      </c>
      <c r="K24" s="3" t="str">
        <f>"&gt;"&amp;TEXT(($E$2+$E$3)/2, "0.###")</f>
        <v>&gt;405.532</v>
      </c>
      <c r="L24" s="3"/>
      <c r="M24" s="3"/>
    </row>
    <row r="25" spans="1:13">
      <c r="A25" s="1" t="s">
        <v>159</v>
      </c>
      <c r="B25" s="1" t="s">
        <v>170</v>
      </c>
      <c r="C25" s="1">
        <v>405.49799999999999</v>
      </c>
      <c r="H25" s="3"/>
      <c r="I25" s="3"/>
      <c r="J25" s="6" t="s">
        <v>4</v>
      </c>
      <c r="K25" s="3" t="str">
        <f>"&lt;"&amp;TEXT(($E$2+$C$4)/2, "0.###")</f>
        <v>&lt;405.468</v>
      </c>
      <c r="L25" s="3"/>
      <c r="M25" s="3"/>
    </row>
    <row r="26" spans="1:13">
      <c r="A26" s="1" t="s">
        <v>694</v>
      </c>
      <c r="B26" s="1" t="s">
        <v>171</v>
      </c>
      <c r="C26" s="1">
        <v>-1E-3</v>
      </c>
      <c r="H26" s="3"/>
      <c r="I26" s="3"/>
      <c r="J26" s="7"/>
      <c r="K26" s="8" t="s">
        <v>5</v>
      </c>
      <c r="L26" s="3"/>
      <c r="M26" s="3"/>
    </row>
    <row r="27" spans="1:13">
      <c r="A27" s="2" t="s">
        <v>227</v>
      </c>
      <c r="B27" s="1" t="s">
        <v>157</v>
      </c>
      <c r="C27" s="1">
        <v>-117.047</v>
      </c>
      <c r="H27" s="3"/>
      <c r="I27" s="3"/>
      <c r="J27" s="9" t="s">
        <v>24</v>
      </c>
      <c r="K27" s="10">
        <f ca="1">AVERAGE(K7:K22)*2</f>
        <v>811.00662499999987</v>
      </c>
      <c r="L27" s="3"/>
      <c r="M27" s="3"/>
    </row>
    <row r="28" spans="1:13">
      <c r="A28" s="1" t="s">
        <v>159</v>
      </c>
      <c r="B28" s="1" t="s">
        <v>170</v>
      </c>
      <c r="C28" s="1">
        <v>405.483</v>
      </c>
      <c r="H28" s="3"/>
      <c r="I28" s="3"/>
      <c r="J28" s="9"/>
      <c r="K28" s="11" t="str">
        <f ca="1">IF(K27&lt;$E$2+$C$4, "U/Min "&amp;TEXT($E$2+$C$4-K27, "0.###"), IF(K27&gt;$E$2+$E$3, "O/Max "&amp;TEXT(K27-$E$2-$E$3, "0.###"), "-"))</f>
        <v>-</v>
      </c>
      <c r="L28" s="3"/>
      <c r="M28" s="3"/>
    </row>
    <row r="29" spans="1:13">
      <c r="A29" s="1" t="s">
        <v>228</v>
      </c>
      <c r="B29" s="1" t="s">
        <v>171</v>
      </c>
      <c r="C29" s="1">
        <v>-5.0000000000000001E-3</v>
      </c>
      <c r="H29" s="3"/>
      <c r="I29" s="3"/>
      <c r="J29" s="9" t="s">
        <v>65</v>
      </c>
      <c r="K29" s="10">
        <f ca="1">MAX(K7:K22)-MIN(K7:K22)</f>
        <v>7.9000000000007731E-2</v>
      </c>
      <c r="L29" s="3"/>
      <c r="M29" s="3"/>
    </row>
    <row r="30" spans="1:13">
      <c r="A30" s="2" t="s">
        <v>695</v>
      </c>
      <c r="B30" s="1" t="s">
        <v>157</v>
      </c>
      <c r="C30" s="1">
        <v>-117.038</v>
      </c>
      <c r="H30" s="3"/>
      <c r="I30" s="3"/>
      <c r="J30" s="9"/>
      <c r="K30" s="11" t="str">
        <f ca="1">IF(K29&gt;0.13, "O/Max "&amp;TEXT(K29-0.13, "0.###"), "-")</f>
        <v>-</v>
      </c>
      <c r="L30" s="3"/>
      <c r="M30" s="3"/>
    </row>
    <row r="31" spans="1:13">
      <c r="A31" s="1" t="s">
        <v>159</v>
      </c>
      <c r="B31" s="1" t="s">
        <v>170</v>
      </c>
      <c r="C31" s="1">
        <v>405.47</v>
      </c>
      <c r="H31" s="3"/>
      <c r="I31" s="3"/>
      <c r="J31" s="9" t="s">
        <v>66</v>
      </c>
      <c r="K31" s="12">
        <f ca="1">COUNTIF(K7:K22, $K24)</f>
        <v>2</v>
      </c>
      <c r="L31" s="3"/>
      <c r="M31" s="3"/>
    </row>
    <row r="32" spans="1:13">
      <c r="A32" s="1" t="s">
        <v>696</v>
      </c>
      <c r="B32" s="1" t="s">
        <v>171</v>
      </c>
      <c r="C32" s="1">
        <v>-2E-3</v>
      </c>
      <c r="H32" s="3"/>
      <c r="I32" s="3"/>
      <c r="J32" s="13" t="s">
        <v>67</v>
      </c>
      <c r="K32" s="12">
        <f ca="1">COUNTIF(K7:K22, $K25)</f>
        <v>0</v>
      </c>
      <c r="L32" s="3"/>
      <c r="M32" s="3"/>
    </row>
    <row r="33" spans="1:13">
      <c r="A33" s="2" t="s">
        <v>229</v>
      </c>
      <c r="B33" s="1" t="s">
        <v>157</v>
      </c>
      <c r="C33" s="1">
        <v>-117.04300000000001</v>
      </c>
      <c r="H33" s="3"/>
      <c r="I33" s="3"/>
      <c r="J33" s="12"/>
      <c r="K33" s="14" t="str">
        <f ca="1">TEXT(K31+K32,"0")&amp;"/16"</f>
        <v>2/16</v>
      </c>
      <c r="L33" s="3"/>
      <c r="M33" s="3"/>
    </row>
    <row r="34" spans="1:13">
      <c r="A34" s="1" t="s">
        <v>159</v>
      </c>
      <c r="B34" s="1" t="s">
        <v>170</v>
      </c>
      <c r="C34" s="1">
        <v>405.483</v>
      </c>
      <c r="J34" s="15" t="s">
        <v>90</v>
      </c>
      <c r="K34" s="15"/>
    </row>
    <row r="35" spans="1:13">
      <c r="A35" s="1" t="s">
        <v>697</v>
      </c>
      <c r="B35" s="1" t="s">
        <v>171</v>
      </c>
      <c r="C35" s="1">
        <v>5.0000000000000001E-3</v>
      </c>
      <c r="J35" s="15" t="s">
        <v>91</v>
      </c>
      <c r="K35" s="16">
        <f ca="1">MAX(K7:K22)*2</f>
        <v>811.09400000000005</v>
      </c>
    </row>
    <row r="36" spans="1:13">
      <c r="A36" s="2" t="s">
        <v>230</v>
      </c>
      <c r="B36" s="1" t="s">
        <v>157</v>
      </c>
      <c r="C36" s="1">
        <v>-117.05200000000001</v>
      </c>
      <c r="J36" s="15" t="s">
        <v>92</v>
      </c>
      <c r="K36" s="16">
        <f ca="1">MIN(K7:K22)*2</f>
        <v>810.93600000000004</v>
      </c>
    </row>
    <row r="37" spans="1:13">
      <c r="A37" s="1" t="s">
        <v>159</v>
      </c>
      <c r="B37" s="1" t="s">
        <v>170</v>
      </c>
      <c r="C37" s="1">
        <v>405.49299999999999</v>
      </c>
    </row>
    <row r="38" spans="1:13">
      <c r="A38" s="1" t="s">
        <v>231</v>
      </c>
      <c r="B38" s="1" t="s">
        <v>171</v>
      </c>
      <c r="C38" s="1">
        <v>0</v>
      </c>
    </row>
    <row r="39" spans="1:13">
      <c r="A39" s="2" t="s">
        <v>232</v>
      </c>
      <c r="B39" s="1" t="s">
        <v>157</v>
      </c>
      <c r="C39" s="1">
        <v>-117.057</v>
      </c>
    </row>
    <row r="40" spans="1:13">
      <c r="A40" s="1" t="s">
        <v>159</v>
      </c>
      <c r="B40" s="1" t="s">
        <v>170</v>
      </c>
      <c r="C40" s="1">
        <v>405.517</v>
      </c>
    </row>
    <row r="41" spans="1:13">
      <c r="A41" s="1" t="s">
        <v>698</v>
      </c>
      <c r="B41" s="1" t="s">
        <v>171</v>
      </c>
      <c r="C41" s="1">
        <v>-1E-3</v>
      </c>
    </row>
    <row r="42" spans="1:13">
      <c r="A42" s="2" t="s">
        <v>233</v>
      </c>
      <c r="B42" s="1" t="s">
        <v>157</v>
      </c>
      <c r="C42" s="1">
        <v>-117.057</v>
      </c>
    </row>
    <row r="43" spans="1:13">
      <c r="A43" s="1" t="s">
        <v>159</v>
      </c>
      <c r="B43" s="1" t="s">
        <v>170</v>
      </c>
      <c r="C43" s="1">
        <v>405.51600000000002</v>
      </c>
    </row>
    <row r="44" spans="1:13">
      <c r="A44" s="1" t="s">
        <v>234</v>
      </c>
      <c r="B44" s="1" t="s">
        <v>171</v>
      </c>
      <c r="C44" s="1">
        <v>-1E-3</v>
      </c>
    </row>
    <row r="45" spans="1:13">
      <c r="A45" s="2" t="s">
        <v>235</v>
      </c>
      <c r="B45" s="1" t="s">
        <v>157</v>
      </c>
      <c r="C45" s="1">
        <v>-117.057</v>
      </c>
    </row>
    <row r="46" spans="1:13">
      <c r="A46" s="1" t="s">
        <v>159</v>
      </c>
      <c r="B46" s="1" t="s">
        <v>170</v>
      </c>
      <c r="C46" s="1">
        <v>405.52600000000001</v>
      </c>
    </row>
    <row r="47" spans="1:13">
      <c r="A47" s="1" t="s">
        <v>236</v>
      </c>
      <c r="B47" s="1" t="s">
        <v>171</v>
      </c>
      <c r="C47" s="1">
        <v>0</v>
      </c>
    </row>
    <row r="48" spans="1:13">
      <c r="A48" s="2" t="s">
        <v>237</v>
      </c>
      <c r="B48" s="1" t="s">
        <v>157</v>
      </c>
      <c r="C48" s="1">
        <v>-117.06699999999999</v>
      </c>
    </row>
    <row r="49" spans="1:13">
      <c r="A49" s="1" t="s">
        <v>159</v>
      </c>
      <c r="B49" s="1" t="s">
        <v>170</v>
      </c>
      <c r="C49" s="1">
        <v>405.51600000000002</v>
      </c>
    </row>
    <row r="50" spans="1:13">
      <c r="A50" s="1" t="s">
        <v>238</v>
      </c>
      <c r="B50" s="1" t="s">
        <v>171</v>
      </c>
      <c r="C50" s="1">
        <v>0</v>
      </c>
    </row>
    <row r="51" spans="1:13">
      <c r="A51" s="2" t="s">
        <v>239</v>
      </c>
      <c r="B51" s="1" t="s">
        <v>157</v>
      </c>
      <c r="C51" s="1">
        <v>-117.08</v>
      </c>
    </row>
    <row r="52" spans="1:13">
      <c r="A52" s="1" t="s">
        <v>159</v>
      </c>
      <c r="B52" s="1" t="s">
        <v>170</v>
      </c>
      <c r="C52" s="1">
        <v>405.51</v>
      </c>
    </row>
    <row r="53" spans="1:13">
      <c r="A53" s="1" t="s">
        <v>240</v>
      </c>
      <c r="B53" s="1" t="s">
        <v>171</v>
      </c>
      <c r="C53" s="1">
        <v>-3.0000000000000001E-3</v>
      </c>
    </row>
    <row r="54" spans="1:13">
      <c r="A54" s="2" t="s">
        <v>241</v>
      </c>
      <c r="B54" s="1" t="s">
        <v>157</v>
      </c>
      <c r="C54" s="1">
        <v>-117.08199999999999</v>
      </c>
    </row>
    <row r="56" spans="1:13">
      <c r="A56" s="1" t="s">
        <v>699</v>
      </c>
    </row>
    <row r="57" spans="1:13">
      <c r="A57" s="1" t="s">
        <v>160</v>
      </c>
      <c r="B57" s="1" t="s">
        <v>164</v>
      </c>
      <c r="C57" s="1">
        <v>811.02499999999998</v>
      </c>
      <c r="D57" s="1" t="s">
        <v>196</v>
      </c>
      <c r="E57" s="1">
        <v>811</v>
      </c>
    </row>
    <row r="58" spans="1:13">
      <c r="A58" s="1" t="s">
        <v>700</v>
      </c>
      <c r="B58" s="1" t="s">
        <v>162</v>
      </c>
      <c r="C58" s="1">
        <v>2.5000000000000001E-2</v>
      </c>
      <c r="D58" s="1" t="s">
        <v>163</v>
      </c>
      <c r="E58" s="1">
        <v>6.4000000000000001E-2</v>
      </c>
      <c r="F58" s="1" t="s">
        <v>158</v>
      </c>
    </row>
    <row r="59" spans="1:13">
      <c r="A59" s="2" t="s">
        <v>374</v>
      </c>
      <c r="B59" s="1" t="s">
        <v>169</v>
      </c>
      <c r="C59" s="1">
        <v>-6.4000000000000001E-2</v>
      </c>
    </row>
    <row r="61" spans="1:13">
      <c r="A61" s="1" t="s">
        <v>1301</v>
      </c>
      <c r="C61" s="1" t="s">
        <v>161</v>
      </c>
      <c r="H61" s="3"/>
      <c r="I61" s="3" t="str">
        <f>CONCATENATE(A61," : ",MID(A56,11,8))</f>
        <v>JHV723EJ : 242_2002</v>
      </c>
      <c r="J61" s="3"/>
      <c r="K61" s="3" t="s">
        <v>45</v>
      </c>
      <c r="L61" s="3" t="s">
        <v>46</v>
      </c>
      <c r="M61" s="3" t="s">
        <v>47</v>
      </c>
    </row>
    <row r="62" spans="1:13">
      <c r="A62" s="1" t="s">
        <v>159</v>
      </c>
      <c r="B62" s="1" t="s">
        <v>170</v>
      </c>
      <c r="C62" s="1">
        <v>405.48899999999998</v>
      </c>
      <c r="H62" s="4">
        <v>1</v>
      </c>
      <c r="I62" s="3" t="str">
        <f>CONCATENATE("点242.115_A(", H62,"/16)")</f>
        <v>点242.115_A(1/16)</v>
      </c>
      <c r="J62" s="3">
        <f t="shared" ref="J62:J77" si="4">MATCH(I62, A$62:A$109, 0)</f>
        <v>2</v>
      </c>
      <c r="K62" s="3">
        <f t="shared" ref="K62:K77" ca="1" si="5">SQRT(OFFSET(C$61, J62-1, 0)^2 + OFFSET(C$61, J62, 0)^2)</f>
        <v>405.48900000123308</v>
      </c>
      <c r="L62" s="3">
        <f>($E$57+$C$59)/2</f>
        <v>405.46800000000002</v>
      </c>
      <c r="M62" s="3">
        <f>($E$57+$E$58)/2</f>
        <v>405.53199999999998</v>
      </c>
    </row>
    <row r="63" spans="1:13">
      <c r="A63" s="1" t="s">
        <v>701</v>
      </c>
      <c r="B63" s="1" t="s">
        <v>171</v>
      </c>
      <c r="C63" s="1">
        <v>-1E-3</v>
      </c>
      <c r="H63" s="3">
        <v>16</v>
      </c>
      <c r="I63" s="3" t="str">
        <f t="shared" ref="I63:I77" si="6">CONCATENATE("点242.115_A(", H63,"/16)")</f>
        <v>点242.115_A(16/16)</v>
      </c>
      <c r="J63" s="3">
        <f t="shared" si="4"/>
        <v>47</v>
      </c>
      <c r="K63" s="3">
        <f t="shared" ca="1" si="5"/>
        <v>405.51700001109697</v>
      </c>
      <c r="L63" s="3">
        <f>L62</f>
        <v>405.46800000000002</v>
      </c>
      <c r="M63" s="3">
        <f>M62</f>
        <v>405.53199999999998</v>
      </c>
    </row>
    <row r="64" spans="1:13">
      <c r="A64" s="2" t="s">
        <v>702</v>
      </c>
      <c r="B64" s="1" t="s">
        <v>157</v>
      </c>
      <c r="C64" s="1">
        <v>-108.20699999999999</v>
      </c>
      <c r="H64" s="3">
        <v>15</v>
      </c>
      <c r="I64" s="3" t="str">
        <f t="shared" si="6"/>
        <v>点242.115_A(15/16)</v>
      </c>
      <c r="J64" s="3">
        <f t="shared" si="4"/>
        <v>44</v>
      </c>
      <c r="K64" s="3">
        <f t="shared" ca="1" si="5"/>
        <v>405.52699999999999</v>
      </c>
      <c r="L64" s="3">
        <f t="shared" ref="L64:M77" si="7">L63</f>
        <v>405.46800000000002</v>
      </c>
      <c r="M64" s="3">
        <f t="shared" si="7"/>
        <v>405.53199999999998</v>
      </c>
    </row>
    <row r="65" spans="1:13">
      <c r="A65" s="1" t="s">
        <v>159</v>
      </c>
      <c r="B65" s="1" t="s">
        <v>170</v>
      </c>
      <c r="C65" s="1">
        <v>405.47300000000001</v>
      </c>
      <c r="H65" s="3">
        <v>14</v>
      </c>
      <c r="I65" s="3" t="str">
        <f t="shared" si="6"/>
        <v>点242.115_A(14/16)</v>
      </c>
      <c r="J65" s="3">
        <f t="shared" si="4"/>
        <v>41</v>
      </c>
      <c r="K65" s="3">
        <f t="shared" ca="1" si="5"/>
        <v>405.53000004438633</v>
      </c>
      <c r="L65" s="3">
        <f t="shared" si="7"/>
        <v>405.46800000000002</v>
      </c>
      <c r="M65" s="3">
        <f t="shared" si="7"/>
        <v>405.53199999999998</v>
      </c>
    </row>
    <row r="66" spans="1:13">
      <c r="A66" s="1" t="s">
        <v>703</v>
      </c>
      <c r="B66" s="1" t="s">
        <v>171</v>
      </c>
      <c r="C66" s="1">
        <v>3.0000000000000001E-3</v>
      </c>
      <c r="H66" s="3">
        <v>13</v>
      </c>
      <c r="I66" s="3" t="str">
        <f t="shared" si="6"/>
        <v>点242.115_A(13/16)</v>
      </c>
      <c r="J66" s="3">
        <f t="shared" si="4"/>
        <v>38</v>
      </c>
      <c r="K66" s="3">
        <f t="shared" ca="1" si="5"/>
        <v>405.52700000123298</v>
      </c>
      <c r="L66" s="3">
        <f t="shared" si="7"/>
        <v>405.46800000000002</v>
      </c>
      <c r="M66" s="3">
        <f t="shared" si="7"/>
        <v>405.53199999999998</v>
      </c>
    </row>
    <row r="67" spans="1:13">
      <c r="A67" s="2" t="s">
        <v>704</v>
      </c>
      <c r="B67" s="1" t="s">
        <v>157</v>
      </c>
      <c r="C67" s="1">
        <v>-108.19</v>
      </c>
      <c r="H67" s="3">
        <v>12</v>
      </c>
      <c r="I67" s="3" t="str">
        <f t="shared" si="6"/>
        <v>点242.115_A(12/16)</v>
      </c>
      <c r="J67" s="3">
        <f t="shared" si="4"/>
        <v>35</v>
      </c>
      <c r="K67" s="3">
        <f t="shared" ca="1" si="5"/>
        <v>405.52700000493184</v>
      </c>
      <c r="L67" s="3">
        <f t="shared" si="7"/>
        <v>405.46800000000002</v>
      </c>
      <c r="M67" s="3">
        <f t="shared" si="7"/>
        <v>405.53199999999998</v>
      </c>
    </row>
    <row r="68" spans="1:13">
      <c r="A68" s="1" t="s">
        <v>159</v>
      </c>
      <c r="B68" s="1" t="s">
        <v>170</v>
      </c>
      <c r="C68" s="1">
        <v>405.47899999999998</v>
      </c>
      <c r="H68" s="3">
        <v>11</v>
      </c>
      <c r="I68" s="3" t="str">
        <f t="shared" si="6"/>
        <v>点242.115_A(11/16)</v>
      </c>
      <c r="J68" s="3">
        <f t="shared" si="4"/>
        <v>32</v>
      </c>
      <c r="K68" s="3">
        <f t="shared" ca="1" si="5"/>
        <v>405.51000000123304</v>
      </c>
      <c r="L68" s="3">
        <f t="shared" si="7"/>
        <v>405.46800000000002</v>
      </c>
      <c r="M68" s="3">
        <f t="shared" si="7"/>
        <v>405.53199999999998</v>
      </c>
    </row>
    <row r="69" spans="1:13">
      <c r="A69" s="1" t="s">
        <v>705</v>
      </c>
      <c r="B69" s="1" t="s">
        <v>171</v>
      </c>
      <c r="C69" s="1">
        <v>2E-3</v>
      </c>
      <c r="H69" s="3">
        <v>10</v>
      </c>
      <c r="I69" s="3" t="str">
        <f t="shared" si="6"/>
        <v>点242.115_A(10/16)</v>
      </c>
      <c r="J69" s="3">
        <f t="shared" si="4"/>
        <v>29</v>
      </c>
      <c r="K69" s="3">
        <f t="shared" ca="1" si="5"/>
        <v>405.50100000493217</v>
      </c>
      <c r="L69" s="3">
        <f t="shared" si="7"/>
        <v>405.46800000000002</v>
      </c>
      <c r="M69" s="3">
        <f t="shared" si="7"/>
        <v>405.53199999999998</v>
      </c>
    </row>
    <row r="70" spans="1:13">
      <c r="A70" s="2" t="s">
        <v>706</v>
      </c>
      <c r="B70" s="1" t="s">
        <v>157</v>
      </c>
      <c r="C70" s="1">
        <v>-108.185</v>
      </c>
      <c r="H70" s="3">
        <v>9</v>
      </c>
      <c r="I70" s="3" t="str">
        <f t="shared" si="6"/>
        <v>点242.115_A(9/16)</v>
      </c>
      <c r="J70" s="3">
        <f t="shared" si="4"/>
        <v>26</v>
      </c>
      <c r="K70" s="3">
        <f t="shared" ca="1" si="5"/>
        <v>405.47800000123311</v>
      </c>
      <c r="L70" s="3">
        <f t="shared" si="7"/>
        <v>405.46800000000002</v>
      </c>
      <c r="M70" s="3">
        <f t="shared" si="7"/>
        <v>405.53199999999998</v>
      </c>
    </row>
    <row r="71" spans="1:13">
      <c r="A71" s="1" t="s">
        <v>159</v>
      </c>
      <c r="B71" s="1" t="s">
        <v>170</v>
      </c>
      <c r="C71" s="1">
        <v>405.52800000000002</v>
      </c>
      <c r="H71" s="3">
        <v>8</v>
      </c>
      <c r="I71" s="3" t="str">
        <f t="shared" si="6"/>
        <v>点242.115_A(8/16)</v>
      </c>
      <c r="J71" s="3">
        <f t="shared" si="4"/>
        <v>23</v>
      </c>
      <c r="K71" s="3">
        <f t="shared" ca="1" si="5"/>
        <v>405.4860000308272</v>
      </c>
      <c r="L71" s="3">
        <f t="shared" si="7"/>
        <v>405.46800000000002</v>
      </c>
      <c r="M71" s="3">
        <f t="shared" si="7"/>
        <v>405.53199999999998</v>
      </c>
    </row>
    <row r="72" spans="1:13">
      <c r="A72" s="1" t="s">
        <v>707</v>
      </c>
      <c r="B72" s="1" t="s">
        <v>171</v>
      </c>
      <c r="C72" s="1">
        <v>3.0000000000000001E-3</v>
      </c>
      <c r="H72" s="3">
        <v>7</v>
      </c>
      <c r="I72" s="3" t="str">
        <f t="shared" si="6"/>
        <v>点242.115_A(7/16)</v>
      </c>
      <c r="J72" s="3">
        <f t="shared" si="4"/>
        <v>20</v>
      </c>
      <c r="K72" s="3">
        <f t="shared" ca="1" si="5"/>
        <v>405.5110000049321</v>
      </c>
      <c r="L72" s="3">
        <f t="shared" si="7"/>
        <v>405.46800000000002</v>
      </c>
      <c r="M72" s="3">
        <f t="shared" si="7"/>
        <v>405.53199999999998</v>
      </c>
    </row>
    <row r="73" spans="1:13">
      <c r="A73" s="2" t="s">
        <v>708</v>
      </c>
      <c r="B73" s="1" t="s">
        <v>157</v>
      </c>
      <c r="C73" s="1">
        <v>-108.206</v>
      </c>
      <c r="H73" s="3">
        <v>6</v>
      </c>
      <c r="I73" s="3" t="str">
        <f t="shared" si="6"/>
        <v>点242.115_A(6/16)</v>
      </c>
      <c r="J73" s="3">
        <f t="shared" si="4"/>
        <v>17</v>
      </c>
      <c r="K73" s="3">
        <f t="shared" ca="1" si="5"/>
        <v>405.55700000000002</v>
      </c>
      <c r="L73" s="3">
        <f t="shared" si="7"/>
        <v>405.46800000000002</v>
      </c>
      <c r="M73" s="3">
        <f t="shared" si="7"/>
        <v>405.53199999999998</v>
      </c>
    </row>
    <row r="74" spans="1:13">
      <c r="A74" s="1" t="s">
        <v>159</v>
      </c>
      <c r="B74" s="1" t="s">
        <v>170</v>
      </c>
      <c r="C74" s="1">
        <v>405.55799999999999</v>
      </c>
      <c r="H74" s="3">
        <v>5</v>
      </c>
      <c r="I74" s="3" t="str">
        <f t="shared" si="6"/>
        <v>点242.115_A(5/16)</v>
      </c>
      <c r="J74" s="3">
        <f t="shared" si="4"/>
        <v>14</v>
      </c>
      <c r="K74" s="3">
        <f t="shared" ca="1" si="5"/>
        <v>405.55800000123287</v>
      </c>
      <c r="L74" s="3">
        <f t="shared" si="7"/>
        <v>405.46800000000002</v>
      </c>
      <c r="M74" s="3">
        <f t="shared" si="7"/>
        <v>405.53199999999998</v>
      </c>
    </row>
    <row r="75" spans="1:13">
      <c r="A75" s="1" t="s">
        <v>709</v>
      </c>
      <c r="B75" s="1" t="s">
        <v>171</v>
      </c>
      <c r="C75" s="1">
        <v>-1E-3</v>
      </c>
      <c r="H75" s="3">
        <v>4</v>
      </c>
      <c r="I75" s="3" t="str">
        <f t="shared" si="6"/>
        <v>点242.115_A(4/16)</v>
      </c>
      <c r="J75" s="3">
        <f t="shared" si="4"/>
        <v>11</v>
      </c>
      <c r="K75" s="3">
        <f t="shared" ca="1" si="5"/>
        <v>405.52800001109665</v>
      </c>
      <c r="L75" s="3">
        <f t="shared" si="7"/>
        <v>405.46800000000002</v>
      </c>
      <c r="M75" s="3">
        <f t="shared" si="7"/>
        <v>405.53199999999998</v>
      </c>
    </row>
    <row r="76" spans="1:13">
      <c r="A76" s="2" t="s">
        <v>710</v>
      </c>
      <c r="B76" s="1" t="s">
        <v>157</v>
      </c>
      <c r="C76" s="1">
        <v>-108.224</v>
      </c>
      <c r="H76" s="3">
        <v>3</v>
      </c>
      <c r="I76" s="3" t="str">
        <f t="shared" si="6"/>
        <v>点242.115_A(3/16)</v>
      </c>
      <c r="J76" s="3">
        <f t="shared" si="4"/>
        <v>8</v>
      </c>
      <c r="K76" s="3">
        <f t="shared" ca="1" si="5"/>
        <v>405.47900000493246</v>
      </c>
      <c r="L76" s="3">
        <f t="shared" si="7"/>
        <v>405.46800000000002</v>
      </c>
      <c r="M76" s="3">
        <f t="shared" si="7"/>
        <v>405.53199999999998</v>
      </c>
    </row>
    <row r="77" spans="1:13">
      <c r="A77" s="1" t="s">
        <v>159</v>
      </c>
      <c r="B77" s="1" t="s">
        <v>170</v>
      </c>
      <c r="C77" s="1">
        <v>405.55700000000002</v>
      </c>
      <c r="H77" s="3">
        <v>2</v>
      </c>
      <c r="I77" s="3" t="str">
        <f t="shared" si="6"/>
        <v>点242.115_A(2/16)</v>
      </c>
      <c r="J77" s="3">
        <f t="shared" si="4"/>
        <v>5</v>
      </c>
      <c r="K77" s="3">
        <f t="shared" ca="1" si="5"/>
        <v>405.47300001109818</v>
      </c>
      <c r="L77" s="3">
        <f t="shared" si="7"/>
        <v>405.46800000000002</v>
      </c>
      <c r="M77" s="3">
        <f t="shared" si="7"/>
        <v>405.53199999999998</v>
      </c>
    </row>
    <row r="78" spans="1:13">
      <c r="A78" s="1" t="s">
        <v>711</v>
      </c>
      <c r="B78" s="1" t="s">
        <v>171</v>
      </c>
      <c r="C78" s="1">
        <v>0</v>
      </c>
      <c r="H78" s="3"/>
      <c r="I78" s="3"/>
      <c r="J78" s="3"/>
      <c r="K78" s="3"/>
      <c r="L78" s="3"/>
      <c r="M78" s="3"/>
    </row>
    <row r="79" spans="1:13">
      <c r="A79" s="2" t="s">
        <v>712</v>
      </c>
      <c r="B79" s="1" t="s">
        <v>157</v>
      </c>
      <c r="C79" s="1">
        <v>-108.22499999999999</v>
      </c>
      <c r="H79" s="3"/>
      <c r="I79" s="3"/>
      <c r="J79" s="5" t="s">
        <v>68</v>
      </c>
      <c r="K79" s="3" t="str">
        <f>"&gt;"&amp;TEXT(($E$57+$E$58)/2, "0.###")</f>
        <v>&gt;405.532</v>
      </c>
      <c r="L79" s="3"/>
      <c r="M79" s="3"/>
    </row>
    <row r="80" spans="1:13">
      <c r="A80" s="1" t="s">
        <v>159</v>
      </c>
      <c r="B80" s="1" t="s">
        <v>170</v>
      </c>
      <c r="C80" s="1">
        <v>405.51100000000002</v>
      </c>
      <c r="H80" s="3"/>
      <c r="I80" s="3"/>
      <c r="J80" s="6" t="s">
        <v>69</v>
      </c>
      <c r="K80" s="3" t="str">
        <f>"&lt;"&amp;TEXT(($E$57+$C$59)/2, "0.###")</f>
        <v>&lt;405.468</v>
      </c>
      <c r="L80" s="3"/>
      <c r="M80" s="3"/>
    </row>
    <row r="81" spans="1:13">
      <c r="A81" s="1" t="s">
        <v>713</v>
      </c>
      <c r="B81" s="1" t="s">
        <v>171</v>
      </c>
      <c r="C81" s="1">
        <v>-2E-3</v>
      </c>
      <c r="H81" s="3"/>
      <c r="I81" s="3"/>
      <c r="J81" s="7"/>
      <c r="K81" s="8" t="s">
        <v>45</v>
      </c>
      <c r="L81" s="3"/>
      <c r="M81" s="3"/>
    </row>
    <row r="82" spans="1:13">
      <c r="A82" s="2" t="s">
        <v>714</v>
      </c>
      <c r="B82" s="1" t="s">
        <v>157</v>
      </c>
      <c r="C82" s="1">
        <v>-108.197</v>
      </c>
      <c r="H82" s="3"/>
      <c r="I82" s="3"/>
      <c r="J82" s="9" t="s">
        <v>33</v>
      </c>
      <c r="K82" s="10">
        <f ca="1">AVERAGE(K62:K77)*2</f>
        <v>811.0247500168</v>
      </c>
      <c r="L82" s="3"/>
      <c r="M82" s="3"/>
    </row>
    <row r="83" spans="1:13">
      <c r="A83" s="1" t="s">
        <v>159</v>
      </c>
      <c r="B83" s="1" t="s">
        <v>170</v>
      </c>
      <c r="C83" s="1">
        <v>405.48599999999999</v>
      </c>
      <c r="H83" s="3"/>
      <c r="I83" s="3"/>
      <c r="J83" s="9"/>
      <c r="K83" s="11" t="str">
        <f ca="1">IF(K82&lt;$E$2+$C$4, "U/Min "&amp;TEXT($E$2+$C$4-K82, "0.###"), IF(K82&gt;$E$2+$E$3, "O/Max "&amp;TEXT(K82-$E$2-$E$3, "0.###"), "-"))</f>
        <v>-</v>
      </c>
      <c r="L83" s="3"/>
      <c r="M83" s="3"/>
    </row>
    <row r="84" spans="1:13">
      <c r="A84" s="1" t="s">
        <v>715</v>
      </c>
      <c r="B84" s="1" t="s">
        <v>171</v>
      </c>
      <c r="C84" s="1">
        <v>-5.0000000000000001E-3</v>
      </c>
      <c r="H84" s="3"/>
      <c r="I84" s="3"/>
      <c r="J84" s="9" t="s">
        <v>34</v>
      </c>
      <c r="K84" s="10">
        <f ca="1">MAX(K62:K77)-MIN(K62:K77)</f>
        <v>8.4999990134690506E-2</v>
      </c>
      <c r="L84" s="3"/>
      <c r="M84" s="3"/>
    </row>
    <row r="85" spans="1:13">
      <c r="A85" s="2" t="s">
        <v>716</v>
      </c>
      <c r="B85" s="1" t="s">
        <v>157</v>
      </c>
      <c r="C85" s="1">
        <v>-108.188</v>
      </c>
      <c r="H85" s="3"/>
      <c r="I85" s="3"/>
      <c r="J85" s="9"/>
      <c r="K85" s="11" t="str">
        <f ca="1">IF(K84&gt;0.13, "O/Max "&amp;TEXT(K84-0.13, "0.###"), "-")</f>
        <v>-</v>
      </c>
      <c r="L85" s="3"/>
      <c r="M85" s="3"/>
    </row>
    <row r="86" spans="1:13">
      <c r="A86" s="1" t="s">
        <v>159</v>
      </c>
      <c r="B86" s="1" t="s">
        <v>170</v>
      </c>
      <c r="C86" s="1">
        <v>405.47800000000001</v>
      </c>
      <c r="H86" s="3"/>
      <c r="I86" s="3"/>
      <c r="J86" s="9" t="s">
        <v>35</v>
      </c>
      <c r="K86" s="12">
        <f ca="1">COUNTIF(K62:K77, $K79)</f>
        <v>2</v>
      </c>
      <c r="L86" s="3"/>
      <c r="M86" s="3"/>
    </row>
    <row r="87" spans="1:13">
      <c r="A87" s="1" t="s">
        <v>717</v>
      </c>
      <c r="B87" s="1" t="s">
        <v>171</v>
      </c>
      <c r="C87" s="1">
        <v>-1E-3</v>
      </c>
      <c r="H87" s="3"/>
      <c r="I87" s="3"/>
      <c r="J87" s="13" t="s">
        <v>36</v>
      </c>
      <c r="K87" s="12">
        <f ca="1">COUNTIF(K62:K77, $K80)</f>
        <v>0</v>
      </c>
      <c r="L87" s="3"/>
      <c r="M87" s="3"/>
    </row>
    <row r="88" spans="1:13">
      <c r="A88" s="2" t="s">
        <v>718</v>
      </c>
      <c r="B88" s="1" t="s">
        <v>157</v>
      </c>
      <c r="C88" s="1">
        <v>-108.194</v>
      </c>
      <c r="H88" s="3"/>
      <c r="I88" s="3"/>
      <c r="J88" s="12"/>
      <c r="K88" s="14" t="str">
        <f ca="1">TEXT(K86+K87,"0")&amp;"/16"</f>
        <v>2/16</v>
      </c>
      <c r="L88" s="3"/>
      <c r="M88" s="3"/>
    </row>
    <row r="89" spans="1:13">
      <c r="A89" s="1" t="s">
        <v>159</v>
      </c>
      <c r="B89" s="1" t="s">
        <v>170</v>
      </c>
      <c r="C89" s="1">
        <v>405.50099999999998</v>
      </c>
      <c r="J89" s="15" t="s">
        <v>90</v>
      </c>
      <c r="K89" s="15"/>
    </row>
    <row r="90" spans="1:13">
      <c r="A90" s="1" t="s">
        <v>719</v>
      </c>
      <c r="B90" s="1" t="s">
        <v>171</v>
      </c>
      <c r="C90" s="1">
        <v>2E-3</v>
      </c>
      <c r="J90" s="15" t="s">
        <v>91</v>
      </c>
      <c r="K90" s="16">
        <f ca="1">MAX(K62:K77)*2</f>
        <v>811.11600000246574</v>
      </c>
    </row>
    <row r="91" spans="1:13">
      <c r="A91" s="2" t="s">
        <v>720</v>
      </c>
      <c r="B91" s="1" t="s">
        <v>157</v>
      </c>
      <c r="C91" s="1">
        <v>-108.202</v>
      </c>
      <c r="J91" s="15" t="s">
        <v>92</v>
      </c>
      <c r="K91" s="16">
        <f ca="1">MIN(K62:K77)*2</f>
        <v>810.94600002219636</v>
      </c>
    </row>
    <row r="92" spans="1:13">
      <c r="A92" s="1" t="s">
        <v>159</v>
      </c>
      <c r="B92" s="1" t="s">
        <v>170</v>
      </c>
      <c r="C92" s="1">
        <v>405.51</v>
      </c>
    </row>
    <row r="93" spans="1:13">
      <c r="A93" s="1" t="s">
        <v>721</v>
      </c>
      <c r="B93" s="1" t="s">
        <v>171</v>
      </c>
      <c r="C93" s="1">
        <v>1E-3</v>
      </c>
    </row>
    <row r="94" spans="1:13">
      <c r="A94" s="2" t="s">
        <v>722</v>
      </c>
      <c r="B94" s="1" t="s">
        <v>157</v>
      </c>
      <c r="C94" s="1">
        <v>-108.206</v>
      </c>
    </row>
    <row r="95" spans="1:13">
      <c r="A95" s="1" t="s">
        <v>159</v>
      </c>
      <c r="B95" s="1" t="s">
        <v>170</v>
      </c>
      <c r="C95" s="1">
        <v>405.52699999999999</v>
      </c>
    </row>
    <row r="96" spans="1:13">
      <c r="A96" s="1" t="s">
        <v>723</v>
      </c>
      <c r="B96" s="1" t="s">
        <v>171</v>
      </c>
      <c r="C96" s="1">
        <v>2E-3</v>
      </c>
    </row>
    <row r="97" spans="1:3">
      <c r="A97" s="2" t="s">
        <v>724</v>
      </c>
      <c r="B97" s="1" t="s">
        <v>157</v>
      </c>
      <c r="C97" s="1">
        <v>-108.208</v>
      </c>
    </row>
    <row r="98" spans="1:3">
      <c r="A98" s="1" t="s">
        <v>159</v>
      </c>
      <c r="B98" s="1" t="s">
        <v>170</v>
      </c>
      <c r="C98" s="1">
        <v>405.52699999999999</v>
      </c>
    </row>
    <row r="99" spans="1:3">
      <c r="A99" s="1" t="s">
        <v>725</v>
      </c>
      <c r="B99" s="1" t="s">
        <v>171</v>
      </c>
      <c r="C99" s="1">
        <v>-1E-3</v>
      </c>
    </row>
    <row r="100" spans="1:3">
      <c r="A100" s="2" t="s">
        <v>726</v>
      </c>
      <c r="B100" s="1" t="s">
        <v>157</v>
      </c>
      <c r="C100" s="1">
        <v>-108.206</v>
      </c>
    </row>
    <row r="101" spans="1:3">
      <c r="A101" s="1" t="s">
        <v>159</v>
      </c>
      <c r="B101" s="1" t="s">
        <v>170</v>
      </c>
      <c r="C101" s="1">
        <v>405.53</v>
      </c>
    </row>
    <row r="102" spans="1:3">
      <c r="A102" s="1" t="s">
        <v>727</v>
      </c>
      <c r="B102" s="1" t="s">
        <v>171</v>
      </c>
      <c r="C102" s="1">
        <v>6.0000000000000001E-3</v>
      </c>
    </row>
    <row r="103" spans="1:3">
      <c r="A103" s="2" t="s">
        <v>728</v>
      </c>
      <c r="B103" s="1" t="s">
        <v>157</v>
      </c>
      <c r="C103" s="1">
        <v>-108.218</v>
      </c>
    </row>
    <row r="104" spans="1:3">
      <c r="A104" s="1" t="s">
        <v>159</v>
      </c>
      <c r="B104" s="1" t="s">
        <v>170</v>
      </c>
      <c r="C104" s="1">
        <v>405.52699999999999</v>
      </c>
    </row>
    <row r="105" spans="1:3">
      <c r="A105" s="1" t="s">
        <v>729</v>
      </c>
      <c r="B105" s="1" t="s">
        <v>171</v>
      </c>
      <c r="C105" s="1">
        <v>0</v>
      </c>
    </row>
    <row r="106" spans="1:3">
      <c r="A106" s="2" t="s">
        <v>730</v>
      </c>
      <c r="B106" s="1" t="s">
        <v>157</v>
      </c>
      <c r="C106" s="1">
        <v>-108.23</v>
      </c>
    </row>
    <row r="107" spans="1:3">
      <c r="A107" s="1" t="s">
        <v>159</v>
      </c>
      <c r="B107" s="1" t="s">
        <v>170</v>
      </c>
      <c r="C107" s="1">
        <v>405.517</v>
      </c>
    </row>
    <row r="108" spans="1:3">
      <c r="A108" s="1" t="s">
        <v>731</v>
      </c>
      <c r="B108" s="1" t="s">
        <v>171</v>
      </c>
      <c r="C108" s="1">
        <v>-3.0000000000000001E-3</v>
      </c>
    </row>
    <row r="109" spans="1:3">
      <c r="A109" s="2" t="s">
        <v>732</v>
      </c>
      <c r="B109" s="1" t="s">
        <v>157</v>
      </c>
      <c r="C109" s="1">
        <v>-108.232</v>
      </c>
    </row>
  </sheetData>
  <phoneticPr fontId="1"/>
  <pageMargins left="0.7" right="0.7" top="0.75" bottom="0.75" header="0.3" footer="0.3"/>
  <pageSetup paperSize="9" orientation="portrait" r:id="rId1"/>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A1:M54"/>
  <sheetViews>
    <sheetView workbookViewId="0">
      <selection activeCell="K7" sqref="K7:K22"/>
    </sheetView>
  </sheetViews>
  <sheetFormatPr defaultColWidth="9" defaultRowHeight="15"/>
  <cols>
    <col min="1" max="16384" width="9" style="1"/>
  </cols>
  <sheetData>
    <row r="1" spans="1:13">
      <c r="A1" s="1" t="s">
        <v>733</v>
      </c>
    </row>
    <row r="2" spans="1:13">
      <c r="A2" s="1" t="s">
        <v>160</v>
      </c>
      <c r="B2" s="1" t="s">
        <v>164</v>
      </c>
      <c r="C2" s="1">
        <v>815.00599999999997</v>
      </c>
      <c r="D2" s="1" t="s">
        <v>196</v>
      </c>
      <c r="E2" s="1">
        <v>815</v>
      </c>
    </row>
    <row r="3" spans="1:13">
      <c r="A3" s="1" t="s">
        <v>734</v>
      </c>
      <c r="B3" s="1" t="s">
        <v>162</v>
      </c>
      <c r="C3" s="1">
        <v>6.0000000000000001E-3</v>
      </c>
      <c r="D3" s="1" t="s">
        <v>163</v>
      </c>
      <c r="E3" s="1">
        <v>6.4000000000000001E-2</v>
      </c>
      <c r="F3" s="1" t="s">
        <v>158</v>
      </c>
    </row>
    <row r="4" spans="1:13">
      <c r="A4" s="2" t="s">
        <v>735</v>
      </c>
      <c r="B4" s="1" t="s">
        <v>169</v>
      </c>
      <c r="C4" s="1">
        <v>-6.4000000000000001E-2</v>
      </c>
    </row>
    <row r="6" spans="1:13">
      <c r="A6" s="1" t="s">
        <v>1301</v>
      </c>
      <c r="C6" s="1" t="s">
        <v>161</v>
      </c>
      <c r="H6" s="3"/>
      <c r="I6" s="3" t="str">
        <f>CONCATENATE(A6," : ",MID(A1,11,3))</f>
        <v>JHV723EJ : 243</v>
      </c>
      <c r="J6" s="3"/>
      <c r="K6" s="3" t="s">
        <v>5</v>
      </c>
      <c r="L6" s="3" t="s">
        <v>1</v>
      </c>
      <c r="M6" s="3" t="s">
        <v>70</v>
      </c>
    </row>
    <row r="7" spans="1:13">
      <c r="A7" s="1" t="s">
        <v>159</v>
      </c>
      <c r="B7" s="1" t="s">
        <v>170</v>
      </c>
      <c r="C7" s="1">
        <v>407.48</v>
      </c>
      <c r="H7" s="4">
        <v>1</v>
      </c>
      <c r="I7" s="3" t="str">
        <f>CONCATENATE("点243.114(", H7,"/16)")</f>
        <v>点243.114(1/16)</v>
      </c>
      <c r="J7" s="3">
        <f>MATCH(I7, A$7:A$54, 0)</f>
        <v>2</v>
      </c>
      <c r="K7" s="3">
        <f ca="1">OFFSET(C$6, J7-1, 0)</f>
        <v>407.48</v>
      </c>
      <c r="L7" s="3">
        <f>($E$2+$C$4)/2</f>
        <v>407.46800000000002</v>
      </c>
      <c r="M7" s="3">
        <f>($E$2+$E$3)/2</f>
        <v>407.53199999999998</v>
      </c>
    </row>
    <row r="8" spans="1:13">
      <c r="A8" s="1" t="s">
        <v>736</v>
      </c>
      <c r="B8" s="1" t="s">
        <v>171</v>
      </c>
      <c r="C8" s="1">
        <v>0</v>
      </c>
      <c r="H8" s="3">
        <v>16</v>
      </c>
      <c r="I8" s="3" t="str">
        <f t="shared" ref="I8:I22" si="0">CONCATENATE("点243.114(", H8,"/16)")</f>
        <v>点243.114(16/16)</v>
      </c>
      <c r="J8" s="3">
        <f t="shared" ref="J8:J22" si="1">MATCH(I8, A$7:A$54, 0)</f>
        <v>47</v>
      </c>
      <c r="K8" s="3">
        <f t="shared" ref="K8:K22" ca="1" si="2">OFFSET(C$6, J8-1, 0)</f>
        <v>407.50700000000001</v>
      </c>
      <c r="L8" s="3">
        <f>L7</f>
        <v>407.46800000000002</v>
      </c>
      <c r="M8" s="3">
        <f>M7</f>
        <v>407.53199999999998</v>
      </c>
    </row>
    <row r="9" spans="1:13">
      <c r="A9" s="2" t="s">
        <v>737</v>
      </c>
      <c r="B9" s="1" t="s">
        <v>157</v>
      </c>
      <c r="C9" s="1">
        <v>-112.8</v>
      </c>
      <c r="H9" s="3">
        <v>15</v>
      </c>
      <c r="I9" s="3" t="str">
        <f t="shared" si="0"/>
        <v>点243.114(15/16)</v>
      </c>
      <c r="J9" s="3">
        <f t="shared" si="1"/>
        <v>44</v>
      </c>
      <c r="K9" s="3">
        <f t="shared" ca="1" si="2"/>
        <v>407.51499999999999</v>
      </c>
      <c r="L9" s="3">
        <f t="shared" ref="L9:M22" si="3">L8</f>
        <v>407.46800000000002</v>
      </c>
      <c r="M9" s="3">
        <f t="shared" si="3"/>
        <v>407.53199999999998</v>
      </c>
    </row>
    <row r="10" spans="1:13">
      <c r="A10" s="1" t="s">
        <v>159</v>
      </c>
      <c r="B10" s="1" t="s">
        <v>170</v>
      </c>
      <c r="C10" s="1">
        <v>407.46300000000002</v>
      </c>
      <c r="H10" s="3">
        <v>14</v>
      </c>
      <c r="I10" s="3" t="str">
        <f t="shared" si="0"/>
        <v>点243.114(14/16)</v>
      </c>
      <c r="J10" s="3">
        <f t="shared" si="1"/>
        <v>41</v>
      </c>
      <c r="K10" s="3">
        <f t="shared" ca="1" si="2"/>
        <v>407.524</v>
      </c>
      <c r="L10" s="3">
        <f t="shared" si="3"/>
        <v>407.46800000000002</v>
      </c>
      <c r="M10" s="3">
        <f t="shared" si="3"/>
        <v>407.53199999999998</v>
      </c>
    </row>
    <row r="11" spans="1:13">
      <c r="A11" s="1" t="s">
        <v>738</v>
      </c>
      <c r="B11" s="1" t="s">
        <v>171</v>
      </c>
      <c r="C11" s="1">
        <v>7.0000000000000001E-3</v>
      </c>
      <c r="H11" s="3">
        <v>13</v>
      </c>
      <c r="I11" s="3" t="str">
        <f t="shared" si="0"/>
        <v>点243.114(13/16)</v>
      </c>
      <c r="J11" s="3">
        <f t="shared" si="1"/>
        <v>38</v>
      </c>
      <c r="K11" s="3">
        <f t="shared" ca="1" si="2"/>
        <v>407.51799999999997</v>
      </c>
      <c r="L11" s="3">
        <f t="shared" si="3"/>
        <v>407.46800000000002</v>
      </c>
      <c r="M11" s="3">
        <f t="shared" si="3"/>
        <v>407.53199999999998</v>
      </c>
    </row>
    <row r="12" spans="1:13">
      <c r="A12" s="2" t="s">
        <v>739</v>
      </c>
      <c r="B12" s="1" t="s">
        <v>157</v>
      </c>
      <c r="C12" s="1">
        <v>-112.8</v>
      </c>
      <c r="H12" s="3">
        <v>12</v>
      </c>
      <c r="I12" s="3" t="str">
        <f t="shared" si="0"/>
        <v>点243.114(12/16)</v>
      </c>
      <c r="J12" s="3">
        <f t="shared" si="1"/>
        <v>35</v>
      </c>
      <c r="K12" s="3">
        <f t="shared" ca="1" si="2"/>
        <v>407.51900000000001</v>
      </c>
      <c r="L12" s="3">
        <f t="shared" si="3"/>
        <v>407.46800000000002</v>
      </c>
      <c r="M12" s="3">
        <f t="shared" si="3"/>
        <v>407.53199999999998</v>
      </c>
    </row>
    <row r="13" spans="1:13">
      <c r="A13" s="1" t="s">
        <v>159</v>
      </c>
      <c r="B13" s="1" t="s">
        <v>170</v>
      </c>
      <c r="C13" s="1">
        <v>407.471</v>
      </c>
      <c r="H13" s="3">
        <v>11</v>
      </c>
      <c r="I13" s="3" t="str">
        <f t="shared" si="0"/>
        <v>点243.114(11/16)</v>
      </c>
      <c r="J13" s="3">
        <f t="shared" si="1"/>
        <v>32</v>
      </c>
      <c r="K13" s="3">
        <f t="shared" ca="1" si="2"/>
        <v>407.49799999999999</v>
      </c>
      <c r="L13" s="3">
        <f t="shared" si="3"/>
        <v>407.46800000000002</v>
      </c>
      <c r="M13" s="3">
        <f t="shared" si="3"/>
        <v>407.53199999999998</v>
      </c>
    </row>
    <row r="14" spans="1:13">
      <c r="A14" s="1" t="s">
        <v>740</v>
      </c>
      <c r="B14" s="1" t="s">
        <v>171</v>
      </c>
      <c r="C14" s="1">
        <v>1E-3</v>
      </c>
      <c r="H14" s="3">
        <v>10</v>
      </c>
      <c r="I14" s="3" t="str">
        <f t="shared" si="0"/>
        <v>点243.114(10/16)</v>
      </c>
      <c r="J14" s="3">
        <f t="shared" si="1"/>
        <v>29</v>
      </c>
      <c r="K14" s="3">
        <f t="shared" ca="1" si="2"/>
        <v>407.483</v>
      </c>
      <c r="L14" s="3">
        <f t="shared" si="3"/>
        <v>407.46800000000002</v>
      </c>
      <c r="M14" s="3">
        <f t="shared" si="3"/>
        <v>407.53199999999998</v>
      </c>
    </row>
    <row r="15" spans="1:13">
      <c r="A15" s="2" t="s">
        <v>741</v>
      </c>
      <c r="B15" s="1" t="s">
        <v>157</v>
      </c>
      <c r="C15" s="1">
        <v>-112.8</v>
      </c>
      <c r="H15" s="3">
        <v>9</v>
      </c>
      <c r="I15" s="3" t="str">
        <f t="shared" si="0"/>
        <v>点243.114(9/16)</v>
      </c>
      <c r="J15" s="3">
        <f t="shared" si="1"/>
        <v>26</v>
      </c>
      <c r="K15" s="3">
        <f t="shared" ca="1" si="2"/>
        <v>407.47</v>
      </c>
      <c r="L15" s="3">
        <f t="shared" si="3"/>
        <v>407.46800000000002</v>
      </c>
      <c r="M15" s="3">
        <f t="shared" si="3"/>
        <v>407.53199999999998</v>
      </c>
    </row>
    <row r="16" spans="1:13">
      <c r="A16" s="1" t="s">
        <v>159</v>
      </c>
      <c r="B16" s="1" t="s">
        <v>170</v>
      </c>
      <c r="C16" s="1">
        <v>407.52</v>
      </c>
      <c r="H16" s="3">
        <v>8</v>
      </c>
      <c r="I16" s="3" t="str">
        <f t="shared" si="0"/>
        <v>点243.114(8/16)</v>
      </c>
      <c r="J16" s="3">
        <f t="shared" si="1"/>
        <v>23</v>
      </c>
      <c r="K16" s="3">
        <f t="shared" ca="1" si="2"/>
        <v>407.47899999999998</v>
      </c>
      <c r="L16" s="3">
        <f t="shared" si="3"/>
        <v>407.46800000000002</v>
      </c>
      <c r="M16" s="3">
        <f t="shared" si="3"/>
        <v>407.53199999999998</v>
      </c>
    </row>
    <row r="17" spans="1:13">
      <c r="A17" s="1" t="s">
        <v>742</v>
      </c>
      <c r="B17" s="1" t="s">
        <v>171</v>
      </c>
      <c r="C17" s="1">
        <v>-1E-3</v>
      </c>
      <c r="H17" s="3">
        <v>7</v>
      </c>
      <c r="I17" s="3" t="str">
        <f t="shared" si="0"/>
        <v>点243.114(7/16)</v>
      </c>
      <c r="J17" s="3">
        <f t="shared" si="1"/>
        <v>20</v>
      </c>
      <c r="K17" s="3">
        <f t="shared" ca="1" si="2"/>
        <v>407.50099999999998</v>
      </c>
      <c r="L17" s="3">
        <f t="shared" si="3"/>
        <v>407.46800000000002</v>
      </c>
      <c r="M17" s="3">
        <f t="shared" si="3"/>
        <v>407.53199999999998</v>
      </c>
    </row>
    <row r="18" spans="1:13">
      <c r="A18" s="2" t="s">
        <v>743</v>
      </c>
      <c r="B18" s="1" t="s">
        <v>157</v>
      </c>
      <c r="C18" s="1">
        <v>-112.8</v>
      </c>
      <c r="H18" s="3">
        <v>6</v>
      </c>
      <c r="I18" s="3" t="str">
        <f t="shared" si="0"/>
        <v>点243.114(6/16)</v>
      </c>
      <c r="J18" s="3">
        <f t="shared" si="1"/>
        <v>17</v>
      </c>
      <c r="K18" s="3">
        <f t="shared" ca="1" si="2"/>
        <v>407.55200000000002</v>
      </c>
      <c r="L18" s="3">
        <f t="shared" si="3"/>
        <v>407.46800000000002</v>
      </c>
      <c r="M18" s="3">
        <f t="shared" si="3"/>
        <v>407.53199999999998</v>
      </c>
    </row>
    <row r="19" spans="1:13">
      <c r="A19" s="1" t="s">
        <v>159</v>
      </c>
      <c r="B19" s="1" t="s">
        <v>170</v>
      </c>
      <c r="C19" s="1">
        <v>407.54599999999999</v>
      </c>
      <c r="H19" s="3">
        <v>5</v>
      </c>
      <c r="I19" s="3" t="str">
        <f t="shared" si="0"/>
        <v>点243.114(5/16)</v>
      </c>
      <c r="J19" s="3">
        <f t="shared" si="1"/>
        <v>14</v>
      </c>
      <c r="K19" s="3">
        <f t="shared" ca="1" si="2"/>
        <v>407.54599999999999</v>
      </c>
      <c r="L19" s="3">
        <f t="shared" si="3"/>
        <v>407.46800000000002</v>
      </c>
      <c r="M19" s="3">
        <f t="shared" si="3"/>
        <v>407.53199999999998</v>
      </c>
    </row>
    <row r="20" spans="1:13">
      <c r="A20" s="1" t="s">
        <v>744</v>
      </c>
      <c r="B20" s="1" t="s">
        <v>171</v>
      </c>
      <c r="C20" s="1">
        <v>0</v>
      </c>
      <c r="H20" s="3">
        <v>4</v>
      </c>
      <c r="I20" s="3" t="str">
        <f t="shared" si="0"/>
        <v>点243.114(4/16)</v>
      </c>
      <c r="J20" s="3">
        <f t="shared" si="1"/>
        <v>11</v>
      </c>
      <c r="K20" s="3">
        <f t="shared" ca="1" si="2"/>
        <v>407.52</v>
      </c>
      <c r="L20" s="3">
        <f t="shared" si="3"/>
        <v>407.46800000000002</v>
      </c>
      <c r="M20" s="3">
        <f t="shared" si="3"/>
        <v>407.53199999999998</v>
      </c>
    </row>
    <row r="21" spans="1:13">
      <c r="A21" s="2" t="s">
        <v>745</v>
      </c>
      <c r="B21" s="1" t="s">
        <v>157</v>
      </c>
      <c r="C21" s="1">
        <v>-112.8</v>
      </c>
      <c r="H21" s="3">
        <v>3</v>
      </c>
      <c r="I21" s="3" t="str">
        <f t="shared" si="0"/>
        <v>点243.114(3/16)</v>
      </c>
      <c r="J21" s="3">
        <f t="shared" si="1"/>
        <v>8</v>
      </c>
      <c r="K21" s="3">
        <f t="shared" ca="1" si="2"/>
        <v>407.471</v>
      </c>
      <c r="L21" s="3">
        <f t="shared" si="3"/>
        <v>407.46800000000002</v>
      </c>
      <c r="M21" s="3">
        <f t="shared" si="3"/>
        <v>407.53199999999998</v>
      </c>
    </row>
    <row r="22" spans="1:13">
      <c r="A22" s="1" t="s">
        <v>159</v>
      </c>
      <c r="B22" s="1" t="s">
        <v>170</v>
      </c>
      <c r="C22" s="1">
        <v>407.55200000000002</v>
      </c>
      <c r="H22" s="3">
        <v>2</v>
      </c>
      <c r="I22" s="3" t="str">
        <f t="shared" si="0"/>
        <v>点243.114(2/16)</v>
      </c>
      <c r="J22" s="3">
        <f t="shared" si="1"/>
        <v>5</v>
      </c>
      <c r="K22" s="3">
        <f t="shared" ca="1" si="2"/>
        <v>407.46300000000002</v>
      </c>
      <c r="L22" s="3">
        <f t="shared" si="3"/>
        <v>407.46800000000002</v>
      </c>
      <c r="M22" s="3">
        <f t="shared" si="3"/>
        <v>407.53199999999998</v>
      </c>
    </row>
    <row r="23" spans="1:13">
      <c r="A23" s="1" t="s">
        <v>746</v>
      </c>
      <c r="B23" s="1" t="s">
        <v>171</v>
      </c>
      <c r="C23" s="1">
        <v>5.0000000000000001E-3</v>
      </c>
      <c r="H23" s="3"/>
      <c r="I23" s="3"/>
      <c r="J23" s="3"/>
      <c r="K23" s="3"/>
      <c r="L23" s="3"/>
      <c r="M23" s="3"/>
    </row>
    <row r="24" spans="1:13">
      <c r="A24" s="2" t="s">
        <v>747</v>
      </c>
      <c r="B24" s="1" t="s">
        <v>157</v>
      </c>
      <c r="C24" s="1">
        <v>-112.801</v>
      </c>
      <c r="H24" s="3"/>
      <c r="I24" s="3"/>
      <c r="J24" s="5" t="s">
        <v>3</v>
      </c>
      <c r="K24" s="3" t="str">
        <f>"&gt;"&amp;TEXT(($E$2+$E$3)/2, "0.###")</f>
        <v>&gt;407.532</v>
      </c>
      <c r="L24" s="3"/>
      <c r="M24" s="3"/>
    </row>
    <row r="25" spans="1:13">
      <c r="A25" s="1" t="s">
        <v>159</v>
      </c>
      <c r="B25" s="1" t="s">
        <v>170</v>
      </c>
      <c r="C25" s="1">
        <v>407.50099999999998</v>
      </c>
      <c r="H25" s="3"/>
      <c r="I25" s="3"/>
      <c r="J25" s="6" t="s">
        <v>4</v>
      </c>
      <c r="K25" s="3" t="str">
        <f>"&lt;"&amp;TEXT(($E$2+$C$4)/2, "0.###")</f>
        <v>&lt;407.468</v>
      </c>
      <c r="L25" s="3"/>
      <c r="M25" s="3"/>
    </row>
    <row r="26" spans="1:13">
      <c r="A26" s="1" t="s">
        <v>748</v>
      </c>
      <c r="B26" s="1" t="s">
        <v>171</v>
      </c>
      <c r="C26" s="1">
        <v>-1E-3</v>
      </c>
      <c r="H26" s="3"/>
      <c r="I26" s="3"/>
      <c r="J26" s="7"/>
      <c r="K26" s="8" t="s">
        <v>5</v>
      </c>
      <c r="L26" s="3"/>
      <c r="M26" s="3"/>
    </row>
    <row r="27" spans="1:13">
      <c r="A27" s="2" t="s">
        <v>749</v>
      </c>
      <c r="B27" s="1" t="s">
        <v>157</v>
      </c>
      <c r="C27" s="1">
        <v>-112.8</v>
      </c>
      <c r="H27" s="3"/>
      <c r="I27" s="3"/>
      <c r="J27" s="9" t="s">
        <v>71</v>
      </c>
      <c r="K27" s="10">
        <f ca="1">AVERAGE(K7:K22)*2</f>
        <v>815.00574999999981</v>
      </c>
      <c r="L27" s="3"/>
      <c r="M27" s="3"/>
    </row>
    <row r="28" spans="1:13">
      <c r="A28" s="1" t="s">
        <v>159</v>
      </c>
      <c r="B28" s="1" t="s">
        <v>170</v>
      </c>
      <c r="C28" s="1">
        <v>407.47899999999998</v>
      </c>
      <c r="H28" s="3"/>
      <c r="I28" s="3"/>
      <c r="J28" s="9"/>
      <c r="K28" s="11" t="str">
        <f ca="1">IF(K27&lt;$E$2+$C$4, "U/Min "&amp;TEXT($E$2+$C$4-K27, "0.###"), IF(K27&gt;$E$2+$E$3, "O/Max "&amp;TEXT(K27-$E$2-$E$3, "0.###"), "-"))</f>
        <v>-</v>
      </c>
      <c r="L28" s="3"/>
      <c r="M28" s="3"/>
    </row>
    <row r="29" spans="1:13">
      <c r="A29" s="1" t="s">
        <v>750</v>
      </c>
      <c r="B29" s="1" t="s">
        <v>171</v>
      </c>
      <c r="C29" s="1">
        <v>-3.0000000000000001E-3</v>
      </c>
      <c r="H29" s="3"/>
      <c r="I29" s="3"/>
      <c r="J29" s="9" t="s">
        <v>13</v>
      </c>
      <c r="K29" s="10">
        <f ca="1">MAX(K7:K22)-MIN(K7:K22)</f>
        <v>8.8999999999998636E-2</v>
      </c>
      <c r="L29" s="3"/>
      <c r="M29" s="3"/>
    </row>
    <row r="30" spans="1:13">
      <c r="A30" s="2" t="s">
        <v>751</v>
      </c>
      <c r="B30" s="1" t="s">
        <v>157</v>
      </c>
      <c r="C30" s="1">
        <v>-112.801</v>
      </c>
      <c r="H30" s="3"/>
      <c r="I30" s="3"/>
      <c r="J30" s="9"/>
      <c r="K30" s="11" t="str">
        <f ca="1">IF(K29&gt;0.13, "O/Max "&amp;TEXT(K29-0.13, "0.###"), "-")</f>
        <v>-</v>
      </c>
      <c r="L30" s="3"/>
      <c r="M30" s="3"/>
    </row>
    <row r="31" spans="1:13">
      <c r="A31" s="1" t="s">
        <v>159</v>
      </c>
      <c r="B31" s="1" t="s">
        <v>170</v>
      </c>
      <c r="C31" s="1">
        <v>407.47</v>
      </c>
      <c r="H31" s="3"/>
      <c r="I31" s="3"/>
      <c r="J31" s="9" t="s">
        <v>14</v>
      </c>
      <c r="K31" s="12">
        <f ca="1">COUNTIF(K7:K22, $K24)</f>
        <v>2</v>
      </c>
      <c r="L31" s="3"/>
      <c r="M31" s="3"/>
    </row>
    <row r="32" spans="1:13">
      <c r="A32" s="1" t="s">
        <v>752</v>
      </c>
      <c r="B32" s="1" t="s">
        <v>171</v>
      </c>
      <c r="C32" s="1">
        <v>0</v>
      </c>
      <c r="H32" s="3"/>
      <c r="I32" s="3"/>
      <c r="J32" s="13" t="s">
        <v>9</v>
      </c>
      <c r="K32" s="12">
        <f ca="1">COUNTIF(K7:K22, $K25)</f>
        <v>1</v>
      </c>
      <c r="L32" s="3"/>
      <c r="M32" s="3"/>
    </row>
    <row r="33" spans="1:13">
      <c r="A33" s="2" t="s">
        <v>753</v>
      </c>
      <c r="B33" s="1" t="s">
        <v>157</v>
      </c>
      <c r="C33" s="1">
        <v>-112.801</v>
      </c>
      <c r="H33" s="3"/>
      <c r="I33" s="3"/>
      <c r="J33" s="12"/>
      <c r="K33" s="14" t="str">
        <f ca="1">TEXT(K31+K32,"0")&amp;"/16"</f>
        <v>3/16</v>
      </c>
      <c r="L33" s="3"/>
      <c r="M33" s="3"/>
    </row>
    <row r="34" spans="1:13">
      <c r="A34" s="1" t="s">
        <v>159</v>
      </c>
      <c r="B34" s="1" t="s">
        <v>170</v>
      </c>
      <c r="C34" s="1">
        <v>407.483</v>
      </c>
      <c r="J34" s="15" t="s">
        <v>90</v>
      </c>
      <c r="K34" s="15"/>
    </row>
    <row r="35" spans="1:13">
      <c r="A35" s="1" t="s">
        <v>754</v>
      </c>
      <c r="B35" s="1" t="s">
        <v>171</v>
      </c>
      <c r="C35" s="1">
        <v>1.6E-2</v>
      </c>
      <c r="J35" s="15" t="s">
        <v>91</v>
      </c>
      <c r="K35" s="16">
        <f ca="1">MAX(K7:K22)*2</f>
        <v>815.10400000000004</v>
      </c>
    </row>
    <row r="36" spans="1:13">
      <c r="A36" s="2" t="s">
        <v>755</v>
      </c>
      <c r="B36" s="1" t="s">
        <v>157</v>
      </c>
      <c r="C36" s="1">
        <v>-112.801</v>
      </c>
      <c r="J36" s="15" t="s">
        <v>92</v>
      </c>
      <c r="K36" s="16">
        <f ca="1">MIN(K7:K22)*2</f>
        <v>814.92600000000004</v>
      </c>
    </row>
    <row r="37" spans="1:13">
      <c r="A37" s="1" t="s">
        <v>159</v>
      </c>
      <c r="B37" s="1" t="s">
        <v>170</v>
      </c>
      <c r="C37" s="1">
        <v>407.49799999999999</v>
      </c>
    </row>
    <row r="38" spans="1:13">
      <c r="A38" s="1" t="s">
        <v>756</v>
      </c>
      <c r="B38" s="1" t="s">
        <v>171</v>
      </c>
      <c r="C38" s="1">
        <v>2E-3</v>
      </c>
    </row>
    <row r="39" spans="1:13">
      <c r="A39" s="2" t="s">
        <v>757</v>
      </c>
      <c r="B39" s="1" t="s">
        <v>157</v>
      </c>
      <c r="C39" s="1">
        <v>-112.8</v>
      </c>
    </row>
    <row r="40" spans="1:13">
      <c r="A40" s="1" t="s">
        <v>159</v>
      </c>
      <c r="B40" s="1" t="s">
        <v>170</v>
      </c>
      <c r="C40" s="1">
        <v>407.51900000000001</v>
      </c>
    </row>
    <row r="41" spans="1:13">
      <c r="A41" s="1" t="s">
        <v>758</v>
      </c>
      <c r="B41" s="1" t="s">
        <v>171</v>
      </c>
      <c r="C41" s="1">
        <v>1E-3</v>
      </c>
    </row>
    <row r="42" spans="1:13">
      <c r="A42" s="2" t="s">
        <v>759</v>
      </c>
      <c r="B42" s="1" t="s">
        <v>157</v>
      </c>
      <c r="C42" s="1">
        <v>-112.8</v>
      </c>
    </row>
    <row r="43" spans="1:13">
      <c r="A43" s="1" t="s">
        <v>159</v>
      </c>
      <c r="B43" s="1" t="s">
        <v>170</v>
      </c>
      <c r="C43" s="1">
        <v>407.51799999999997</v>
      </c>
    </row>
    <row r="44" spans="1:13">
      <c r="A44" s="1" t="s">
        <v>760</v>
      </c>
      <c r="B44" s="1" t="s">
        <v>171</v>
      </c>
      <c r="C44" s="1">
        <v>0</v>
      </c>
    </row>
    <row r="45" spans="1:13">
      <c r="A45" s="2" t="s">
        <v>761</v>
      </c>
      <c r="B45" s="1" t="s">
        <v>157</v>
      </c>
      <c r="C45" s="1">
        <v>-112.8</v>
      </c>
    </row>
    <row r="46" spans="1:13">
      <c r="A46" s="1" t="s">
        <v>159</v>
      </c>
      <c r="B46" s="1" t="s">
        <v>170</v>
      </c>
      <c r="C46" s="1">
        <v>407.524</v>
      </c>
    </row>
    <row r="47" spans="1:13">
      <c r="A47" s="1" t="s">
        <v>762</v>
      </c>
      <c r="B47" s="1" t="s">
        <v>171</v>
      </c>
      <c r="C47" s="1">
        <v>5.0000000000000001E-3</v>
      </c>
    </row>
    <row r="48" spans="1:13">
      <c r="A48" s="2" t="s">
        <v>763</v>
      </c>
      <c r="B48" s="1" t="s">
        <v>157</v>
      </c>
      <c r="C48" s="1">
        <v>-112.8</v>
      </c>
    </row>
    <row r="49" spans="1:3">
      <c r="A49" s="1" t="s">
        <v>159</v>
      </c>
      <c r="B49" s="1" t="s">
        <v>170</v>
      </c>
      <c r="C49" s="1">
        <v>407.51499999999999</v>
      </c>
    </row>
    <row r="50" spans="1:3">
      <c r="A50" s="1" t="s">
        <v>764</v>
      </c>
      <c r="B50" s="1" t="s">
        <v>171</v>
      </c>
      <c r="C50" s="1">
        <v>0</v>
      </c>
    </row>
    <row r="51" spans="1:3">
      <c r="A51" s="2" t="s">
        <v>765</v>
      </c>
      <c r="B51" s="1" t="s">
        <v>157</v>
      </c>
      <c r="C51" s="1">
        <v>-112.8</v>
      </c>
    </row>
    <row r="52" spans="1:3">
      <c r="A52" s="1" t="s">
        <v>159</v>
      </c>
      <c r="B52" s="1" t="s">
        <v>170</v>
      </c>
      <c r="C52" s="1">
        <v>407.50700000000001</v>
      </c>
    </row>
    <row r="53" spans="1:3">
      <c r="A53" s="1" t="s">
        <v>766</v>
      </c>
      <c r="B53" s="1" t="s">
        <v>171</v>
      </c>
      <c r="C53" s="1">
        <v>-4.0000000000000001E-3</v>
      </c>
    </row>
    <row r="54" spans="1:3">
      <c r="A54" s="2" t="s">
        <v>767</v>
      </c>
      <c r="B54" s="1" t="s">
        <v>157</v>
      </c>
      <c r="C54" s="1">
        <v>-112.8</v>
      </c>
    </row>
  </sheetData>
  <phoneticPr fontId="1"/>
  <pageMargins left="0.7" right="0.7" top="0.75" bottom="0.75" header="0.3" footer="0.3"/>
  <pageSetup paperSize="9" orientation="portrait" r:id="rId1"/>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M54"/>
  <sheetViews>
    <sheetView workbookViewId="0">
      <selection activeCell="K28" sqref="K28"/>
    </sheetView>
  </sheetViews>
  <sheetFormatPr defaultColWidth="9" defaultRowHeight="15"/>
  <cols>
    <col min="1" max="16384" width="9" style="1"/>
  </cols>
  <sheetData>
    <row r="1" spans="1:13">
      <c r="A1" s="1" t="s">
        <v>768</v>
      </c>
    </row>
    <row r="2" spans="1:13">
      <c r="A2" s="1" t="s">
        <v>160</v>
      </c>
      <c r="B2" s="1" t="s">
        <v>164</v>
      </c>
      <c r="C2" s="1">
        <v>834.572</v>
      </c>
      <c r="D2" s="1" t="s">
        <v>196</v>
      </c>
      <c r="E2" s="1">
        <v>834.6</v>
      </c>
    </row>
    <row r="3" spans="1:13">
      <c r="A3" s="1" t="s">
        <v>769</v>
      </c>
      <c r="B3" s="1" t="s">
        <v>162</v>
      </c>
      <c r="C3" s="1">
        <v>-2.8000000000000001E-2</v>
      </c>
      <c r="D3" s="1" t="s">
        <v>163</v>
      </c>
      <c r="E3" s="1">
        <v>6.4000000000000001E-2</v>
      </c>
      <c r="F3" s="1" t="s">
        <v>158</v>
      </c>
    </row>
    <row r="4" spans="1:13">
      <c r="A4" s="2" t="s">
        <v>387</v>
      </c>
      <c r="B4" s="1" t="s">
        <v>169</v>
      </c>
      <c r="C4" s="1">
        <v>-6.4000000000000001E-2</v>
      </c>
    </row>
    <row r="6" spans="1:13">
      <c r="A6" s="1" t="s">
        <v>1301</v>
      </c>
      <c r="C6" s="1" t="s">
        <v>161</v>
      </c>
      <c r="H6" s="3"/>
      <c r="I6" s="3" t="str">
        <f>CONCATENATE(A6," : ",MID(A1,11,3))</f>
        <v>JHV723EJ : 244</v>
      </c>
      <c r="J6" s="3"/>
      <c r="K6" s="3" t="s">
        <v>5</v>
      </c>
      <c r="L6" s="3" t="s">
        <v>1</v>
      </c>
      <c r="M6" s="3" t="s">
        <v>2</v>
      </c>
    </row>
    <row r="7" spans="1:13">
      <c r="A7" s="1" t="s">
        <v>159</v>
      </c>
      <c r="B7" s="1" t="s">
        <v>170</v>
      </c>
      <c r="C7" s="1">
        <v>417.26400000000001</v>
      </c>
      <c r="H7" s="4">
        <v>1</v>
      </c>
      <c r="I7" s="3" t="str">
        <f>CONCATENATE("点244.117(", H7,"/16)")</f>
        <v>点244.117(1/16)</v>
      </c>
      <c r="J7" s="3">
        <f>MATCH(I7, A$7:A$54, 0)</f>
        <v>2</v>
      </c>
      <c r="K7" s="3">
        <f ca="1">OFFSET(C$6, J7-1, 0)</f>
        <v>417.26400000000001</v>
      </c>
      <c r="L7" s="3">
        <f>($E$2+$C$4)/2</f>
        <v>417.26800000000003</v>
      </c>
      <c r="M7" s="3">
        <f>($E$2+$E$3)/2</f>
        <v>417.33199999999999</v>
      </c>
    </row>
    <row r="8" spans="1:13">
      <c r="A8" s="1" t="s">
        <v>242</v>
      </c>
      <c r="B8" s="1" t="s">
        <v>171</v>
      </c>
      <c r="C8" s="1">
        <v>0</v>
      </c>
      <c r="H8" s="3">
        <v>16</v>
      </c>
      <c r="I8" s="3" t="str">
        <f t="shared" ref="I8:I22" si="0">CONCATENATE("点244.117(", H8,"/16)")</f>
        <v>点244.117(16/16)</v>
      </c>
      <c r="J8" s="3">
        <f t="shared" ref="J8:J22" si="1">MATCH(I8, A$7:A$54, 0)</f>
        <v>47</v>
      </c>
      <c r="K8" s="3">
        <f t="shared" ref="K8:K22" ca="1" si="2">OFFSET(C$6, J8-1, 0)</f>
        <v>417.3</v>
      </c>
      <c r="L8" s="3">
        <f>L7</f>
        <v>417.26800000000003</v>
      </c>
      <c r="M8" s="3">
        <f>M7</f>
        <v>417.33199999999999</v>
      </c>
    </row>
    <row r="9" spans="1:13">
      <c r="A9" s="2" t="s">
        <v>243</v>
      </c>
      <c r="B9" s="1" t="s">
        <v>157</v>
      </c>
      <c r="C9" s="1">
        <v>-66.475999999999999</v>
      </c>
      <c r="H9" s="3">
        <v>15</v>
      </c>
      <c r="I9" s="3" t="str">
        <f t="shared" si="0"/>
        <v>点244.117(15/16)</v>
      </c>
      <c r="J9" s="3">
        <f t="shared" si="1"/>
        <v>44</v>
      </c>
      <c r="K9" s="3">
        <f t="shared" ca="1" si="2"/>
        <v>417.30799999999999</v>
      </c>
      <c r="L9" s="3">
        <f t="shared" ref="L9:M22" si="3">L8</f>
        <v>417.26800000000003</v>
      </c>
      <c r="M9" s="3">
        <f t="shared" si="3"/>
        <v>417.33199999999999</v>
      </c>
    </row>
    <row r="10" spans="1:13">
      <c r="A10" s="1" t="s">
        <v>159</v>
      </c>
      <c r="B10" s="1" t="s">
        <v>170</v>
      </c>
      <c r="C10" s="1">
        <v>417.21800000000002</v>
      </c>
      <c r="H10" s="3">
        <v>14</v>
      </c>
      <c r="I10" s="3" t="str">
        <f t="shared" si="0"/>
        <v>点244.117(14/16)</v>
      </c>
      <c r="J10" s="3">
        <f t="shared" si="1"/>
        <v>41</v>
      </c>
      <c r="K10" s="3">
        <f t="shared" ca="1" si="2"/>
        <v>417.29500000000002</v>
      </c>
      <c r="L10" s="3">
        <f t="shared" si="3"/>
        <v>417.26800000000003</v>
      </c>
      <c r="M10" s="3">
        <f t="shared" si="3"/>
        <v>417.33199999999999</v>
      </c>
    </row>
    <row r="11" spans="1:13">
      <c r="A11" s="1" t="s">
        <v>770</v>
      </c>
      <c r="B11" s="1" t="s">
        <v>171</v>
      </c>
      <c r="C11" s="1">
        <v>2E-3</v>
      </c>
      <c r="H11" s="3">
        <v>13</v>
      </c>
      <c r="I11" s="3" t="str">
        <f t="shared" si="0"/>
        <v>点244.117(13/16)</v>
      </c>
      <c r="J11" s="3">
        <f t="shared" si="1"/>
        <v>38</v>
      </c>
      <c r="K11" s="3">
        <f t="shared" ca="1" si="2"/>
        <v>417.298</v>
      </c>
      <c r="L11" s="3">
        <f t="shared" si="3"/>
        <v>417.26800000000003</v>
      </c>
      <c r="M11" s="3">
        <f t="shared" si="3"/>
        <v>417.33199999999999</v>
      </c>
    </row>
    <row r="12" spans="1:13">
      <c r="A12" s="2" t="s">
        <v>244</v>
      </c>
      <c r="B12" s="1" t="s">
        <v>157</v>
      </c>
      <c r="C12" s="1">
        <v>-66.474999999999994</v>
      </c>
      <c r="H12" s="3">
        <v>12</v>
      </c>
      <c r="I12" s="3" t="str">
        <f t="shared" si="0"/>
        <v>点244.117(12/16)</v>
      </c>
      <c r="J12" s="3">
        <f t="shared" si="1"/>
        <v>35</v>
      </c>
      <c r="K12" s="3">
        <f t="shared" ca="1" si="2"/>
        <v>417.30900000000003</v>
      </c>
      <c r="L12" s="3">
        <f t="shared" si="3"/>
        <v>417.26800000000003</v>
      </c>
      <c r="M12" s="3">
        <f t="shared" si="3"/>
        <v>417.33199999999999</v>
      </c>
    </row>
    <row r="13" spans="1:13">
      <c r="A13" s="1" t="s">
        <v>159</v>
      </c>
      <c r="B13" s="1" t="s">
        <v>170</v>
      </c>
      <c r="C13" s="1">
        <v>417.233</v>
      </c>
      <c r="H13" s="3">
        <v>11</v>
      </c>
      <c r="I13" s="3" t="str">
        <f t="shared" si="0"/>
        <v>点244.117(11/16)</v>
      </c>
      <c r="J13" s="3">
        <f t="shared" si="1"/>
        <v>32</v>
      </c>
      <c r="K13" s="3">
        <f t="shared" ca="1" si="2"/>
        <v>417.29399999999998</v>
      </c>
      <c r="L13" s="3">
        <f t="shared" si="3"/>
        <v>417.26800000000003</v>
      </c>
      <c r="M13" s="3">
        <f t="shared" si="3"/>
        <v>417.33199999999999</v>
      </c>
    </row>
    <row r="14" spans="1:13">
      <c r="A14" s="1" t="s">
        <v>245</v>
      </c>
      <c r="B14" s="1" t="s">
        <v>171</v>
      </c>
      <c r="C14" s="1">
        <v>0</v>
      </c>
      <c r="H14" s="3">
        <v>10</v>
      </c>
      <c r="I14" s="3" t="str">
        <f t="shared" si="0"/>
        <v>点244.117(10/16)</v>
      </c>
      <c r="J14" s="3">
        <f t="shared" si="1"/>
        <v>29</v>
      </c>
      <c r="K14" s="3">
        <f t="shared" ca="1" si="2"/>
        <v>417.28899999999999</v>
      </c>
      <c r="L14" s="3">
        <f t="shared" si="3"/>
        <v>417.26800000000003</v>
      </c>
      <c r="M14" s="3">
        <f t="shared" si="3"/>
        <v>417.33199999999999</v>
      </c>
    </row>
    <row r="15" spans="1:13">
      <c r="A15" s="2" t="s">
        <v>771</v>
      </c>
      <c r="B15" s="1" t="s">
        <v>157</v>
      </c>
      <c r="C15" s="1">
        <v>-66.474999999999994</v>
      </c>
      <c r="H15" s="3">
        <v>9</v>
      </c>
      <c r="I15" s="3" t="str">
        <f t="shared" si="0"/>
        <v>点244.117(9/16)</v>
      </c>
      <c r="J15" s="3">
        <f t="shared" si="1"/>
        <v>26</v>
      </c>
      <c r="K15" s="3">
        <f t="shared" ca="1" si="2"/>
        <v>417.25900000000001</v>
      </c>
      <c r="L15" s="3">
        <f t="shared" si="3"/>
        <v>417.26800000000003</v>
      </c>
      <c r="M15" s="3">
        <f t="shared" si="3"/>
        <v>417.33199999999999</v>
      </c>
    </row>
    <row r="16" spans="1:13">
      <c r="A16" s="1" t="s">
        <v>159</v>
      </c>
      <c r="B16" s="1" t="s">
        <v>170</v>
      </c>
      <c r="C16" s="1">
        <v>417.29599999999999</v>
      </c>
      <c r="H16" s="3">
        <v>8</v>
      </c>
      <c r="I16" s="3" t="str">
        <f t="shared" si="0"/>
        <v>点244.117(8/16)</v>
      </c>
      <c r="J16" s="3">
        <f t="shared" si="1"/>
        <v>23</v>
      </c>
      <c r="K16" s="3">
        <f t="shared" ca="1" si="2"/>
        <v>417.24400000000003</v>
      </c>
      <c r="L16" s="3">
        <f t="shared" si="3"/>
        <v>417.26800000000003</v>
      </c>
      <c r="M16" s="3">
        <f t="shared" si="3"/>
        <v>417.33199999999999</v>
      </c>
    </row>
    <row r="17" spans="1:13">
      <c r="A17" s="1" t="s">
        <v>246</v>
      </c>
      <c r="B17" s="1" t="s">
        <v>171</v>
      </c>
      <c r="C17" s="1">
        <v>1E-3</v>
      </c>
      <c r="H17" s="3">
        <v>7</v>
      </c>
      <c r="I17" s="3" t="str">
        <f t="shared" si="0"/>
        <v>点244.117(7/16)</v>
      </c>
      <c r="J17" s="3">
        <f t="shared" si="1"/>
        <v>20</v>
      </c>
      <c r="K17" s="3">
        <f t="shared" ca="1" si="2"/>
        <v>417.28</v>
      </c>
      <c r="L17" s="3">
        <f t="shared" si="3"/>
        <v>417.26800000000003</v>
      </c>
      <c r="M17" s="3">
        <f t="shared" si="3"/>
        <v>417.33199999999999</v>
      </c>
    </row>
    <row r="18" spans="1:13">
      <c r="A18" s="2" t="s">
        <v>247</v>
      </c>
      <c r="B18" s="1" t="s">
        <v>157</v>
      </c>
      <c r="C18" s="1">
        <v>-66.474999999999994</v>
      </c>
      <c r="H18" s="3">
        <v>6</v>
      </c>
      <c r="I18" s="3" t="str">
        <f t="shared" si="0"/>
        <v>点244.117(6/16)</v>
      </c>
      <c r="J18" s="3">
        <f t="shared" si="1"/>
        <v>17</v>
      </c>
      <c r="K18" s="3">
        <f t="shared" ca="1" si="2"/>
        <v>417.34100000000001</v>
      </c>
      <c r="L18" s="3">
        <f t="shared" si="3"/>
        <v>417.26800000000003</v>
      </c>
      <c r="M18" s="3">
        <f t="shared" si="3"/>
        <v>417.33199999999999</v>
      </c>
    </row>
    <row r="19" spans="1:13">
      <c r="A19" s="1" t="s">
        <v>159</v>
      </c>
      <c r="B19" s="1" t="s">
        <v>170</v>
      </c>
      <c r="C19" s="1">
        <v>417.346</v>
      </c>
      <c r="H19" s="3">
        <v>5</v>
      </c>
      <c r="I19" s="3" t="str">
        <f t="shared" si="0"/>
        <v>点244.117(5/16)</v>
      </c>
      <c r="J19" s="3">
        <f t="shared" si="1"/>
        <v>14</v>
      </c>
      <c r="K19" s="3">
        <f t="shared" ca="1" si="2"/>
        <v>417.346</v>
      </c>
      <c r="L19" s="3">
        <f t="shared" si="3"/>
        <v>417.26800000000003</v>
      </c>
      <c r="M19" s="3">
        <f t="shared" si="3"/>
        <v>417.33199999999999</v>
      </c>
    </row>
    <row r="20" spans="1:13">
      <c r="A20" s="1" t="s">
        <v>248</v>
      </c>
      <c r="B20" s="1" t="s">
        <v>171</v>
      </c>
      <c r="C20" s="1">
        <v>0</v>
      </c>
      <c r="H20" s="3">
        <v>4</v>
      </c>
      <c r="I20" s="3" t="str">
        <f t="shared" si="0"/>
        <v>点244.117(4/16)</v>
      </c>
      <c r="J20" s="3">
        <f t="shared" si="1"/>
        <v>11</v>
      </c>
      <c r="K20" s="3">
        <f t="shared" ca="1" si="2"/>
        <v>417.29599999999999</v>
      </c>
      <c r="L20" s="3">
        <f t="shared" si="3"/>
        <v>417.26800000000003</v>
      </c>
      <c r="M20" s="3">
        <f t="shared" si="3"/>
        <v>417.33199999999999</v>
      </c>
    </row>
    <row r="21" spans="1:13">
      <c r="A21" s="2" t="s">
        <v>772</v>
      </c>
      <c r="B21" s="1" t="s">
        <v>157</v>
      </c>
      <c r="C21" s="1">
        <v>-66.474999999999994</v>
      </c>
      <c r="H21" s="3">
        <v>3</v>
      </c>
      <c r="I21" s="3" t="str">
        <f t="shared" si="0"/>
        <v>点244.117(3/16)</v>
      </c>
      <c r="J21" s="3">
        <f t="shared" si="1"/>
        <v>8</v>
      </c>
      <c r="K21" s="3">
        <f t="shared" ca="1" si="2"/>
        <v>417.233</v>
      </c>
      <c r="L21" s="3">
        <f t="shared" si="3"/>
        <v>417.26800000000003</v>
      </c>
      <c r="M21" s="3">
        <f t="shared" si="3"/>
        <v>417.33199999999999</v>
      </c>
    </row>
    <row r="22" spans="1:13">
      <c r="A22" s="1" t="s">
        <v>159</v>
      </c>
      <c r="B22" s="1" t="s">
        <v>170</v>
      </c>
      <c r="C22" s="1">
        <v>417.34100000000001</v>
      </c>
      <c r="H22" s="3">
        <v>2</v>
      </c>
      <c r="I22" s="3" t="str">
        <f t="shared" si="0"/>
        <v>点244.117(2/16)</v>
      </c>
      <c r="J22" s="3">
        <f t="shared" si="1"/>
        <v>5</v>
      </c>
      <c r="K22" s="3">
        <f t="shared" ca="1" si="2"/>
        <v>417.21800000000002</v>
      </c>
      <c r="L22" s="3">
        <f t="shared" si="3"/>
        <v>417.26800000000003</v>
      </c>
      <c r="M22" s="3">
        <f t="shared" si="3"/>
        <v>417.33199999999999</v>
      </c>
    </row>
    <row r="23" spans="1:13">
      <c r="A23" s="1" t="s">
        <v>249</v>
      </c>
      <c r="B23" s="1" t="s">
        <v>171</v>
      </c>
      <c r="C23" s="1">
        <v>0</v>
      </c>
      <c r="H23" s="3"/>
      <c r="I23" s="3"/>
      <c r="J23" s="3"/>
      <c r="K23" s="3"/>
      <c r="L23" s="3"/>
      <c r="M23" s="3"/>
    </row>
    <row r="24" spans="1:13">
      <c r="A24" s="2" t="s">
        <v>250</v>
      </c>
      <c r="B24" s="1" t="s">
        <v>157</v>
      </c>
      <c r="C24" s="1">
        <v>-66.474999999999994</v>
      </c>
      <c r="H24" s="3"/>
      <c r="I24" s="3"/>
      <c r="J24" s="5" t="s">
        <v>3</v>
      </c>
      <c r="K24" s="3" t="str">
        <f>"&gt;"&amp;TEXT(($E$2+$E$3)/2, "0.###")</f>
        <v>&gt;417.332</v>
      </c>
      <c r="L24" s="3"/>
      <c r="M24" s="3"/>
    </row>
    <row r="25" spans="1:13">
      <c r="A25" s="1" t="s">
        <v>159</v>
      </c>
      <c r="B25" s="1" t="s">
        <v>170</v>
      </c>
      <c r="C25" s="1">
        <v>417.28</v>
      </c>
      <c r="H25" s="3"/>
      <c r="I25" s="3"/>
      <c r="J25" s="6" t="s">
        <v>4</v>
      </c>
      <c r="K25" s="3" t="str">
        <f>"&lt;"&amp;TEXT(($E$2+$C$4)/2, "0.###")</f>
        <v>&lt;417.268</v>
      </c>
      <c r="L25" s="3"/>
      <c r="M25" s="3"/>
    </row>
    <row r="26" spans="1:13">
      <c r="A26" s="1" t="s">
        <v>251</v>
      </c>
      <c r="B26" s="1" t="s">
        <v>171</v>
      </c>
      <c r="C26" s="1">
        <v>-1E-3</v>
      </c>
      <c r="H26" s="3"/>
      <c r="I26" s="3"/>
      <c r="J26" s="7"/>
      <c r="K26" s="8" t="s">
        <v>72</v>
      </c>
      <c r="L26" s="3"/>
      <c r="M26" s="3"/>
    </row>
    <row r="27" spans="1:13">
      <c r="A27" s="2" t="s">
        <v>773</v>
      </c>
      <c r="B27" s="1" t="s">
        <v>157</v>
      </c>
      <c r="C27" s="1">
        <v>-66.474999999999994</v>
      </c>
      <c r="H27" s="3"/>
      <c r="I27" s="3"/>
      <c r="J27" s="9" t="s">
        <v>6</v>
      </c>
      <c r="K27" s="10">
        <f ca="1">AVERAGE(K7:K22)*2</f>
        <v>834.57174999999995</v>
      </c>
      <c r="L27" s="3"/>
      <c r="M27" s="3"/>
    </row>
    <row r="28" spans="1:13">
      <c r="A28" s="1" t="s">
        <v>159</v>
      </c>
      <c r="B28" s="1" t="s">
        <v>170</v>
      </c>
      <c r="C28" s="1">
        <v>417.24400000000003</v>
      </c>
      <c r="H28" s="3"/>
      <c r="I28" s="3"/>
      <c r="J28" s="9"/>
      <c r="K28" s="11" t="str">
        <f ca="1">IF(K27&lt;$E$2+$C$4, "U/Min "&amp;TEXT($E$2+$C$4-K27, "0.###"), IF(K27&gt;$E$2+$E$3, "O/Max "&amp;TEXT(K27-$E$2-$E$3, "0.###"), "-"))</f>
        <v>-</v>
      </c>
      <c r="L28" s="3"/>
      <c r="M28" s="3"/>
    </row>
    <row r="29" spans="1:13">
      <c r="A29" s="1" t="s">
        <v>252</v>
      </c>
      <c r="B29" s="1" t="s">
        <v>171</v>
      </c>
      <c r="C29" s="1">
        <v>-8.9999999999999993E-3</v>
      </c>
      <c r="H29" s="3"/>
      <c r="I29" s="3"/>
      <c r="J29" s="9" t="s">
        <v>73</v>
      </c>
      <c r="K29" s="10">
        <f ca="1">MAX(K7:K22)-MIN(K7:K22)</f>
        <v>0.1279999999999859</v>
      </c>
      <c r="L29" s="3"/>
      <c r="M29" s="3"/>
    </row>
    <row r="30" spans="1:13">
      <c r="A30" s="2" t="s">
        <v>774</v>
      </c>
      <c r="B30" s="1" t="s">
        <v>157</v>
      </c>
      <c r="C30" s="1">
        <v>-66.475999999999999</v>
      </c>
      <c r="H30" s="3"/>
      <c r="I30" s="3"/>
      <c r="J30" s="9"/>
      <c r="K30" s="11" t="str">
        <f ca="1">IF(K29&gt;0.13, "O/Max "&amp;TEXT(K29-0.13, "0.###"), "-")</f>
        <v>-</v>
      </c>
      <c r="L30" s="3"/>
      <c r="M30" s="3"/>
    </row>
    <row r="31" spans="1:13">
      <c r="A31" s="1" t="s">
        <v>159</v>
      </c>
      <c r="B31" s="1" t="s">
        <v>170</v>
      </c>
      <c r="C31" s="1">
        <v>417.25900000000001</v>
      </c>
      <c r="H31" s="3"/>
      <c r="I31" s="3"/>
      <c r="J31" s="9" t="s">
        <v>74</v>
      </c>
      <c r="K31" s="12">
        <f ca="1">COUNTIF(K7:K22, $K24)</f>
        <v>2</v>
      </c>
      <c r="L31" s="3"/>
      <c r="M31" s="3"/>
    </row>
    <row r="32" spans="1:13">
      <c r="A32" s="1" t="s">
        <v>253</v>
      </c>
      <c r="B32" s="1" t="s">
        <v>171</v>
      </c>
      <c r="C32" s="1">
        <v>0</v>
      </c>
      <c r="H32" s="3"/>
      <c r="I32" s="3"/>
      <c r="J32" s="13" t="s">
        <v>75</v>
      </c>
      <c r="K32" s="12">
        <f ca="1">COUNTIF(K7:K22, $K25)</f>
        <v>5</v>
      </c>
      <c r="L32" s="3"/>
      <c r="M32" s="3"/>
    </row>
    <row r="33" spans="1:13">
      <c r="A33" s="2" t="s">
        <v>254</v>
      </c>
      <c r="B33" s="1" t="s">
        <v>157</v>
      </c>
      <c r="C33" s="1">
        <v>-66.474999999999994</v>
      </c>
      <c r="H33" s="3"/>
      <c r="I33" s="3"/>
      <c r="J33" s="12"/>
      <c r="K33" s="14" t="str">
        <f ca="1">TEXT(K31+K32,"0")&amp;"/16"</f>
        <v>7/16</v>
      </c>
      <c r="L33" s="3"/>
      <c r="M33" s="3"/>
    </row>
    <row r="34" spans="1:13">
      <c r="A34" s="1" t="s">
        <v>159</v>
      </c>
      <c r="B34" s="1" t="s">
        <v>170</v>
      </c>
      <c r="C34" s="1">
        <v>417.28899999999999</v>
      </c>
      <c r="J34" s="15" t="s">
        <v>90</v>
      </c>
      <c r="K34" s="15"/>
    </row>
    <row r="35" spans="1:13">
      <c r="A35" s="1" t="s">
        <v>255</v>
      </c>
      <c r="B35" s="1" t="s">
        <v>171</v>
      </c>
      <c r="C35" s="1">
        <v>5.0000000000000001E-3</v>
      </c>
      <c r="J35" s="15" t="s">
        <v>91</v>
      </c>
      <c r="K35" s="16">
        <f ca="1">MAX(K7:K22)*2</f>
        <v>834.69200000000001</v>
      </c>
    </row>
    <row r="36" spans="1:13">
      <c r="A36" s="2" t="s">
        <v>256</v>
      </c>
      <c r="B36" s="1" t="s">
        <v>157</v>
      </c>
      <c r="C36" s="1">
        <v>-66.475999999999999</v>
      </c>
      <c r="J36" s="15" t="s">
        <v>92</v>
      </c>
      <c r="K36" s="16">
        <f ca="1">MIN(K7:K22)*2</f>
        <v>834.43600000000004</v>
      </c>
    </row>
    <row r="37" spans="1:13">
      <c r="A37" s="1" t="s">
        <v>159</v>
      </c>
      <c r="B37" s="1" t="s">
        <v>170</v>
      </c>
      <c r="C37" s="1">
        <v>417.29399999999998</v>
      </c>
    </row>
    <row r="38" spans="1:13">
      <c r="A38" s="1" t="s">
        <v>257</v>
      </c>
      <c r="B38" s="1" t="s">
        <v>171</v>
      </c>
      <c r="C38" s="1">
        <v>-1E-3</v>
      </c>
    </row>
    <row r="39" spans="1:13">
      <c r="A39" s="2" t="s">
        <v>258</v>
      </c>
      <c r="B39" s="1" t="s">
        <v>157</v>
      </c>
      <c r="C39" s="1">
        <v>-66.474999999999994</v>
      </c>
    </row>
    <row r="40" spans="1:13">
      <c r="A40" s="1" t="s">
        <v>159</v>
      </c>
      <c r="B40" s="1" t="s">
        <v>170</v>
      </c>
      <c r="C40" s="1">
        <v>417.30900000000003</v>
      </c>
    </row>
    <row r="41" spans="1:13">
      <c r="A41" s="1" t="s">
        <v>259</v>
      </c>
      <c r="B41" s="1" t="s">
        <v>171</v>
      </c>
      <c r="C41" s="1">
        <v>0</v>
      </c>
    </row>
    <row r="42" spans="1:13">
      <c r="A42" s="2" t="s">
        <v>775</v>
      </c>
      <c r="B42" s="1" t="s">
        <v>157</v>
      </c>
      <c r="C42" s="1">
        <v>-66.474999999999994</v>
      </c>
    </row>
    <row r="43" spans="1:13">
      <c r="A43" s="1" t="s">
        <v>159</v>
      </c>
      <c r="B43" s="1" t="s">
        <v>170</v>
      </c>
      <c r="C43" s="1">
        <v>417.298</v>
      </c>
    </row>
    <row r="44" spans="1:13">
      <c r="A44" s="1" t="s">
        <v>776</v>
      </c>
      <c r="B44" s="1" t="s">
        <v>171</v>
      </c>
      <c r="C44" s="1">
        <v>0</v>
      </c>
    </row>
    <row r="45" spans="1:13">
      <c r="A45" s="2" t="s">
        <v>777</v>
      </c>
      <c r="B45" s="1" t="s">
        <v>157</v>
      </c>
      <c r="C45" s="1">
        <v>-66.474999999999994</v>
      </c>
    </row>
    <row r="46" spans="1:13">
      <c r="A46" s="1" t="s">
        <v>159</v>
      </c>
      <c r="B46" s="1" t="s">
        <v>170</v>
      </c>
      <c r="C46" s="1">
        <v>417.29500000000002</v>
      </c>
    </row>
    <row r="47" spans="1:13">
      <c r="A47" s="1" t="s">
        <v>260</v>
      </c>
      <c r="B47" s="1" t="s">
        <v>171</v>
      </c>
      <c r="C47" s="1">
        <v>2E-3</v>
      </c>
    </row>
    <row r="48" spans="1:13">
      <c r="A48" s="2" t="s">
        <v>261</v>
      </c>
      <c r="B48" s="1" t="s">
        <v>157</v>
      </c>
      <c r="C48" s="1">
        <v>-66.474999999999994</v>
      </c>
    </row>
    <row r="49" spans="1:3">
      <c r="A49" s="1" t="s">
        <v>159</v>
      </c>
      <c r="B49" s="1" t="s">
        <v>170</v>
      </c>
      <c r="C49" s="1">
        <v>417.30799999999999</v>
      </c>
    </row>
    <row r="50" spans="1:3">
      <c r="A50" s="1" t="s">
        <v>778</v>
      </c>
      <c r="B50" s="1" t="s">
        <v>171</v>
      </c>
      <c r="C50" s="1">
        <v>-1E-3</v>
      </c>
    </row>
    <row r="51" spans="1:3">
      <c r="A51" s="2" t="s">
        <v>262</v>
      </c>
      <c r="B51" s="1" t="s">
        <v>157</v>
      </c>
      <c r="C51" s="1">
        <v>-66.474999999999994</v>
      </c>
    </row>
    <row r="52" spans="1:3">
      <c r="A52" s="1" t="s">
        <v>159</v>
      </c>
      <c r="B52" s="1" t="s">
        <v>170</v>
      </c>
      <c r="C52" s="1">
        <v>417.3</v>
      </c>
    </row>
    <row r="53" spans="1:3">
      <c r="A53" s="1" t="s">
        <v>779</v>
      </c>
      <c r="B53" s="1" t="s">
        <v>171</v>
      </c>
      <c r="C53" s="1">
        <v>-8.0000000000000002E-3</v>
      </c>
    </row>
    <row r="54" spans="1:3">
      <c r="A54" s="2" t="s">
        <v>263</v>
      </c>
      <c r="B54" s="1" t="s">
        <v>157</v>
      </c>
      <c r="C54" s="1">
        <v>-66.474999999999994</v>
      </c>
    </row>
  </sheetData>
  <phoneticPr fontId="1"/>
  <pageMargins left="0.7" right="0.7" top="0.75" bottom="0.75" header="0.3" footer="0.3"/>
  <pageSetup paperSize="9" orientation="portrait" r:id="rId1"/>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dimension ref="A1:AA109"/>
  <sheetViews>
    <sheetView topLeftCell="H58" workbookViewId="0">
      <selection activeCell="Y79" sqref="Y79:AA80"/>
    </sheetView>
  </sheetViews>
  <sheetFormatPr defaultColWidth="9" defaultRowHeight="15"/>
  <cols>
    <col min="1" max="20" width="9" style="1"/>
    <col min="21" max="27" width="9" style="15"/>
    <col min="28" max="16384" width="9" style="1"/>
  </cols>
  <sheetData>
    <row r="1" spans="1:25">
      <c r="A1" s="1" t="s">
        <v>780</v>
      </c>
    </row>
    <row r="2" spans="1:25">
      <c r="A2" s="1" t="s">
        <v>160</v>
      </c>
      <c r="B2" s="1" t="s">
        <v>164</v>
      </c>
      <c r="C2" s="1">
        <v>835.25800000000004</v>
      </c>
      <c r="D2" s="1" t="s">
        <v>196</v>
      </c>
      <c r="E2" s="1">
        <v>835.3</v>
      </c>
      <c r="V2" s="21" t="s">
        <v>105</v>
      </c>
      <c r="W2" s="21">
        <f>E2+2*2</f>
        <v>839.3</v>
      </c>
    </row>
    <row r="3" spans="1:25">
      <c r="A3" s="1" t="s">
        <v>781</v>
      </c>
      <c r="B3" s="1" t="s">
        <v>162</v>
      </c>
      <c r="C3" s="1">
        <v>-4.2000000000000003E-2</v>
      </c>
      <c r="D3" s="1" t="s">
        <v>163</v>
      </c>
      <c r="E3" s="1">
        <v>6.4000000000000001E-2</v>
      </c>
      <c r="F3" s="1" t="s">
        <v>158</v>
      </c>
      <c r="V3" s="21" t="s">
        <v>101</v>
      </c>
      <c r="W3" s="21">
        <f>E3+0.13*2</f>
        <v>0.32400000000000001</v>
      </c>
    </row>
    <row r="4" spans="1:25">
      <c r="A4" s="2" t="s">
        <v>782</v>
      </c>
      <c r="B4" s="1" t="s">
        <v>169</v>
      </c>
      <c r="C4" s="1">
        <v>-6.4000000000000001E-2</v>
      </c>
      <c r="V4" s="22" t="s">
        <v>106</v>
      </c>
      <c r="W4" s="21">
        <v>2.0299999999999998</v>
      </c>
    </row>
    <row r="6" spans="1:25">
      <c r="A6" s="1" t="s">
        <v>1301</v>
      </c>
      <c r="C6" s="1" t="s">
        <v>161</v>
      </c>
      <c r="H6" s="3"/>
      <c r="I6" s="3" t="str">
        <f>CONCATENATE(A6," : ",MID(A1,11,8))</f>
        <v>JHV723EJ : 246_2001</v>
      </c>
      <c r="J6" s="3"/>
      <c r="K6" s="3" t="s">
        <v>77</v>
      </c>
      <c r="L6" s="3" t="s">
        <v>78</v>
      </c>
      <c r="M6" s="3" t="s">
        <v>79</v>
      </c>
      <c r="V6" s="15" t="str">
        <f>CONCATENATE(I6, " + 2.0+/-0.13")</f>
        <v>JHV723EJ : 246_2001 + 2.0+/-0.13</v>
      </c>
      <c r="W6" s="21" t="s">
        <v>109</v>
      </c>
      <c r="X6" s="21" t="s">
        <v>1</v>
      </c>
      <c r="Y6" s="21" t="s">
        <v>2</v>
      </c>
    </row>
    <row r="7" spans="1:25">
      <c r="A7" s="1" t="s">
        <v>159</v>
      </c>
      <c r="B7" s="1" t="s">
        <v>170</v>
      </c>
      <c r="C7" s="1">
        <v>417.61399999999998</v>
      </c>
      <c r="H7" s="4">
        <v>1</v>
      </c>
      <c r="I7" s="3" t="str">
        <f>CONCATENATE("点246.121_F(", H7,"/16)")</f>
        <v>点246.121_F(1/16)</v>
      </c>
      <c r="J7" s="3">
        <f>MATCH(I7, A$7:A$54, 0)</f>
        <v>2</v>
      </c>
      <c r="K7" s="3">
        <f ca="1">OFFSET(C$6, J7-1, 0)</f>
        <v>417.61399999999998</v>
      </c>
      <c r="L7" s="3">
        <f>($E$2+$C$4)/2</f>
        <v>417.61799999999999</v>
      </c>
      <c r="M7" s="3">
        <f>($E$2+$E$3)/2</f>
        <v>417.68199999999996</v>
      </c>
      <c r="W7" s="15">
        <f t="shared" ref="W7:W22" ca="1" si="0">K7+W$4</f>
        <v>419.64399999999995</v>
      </c>
      <c r="X7" s="15">
        <f>(W2-W3)/2</f>
        <v>419.488</v>
      </c>
      <c r="Y7" s="15">
        <f>(W2+W3)/2</f>
        <v>419.81199999999995</v>
      </c>
    </row>
    <row r="8" spans="1:25">
      <c r="A8" s="1" t="s">
        <v>783</v>
      </c>
      <c r="B8" s="1" t="s">
        <v>171</v>
      </c>
      <c r="C8" s="1">
        <v>-2E-3</v>
      </c>
      <c r="H8" s="3">
        <v>16</v>
      </c>
      <c r="I8" s="3" t="str">
        <f t="shared" ref="I8:I22" si="1">CONCATENATE("点246.121_F(", H8,"/16)")</f>
        <v>点246.121_F(16/16)</v>
      </c>
      <c r="J8" s="3">
        <f t="shared" ref="J8:J22" si="2">MATCH(I8, A$7:A$54, 0)</f>
        <v>47</v>
      </c>
      <c r="K8" s="3">
        <f t="shared" ref="K8:K22" ca="1" si="3">OFFSET(C$6, J8-1, 0)</f>
        <v>417.65300000000002</v>
      </c>
      <c r="L8" s="3">
        <f>L7</f>
        <v>417.61799999999999</v>
      </c>
      <c r="M8" s="3">
        <f>M7</f>
        <v>417.68199999999996</v>
      </c>
      <c r="W8" s="15">
        <f t="shared" ca="1" si="0"/>
        <v>419.68299999999999</v>
      </c>
      <c r="X8" s="15">
        <f>X7</f>
        <v>419.488</v>
      </c>
      <c r="Y8" s="15">
        <f>Y7</f>
        <v>419.81199999999995</v>
      </c>
    </row>
    <row r="9" spans="1:25">
      <c r="A9" s="2" t="s">
        <v>784</v>
      </c>
      <c r="B9" s="1" t="s">
        <v>157</v>
      </c>
      <c r="C9" s="1">
        <v>-41.271999999999998</v>
      </c>
      <c r="H9" s="3">
        <v>15</v>
      </c>
      <c r="I9" s="3" t="str">
        <f t="shared" si="1"/>
        <v>点246.121_F(15/16)</v>
      </c>
      <c r="J9" s="3">
        <f t="shared" si="2"/>
        <v>44</v>
      </c>
      <c r="K9" s="3">
        <f t="shared" ca="1" si="3"/>
        <v>417.65499999999997</v>
      </c>
      <c r="L9" s="3">
        <f t="shared" ref="L9:M22" si="4">L8</f>
        <v>417.61799999999999</v>
      </c>
      <c r="M9" s="3">
        <f t="shared" si="4"/>
        <v>417.68199999999996</v>
      </c>
      <c r="W9" s="15">
        <f t="shared" ca="1" si="0"/>
        <v>419.68499999999995</v>
      </c>
      <c r="X9" s="15">
        <f t="shared" ref="X9:X22" si="5">X8</f>
        <v>419.488</v>
      </c>
      <c r="Y9" s="15">
        <f t="shared" ref="Y9:Y22" si="6">Y8</f>
        <v>419.81199999999995</v>
      </c>
    </row>
    <row r="10" spans="1:25">
      <c r="A10" s="1" t="s">
        <v>159</v>
      </c>
      <c r="B10" s="1" t="s">
        <v>170</v>
      </c>
      <c r="C10" s="1">
        <v>417.55500000000001</v>
      </c>
      <c r="H10" s="3">
        <v>14</v>
      </c>
      <c r="I10" s="3" t="str">
        <f t="shared" si="1"/>
        <v>点246.121_F(14/16)</v>
      </c>
      <c r="J10" s="3">
        <f t="shared" si="2"/>
        <v>41</v>
      </c>
      <c r="K10" s="3">
        <f t="shared" ca="1" si="3"/>
        <v>417.63099999999997</v>
      </c>
      <c r="L10" s="3">
        <f t="shared" si="4"/>
        <v>417.61799999999999</v>
      </c>
      <c r="M10" s="3">
        <f t="shared" si="4"/>
        <v>417.68199999999996</v>
      </c>
      <c r="W10" s="15">
        <f t="shared" ca="1" si="0"/>
        <v>419.66099999999994</v>
      </c>
      <c r="X10" s="15">
        <f t="shared" si="5"/>
        <v>419.488</v>
      </c>
      <c r="Y10" s="15">
        <f t="shared" si="6"/>
        <v>419.81199999999995</v>
      </c>
    </row>
    <row r="11" spans="1:25">
      <c r="A11" s="1" t="s">
        <v>785</v>
      </c>
      <c r="B11" s="1" t="s">
        <v>171</v>
      </c>
      <c r="C11" s="1">
        <v>4.0000000000000001E-3</v>
      </c>
      <c r="H11" s="3">
        <v>13</v>
      </c>
      <c r="I11" s="3" t="str">
        <f t="shared" si="1"/>
        <v>点246.121_F(13/16)</v>
      </c>
      <c r="J11" s="3">
        <f t="shared" si="2"/>
        <v>38</v>
      </c>
      <c r="K11" s="3">
        <f t="shared" ca="1" si="3"/>
        <v>417.63600000000002</v>
      </c>
      <c r="L11" s="3">
        <f t="shared" si="4"/>
        <v>417.61799999999999</v>
      </c>
      <c r="M11" s="3">
        <f t="shared" si="4"/>
        <v>417.68199999999996</v>
      </c>
      <c r="W11" s="15">
        <f t="shared" ca="1" si="0"/>
        <v>419.666</v>
      </c>
      <c r="X11" s="15">
        <f t="shared" si="5"/>
        <v>419.488</v>
      </c>
      <c r="Y11" s="15">
        <f t="shared" si="6"/>
        <v>419.81199999999995</v>
      </c>
    </row>
    <row r="12" spans="1:25">
      <c r="A12" s="2" t="s">
        <v>786</v>
      </c>
      <c r="B12" s="1" t="s">
        <v>157</v>
      </c>
      <c r="C12" s="1">
        <v>-41.244999999999997</v>
      </c>
      <c r="H12" s="3">
        <v>12</v>
      </c>
      <c r="I12" s="3" t="str">
        <f t="shared" si="1"/>
        <v>点246.121_F(12/16)</v>
      </c>
      <c r="J12" s="3">
        <f t="shared" si="2"/>
        <v>35</v>
      </c>
      <c r="K12" s="3">
        <f t="shared" ca="1" si="3"/>
        <v>417.65</v>
      </c>
      <c r="L12" s="3">
        <f t="shared" si="4"/>
        <v>417.61799999999999</v>
      </c>
      <c r="M12" s="3">
        <f t="shared" si="4"/>
        <v>417.68199999999996</v>
      </c>
      <c r="W12" s="15">
        <f t="shared" ca="1" si="0"/>
        <v>419.67999999999995</v>
      </c>
      <c r="X12" s="15">
        <f t="shared" si="5"/>
        <v>419.488</v>
      </c>
      <c r="Y12" s="15">
        <f t="shared" si="6"/>
        <v>419.81199999999995</v>
      </c>
    </row>
    <row r="13" spans="1:25">
      <c r="A13" s="1" t="s">
        <v>159</v>
      </c>
      <c r="B13" s="1" t="s">
        <v>170</v>
      </c>
      <c r="C13" s="1">
        <v>417.56099999999998</v>
      </c>
      <c r="H13" s="3">
        <v>11</v>
      </c>
      <c r="I13" s="3" t="str">
        <f t="shared" si="1"/>
        <v>点246.121_F(11/16)</v>
      </c>
      <c r="J13" s="3">
        <f t="shared" si="2"/>
        <v>32</v>
      </c>
      <c r="K13" s="3">
        <f t="shared" ca="1" si="3"/>
        <v>417.63400000000001</v>
      </c>
      <c r="L13" s="3">
        <f t="shared" si="4"/>
        <v>417.61799999999999</v>
      </c>
      <c r="M13" s="3">
        <f t="shared" si="4"/>
        <v>417.68199999999996</v>
      </c>
      <c r="W13" s="15">
        <f t="shared" ca="1" si="0"/>
        <v>419.66399999999999</v>
      </c>
      <c r="X13" s="15">
        <f t="shared" si="5"/>
        <v>419.488</v>
      </c>
      <c r="Y13" s="15">
        <f t="shared" si="6"/>
        <v>419.81199999999995</v>
      </c>
    </row>
    <row r="14" spans="1:25">
      <c r="A14" s="1" t="s">
        <v>787</v>
      </c>
      <c r="B14" s="1" t="s">
        <v>171</v>
      </c>
      <c r="C14" s="1">
        <v>1E-3</v>
      </c>
      <c r="H14" s="3">
        <v>10</v>
      </c>
      <c r="I14" s="3" t="str">
        <f t="shared" si="1"/>
        <v>点246.121_F(10/16)</v>
      </c>
      <c r="J14" s="3">
        <f t="shared" si="2"/>
        <v>29</v>
      </c>
      <c r="K14" s="3">
        <f t="shared" ca="1" si="3"/>
        <v>417.63900000000001</v>
      </c>
      <c r="L14" s="3">
        <f t="shared" si="4"/>
        <v>417.61799999999999</v>
      </c>
      <c r="M14" s="3">
        <f t="shared" si="4"/>
        <v>417.68199999999996</v>
      </c>
      <c r="W14" s="15">
        <f t="shared" ca="1" si="0"/>
        <v>419.66899999999998</v>
      </c>
      <c r="X14" s="15">
        <f t="shared" si="5"/>
        <v>419.488</v>
      </c>
      <c r="Y14" s="15">
        <f t="shared" si="6"/>
        <v>419.81199999999995</v>
      </c>
    </row>
    <row r="15" spans="1:25">
      <c r="A15" s="2" t="s">
        <v>788</v>
      </c>
      <c r="B15" s="1" t="s">
        <v>157</v>
      </c>
      <c r="C15" s="1">
        <v>-41.243000000000002</v>
      </c>
      <c r="H15" s="3">
        <v>9</v>
      </c>
      <c r="I15" s="3" t="str">
        <f t="shared" si="1"/>
        <v>点246.121_F(9/16)</v>
      </c>
      <c r="J15" s="3">
        <f t="shared" si="2"/>
        <v>26</v>
      </c>
      <c r="K15" s="3">
        <f t="shared" ca="1" si="3"/>
        <v>417.601</v>
      </c>
      <c r="L15" s="3">
        <f t="shared" si="4"/>
        <v>417.61799999999999</v>
      </c>
      <c r="M15" s="3">
        <f t="shared" si="4"/>
        <v>417.68199999999996</v>
      </c>
      <c r="W15" s="15">
        <f t="shared" ca="1" si="0"/>
        <v>419.63099999999997</v>
      </c>
      <c r="X15" s="15">
        <f t="shared" si="5"/>
        <v>419.488</v>
      </c>
      <c r="Y15" s="15">
        <f t="shared" si="6"/>
        <v>419.81199999999995</v>
      </c>
    </row>
    <row r="16" spans="1:25">
      <c r="A16" s="1" t="s">
        <v>159</v>
      </c>
      <c r="B16" s="1" t="s">
        <v>170</v>
      </c>
      <c r="C16" s="1">
        <v>417.64499999999998</v>
      </c>
      <c r="H16" s="3">
        <v>8</v>
      </c>
      <c r="I16" s="3" t="str">
        <f t="shared" si="1"/>
        <v>点246.121_F(8/16)</v>
      </c>
      <c r="J16" s="3">
        <f t="shared" si="2"/>
        <v>23</v>
      </c>
      <c r="K16" s="3">
        <f t="shared" ca="1" si="3"/>
        <v>417.57100000000003</v>
      </c>
      <c r="L16" s="3">
        <f t="shared" si="4"/>
        <v>417.61799999999999</v>
      </c>
      <c r="M16" s="3">
        <f t="shared" si="4"/>
        <v>417.68199999999996</v>
      </c>
      <c r="W16" s="15">
        <f t="shared" ca="1" si="0"/>
        <v>419.601</v>
      </c>
      <c r="X16" s="15">
        <f t="shared" si="5"/>
        <v>419.488</v>
      </c>
      <c r="Y16" s="15">
        <f t="shared" si="6"/>
        <v>419.81199999999995</v>
      </c>
    </row>
    <row r="17" spans="1:27">
      <c r="A17" s="1" t="s">
        <v>789</v>
      </c>
      <c r="B17" s="1" t="s">
        <v>171</v>
      </c>
      <c r="C17" s="1">
        <v>0</v>
      </c>
      <c r="H17" s="3">
        <v>7</v>
      </c>
      <c r="I17" s="3" t="str">
        <f t="shared" si="1"/>
        <v>点246.121_F(7/16)</v>
      </c>
      <c r="J17" s="3">
        <f t="shared" si="2"/>
        <v>20</v>
      </c>
      <c r="K17" s="3">
        <f t="shared" ca="1" si="3"/>
        <v>417.62</v>
      </c>
      <c r="L17" s="3">
        <f t="shared" si="4"/>
        <v>417.61799999999999</v>
      </c>
      <c r="M17" s="3">
        <f t="shared" si="4"/>
        <v>417.68199999999996</v>
      </c>
      <c r="W17" s="15">
        <f t="shared" ca="1" si="0"/>
        <v>419.65</v>
      </c>
      <c r="X17" s="15">
        <f t="shared" si="5"/>
        <v>419.488</v>
      </c>
      <c r="Y17" s="15">
        <f t="shared" si="6"/>
        <v>419.81199999999995</v>
      </c>
    </row>
    <row r="18" spans="1:27">
      <c r="A18" s="2" t="s">
        <v>790</v>
      </c>
      <c r="B18" s="1" t="s">
        <v>157</v>
      </c>
      <c r="C18" s="1">
        <v>-41.268000000000001</v>
      </c>
      <c r="H18" s="3">
        <v>6</v>
      </c>
      <c r="I18" s="3" t="str">
        <f t="shared" si="1"/>
        <v>点246.121_F(6/16)</v>
      </c>
      <c r="J18" s="3">
        <f t="shared" si="2"/>
        <v>17</v>
      </c>
      <c r="K18" s="3">
        <f t="shared" ca="1" si="3"/>
        <v>417.69499999999999</v>
      </c>
      <c r="L18" s="3">
        <f t="shared" si="4"/>
        <v>417.61799999999999</v>
      </c>
      <c r="M18" s="3">
        <f t="shared" si="4"/>
        <v>417.68199999999996</v>
      </c>
      <c r="W18" s="15">
        <f t="shared" ca="1" si="0"/>
        <v>419.72499999999997</v>
      </c>
      <c r="X18" s="15">
        <f t="shared" si="5"/>
        <v>419.488</v>
      </c>
      <c r="Y18" s="15">
        <f t="shared" si="6"/>
        <v>419.81199999999995</v>
      </c>
    </row>
    <row r="19" spans="1:27">
      <c r="A19" s="1" t="s">
        <v>159</v>
      </c>
      <c r="B19" s="1" t="s">
        <v>170</v>
      </c>
      <c r="C19" s="1">
        <v>417.69799999999998</v>
      </c>
      <c r="H19" s="3">
        <v>5</v>
      </c>
      <c r="I19" s="3" t="str">
        <f t="shared" si="1"/>
        <v>点246.121_F(5/16)</v>
      </c>
      <c r="J19" s="3">
        <f t="shared" si="2"/>
        <v>14</v>
      </c>
      <c r="K19" s="3">
        <f t="shared" ca="1" si="3"/>
        <v>417.69799999999998</v>
      </c>
      <c r="L19" s="3">
        <f t="shared" si="4"/>
        <v>417.61799999999999</v>
      </c>
      <c r="M19" s="3">
        <f t="shared" si="4"/>
        <v>417.68199999999996</v>
      </c>
      <c r="W19" s="15">
        <f t="shared" ca="1" si="0"/>
        <v>419.72799999999995</v>
      </c>
      <c r="X19" s="15">
        <f t="shared" si="5"/>
        <v>419.488</v>
      </c>
      <c r="Y19" s="15">
        <f t="shared" si="6"/>
        <v>419.81199999999995</v>
      </c>
    </row>
    <row r="20" spans="1:27">
      <c r="A20" s="1" t="s">
        <v>791</v>
      </c>
      <c r="B20" s="1" t="s">
        <v>171</v>
      </c>
      <c r="C20" s="1">
        <v>-1E-3</v>
      </c>
      <c r="H20" s="3">
        <v>4</v>
      </c>
      <c r="I20" s="3" t="str">
        <f t="shared" si="1"/>
        <v>点246.121_F(4/16)</v>
      </c>
      <c r="J20" s="3">
        <f t="shared" si="2"/>
        <v>11</v>
      </c>
      <c r="K20" s="3">
        <f t="shared" ca="1" si="3"/>
        <v>417.64499999999998</v>
      </c>
      <c r="L20" s="3">
        <f t="shared" si="4"/>
        <v>417.61799999999999</v>
      </c>
      <c r="M20" s="3">
        <f t="shared" si="4"/>
        <v>417.68199999999996</v>
      </c>
      <c r="W20" s="15">
        <f t="shared" ca="1" si="0"/>
        <v>419.67499999999995</v>
      </c>
      <c r="X20" s="15">
        <f t="shared" si="5"/>
        <v>419.488</v>
      </c>
      <c r="Y20" s="15">
        <f t="shared" si="6"/>
        <v>419.81199999999995</v>
      </c>
    </row>
    <row r="21" spans="1:27">
      <c r="A21" s="2" t="s">
        <v>792</v>
      </c>
      <c r="B21" s="1" t="s">
        <v>157</v>
      </c>
      <c r="C21" s="1">
        <v>-41.295000000000002</v>
      </c>
      <c r="H21" s="3">
        <v>3</v>
      </c>
      <c r="I21" s="3" t="str">
        <f t="shared" si="1"/>
        <v>点246.121_F(3/16)</v>
      </c>
      <c r="J21" s="3">
        <f t="shared" si="2"/>
        <v>8</v>
      </c>
      <c r="K21" s="3">
        <f t="shared" ca="1" si="3"/>
        <v>417.56099999999998</v>
      </c>
      <c r="L21" s="3">
        <f t="shared" si="4"/>
        <v>417.61799999999999</v>
      </c>
      <c r="M21" s="3">
        <f t="shared" si="4"/>
        <v>417.68199999999996</v>
      </c>
      <c r="W21" s="15">
        <f t="shared" ca="1" si="0"/>
        <v>419.59099999999995</v>
      </c>
      <c r="X21" s="15">
        <f t="shared" si="5"/>
        <v>419.488</v>
      </c>
      <c r="Y21" s="15">
        <f t="shared" si="6"/>
        <v>419.81199999999995</v>
      </c>
    </row>
    <row r="22" spans="1:27">
      <c r="A22" s="1" t="s">
        <v>159</v>
      </c>
      <c r="B22" s="1" t="s">
        <v>170</v>
      </c>
      <c r="C22" s="1">
        <v>417.69499999999999</v>
      </c>
      <c r="H22" s="3">
        <v>2</v>
      </c>
      <c r="I22" s="3" t="str">
        <f t="shared" si="1"/>
        <v>点246.121_F(2/16)</v>
      </c>
      <c r="J22" s="3">
        <f t="shared" si="2"/>
        <v>5</v>
      </c>
      <c r="K22" s="3">
        <f t="shared" ca="1" si="3"/>
        <v>417.55500000000001</v>
      </c>
      <c r="L22" s="3">
        <f t="shared" si="4"/>
        <v>417.61799999999999</v>
      </c>
      <c r="M22" s="3">
        <f t="shared" si="4"/>
        <v>417.68199999999996</v>
      </c>
      <c r="W22" s="15">
        <f t="shared" ca="1" si="0"/>
        <v>419.58499999999998</v>
      </c>
      <c r="X22" s="15">
        <f t="shared" si="5"/>
        <v>419.488</v>
      </c>
      <c r="Y22" s="15">
        <f t="shared" si="6"/>
        <v>419.81199999999995</v>
      </c>
    </row>
    <row r="23" spans="1:27">
      <c r="A23" s="1" t="s">
        <v>793</v>
      </c>
      <c r="B23" s="1" t="s">
        <v>171</v>
      </c>
      <c r="C23" s="1">
        <v>-1E-3</v>
      </c>
      <c r="H23" s="3"/>
      <c r="I23" s="3"/>
      <c r="J23" s="3"/>
      <c r="K23" s="3"/>
      <c r="L23" s="3"/>
      <c r="M23" s="3"/>
    </row>
    <row r="24" spans="1:27">
      <c r="A24" s="2" t="s">
        <v>794</v>
      </c>
      <c r="B24" s="1" t="s">
        <v>157</v>
      </c>
      <c r="C24" s="1">
        <v>-41.287999999999997</v>
      </c>
      <c r="H24" s="3"/>
      <c r="I24" s="3"/>
      <c r="J24" s="5" t="s">
        <v>3</v>
      </c>
      <c r="K24" s="3" t="str">
        <f>"&gt;"&amp;TEXT(($E$2+$E$3)/2, "0.###")</f>
        <v>&gt;417.682</v>
      </c>
      <c r="L24" s="3"/>
      <c r="M24" s="3"/>
      <c r="W24" s="23" t="s">
        <v>3</v>
      </c>
      <c r="X24" s="21" t="str">
        <f>"&gt;"&amp;TEXT(Y7, "0.###")</f>
        <v>&gt;419.812</v>
      </c>
      <c r="Y24" s="15" t="s">
        <v>107</v>
      </c>
      <c r="Z24" s="15">
        <f ca="1">COUNTIF(W7:W22, X24)</f>
        <v>0</v>
      </c>
      <c r="AA24" s="15" t="str">
        <f ca="1">IF(Z24&gt;0, CONCATENATE("O/Max ", TEXT(MAX(W7:W22)-Y7, "0#.###")), "-")</f>
        <v>-</v>
      </c>
    </row>
    <row r="25" spans="1:27">
      <c r="A25" s="1" t="s">
        <v>159</v>
      </c>
      <c r="B25" s="1" t="s">
        <v>170</v>
      </c>
      <c r="C25" s="1">
        <v>417.62</v>
      </c>
      <c r="H25" s="3"/>
      <c r="I25" s="3"/>
      <c r="J25" s="6" t="s">
        <v>4</v>
      </c>
      <c r="K25" s="3" t="str">
        <f>"&lt;"&amp;TEXT(($E$2+$C$4)/2, "0.###")</f>
        <v>&lt;417.618</v>
      </c>
      <c r="L25" s="3"/>
      <c r="M25" s="3"/>
      <c r="W25" s="23" t="s">
        <v>4</v>
      </c>
      <c r="X25" s="21" t="str">
        <f>"&lt;"&amp;TEXT(X7, "0.###")</f>
        <v>&lt;419.488</v>
      </c>
      <c r="Y25" s="15" t="s">
        <v>108</v>
      </c>
      <c r="Z25" s="15">
        <f ca="1">COUNTIF(W7:W22, X25)</f>
        <v>0</v>
      </c>
      <c r="AA25" s="15" t="str">
        <f ca="1">IF(Z25&gt;0, CONCATENATE("U/Min ", TEXT(X7-MIN(W7:W22), "0#.###")), "-")</f>
        <v>-</v>
      </c>
    </row>
    <row r="26" spans="1:27">
      <c r="A26" s="1" t="s">
        <v>795</v>
      </c>
      <c r="B26" s="1" t="s">
        <v>171</v>
      </c>
      <c r="C26" s="1">
        <v>-1E-3</v>
      </c>
      <c r="H26" s="3"/>
      <c r="I26" s="3"/>
      <c r="J26" s="7"/>
      <c r="K26" s="8" t="s">
        <v>5</v>
      </c>
      <c r="L26" s="3"/>
      <c r="M26" s="3"/>
    </row>
    <row r="27" spans="1:27">
      <c r="A27" s="2" t="s">
        <v>796</v>
      </c>
      <c r="B27" s="1" t="s">
        <v>157</v>
      </c>
      <c r="C27" s="1">
        <v>-41.264000000000003</v>
      </c>
      <c r="H27" s="3"/>
      <c r="I27" s="3"/>
      <c r="J27" s="9" t="s">
        <v>6</v>
      </c>
      <c r="K27" s="10">
        <f ca="1">AVERAGE(K7:K22)*2</f>
        <v>835.25725000000011</v>
      </c>
      <c r="L27" s="3"/>
      <c r="M27" s="3"/>
    </row>
    <row r="28" spans="1:27">
      <c r="A28" s="1" t="s">
        <v>159</v>
      </c>
      <c r="B28" s="1" t="s">
        <v>170</v>
      </c>
      <c r="C28" s="1">
        <v>417.57100000000003</v>
      </c>
      <c r="H28" s="3"/>
      <c r="I28" s="3"/>
      <c r="J28" s="9"/>
      <c r="K28" s="11" t="str">
        <f ca="1">IF(K27&lt;$E$2+$C$4, "U/Min "&amp;TEXT($E$2+$C$4-K27, "0.###"), IF(K27&gt;$E$2+$E$3, "O/Max "&amp;TEXT(K27-$E$2-$E$3, "0.###"), "-"))</f>
        <v>-</v>
      </c>
      <c r="L28" s="3"/>
      <c r="M28" s="3"/>
    </row>
    <row r="29" spans="1:27">
      <c r="A29" s="1" t="s">
        <v>797</v>
      </c>
      <c r="B29" s="1" t="s">
        <v>171</v>
      </c>
      <c r="C29" s="1">
        <v>-1E-3</v>
      </c>
      <c r="H29" s="3"/>
      <c r="I29" s="3"/>
      <c r="J29" s="9" t="s">
        <v>13</v>
      </c>
      <c r="K29" s="10">
        <f ca="1">MAX(K7:K22)-MIN(K7:K22)</f>
        <v>0.14299999999997226</v>
      </c>
      <c r="L29" s="3"/>
      <c r="M29" s="3"/>
    </row>
    <row r="30" spans="1:27">
      <c r="A30" s="2" t="s">
        <v>798</v>
      </c>
      <c r="B30" s="1" t="s">
        <v>157</v>
      </c>
      <c r="C30" s="1">
        <v>-41.249000000000002</v>
      </c>
      <c r="H30" s="3"/>
      <c r="I30" s="3"/>
      <c r="J30" s="9"/>
      <c r="K30" s="11" t="str">
        <f ca="1">IF(K29&gt;0.13, "O/Max "&amp;TEXT(K29-0.13, "0.###"), "-")</f>
        <v>O/Max 0.013</v>
      </c>
      <c r="L30" s="3"/>
      <c r="M30" s="3"/>
    </row>
    <row r="31" spans="1:27">
      <c r="A31" s="1" t="s">
        <v>159</v>
      </c>
      <c r="B31" s="1" t="s">
        <v>170</v>
      </c>
      <c r="C31" s="1">
        <v>417.601</v>
      </c>
      <c r="H31" s="3"/>
      <c r="I31" s="3"/>
      <c r="J31" s="9" t="s">
        <v>14</v>
      </c>
      <c r="K31" s="12">
        <f ca="1">COUNTIF(K7:K22, $K24)</f>
        <v>2</v>
      </c>
      <c r="L31" s="3"/>
      <c r="M31" s="3"/>
    </row>
    <row r="32" spans="1:27">
      <c r="A32" s="1" t="s">
        <v>799</v>
      </c>
      <c r="B32" s="1" t="s">
        <v>171</v>
      </c>
      <c r="C32" s="1">
        <v>-2E-3</v>
      </c>
      <c r="H32" s="3"/>
      <c r="I32" s="3"/>
      <c r="J32" s="13" t="s">
        <v>9</v>
      </c>
      <c r="K32" s="12">
        <f ca="1">COUNTIF(K7:K22, $K25)</f>
        <v>5</v>
      </c>
      <c r="L32" s="3"/>
      <c r="M32" s="3"/>
    </row>
    <row r="33" spans="1:13">
      <c r="A33" s="2" t="s">
        <v>800</v>
      </c>
      <c r="B33" s="1" t="s">
        <v>157</v>
      </c>
      <c r="C33" s="1">
        <v>-41.261000000000003</v>
      </c>
      <c r="H33" s="3"/>
      <c r="I33" s="3"/>
      <c r="J33" s="12"/>
      <c r="K33" s="14" t="str">
        <f ca="1">TEXT(K31+K32,"0")&amp;"/16"</f>
        <v>7/16</v>
      </c>
      <c r="L33" s="3"/>
      <c r="M33" s="3"/>
    </row>
    <row r="34" spans="1:13">
      <c r="A34" s="1" t="s">
        <v>159</v>
      </c>
      <c r="B34" s="1" t="s">
        <v>170</v>
      </c>
      <c r="C34" s="1">
        <v>417.63900000000001</v>
      </c>
      <c r="J34" s="15" t="s">
        <v>90</v>
      </c>
      <c r="K34" s="15"/>
    </row>
    <row r="35" spans="1:13">
      <c r="A35" s="1" t="s">
        <v>801</v>
      </c>
      <c r="B35" s="1" t="s">
        <v>171</v>
      </c>
      <c r="C35" s="1">
        <v>2E-3</v>
      </c>
      <c r="J35" s="15" t="s">
        <v>91</v>
      </c>
      <c r="K35" s="16">
        <f ca="1">MAX(K7:K22)*2</f>
        <v>835.39599999999996</v>
      </c>
    </row>
    <row r="36" spans="1:13">
      <c r="A36" s="2" t="s">
        <v>802</v>
      </c>
      <c r="B36" s="1" t="s">
        <v>157</v>
      </c>
      <c r="C36" s="1">
        <v>-41.274000000000001</v>
      </c>
      <c r="J36" s="15" t="s">
        <v>92</v>
      </c>
      <c r="K36" s="16">
        <f ca="1">MIN(K7:K22)*2</f>
        <v>835.11</v>
      </c>
    </row>
    <row r="37" spans="1:13">
      <c r="A37" s="1" t="s">
        <v>159</v>
      </c>
      <c r="B37" s="1" t="s">
        <v>170</v>
      </c>
      <c r="C37" s="1">
        <v>417.63400000000001</v>
      </c>
    </row>
    <row r="38" spans="1:13">
      <c r="A38" s="1" t="s">
        <v>803</v>
      </c>
      <c r="B38" s="1" t="s">
        <v>171</v>
      </c>
      <c r="C38" s="1">
        <v>0</v>
      </c>
    </row>
    <row r="39" spans="1:13">
      <c r="A39" s="2" t="s">
        <v>804</v>
      </c>
      <c r="B39" s="1" t="s">
        <v>157</v>
      </c>
      <c r="C39" s="1">
        <v>-41.28</v>
      </c>
    </row>
    <row r="40" spans="1:13">
      <c r="A40" s="1" t="s">
        <v>159</v>
      </c>
      <c r="B40" s="1" t="s">
        <v>170</v>
      </c>
      <c r="C40" s="1">
        <v>417.65</v>
      </c>
    </row>
    <row r="41" spans="1:13">
      <c r="A41" s="1" t="s">
        <v>805</v>
      </c>
      <c r="B41" s="1" t="s">
        <v>171</v>
      </c>
      <c r="C41" s="1">
        <v>1E-3</v>
      </c>
    </row>
    <row r="42" spans="1:13">
      <c r="A42" s="2" t="s">
        <v>806</v>
      </c>
      <c r="B42" s="1" t="s">
        <v>157</v>
      </c>
      <c r="C42" s="1">
        <v>-41.276000000000003</v>
      </c>
    </row>
    <row r="43" spans="1:13">
      <c r="A43" s="1" t="s">
        <v>159</v>
      </c>
      <c r="B43" s="1" t="s">
        <v>170</v>
      </c>
      <c r="C43" s="1">
        <v>417.63600000000002</v>
      </c>
    </row>
    <row r="44" spans="1:13">
      <c r="A44" s="1" t="s">
        <v>807</v>
      </c>
      <c r="B44" s="1" t="s">
        <v>171</v>
      </c>
      <c r="C44" s="1">
        <v>-1E-3</v>
      </c>
    </row>
    <row r="45" spans="1:13">
      <c r="A45" s="2" t="s">
        <v>808</v>
      </c>
      <c r="B45" s="1" t="s">
        <v>157</v>
      </c>
      <c r="C45" s="1">
        <v>-41.274000000000001</v>
      </c>
    </row>
    <row r="46" spans="1:13">
      <c r="A46" s="1" t="s">
        <v>159</v>
      </c>
      <c r="B46" s="1" t="s">
        <v>170</v>
      </c>
      <c r="C46" s="1">
        <v>417.63099999999997</v>
      </c>
    </row>
    <row r="47" spans="1:13">
      <c r="A47" s="1" t="s">
        <v>809</v>
      </c>
      <c r="B47" s="1" t="s">
        <v>171</v>
      </c>
      <c r="C47" s="1">
        <v>-1E-3</v>
      </c>
    </row>
    <row r="48" spans="1:13">
      <c r="A48" s="2" t="s">
        <v>810</v>
      </c>
      <c r="B48" s="1" t="s">
        <v>157</v>
      </c>
      <c r="C48" s="1">
        <v>-41.280999999999999</v>
      </c>
    </row>
    <row r="49" spans="1:25">
      <c r="A49" s="1" t="s">
        <v>159</v>
      </c>
      <c r="B49" s="1" t="s">
        <v>170</v>
      </c>
      <c r="C49" s="1">
        <v>417.65499999999997</v>
      </c>
    </row>
    <row r="50" spans="1:25">
      <c r="A50" s="1" t="s">
        <v>811</v>
      </c>
      <c r="B50" s="1" t="s">
        <v>171</v>
      </c>
      <c r="C50" s="1">
        <v>-2E-3</v>
      </c>
    </row>
    <row r="51" spans="1:25">
      <c r="A51" s="2" t="s">
        <v>812</v>
      </c>
      <c r="B51" s="1" t="s">
        <v>157</v>
      </c>
      <c r="C51" s="1">
        <v>-41.296999999999997</v>
      </c>
    </row>
    <row r="52" spans="1:25">
      <c r="A52" s="1" t="s">
        <v>159</v>
      </c>
      <c r="B52" s="1" t="s">
        <v>170</v>
      </c>
      <c r="C52" s="1">
        <v>417.65300000000002</v>
      </c>
    </row>
    <row r="53" spans="1:25">
      <c r="A53" s="1" t="s">
        <v>813</v>
      </c>
      <c r="B53" s="1" t="s">
        <v>171</v>
      </c>
      <c r="C53" s="1">
        <v>1E-3</v>
      </c>
    </row>
    <row r="54" spans="1:25">
      <c r="A54" s="2" t="s">
        <v>814</v>
      </c>
      <c r="B54" s="1" t="s">
        <v>157</v>
      </c>
      <c r="C54" s="1">
        <v>-41.308</v>
      </c>
    </row>
    <row r="56" spans="1:25">
      <c r="A56" s="1" t="s">
        <v>815</v>
      </c>
    </row>
    <row r="57" spans="1:25">
      <c r="A57" s="1" t="s">
        <v>160</v>
      </c>
      <c r="B57" s="1" t="s">
        <v>164</v>
      </c>
      <c r="C57" s="1">
        <v>835.27099999999996</v>
      </c>
      <c r="D57" s="1" t="s">
        <v>196</v>
      </c>
      <c r="E57" s="1">
        <v>835.3</v>
      </c>
      <c r="V57" s="21" t="s">
        <v>105</v>
      </c>
      <c r="W57" s="21">
        <f>E57+2*2</f>
        <v>839.3</v>
      </c>
    </row>
    <row r="58" spans="1:25">
      <c r="A58" s="1" t="s">
        <v>816</v>
      </c>
      <c r="B58" s="1" t="s">
        <v>162</v>
      </c>
      <c r="C58" s="1">
        <v>-2.9000000000000001E-2</v>
      </c>
      <c r="D58" s="1" t="s">
        <v>163</v>
      </c>
      <c r="E58" s="1">
        <v>6.4000000000000001E-2</v>
      </c>
      <c r="F58" s="1" t="s">
        <v>158</v>
      </c>
      <c r="V58" s="21" t="s">
        <v>101</v>
      </c>
      <c r="W58" s="21">
        <f>E58+0.13*2</f>
        <v>0.32400000000000001</v>
      </c>
    </row>
    <row r="59" spans="1:25">
      <c r="A59" s="2" t="s">
        <v>817</v>
      </c>
      <c r="B59" s="1" t="s">
        <v>169</v>
      </c>
      <c r="C59" s="1">
        <v>-6.4000000000000001E-2</v>
      </c>
      <c r="V59" s="22" t="s">
        <v>106</v>
      </c>
      <c r="W59" s="21">
        <v>2.0299999999999998</v>
      </c>
    </row>
    <row r="61" spans="1:25">
      <c r="A61" s="1" t="s">
        <v>1301</v>
      </c>
      <c r="C61" s="1" t="s">
        <v>161</v>
      </c>
      <c r="H61" s="3"/>
      <c r="I61" s="3" t="str">
        <f>CONCATENATE(A61," : ",MID(A56,11,8))</f>
        <v>JHV723EJ : 246_2002</v>
      </c>
      <c r="J61" s="3"/>
      <c r="K61" s="3" t="s">
        <v>45</v>
      </c>
      <c r="L61" s="3" t="s">
        <v>46</v>
      </c>
      <c r="M61" s="3" t="s">
        <v>47</v>
      </c>
      <c r="V61" s="15" t="str">
        <f>CONCATENATE(I61, " + 2.0+/-0.13")</f>
        <v>JHV723EJ : 246_2002 + 2.0+/-0.13</v>
      </c>
      <c r="W61" s="21" t="s">
        <v>109</v>
      </c>
      <c r="X61" s="21" t="s">
        <v>1</v>
      </c>
      <c r="Y61" s="21" t="s">
        <v>2</v>
      </c>
    </row>
    <row r="62" spans="1:25">
      <c r="A62" s="1" t="s">
        <v>159</v>
      </c>
      <c r="B62" s="1" t="s">
        <v>170</v>
      </c>
      <c r="C62" s="1">
        <v>417.62400000000002</v>
      </c>
      <c r="H62" s="4">
        <v>1</v>
      </c>
      <c r="I62" s="3" t="str">
        <f>CONCATENATE("点246.121_A(", H62,"/16)")</f>
        <v>点246.121_A(1/16)</v>
      </c>
      <c r="J62" s="3">
        <f t="shared" ref="J62:J77" si="7">MATCH(I62, A$62:A$109, 0)</f>
        <v>2</v>
      </c>
      <c r="K62" s="3">
        <f t="shared" ref="K62:K77" ca="1" si="8">SQRT(OFFSET(C$61, J62-1, 0)^2 + OFFSET(C$61, J62, 0)^2)</f>
        <v>417.62400000119732</v>
      </c>
      <c r="L62" s="3">
        <f>($E$57+$C$59)/2</f>
        <v>417.61799999999999</v>
      </c>
      <c r="M62" s="3">
        <f>($E$57+$E$58)/2</f>
        <v>417.68199999999996</v>
      </c>
      <c r="W62" s="15">
        <f ca="1">K62+W$59</f>
        <v>419.65400000119729</v>
      </c>
      <c r="X62" s="15">
        <f>(W57-W58)/2</f>
        <v>419.488</v>
      </c>
      <c r="Y62" s="15">
        <f>(W57+W58)/2</f>
        <v>419.81199999999995</v>
      </c>
    </row>
    <row r="63" spans="1:25">
      <c r="A63" s="1" t="s">
        <v>818</v>
      </c>
      <c r="B63" s="1" t="s">
        <v>171</v>
      </c>
      <c r="C63" s="1">
        <v>-1E-3</v>
      </c>
      <c r="H63" s="3">
        <v>16</v>
      </c>
      <c r="I63" s="3" t="str">
        <f t="shared" ref="I63:I77" si="9">CONCATENATE("点246.121_A(", H63,"/16)")</f>
        <v>点246.121_A(16/16)</v>
      </c>
      <c r="J63" s="3">
        <f t="shared" si="7"/>
        <v>47</v>
      </c>
      <c r="K63" s="3">
        <f t="shared" ca="1" si="8"/>
        <v>417.6620000011971</v>
      </c>
      <c r="L63" s="3">
        <f>L62</f>
        <v>417.61799999999999</v>
      </c>
      <c r="M63" s="3">
        <f>M62</f>
        <v>417.68199999999996</v>
      </c>
      <c r="W63" s="15">
        <f t="shared" ref="W63:W77" ca="1" si="10">K63+W$59</f>
        <v>419.69200000119707</v>
      </c>
      <c r="X63" s="15">
        <f>X62</f>
        <v>419.488</v>
      </c>
      <c r="Y63" s="15">
        <f>Y62</f>
        <v>419.81199999999995</v>
      </c>
    </row>
    <row r="64" spans="1:25">
      <c r="A64" s="2" t="s">
        <v>819</v>
      </c>
      <c r="B64" s="1" t="s">
        <v>157</v>
      </c>
      <c r="C64" s="1">
        <v>-30.771000000000001</v>
      </c>
      <c r="H64" s="3">
        <v>15</v>
      </c>
      <c r="I64" s="3" t="str">
        <f t="shared" si="9"/>
        <v>点246.121_A(15/16)</v>
      </c>
      <c r="J64" s="3">
        <f t="shared" si="7"/>
        <v>44</v>
      </c>
      <c r="K64" s="3">
        <f t="shared" ca="1" si="8"/>
        <v>417.66300000478856</v>
      </c>
      <c r="L64" s="3">
        <f t="shared" ref="L64:M77" si="11">L63</f>
        <v>417.61799999999999</v>
      </c>
      <c r="M64" s="3">
        <f t="shared" si="11"/>
        <v>417.68199999999996</v>
      </c>
      <c r="W64" s="15">
        <f t="shared" ca="1" si="10"/>
        <v>419.69300000478853</v>
      </c>
      <c r="X64" s="15">
        <f t="shared" ref="X64:X77" si="12">X63</f>
        <v>419.488</v>
      </c>
      <c r="Y64" s="15">
        <f t="shared" ref="Y64:Y77" si="13">Y63</f>
        <v>419.81199999999995</v>
      </c>
    </row>
    <row r="65" spans="1:27">
      <c r="A65" s="1" t="s">
        <v>159</v>
      </c>
      <c r="B65" s="1" t="s">
        <v>170</v>
      </c>
      <c r="C65" s="1">
        <v>417.56</v>
      </c>
      <c r="H65" s="3">
        <v>14</v>
      </c>
      <c r="I65" s="3" t="str">
        <f t="shared" si="9"/>
        <v>点246.121_A(14/16)</v>
      </c>
      <c r="J65" s="3">
        <f t="shared" si="7"/>
        <v>41</v>
      </c>
      <c r="K65" s="3">
        <f t="shared" ca="1" si="8"/>
        <v>417.63600001915546</v>
      </c>
      <c r="L65" s="3">
        <f t="shared" si="11"/>
        <v>417.61799999999999</v>
      </c>
      <c r="M65" s="3">
        <f t="shared" si="11"/>
        <v>417.68199999999996</v>
      </c>
      <c r="W65" s="15">
        <f t="shared" ca="1" si="10"/>
        <v>419.66600001915543</v>
      </c>
      <c r="X65" s="15">
        <f t="shared" si="12"/>
        <v>419.488</v>
      </c>
      <c r="Y65" s="15">
        <f t="shared" si="13"/>
        <v>419.81199999999995</v>
      </c>
    </row>
    <row r="66" spans="1:27">
      <c r="A66" s="1" t="s">
        <v>820</v>
      </c>
      <c r="B66" s="1" t="s">
        <v>171</v>
      </c>
      <c r="C66" s="1">
        <v>3.0000000000000001E-3</v>
      </c>
      <c r="H66" s="3">
        <v>13</v>
      </c>
      <c r="I66" s="3" t="str">
        <f t="shared" si="9"/>
        <v>点246.121_A(13/16)</v>
      </c>
      <c r="J66" s="3">
        <f t="shared" si="7"/>
        <v>38</v>
      </c>
      <c r="K66" s="3">
        <f t="shared" ca="1" si="8"/>
        <v>417.63700000119724</v>
      </c>
      <c r="L66" s="3">
        <f t="shared" si="11"/>
        <v>417.61799999999999</v>
      </c>
      <c r="M66" s="3">
        <f t="shared" si="11"/>
        <v>417.68199999999996</v>
      </c>
      <c r="W66" s="15">
        <f t="shared" ca="1" si="10"/>
        <v>419.66700000119721</v>
      </c>
      <c r="X66" s="15">
        <f t="shared" si="12"/>
        <v>419.488</v>
      </c>
      <c r="Y66" s="15">
        <f t="shared" si="13"/>
        <v>419.81199999999995</v>
      </c>
    </row>
    <row r="67" spans="1:27">
      <c r="A67" s="2" t="s">
        <v>821</v>
      </c>
      <c r="B67" s="1" t="s">
        <v>157</v>
      </c>
      <c r="C67" s="1">
        <v>-30.744</v>
      </c>
      <c r="H67" s="3">
        <v>12</v>
      </c>
      <c r="I67" s="3" t="str">
        <f t="shared" si="9"/>
        <v>点246.121_A(12/16)</v>
      </c>
      <c r="J67" s="3">
        <f t="shared" si="7"/>
        <v>35</v>
      </c>
      <c r="K67" s="3">
        <f t="shared" ca="1" si="8"/>
        <v>417.65800000119714</v>
      </c>
      <c r="L67" s="3">
        <f t="shared" si="11"/>
        <v>417.61799999999999</v>
      </c>
      <c r="M67" s="3">
        <f t="shared" si="11"/>
        <v>417.68199999999996</v>
      </c>
      <c r="W67" s="15">
        <f t="shared" ca="1" si="10"/>
        <v>419.68800000119711</v>
      </c>
      <c r="X67" s="15">
        <f t="shared" si="12"/>
        <v>419.488</v>
      </c>
      <c r="Y67" s="15">
        <f t="shared" si="13"/>
        <v>419.81199999999995</v>
      </c>
    </row>
    <row r="68" spans="1:27">
      <c r="A68" s="1" t="s">
        <v>159</v>
      </c>
      <c r="B68" s="1" t="s">
        <v>170</v>
      </c>
      <c r="C68" s="1">
        <v>417.56</v>
      </c>
      <c r="H68" s="3">
        <v>11</v>
      </c>
      <c r="I68" s="3" t="str">
        <f t="shared" si="9"/>
        <v>点246.121_A(11/16)</v>
      </c>
      <c r="J68" s="3">
        <f t="shared" si="7"/>
        <v>32</v>
      </c>
      <c r="K68" s="3">
        <f t="shared" ca="1" si="8"/>
        <v>417.64200000119718</v>
      </c>
      <c r="L68" s="3">
        <f t="shared" si="11"/>
        <v>417.61799999999999</v>
      </c>
      <c r="M68" s="3">
        <f t="shared" si="11"/>
        <v>417.68199999999996</v>
      </c>
      <c r="W68" s="15">
        <f t="shared" ca="1" si="10"/>
        <v>419.67200000119715</v>
      </c>
      <c r="X68" s="15">
        <f t="shared" si="12"/>
        <v>419.488</v>
      </c>
      <c r="Y68" s="15">
        <f t="shared" si="13"/>
        <v>419.81199999999995</v>
      </c>
    </row>
    <row r="69" spans="1:27">
      <c r="A69" s="1" t="s">
        <v>822</v>
      </c>
      <c r="B69" s="1" t="s">
        <v>171</v>
      </c>
      <c r="C69" s="1">
        <v>1E-3</v>
      </c>
      <c r="H69" s="3">
        <v>10</v>
      </c>
      <c r="I69" s="3" t="str">
        <f t="shared" si="9"/>
        <v>点246.121_A(10/16)</v>
      </c>
      <c r="J69" s="3">
        <f t="shared" si="7"/>
        <v>29</v>
      </c>
      <c r="K69" s="3">
        <f t="shared" ca="1" si="8"/>
        <v>417.649</v>
      </c>
      <c r="L69" s="3">
        <f t="shared" si="11"/>
        <v>417.61799999999999</v>
      </c>
      <c r="M69" s="3">
        <f t="shared" si="11"/>
        <v>417.68199999999996</v>
      </c>
      <c r="W69" s="15">
        <f t="shared" ca="1" si="10"/>
        <v>419.67899999999997</v>
      </c>
      <c r="X69" s="15">
        <f t="shared" si="12"/>
        <v>419.488</v>
      </c>
      <c r="Y69" s="15">
        <f t="shared" si="13"/>
        <v>419.81199999999995</v>
      </c>
    </row>
    <row r="70" spans="1:27">
      <c r="A70" s="2" t="s">
        <v>823</v>
      </c>
      <c r="B70" s="1" t="s">
        <v>157</v>
      </c>
      <c r="C70" s="1">
        <v>-30.742000000000001</v>
      </c>
      <c r="H70" s="3">
        <v>9</v>
      </c>
      <c r="I70" s="3" t="str">
        <f t="shared" si="9"/>
        <v>点246.121_A(9/16)</v>
      </c>
      <c r="J70" s="3">
        <f t="shared" si="7"/>
        <v>26</v>
      </c>
      <c r="K70" s="3">
        <f t="shared" ca="1" si="8"/>
        <v>417.60600000119729</v>
      </c>
      <c r="L70" s="3">
        <f t="shared" si="11"/>
        <v>417.61799999999999</v>
      </c>
      <c r="M70" s="3">
        <f t="shared" si="11"/>
        <v>417.68199999999996</v>
      </c>
      <c r="W70" s="15">
        <f t="shared" ca="1" si="10"/>
        <v>419.63600000119726</v>
      </c>
      <c r="X70" s="15">
        <f t="shared" si="12"/>
        <v>419.488</v>
      </c>
      <c r="Y70" s="15">
        <f t="shared" si="13"/>
        <v>419.81199999999995</v>
      </c>
    </row>
    <row r="71" spans="1:27">
      <c r="A71" s="1" t="s">
        <v>159</v>
      </c>
      <c r="B71" s="1" t="s">
        <v>170</v>
      </c>
      <c r="C71" s="1">
        <v>417.654</v>
      </c>
      <c r="H71" s="3">
        <v>8</v>
      </c>
      <c r="I71" s="3" t="str">
        <f t="shared" si="9"/>
        <v>点246.121_A(8/16)</v>
      </c>
      <c r="J71" s="3">
        <f t="shared" si="7"/>
        <v>23</v>
      </c>
      <c r="K71" s="3">
        <f t="shared" ca="1" si="8"/>
        <v>417.57100020236084</v>
      </c>
      <c r="L71" s="3">
        <f t="shared" si="11"/>
        <v>417.61799999999999</v>
      </c>
      <c r="M71" s="3">
        <f t="shared" si="11"/>
        <v>417.68199999999996</v>
      </c>
      <c r="W71" s="15">
        <f t="shared" ca="1" si="10"/>
        <v>419.60100020236081</v>
      </c>
      <c r="X71" s="15">
        <f t="shared" si="12"/>
        <v>419.488</v>
      </c>
      <c r="Y71" s="15">
        <f t="shared" si="13"/>
        <v>419.81199999999995</v>
      </c>
    </row>
    <row r="72" spans="1:27">
      <c r="A72" s="1" t="s">
        <v>824</v>
      </c>
      <c r="B72" s="1" t="s">
        <v>171</v>
      </c>
      <c r="C72" s="1">
        <v>0</v>
      </c>
      <c r="H72" s="3">
        <v>7</v>
      </c>
      <c r="I72" s="3" t="str">
        <f t="shared" si="9"/>
        <v>点246.121_A(7/16)</v>
      </c>
      <c r="J72" s="3">
        <f t="shared" si="7"/>
        <v>20</v>
      </c>
      <c r="K72" s="3">
        <f t="shared" ca="1" si="8"/>
        <v>417.62400000119732</v>
      </c>
      <c r="L72" s="3">
        <f t="shared" si="11"/>
        <v>417.61799999999999</v>
      </c>
      <c r="M72" s="3">
        <f t="shared" si="11"/>
        <v>417.68199999999996</v>
      </c>
      <c r="W72" s="15">
        <f t="shared" ca="1" si="10"/>
        <v>419.65400000119729</v>
      </c>
      <c r="X72" s="15">
        <f t="shared" si="12"/>
        <v>419.488</v>
      </c>
      <c r="Y72" s="15">
        <f t="shared" si="13"/>
        <v>419.81199999999995</v>
      </c>
    </row>
    <row r="73" spans="1:27">
      <c r="A73" s="2" t="s">
        <v>825</v>
      </c>
      <c r="B73" s="1" t="s">
        <v>157</v>
      </c>
      <c r="C73" s="1">
        <v>-30.768999999999998</v>
      </c>
      <c r="H73" s="3">
        <v>6</v>
      </c>
      <c r="I73" s="3" t="str">
        <f t="shared" si="9"/>
        <v>点246.121_A(6/16)</v>
      </c>
      <c r="J73" s="3">
        <f t="shared" si="7"/>
        <v>17</v>
      </c>
      <c r="K73" s="3">
        <f t="shared" ca="1" si="8"/>
        <v>417.70800000478806</v>
      </c>
      <c r="L73" s="3">
        <f t="shared" si="11"/>
        <v>417.61799999999999</v>
      </c>
      <c r="M73" s="3">
        <f t="shared" si="11"/>
        <v>417.68199999999996</v>
      </c>
      <c r="W73" s="15">
        <f t="shared" ca="1" si="10"/>
        <v>419.73800000478803</v>
      </c>
      <c r="X73" s="15">
        <f t="shared" si="12"/>
        <v>419.488</v>
      </c>
      <c r="Y73" s="15">
        <f t="shared" si="13"/>
        <v>419.81199999999995</v>
      </c>
    </row>
    <row r="74" spans="1:27">
      <c r="A74" s="1" t="s">
        <v>159</v>
      </c>
      <c r="B74" s="1" t="s">
        <v>170</v>
      </c>
      <c r="C74" s="1">
        <v>417.71</v>
      </c>
      <c r="H74" s="3">
        <v>5</v>
      </c>
      <c r="I74" s="3" t="str">
        <f t="shared" si="9"/>
        <v>点246.121_A(5/16)</v>
      </c>
      <c r="J74" s="3">
        <f t="shared" si="7"/>
        <v>14</v>
      </c>
      <c r="K74" s="3">
        <f t="shared" ca="1" si="8"/>
        <v>417.71000000119699</v>
      </c>
      <c r="L74" s="3">
        <f t="shared" si="11"/>
        <v>417.61799999999999</v>
      </c>
      <c r="M74" s="3">
        <f t="shared" si="11"/>
        <v>417.68199999999996</v>
      </c>
      <c r="W74" s="15">
        <f t="shared" ca="1" si="10"/>
        <v>419.74000000119696</v>
      </c>
      <c r="X74" s="15">
        <f t="shared" si="12"/>
        <v>419.488</v>
      </c>
      <c r="Y74" s="15">
        <f t="shared" si="13"/>
        <v>419.81199999999995</v>
      </c>
    </row>
    <row r="75" spans="1:27">
      <c r="A75" s="1" t="s">
        <v>826</v>
      </c>
      <c r="B75" s="1" t="s">
        <v>171</v>
      </c>
      <c r="C75" s="1">
        <v>-1E-3</v>
      </c>
      <c r="H75" s="3">
        <v>4</v>
      </c>
      <c r="I75" s="3" t="str">
        <f t="shared" si="9"/>
        <v>点246.121_A(4/16)</v>
      </c>
      <c r="J75" s="3">
        <f t="shared" si="7"/>
        <v>11</v>
      </c>
      <c r="K75" s="3">
        <f t="shared" ca="1" si="8"/>
        <v>417.654</v>
      </c>
      <c r="L75" s="3">
        <f t="shared" si="11"/>
        <v>417.61799999999999</v>
      </c>
      <c r="M75" s="3">
        <f t="shared" si="11"/>
        <v>417.68199999999996</v>
      </c>
      <c r="W75" s="15">
        <f t="shared" ca="1" si="10"/>
        <v>419.68399999999997</v>
      </c>
      <c r="X75" s="15">
        <f t="shared" si="12"/>
        <v>419.488</v>
      </c>
      <c r="Y75" s="15">
        <f t="shared" si="13"/>
        <v>419.81199999999995</v>
      </c>
    </row>
    <row r="76" spans="1:27">
      <c r="A76" s="2" t="s">
        <v>827</v>
      </c>
      <c r="B76" s="1" t="s">
        <v>157</v>
      </c>
      <c r="C76" s="1">
        <v>-30.794</v>
      </c>
      <c r="H76" s="3">
        <v>3</v>
      </c>
      <c r="I76" s="3" t="str">
        <f t="shared" si="9"/>
        <v>点246.121_A(3/16)</v>
      </c>
      <c r="J76" s="3">
        <f t="shared" si="7"/>
        <v>8</v>
      </c>
      <c r="K76" s="3">
        <f t="shared" ca="1" si="8"/>
        <v>417.56000000119747</v>
      </c>
      <c r="L76" s="3">
        <f t="shared" si="11"/>
        <v>417.61799999999999</v>
      </c>
      <c r="M76" s="3">
        <f t="shared" si="11"/>
        <v>417.68199999999996</v>
      </c>
      <c r="W76" s="15">
        <f t="shared" ca="1" si="10"/>
        <v>419.59000000119744</v>
      </c>
      <c r="X76" s="15">
        <f t="shared" si="12"/>
        <v>419.488</v>
      </c>
      <c r="Y76" s="15">
        <f t="shared" si="13"/>
        <v>419.81199999999995</v>
      </c>
    </row>
    <row r="77" spans="1:27">
      <c r="A77" s="1" t="s">
        <v>159</v>
      </c>
      <c r="B77" s="1" t="s">
        <v>170</v>
      </c>
      <c r="C77" s="1">
        <v>417.70800000000003</v>
      </c>
      <c r="H77" s="3">
        <v>2</v>
      </c>
      <c r="I77" s="3" t="str">
        <f t="shared" si="9"/>
        <v>点246.121_A(2/16)</v>
      </c>
      <c r="J77" s="3">
        <f t="shared" si="7"/>
        <v>5</v>
      </c>
      <c r="K77" s="3">
        <f t="shared" ca="1" si="8"/>
        <v>417.56000001077689</v>
      </c>
      <c r="L77" s="3">
        <f t="shared" si="11"/>
        <v>417.61799999999999</v>
      </c>
      <c r="M77" s="3">
        <f t="shared" si="11"/>
        <v>417.68199999999996</v>
      </c>
      <c r="W77" s="15">
        <f t="shared" ca="1" si="10"/>
        <v>419.59000001077686</v>
      </c>
      <c r="X77" s="15">
        <f t="shared" si="12"/>
        <v>419.488</v>
      </c>
      <c r="Y77" s="15">
        <f t="shared" si="13"/>
        <v>419.81199999999995</v>
      </c>
    </row>
    <row r="78" spans="1:27">
      <c r="A78" s="1" t="s">
        <v>828</v>
      </c>
      <c r="B78" s="1" t="s">
        <v>171</v>
      </c>
      <c r="C78" s="1">
        <v>2E-3</v>
      </c>
      <c r="H78" s="3"/>
      <c r="I78" s="3"/>
      <c r="J78" s="3"/>
      <c r="K78" s="3"/>
      <c r="L78" s="3"/>
      <c r="M78" s="3"/>
    </row>
    <row r="79" spans="1:27">
      <c r="A79" s="2" t="s">
        <v>829</v>
      </c>
      <c r="B79" s="1" t="s">
        <v>157</v>
      </c>
      <c r="C79" s="1">
        <v>-30.786999999999999</v>
      </c>
      <c r="H79" s="3"/>
      <c r="I79" s="3"/>
      <c r="J79" s="5" t="s">
        <v>3</v>
      </c>
      <c r="K79" s="3" t="str">
        <f>"&gt;"&amp;TEXT(($E$57+$E$58)/2, "0.###")</f>
        <v>&gt;417.682</v>
      </c>
      <c r="L79" s="3"/>
      <c r="M79" s="3"/>
      <c r="W79" s="23" t="s">
        <v>3</v>
      </c>
      <c r="X79" s="21" t="str">
        <f>"&gt;"&amp;TEXT(Y62, "0.###")</f>
        <v>&gt;419.812</v>
      </c>
      <c r="Y79" s="15" t="s">
        <v>107</v>
      </c>
      <c r="Z79" s="15">
        <f ca="1">COUNTIF(W62:W77, X79)</f>
        <v>0</v>
      </c>
      <c r="AA79" s="15" t="str">
        <f ca="1">IF(Z79&gt;0, CONCATENATE("O/Max ", TEXT(MAX(W62:W77)-Y62, "0#.###")), "-")</f>
        <v>-</v>
      </c>
    </row>
    <row r="80" spans="1:27">
      <c r="A80" s="1" t="s">
        <v>159</v>
      </c>
      <c r="B80" s="1" t="s">
        <v>170</v>
      </c>
      <c r="C80" s="1">
        <v>417.62400000000002</v>
      </c>
      <c r="H80" s="3"/>
      <c r="I80" s="3"/>
      <c r="J80" s="6" t="s">
        <v>4</v>
      </c>
      <c r="K80" s="3" t="str">
        <f>"&lt;"&amp;TEXT(($E$57+$C$59)/2, "0.###")</f>
        <v>&lt;417.618</v>
      </c>
      <c r="L80" s="3"/>
      <c r="M80" s="3"/>
      <c r="W80" s="23" t="s">
        <v>4</v>
      </c>
      <c r="X80" s="21" t="str">
        <f>"&lt;"&amp;TEXT(X62, "0.###")</f>
        <v>&lt;419.488</v>
      </c>
      <c r="Y80" s="15" t="s">
        <v>108</v>
      </c>
      <c r="Z80" s="15">
        <f ca="1">COUNTIF(W62:W77, X80)</f>
        <v>0</v>
      </c>
      <c r="AA80" s="15" t="str">
        <f ca="1">IF(Z80&gt;0, CONCATENATE("U/Min ", TEXT(X62-MIN(W62:W77), "0#.###")), "-")</f>
        <v>-</v>
      </c>
    </row>
    <row r="81" spans="1:13">
      <c r="A81" s="1" t="s">
        <v>830</v>
      </c>
      <c r="B81" s="1" t="s">
        <v>171</v>
      </c>
      <c r="C81" s="1">
        <v>-1E-3</v>
      </c>
      <c r="H81" s="3"/>
      <c r="I81" s="3"/>
      <c r="J81" s="7"/>
      <c r="K81" s="8" t="s">
        <v>5</v>
      </c>
      <c r="L81" s="3"/>
      <c r="M81" s="3"/>
    </row>
    <row r="82" spans="1:13">
      <c r="A82" s="2" t="s">
        <v>831</v>
      </c>
      <c r="B82" s="1" t="s">
        <v>157</v>
      </c>
      <c r="C82" s="1">
        <v>-30.763999999999999</v>
      </c>
      <c r="H82" s="3"/>
      <c r="I82" s="3"/>
      <c r="J82" s="9" t="s">
        <v>6</v>
      </c>
      <c r="K82" s="10">
        <f ca="1">AVERAGE(K62:K77)*2</f>
        <v>835.27050003158058</v>
      </c>
      <c r="L82" s="3"/>
      <c r="M82" s="3"/>
    </row>
    <row r="83" spans="1:13">
      <c r="A83" s="1" t="s">
        <v>159</v>
      </c>
      <c r="B83" s="1" t="s">
        <v>170</v>
      </c>
      <c r="C83" s="1">
        <v>417.57100000000003</v>
      </c>
      <c r="H83" s="3"/>
      <c r="I83" s="3"/>
      <c r="J83" s="9"/>
      <c r="K83" s="11" t="str">
        <f ca="1">IF(K82&lt;$E$2+$C$4, "U/Min "&amp;TEXT($E$2+$C$4-K82, "0.###"), IF(K82&gt;$E$2+$E$3, "O/Max "&amp;TEXT(K82-$E$2-$E$3, "0.###"), "-"))</f>
        <v>-</v>
      </c>
      <c r="L83" s="3"/>
      <c r="M83" s="3"/>
    </row>
    <row r="84" spans="1:13">
      <c r="A84" s="1" t="s">
        <v>832</v>
      </c>
      <c r="B84" s="1" t="s">
        <v>171</v>
      </c>
      <c r="C84" s="1">
        <v>-1.2999999999999999E-2</v>
      </c>
      <c r="H84" s="3"/>
      <c r="I84" s="3"/>
      <c r="J84" s="9" t="s">
        <v>13</v>
      </c>
      <c r="K84" s="10">
        <f ca="1">MAX(K62:K77)-MIN(K62:K77)</f>
        <v>0.14999999999952252</v>
      </c>
      <c r="L84" s="3"/>
      <c r="M84" s="3"/>
    </row>
    <row r="85" spans="1:13">
      <c r="A85" s="2" t="s">
        <v>833</v>
      </c>
      <c r="B85" s="1" t="s">
        <v>157</v>
      </c>
      <c r="C85" s="1">
        <v>-30.748000000000001</v>
      </c>
      <c r="H85" s="3"/>
      <c r="I85" s="3"/>
      <c r="J85" s="9"/>
      <c r="K85" s="11" t="str">
        <f ca="1">IF(K84&gt;0.13, "O/Max "&amp;TEXT(K84-0.13, "0.###"), "-")</f>
        <v>O/Max 0.02</v>
      </c>
      <c r="L85" s="3"/>
      <c r="M85" s="3"/>
    </row>
    <row r="86" spans="1:13">
      <c r="A86" s="1" t="s">
        <v>159</v>
      </c>
      <c r="B86" s="1" t="s">
        <v>170</v>
      </c>
      <c r="C86" s="1">
        <v>417.60599999999999</v>
      </c>
      <c r="H86" s="3"/>
      <c r="I86" s="3"/>
      <c r="J86" s="9" t="s">
        <v>14</v>
      </c>
      <c r="K86" s="12">
        <f ca="1">COUNTIF(K62:K77, $K79)</f>
        <v>2</v>
      </c>
      <c r="L86" s="3"/>
      <c r="M86" s="3"/>
    </row>
    <row r="87" spans="1:13">
      <c r="A87" s="1" t="s">
        <v>834</v>
      </c>
      <c r="B87" s="1" t="s">
        <v>171</v>
      </c>
      <c r="C87" s="1">
        <v>-1E-3</v>
      </c>
      <c r="H87" s="3"/>
      <c r="I87" s="3"/>
      <c r="J87" s="13" t="s">
        <v>9</v>
      </c>
      <c r="K87" s="12">
        <f ca="1">COUNTIF(K62:K77, $K80)</f>
        <v>4</v>
      </c>
      <c r="L87" s="3"/>
      <c r="M87" s="3"/>
    </row>
    <row r="88" spans="1:13">
      <c r="A88" s="2" t="s">
        <v>835</v>
      </c>
      <c r="B88" s="1" t="s">
        <v>157</v>
      </c>
      <c r="C88" s="1">
        <v>-30.760999999999999</v>
      </c>
      <c r="H88" s="3"/>
      <c r="I88" s="3"/>
      <c r="J88" s="12"/>
      <c r="K88" s="14" t="str">
        <f ca="1">TEXT(K86+K87,"0")&amp;"/16"</f>
        <v>6/16</v>
      </c>
      <c r="L88" s="3"/>
      <c r="M88" s="3"/>
    </row>
    <row r="89" spans="1:13">
      <c r="A89" s="1" t="s">
        <v>159</v>
      </c>
      <c r="B89" s="1" t="s">
        <v>170</v>
      </c>
      <c r="C89" s="1">
        <v>417.649</v>
      </c>
      <c r="J89" s="15" t="s">
        <v>90</v>
      </c>
      <c r="K89" s="15"/>
    </row>
    <row r="90" spans="1:13">
      <c r="A90" s="1" t="s">
        <v>836</v>
      </c>
      <c r="B90" s="1" t="s">
        <v>171</v>
      </c>
      <c r="C90" s="1">
        <v>0</v>
      </c>
      <c r="J90" s="15" t="s">
        <v>91</v>
      </c>
      <c r="K90" s="16">
        <f ca="1">MAX(K62:K77)*2</f>
        <v>835.42000000239398</v>
      </c>
    </row>
    <row r="91" spans="1:13">
      <c r="A91" s="2" t="s">
        <v>837</v>
      </c>
      <c r="B91" s="1" t="s">
        <v>157</v>
      </c>
      <c r="C91" s="1">
        <v>-30.774000000000001</v>
      </c>
      <c r="J91" s="15" t="s">
        <v>92</v>
      </c>
      <c r="K91" s="16">
        <f ca="1">MIN(K62:K77)*2</f>
        <v>835.12000000239493</v>
      </c>
    </row>
    <row r="92" spans="1:13">
      <c r="A92" s="1" t="s">
        <v>159</v>
      </c>
      <c r="B92" s="1" t="s">
        <v>170</v>
      </c>
      <c r="C92" s="1">
        <v>417.642</v>
      </c>
    </row>
    <row r="93" spans="1:13">
      <c r="A93" s="1" t="s">
        <v>838</v>
      </c>
      <c r="B93" s="1" t="s">
        <v>171</v>
      </c>
      <c r="C93" s="1">
        <v>-1E-3</v>
      </c>
    </row>
    <row r="94" spans="1:13">
      <c r="A94" s="2" t="s">
        <v>839</v>
      </c>
      <c r="B94" s="1" t="s">
        <v>157</v>
      </c>
      <c r="C94" s="1">
        <v>-30.78</v>
      </c>
    </row>
    <row r="95" spans="1:13">
      <c r="A95" s="1" t="s">
        <v>159</v>
      </c>
      <c r="B95" s="1" t="s">
        <v>170</v>
      </c>
      <c r="C95" s="1">
        <v>417.65800000000002</v>
      </c>
    </row>
    <row r="96" spans="1:13">
      <c r="A96" s="1" t="s">
        <v>840</v>
      </c>
      <c r="B96" s="1" t="s">
        <v>171</v>
      </c>
      <c r="C96" s="1">
        <v>1E-3</v>
      </c>
    </row>
    <row r="97" spans="1:3">
      <c r="A97" s="2" t="s">
        <v>841</v>
      </c>
      <c r="B97" s="1" t="s">
        <v>157</v>
      </c>
      <c r="C97" s="1">
        <v>-30.774999999999999</v>
      </c>
    </row>
    <row r="98" spans="1:3">
      <c r="A98" s="1" t="s">
        <v>159</v>
      </c>
      <c r="B98" s="1" t="s">
        <v>170</v>
      </c>
      <c r="C98" s="1">
        <v>417.637</v>
      </c>
    </row>
    <row r="99" spans="1:3">
      <c r="A99" s="1" t="s">
        <v>842</v>
      </c>
      <c r="B99" s="1" t="s">
        <v>171</v>
      </c>
      <c r="C99" s="1">
        <v>-1E-3</v>
      </c>
    </row>
    <row r="100" spans="1:3">
      <c r="A100" s="2" t="s">
        <v>843</v>
      </c>
      <c r="B100" s="1" t="s">
        <v>157</v>
      </c>
      <c r="C100" s="1">
        <v>-30.773</v>
      </c>
    </row>
    <row r="101" spans="1:3">
      <c r="A101" s="1" t="s">
        <v>159</v>
      </c>
      <c r="B101" s="1" t="s">
        <v>170</v>
      </c>
      <c r="C101" s="1">
        <v>417.63600000000002</v>
      </c>
    </row>
    <row r="102" spans="1:3">
      <c r="A102" s="1" t="s">
        <v>844</v>
      </c>
      <c r="B102" s="1" t="s">
        <v>171</v>
      </c>
      <c r="C102" s="1">
        <v>-4.0000000000000001E-3</v>
      </c>
    </row>
    <row r="103" spans="1:3">
      <c r="A103" s="2" t="s">
        <v>845</v>
      </c>
      <c r="B103" s="1" t="s">
        <v>157</v>
      </c>
      <c r="C103" s="1">
        <v>-30.78</v>
      </c>
    </row>
    <row r="104" spans="1:3">
      <c r="A104" s="1" t="s">
        <v>159</v>
      </c>
      <c r="B104" s="1" t="s">
        <v>170</v>
      </c>
      <c r="C104" s="1">
        <v>417.66300000000001</v>
      </c>
    </row>
    <row r="105" spans="1:3">
      <c r="A105" s="1" t="s">
        <v>846</v>
      </c>
      <c r="B105" s="1" t="s">
        <v>171</v>
      </c>
      <c r="C105" s="1">
        <v>-2E-3</v>
      </c>
    </row>
    <row r="106" spans="1:3">
      <c r="A106" s="2" t="s">
        <v>847</v>
      </c>
      <c r="B106" s="1" t="s">
        <v>157</v>
      </c>
      <c r="C106" s="1">
        <v>-30.797000000000001</v>
      </c>
    </row>
    <row r="107" spans="1:3">
      <c r="A107" s="1" t="s">
        <v>159</v>
      </c>
      <c r="B107" s="1" t="s">
        <v>170</v>
      </c>
      <c r="C107" s="1">
        <v>417.66199999999998</v>
      </c>
    </row>
    <row r="108" spans="1:3">
      <c r="A108" s="1" t="s">
        <v>848</v>
      </c>
      <c r="B108" s="1" t="s">
        <v>171</v>
      </c>
      <c r="C108" s="1">
        <v>1E-3</v>
      </c>
    </row>
    <row r="109" spans="1:3">
      <c r="A109" s="2" t="s">
        <v>849</v>
      </c>
      <c r="B109" s="1" t="s">
        <v>157</v>
      </c>
      <c r="C109" s="1">
        <v>-30.806000000000001</v>
      </c>
    </row>
  </sheetData>
  <phoneticPr fontId="1"/>
  <pageMargins left="0.7" right="0.7" top="0.75" bottom="0.75" header="0.3" footer="0.3"/>
  <pageSetup paperSize="9" orientation="portrait" r:id="rId1"/>
  <drawing r:id="rId2"/>
  <legacy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6"/>
  <dimension ref="A1:R26"/>
  <sheetViews>
    <sheetView workbookViewId="0">
      <selection activeCell="B6" sqref="B6"/>
    </sheetView>
  </sheetViews>
  <sheetFormatPr defaultColWidth="9" defaultRowHeight="15"/>
  <cols>
    <col min="1" max="16384" width="9" style="1"/>
  </cols>
  <sheetData>
    <row r="1" spans="1:18">
      <c r="A1" s="1" t="s">
        <v>76</v>
      </c>
    </row>
    <row r="3" spans="1:18">
      <c r="D3" s="82"/>
    </row>
    <row r="4" spans="1:18">
      <c r="A4" s="36"/>
      <c r="B4" s="36" t="s">
        <v>294</v>
      </c>
      <c r="C4" s="37"/>
      <c r="D4" s="83"/>
      <c r="E4" s="38"/>
      <c r="F4" s="36"/>
      <c r="J4" s="36"/>
    </row>
    <row r="5" spans="1:18">
      <c r="A5" s="39">
        <v>1</v>
      </c>
      <c r="B5" s="36">
        <v>838.59</v>
      </c>
      <c r="C5" s="37"/>
      <c r="D5" s="40">
        <f>B5/2</f>
        <v>419.29500000000002</v>
      </c>
      <c r="E5" s="38"/>
      <c r="F5" s="36"/>
      <c r="J5" s="36"/>
      <c r="K5" s="36"/>
      <c r="Q5" s="36"/>
      <c r="R5" s="36"/>
    </row>
    <row r="6" spans="1:18">
      <c r="A6" s="39">
        <v>4</v>
      </c>
      <c r="B6" s="36">
        <v>838.61500000000001</v>
      </c>
      <c r="C6" s="37"/>
      <c r="D6" s="40">
        <f>B6/2</f>
        <v>419.3075</v>
      </c>
      <c r="E6" s="38"/>
      <c r="F6" s="36"/>
      <c r="J6" s="36"/>
      <c r="K6" s="36"/>
      <c r="Q6" s="36"/>
      <c r="R6" s="36"/>
    </row>
    <row r="7" spans="1:18">
      <c r="A7" s="39">
        <v>3</v>
      </c>
      <c r="B7" s="36">
        <v>838.62</v>
      </c>
      <c r="C7" s="37"/>
      <c r="D7" s="40">
        <f>B7/2</f>
        <v>419.31</v>
      </c>
      <c r="E7" s="38"/>
      <c r="F7" s="36"/>
      <c r="J7" s="36"/>
      <c r="K7" s="36"/>
      <c r="Q7" s="36"/>
      <c r="R7" s="36"/>
    </row>
    <row r="8" spans="1:18">
      <c r="A8" s="39">
        <v>2</v>
      </c>
      <c r="B8" s="36">
        <v>838.56500000000005</v>
      </c>
      <c r="C8" s="37"/>
      <c r="D8" s="40">
        <f>B8/2</f>
        <v>419.28250000000003</v>
      </c>
      <c r="E8" s="38"/>
      <c r="F8" s="36"/>
      <c r="J8" s="36"/>
      <c r="K8" s="36"/>
      <c r="Q8" s="36"/>
      <c r="R8" s="36"/>
    </row>
    <row r="9" spans="1:18">
      <c r="A9" s="39"/>
      <c r="B9" s="36">
        <f>AVERAGE(B5:B8)</f>
        <v>838.59749999999997</v>
      </c>
      <c r="C9" s="37"/>
      <c r="D9" s="40">
        <f>B5/2</f>
        <v>419.29500000000002</v>
      </c>
      <c r="E9" s="38"/>
      <c r="F9" s="36"/>
      <c r="J9" s="36"/>
      <c r="Q9" s="36"/>
      <c r="R9" s="36"/>
    </row>
    <row r="10" spans="1:18">
      <c r="A10" s="39"/>
      <c r="B10" s="36"/>
      <c r="C10" s="37"/>
      <c r="D10" s="40">
        <f>B6/2</f>
        <v>419.3075</v>
      </c>
      <c r="E10" s="38"/>
      <c r="F10" s="36"/>
      <c r="Q10" s="36"/>
      <c r="R10" s="36"/>
    </row>
    <row r="11" spans="1:18">
      <c r="A11" s="36"/>
      <c r="B11" s="36"/>
      <c r="C11" s="37"/>
      <c r="D11" s="40">
        <f>B7/2</f>
        <v>419.31</v>
      </c>
      <c r="E11" s="38"/>
      <c r="F11" s="36"/>
      <c r="Q11" s="36"/>
      <c r="R11" s="36"/>
    </row>
    <row r="12" spans="1:18">
      <c r="A12" s="36"/>
      <c r="B12" s="36"/>
      <c r="C12" s="37"/>
      <c r="D12" s="40">
        <f>B8/2</f>
        <v>419.28250000000003</v>
      </c>
      <c r="E12" s="38"/>
      <c r="F12" s="36"/>
      <c r="Q12" s="36"/>
      <c r="R12" s="36"/>
    </row>
    <row r="13" spans="1:18">
      <c r="A13" s="39"/>
      <c r="B13" s="36"/>
      <c r="C13" s="37"/>
      <c r="D13" s="40"/>
      <c r="E13" s="38"/>
      <c r="F13" s="36"/>
      <c r="Q13" s="36"/>
      <c r="R13" s="36"/>
    </row>
    <row r="14" spans="1:18">
      <c r="A14" s="39"/>
      <c r="B14" s="36"/>
      <c r="C14" s="37"/>
      <c r="D14" s="40"/>
      <c r="E14" s="38"/>
      <c r="F14" s="36"/>
      <c r="Q14" s="36"/>
      <c r="R14" s="36"/>
    </row>
    <row r="15" spans="1:18">
      <c r="A15" s="39"/>
      <c r="B15" s="36"/>
      <c r="C15" s="36"/>
      <c r="D15" s="40"/>
      <c r="E15" s="38"/>
      <c r="F15" s="36"/>
      <c r="Q15" s="36"/>
      <c r="R15" s="36"/>
    </row>
    <row r="16" spans="1:18">
      <c r="A16" s="39"/>
      <c r="B16" s="36"/>
      <c r="C16" s="36"/>
      <c r="D16" s="83"/>
      <c r="E16" s="38"/>
      <c r="F16" s="36"/>
      <c r="Q16" s="36"/>
      <c r="R16" s="36"/>
    </row>
    <row r="17" spans="1:18">
      <c r="B17" s="36"/>
      <c r="C17" s="36"/>
      <c r="D17" s="83"/>
      <c r="E17" s="38"/>
      <c r="F17" s="36"/>
      <c r="Q17" s="36"/>
      <c r="R17" s="36"/>
    </row>
    <row r="18" spans="1:18">
      <c r="A18" s="36"/>
      <c r="B18" s="36"/>
      <c r="C18" s="36"/>
      <c r="D18" s="83"/>
      <c r="E18" s="38"/>
      <c r="F18" s="36"/>
      <c r="Q18" s="36"/>
      <c r="R18" s="36"/>
    </row>
    <row r="19" spans="1:18">
      <c r="A19" s="36"/>
      <c r="B19" s="36"/>
      <c r="C19" s="36"/>
      <c r="D19" s="83"/>
      <c r="E19" s="38"/>
      <c r="F19" s="36"/>
      <c r="Q19" s="36"/>
      <c r="R19" s="36"/>
    </row>
    <row r="20" spans="1:18">
      <c r="A20" s="36"/>
      <c r="B20" s="36"/>
      <c r="C20" s="36"/>
      <c r="D20" s="38"/>
      <c r="E20" s="38"/>
      <c r="F20" s="36"/>
      <c r="Q20" s="36"/>
      <c r="R20" s="36"/>
    </row>
    <row r="21" spans="1:18">
      <c r="A21" s="36"/>
      <c r="B21" s="36"/>
      <c r="C21" s="36"/>
      <c r="D21" s="36"/>
      <c r="E21" s="36"/>
      <c r="F21" s="36"/>
      <c r="Q21" s="36"/>
      <c r="R21" s="36"/>
    </row>
    <row r="22" spans="1:18">
      <c r="A22" s="36"/>
      <c r="B22" s="36"/>
      <c r="C22" s="36"/>
      <c r="D22" s="36"/>
      <c r="E22" s="36"/>
      <c r="F22" s="36"/>
    </row>
    <row r="23" spans="1:18">
      <c r="A23" s="36"/>
      <c r="B23" s="36"/>
      <c r="C23" s="36"/>
      <c r="D23" s="36"/>
      <c r="E23" s="36"/>
      <c r="F23" s="36"/>
    </row>
    <row r="24" spans="1:18">
      <c r="A24" s="36"/>
      <c r="B24" s="36"/>
      <c r="C24" s="36"/>
      <c r="D24" s="36"/>
      <c r="E24" s="36"/>
      <c r="F24" s="36"/>
    </row>
    <row r="25" spans="1:18">
      <c r="B25" s="36"/>
    </row>
    <row r="26" spans="1:18">
      <c r="B26" s="36"/>
    </row>
  </sheetData>
  <phoneticPr fontId="1"/>
  <pageMargins left="0.7" right="0.7" top="0.75" bottom="0.75" header="0.3" footer="0.3"/>
  <pageSetup paperSize="9" orientation="portrait" r:id="rId1"/>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dimension ref="A1:M54"/>
  <sheetViews>
    <sheetView workbookViewId="0">
      <selection activeCell="L37" sqref="L37"/>
    </sheetView>
  </sheetViews>
  <sheetFormatPr defaultColWidth="9" defaultRowHeight="15"/>
  <cols>
    <col min="1" max="16384" width="9" style="1"/>
  </cols>
  <sheetData>
    <row r="1" spans="1:13">
      <c r="A1" s="1" t="s">
        <v>850</v>
      </c>
    </row>
    <row r="2" spans="1:13">
      <c r="A2" s="1" t="s">
        <v>160</v>
      </c>
      <c r="B2" s="1" t="s">
        <v>164</v>
      </c>
      <c r="C2" s="1">
        <v>838.67600000000004</v>
      </c>
      <c r="D2" s="1" t="s">
        <v>196</v>
      </c>
      <c r="E2" s="1">
        <v>838.7</v>
      </c>
    </row>
    <row r="3" spans="1:13">
      <c r="A3" s="1" t="s">
        <v>851</v>
      </c>
      <c r="B3" s="1" t="s">
        <v>162</v>
      </c>
      <c r="C3" s="1">
        <v>-2.4E-2</v>
      </c>
      <c r="D3" s="1" t="s">
        <v>163</v>
      </c>
      <c r="E3" s="1">
        <v>6.4000000000000001E-2</v>
      </c>
      <c r="F3" s="1" t="s">
        <v>158</v>
      </c>
    </row>
    <row r="4" spans="1:13">
      <c r="A4" s="2" t="s">
        <v>852</v>
      </c>
      <c r="B4" s="1" t="s">
        <v>169</v>
      </c>
      <c r="C4" s="1">
        <v>-6.4000000000000001E-2</v>
      </c>
    </row>
    <row r="6" spans="1:13">
      <c r="A6" s="1" t="s">
        <v>1301</v>
      </c>
      <c r="C6" s="1" t="s">
        <v>161</v>
      </c>
      <c r="H6" s="3"/>
      <c r="I6" s="3" t="str">
        <f>CONCATENATE(A6," : ",MID(A1,11,3))</f>
        <v>JHV723EJ : 247</v>
      </c>
      <c r="J6" s="3"/>
      <c r="K6" s="3" t="s">
        <v>80</v>
      </c>
      <c r="L6" s="3" t="s">
        <v>81</v>
      </c>
      <c r="M6" s="3" t="s">
        <v>82</v>
      </c>
    </row>
    <row r="7" spans="1:13">
      <c r="A7" s="1" t="s">
        <v>159</v>
      </c>
      <c r="B7" s="1" t="s">
        <v>170</v>
      </c>
      <c r="C7" s="1">
        <v>419.32299999999998</v>
      </c>
      <c r="H7" s="4">
        <v>1</v>
      </c>
      <c r="I7" s="3" t="str">
        <f>CONCATENATE("点247.120(", H7,"/16)")</f>
        <v>点247.120(1/16)</v>
      </c>
      <c r="J7" s="3">
        <f>MATCH(I7, A$7:A$54, 0)</f>
        <v>2</v>
      </c>
      <c r="K7" s="3">
        <f ca="1">OFFSET(C$6, J7-1, 0)</f>
        <v>419.32299999999998</v>
      </c>
      <c r="L7" s="3">
        <f>($E$2+$C$4)/2</f>
        <v>419.31800000000004</v>
      </c>
      <c r="M7" s="3">
        <f>($E$2+$E$3)/2</f>
        <v>419.38200000000001</v>
      </c>
    </row>
    <row r="8" spans="1:13">
      <c r="A8" s="1" t="s">
        <v>264</v>
      </c>
      <c r="B8" s="1" t="s">
        <v>171</v>
      </c>
      <c r="C8" s="1">
        <v>0</v>
      </c>
      <c r="H8" s="3">
        <v>16</v>
      </c>
      <c r="I8" s="3" t="str">
        <f t="shared" ref="I8:I22" si="0">CONCATENATE("点247.120(", H8,"/16)")</f>
        <v>点247.120(16/16)</v>
      </c>
      <c r="J8" s="3">
        <f t="shared" ref="J8:J22" si="1">MATCH(I8, A$7:A$54, 0)</f>
        <v>47</v>
      </c>
      <c r="K8" s="3">
        <f t="shared" ref="K8:K22" ca="1" si="2">OFFSET(C$6, J8-1, 0)</f>
        <v>419.36099999999999</v>
      </c>
      <c r="L8" s="3">
        <f>L7</f>
        <v>419.31800000000004</v>
      </c>
      <c r="M8" s="3">
        <f>M7</f>
        <v>419.38200000000001</v>
      </c>
    </row>
    <row r="9" spans="1:13">
      <c r="A9" s="2" t="s">
        <v>265</v>
      </c>
      <c r="B9" s="1" t="s">
        <v>157</v>
      </c>
      <c r="C9" s="1">
        <v>-37</v>
      </c>
      <c r="H9" s="3">
        <v>15</v>
      </c>
      <c r="I9" s="3" t="str">
        <f t="shared" si="0"/>
        <v>点247.120(15/16)</v>
      </c>
      <c r="J9" s="3">
        <f t="shared" si="1"/>
        <v>44</v>
      </c>
      <c r="K9" s="3">
        <f t="shared" ca="1" si="2"/>
        <v>419.36500000000001</v>
      </c>
      <c r="L9" s="3">
        <f t="shared" ref="L9:M22" si="3">L8</f>
        <v>419.31800000000004</v>
      </c>
      <c r="M9" s="3">
        <f t="shared" si="3"/>
        <v>419.38200000000001</v>
      </c>
    </row>
    <row r="10" spans="1:13">
      <c r="A10" s="1" t="s">
        <v>159</v>
      </c>
      <c r="B10" s="1" t="s">
        <v>170</v>
      </c>
      <c r="C10" s="1">
        <v>419.26900000000001</v>
      </c>
      <c r="H10" s="3">
        <v>14</v>
      </c>
      <c r="I10" s="3" t="str">
        <f t="shared" si="0"/>
        <v>点247.120(14/16)</v>
      </c>
      <c r="J10" s="3">
        <f t="shared" si="1"/>
        <v>41</v>
      </c>
      <c r="K10" s="3">
        <f t="shared" ca="1" si="2"/>
        <v>419.33800000000002</v>
      </c>
      <c r="L10" s="3">
        <f t="shared" si="3"/>
        <v>419.31800000000004</v>
      </c>
      <c r="M10" s="3">
        <f t="shared" si="3"/>
        <v>419.38200000000001</v>
      </c>
    </row>
    <row r="11" spans="1:13">
      <c r="A11" s="1" t="s">
        <v>853</v>
      </c>
      <c r="B11" s="1" t="s">
        <v>171</v>
      </c>
      <c r="C11" s="1">
        <v>1E-3</v>
      </c>
      <c r="H11" s="3">
        <v>13</v>
      </c>
      <c r="I11" s="3" t="str">
        <f t="shared" si="0"/>
        <v>点247.120(13/16)</v>
      </c>
      <c r="J11" s="3">
        <f t="shared" si="1"/>
        <v>38</v>
      </c>
      <c r="K11" s="3">
        <f t="shared" ca="1" si="2"/>
        <v>419.34300000000002</v>
      </c>
      <c r="L11" s="3">
        <f t="shared" si="3"/>
        <v>419.31800000000004</v>
      </c>
      <c r="M11" s="3">
        <f t="shared" si="3"/>
        <v>419.38200000000001</v>
      </c>
    </row>
    <row r="12" spans="1:13">
      <c r="A12" s="2" t="s">
        <v>266</v>
      </c>
      <c r="B12" s="1" t="s">
        <v>157</v>
      </c>
      <c r="C12" s="1">
        <v>-37</v>
      </c>
      <c r="H12" s="3">
        <v>12</v>
      </c>
      <c r="I12" s="3" t="str">
        <f t="shared" si="0"/>
        <v>点247.120(12/16)</v>
      </c>
      <c r="J12" s="3">
        <f t="shared" si="1"/>
        <v>35</v>
      </c>
      <c r="K12" s="3">
        <f t="shared" ca="1" si="2"/>
        <v>419.36</v>
      </c>
      <c r="L12" s="3">
        <f t="shared" si="3"/>
        <v>419.31800000000004</v>
      </c>
      <c r="M12" s="3">
        <f t="shared" si="3"/>
        <v>419.38200000000001</v>
      </c>
    </row>
    <row r="13" spans="1:13">
      <c r="A13" s="1" t="s">
        <v>159</v>
      </c>
      <c r="B13" s="1" t="s">
        <v>170</v>
      </c>
      <c r="C13" s="1">
        <v>419.27199999999999</v>
      </c>
      <c r="H13" s="3">
        <v>11</v>
      </c>
      <c r="I13" s="3" t="str">
        <f t="shared" si="0"/>
        <v>点247.120(11/16)</v>
      </c>
      <c r="J13" s="3">
        <f t="shared" si="1"/>
        <v>32</v>
      </c>
      <c r="K13" s="3">
        <f t="shared" ca="1" si="2"/>
        <v>419.34100000000001</v>
      </c>
      <c r="L13" s="3">
        <f t="shared" si="3"/>
        <v>419.31800000000004</v>
      </c>
      <c r="M13" s="3">
        <f t="shared" si="3"/>
        <v>419.38200000000001</v>
      </c>
    </row>
    <row r="14" spans="1:13">
      <c r="A14" s="1" t="s">
        <v>267</v>
      </c>
      <c r="B14" s="1" t="s">
        <v>171</v>
      </c>
      <c r="C14" s="1">
        <v>0</v>
      </c>
      <c r="H14" s="3">
        <v>10</v>
      </c>
      <c r="I14" s="3" t="str">
        <f t="shared" si="0"/>
        <v>点247.120(10/16)</v>
      </c>
      <c r="J14" s="3">
        <f t="shared" si="1"/>
        <v>29</v>
      </c>
      <c r="K14" s="3">
        <f t="shared" ca="1" si="2"/>
        <v>419.34699999999998</v>
      </c>
      <c r="L14" s="3">
        <f t="shared" si="3"/>
        <v>419.31800000000004</v>
      </c>
      <c r="M14" s="3">
        <f t="shared" si="3"/>
        <v>419.38200000000001</v>
      </c>
    </row>
    <row r="15" spans="1:13">
      <c r="A15" s="2" t="s">
        <v>268</v>
      </c>
      <c r="B15" s="1" t="s">
        <v>157</v>
      </c>
      <c r="C15" s="1">
        <v>-37</v>
      </c>
      <c r="H15" s="3">
        <v>9</v>
      </c>
      <c r="I15" s="3" t="str">
        <f t="shared" si="0"/>
        <v>点247.120(9/16)</v>
      </c>
      <c r="J15" s="3">
        <f t="shared" si="1"/>
        <v>26</v>
      </c>
      <c r="K15" s="3">
        <f t="shared" ca="1" si="2"/>
        <v>419.30799999999999</v>
      </c>
      <c r="L15" s="3">
        <f t="shared" si="3"/>
        <v>419.31800000000004</v>
      </c>
      <c r="M15" s="3">
        <f t="shared" si="3"/>
        <v>419.38200000000001</v>
      </c>
    </row>
    <row r="16" spans="1:13">
      <c r="A16" s="1" t="s">
        <v>159</v>
      </c>
      <c r="B16" s="1" t="s">
        <v>170</v>
      </c>
      <c r="C16" s="1">
        <v>419.35399999999998</v>
      </c>
      <c r="H16" s="3">
        <v>8</v>
      </c>
      <c r="I16" s="3" t="str">
        <f t="shared" si="0"/>
        <v>点247.120(8/16)</v>
      </c>
      <c r="J16" s="3">
        <f t="shared" si="1"/>
        <v>23</v>
      </c>
      <c r="K16" s="3">
        <f t="shared" ca="1" si="2"/>
        <v>419.279</v>
      </c>
      <c r="L16" s="3">
        <f t="shared" si="3"/>
        <v>419.31800000000004</v>
      </c>
      <c r="M16" s="3">
        <f t="shared" si="3"/>
        <v>419.38200000000001</v>
      </c>
    </row>
    <row r="17" spans="1:13">
      <c r="A17" s="1" t="s">
        <v>854</v>
      </c>
      <c r="B17" s="1" t="s">
        <v>171</v>
      </c>
      <c r="C17" s="1">
        <v>1E-3</v>
      </c>
      <c r="H17" s="3">
        <v>7</v>
      </c>
      <c r="I17" s="3" t="str">
        <f t="shared" si="0"/>
        <v>点247.120(7/16)</v>
      </c>
      <c r="J17" s="3">
        <f t="shared" si="1"/>
        <v>20</v>
      </c>
      <c r="K17" s="3">
        <f t="shared" ca="1" si="2"/>
        <v>419.32299999999998</v>
      </c>
      <c r="L17" s="3">
        <f t="shared" si="3"/>
        <v>419.31800000000004</v>
      </c>
      <c r="M17" s="3">
        <f t="shared" si="3"/>
        <v>419.38200000000001</v>
      </c>
    </row>
    <row r="18" spans="1:13">
      <c r="A18" s="2" t="s">
        <v>269</v>
      </c>
      <c r="B18" s="1" t="s">
        <v>157</v>
      </c>
      <c r="C18" s="1">
        <v>-37.000999999999998</v>
      </c>
      <c r="H18" s="3">
        <v>6</v>
      </c>
      <c r="I18" s="3" t="str">
        <f t="shared" si="0"/>
        <v>点247.120(6/16)</v>
      </c>
      <c r="J18" s="3">
        <f t="shared" si="1"/>
        <v>17</v>
      </c>
      <c r="K18" s="3">
        <f t="shared" ca="1" si="2"/>
        <v>419.404</v>
      </c>
      <c r="L18" s="3">
        <f t="shared" si="3"/>
        <v>419.31800000000004</v>
      </c>
      <c r="M18" s="3">
        <f t="shared" si="3"/>
        <v>419.38200000000001</v>
      </c>
    </row>
    <row r="19" spans="1:13">
      <c r="A19" s="1" t="s">
        <v>159</v>
      </c>
      <c r="B19" s="1" t="s">
        <v>170</v>
      </c>
      <c r="C19" s="1">
        <v>419.41800000000001</v>
      </c>
      <c r="H19" s="3">
        <v>5</v>
      </c>
      <c r="I19" s="3" t="str">
        <f t="shared" si="0"/>
        <v>点247.120(5/16)</v>
      </c>
      <c r="J19" s="3">
        <f t="shared" si="1"/>
        <v>14</v>
      </c>
      <c r="K19" s="3">
        <f t="shared" ca="1" si="2"/>
        <v>419.41800000000001</v>
      </c>
      <c r="L19" s="3">
        <f t="shared" si="3"/>
        <v>419.31800000000004</v>
      </c>
      <c r="M19" s="3">
        <f t="shared" si="3"/>
        <v>419.38200000000001</v>
      </c>
    </row>
    <row r="20" spans="1:13">
      <c r="A20" s="1" t="s">
        <v>270</v>
      </c>
      <c r="B20" s="1" t="s">
        <v>171</v>
      </c>
      <c r="C20" s="1">
        <v>0</v>
      </c>
      <c r="H20" s="3">
        <v>4</v>
      </c>
      <c r="I20" s="3" t="str">
        <f t="shared" si="0"/>
        <v>点247.120(4/16)</v>
      </c>
      <c r="J20" s="3">
        <f t="shared" si="1"/>
        <v>11</v>
      </c>
      <c r="K20" s="3">
        <f t="shared" ca="1" si="2"/>
        <v>419.35399999999998</v>
      </c>
      <c r="L20" s="3">
        <f t="shared" si="3"/>
        <v>419.31800000000004</v>
      </c>
      <c r="M20" s="3">
        <f t="shared" si="3"/>
        <v>419.38200000000001</v>
      </c>
    </row>
    <row r="21" spans="1:13">
      <c r="A21" s="2" t="s">
        <v>271</v>
      </c>
      <c r="B21" s="1" t="s">
        <v>157</v>
      </c>
      <c r="C21" s="1">
        <v>-37</v>
      </c>
      <c r="H21" s="3">
        <v>3</v>
      </c>
      <c r="I21" s="3" t="str">
        <f t="shared" si="0"/>
        <v>点247.120(3/16)</v>
      </c>
      <c r="J21" s="3">
        <f t="shared" si="1"/>
        <v>8</v>
      </c>
      <c r="K21" s="3">
        <f t="shared" ca="1" si="2"/>
        <v>419.27199999999999</v>
      </c>
      <c r="L21" s="3">
        <f t="shared" si="3"/>
        <v>419.31800000000004</v>
      </c>
      <c r="M21" s="3">
        <f t="shared" si="3"/>
        <v>419.38200000000001</v>
      </c>
    </row>
    <row r="22" spans="1:13">
      <c r="A22" s="1" t="s">
        <v>159</v>
      </c>
      <c r="B22" s="1" t="s">
        <v>170</v>
      </c>
      <c r="C22" s="1">
        <v>419.404</v>
      </c>
      <c r="H22" s="3">
        <v>2</v>
      </c>
      <c r="I22" s="3" t="str">
        <f t="shared" si="0"/>
        <v>点247.120(2/16)</v>
      </c>
      <c r="J22" s="3">
        <f t="shared" si="1"/>
        <v>5</v>
      </c>
      <c r="K22" s="3">
        <f t="shared" ca="1" si="2"/>
        <v>419.26900000000001</v>
      </c>
      <c r="L22" s="3">
        <f t="shared" si="3"/>
        <v>419.31800000000004</v>
      </c>
      <c r="M22" s="3">
        <f t="shared" si="3"/>
        <v>419.38200000000001</v>
      </c>
    </row>
    <row r="23" spans="1:13">
      <c r="A23" s="1" t="s">
        <v>272</v>
      </c>
      <c r="B23" s="1" t="s">
        <v>171</v>
      </c>
      <c r="C23" s="1">
        <v>-1E-3</v>
      </c>
      <c r="H23" s="3"/>
      <c r="I23" s="3"/>
      <c r="J23" s="3"/>
      <c r="K23" s="3"/>
      <c r="L23" s="3"/>
      <c r="M23" s="3"/>
    </row>
    <row r="24" spans="1:13">
      <c r="A24" s="2" t="s">
        <v>273</v>
      </c>
      <c r="B24" s="1" t="s">
        <v>157</v>
      </c>
      <c r="C24" s="1">
        <v>-37</v>
      </c>
      <c r="H24" s="3"/>
      <c r="I24" s="3"/>
      <c r="J24" s="5" t="s">
        <v>3</v>
      </c>
      <c r="K24" s="3" t="str">
        <f>"&gt;"&amp;TEXT(($E$2+$E$3)/2, "0.###")</f>
        <v>&gt;419.382</v>
      </c>
      <c r="L24" s="3"/>
      <c r="M24" s="3"/>
    </row>
    <row r="25" spans="1:13">
      <c r="A25" s="1" t="s">
        <v>159</v>
      </c>
      <c r="B25" s="1" t="s">
        <v>170</v>
      </c>
      <c r="C25" s="1">
        <v>419.32299999999998</v>
      </c>
      <c r="H25" s="3"/>
      <c r="I25" s="3"/>
      <c r="J25" s="6" t="s">
        <v>4</v>
      </c>
      <c r="K25" s="3" t="str">
        <f>"&lt;"&amp;TEXT(($E$2+$C$4)/2, "0.###")</f>
        <v>&lt;419.318</v>
      </c>
      <c r="L25" s="3"/>
      <c r="M25" s="3"/>
    </row>
    <row r="26" spans="1:13">
      <c r="A26" s="1" t="s">
        <v>274</v>
      </c>
      <c r="B26" s="1" t="s">
        <v>171</v>
      </c>
      <c r="C26" s="1">
        <v>0</v>
      </c>
      <c r="H26" s="3"/>
      <c r="I26" s="3"/>
      <c r="J26" s="7"/>
      <c r="K26" s="8" t="s">
        <v>5</v>
      </c>
      <c r="L26" s="3"/>
      <c r="M26" s="3"/>
    </row>
    <row r="27" spans="1:13">
      <c r="A27" s="2" t="s">
        <v>275</v>
      </c>
      <c r="B27" s="1" t="s">
        <v>157</v>
      </c>
      <c r="C27" s="1">
        <v>-37</v>
      </c>
      <c r="H27" s="3"/>
      <c r="I27" s="3"/>
      <c r="J27" s="9" t="s">
        <v>6</v>
      </c>
      <c r="K27" s="10">
        <f ca="1">AVERAGE(K7:K22)*2</f>
        <v>838.67562500000008</v>
      </c>
      <c r="L27" s="3"/>
      <c r="M27" s="3"/>
    </row>
    <row r="28" spans="1:13">
      <c r="A28" s="1" t="s">
        <v>159</v>
      </c>
      <c r="B28" s="1" t="s">
        <v>170</v>
      </c>
      <c r="C28" s="1">
        <v>419.279</v>
      </c>
      <c r="H28" s="3"/>
      <c r="I28" s="3"/>
      <c r="J28" s="9"/>
      <c r="K28" s="11" t="str">
        <f ca="1">IF(K27&lt;$E$2+$C$4, "U/Min "&amp;TEXT($E$2+$C$4-K27, "0.###"), IF(K27&gt;$E$2+$E$3, "O/Max "&amp;TEXT(K27-$E$2-$E$3, "0.###"), "-"))</f>
        <v>-</v>
      </c>
      <c r="L28" s="3"/>
      <c r="M28" s="3"/>
    </row>
    <row r="29" spans="1:13">
      <c r="A29" s="1" t="s">
        <v>276</v>
      </c>
      <c r="B29" s="1" t="s">
        <v>171</v>
      </c>
      <c r="C29" s="1">
        <v>-1E-3</v>
      </c>
      <c r="H29" s="3"/>
      <c r="I29" s="3"/>
      <c r="J29" s="9" t="s">
        <v>13</v>
      </c>
      <c r="K29" s="10">
        <f ca="1">MAX(K7:K22)-MIN(K7:K22)</f>
        <v>0.14900000000000091</v>
      </c>
      <c r="L29" s="3"/>
      <c r="M29" s="3"/>
    </row>
    <row r="30" spans="1:13">
      <c r="A30" s="2" t="s">
        <v>277</v>
      </c>
      <c r="B30" s="1" t="s">
        <v>157</v>
      </c>
      <c r="C30" s="1">
        <v>-37.000999999999998</v>
      </c>
      <c r="H30" s="3"/>
      <c r="I30" s="3"/>
      <c r="J30" s="9"/>
      <c r="K30" s="11" t="str">
        <f ca="1">IF(K29&gt;0.13, "O/Max "&amp;TEXT(K29-0.13, "0.###"), "-")</f>
        <v>O/Max 0.019</v>
      </c>
      <c r="L30" s="3"/>
      <c r="M30" s="3"/>
    </row>
    <row r="31" spans="1:13">
      <c r="A31" s="1" t="s">
        <v>159</v>
      </c>
      <c r="B31" s="1" t="s">
        <v>170</v>
      </c>
      <c r="C31" s="1">
        <v>419.30799999999999</v>
      </c>
      <c r="H31" s="3"/>
      <c r="I31" s="3"/>
      <c r="J31" s="9" t="s">
        <v>14</v>
      </c>
      <c r="K31" s="12">
        <f ca="1">COUNTIF(K7:K22, $K24)</f>
        <v>2</v>
      </c>
      <c r="L31" s="3"/>
      <c r="M31" s="3"/>
    </row>
    <row r="32" spans="1:13">
      <c r="A32" s="1" t="s">
        <v>855</v>
      </c>
      <c r="B32" s="1" t="s">
        <v>171</v>
      </c>
      <c r="C32" s="1">
        <v>0</v>
      </c>
      <c r="H32" s="3"/>
      <c r="I32" s="3"/>
      <c r="J32" s="13" t="s">
        <v>9</v>
      </c>
      <c r="K32" s="12">
        <f ca="1">COUNTIF(K7:K22, $K25)</f>
        <v>4</v>
      </c>
      <c r="L32" s="3"/>
      <c r="M32" s="3"/>
    </row>
    <row r="33" spans="1:13">
      <c r="A33" s="2" t="s">
        <v>278</v>
      </c>
      <c r="B33" s="1" t="s">
        <v>157</v>
      </c>
      <c r="C33" s="1">
        <v>-37</v>
      </c>
      <c r="H33" s="3"/>
      <c r="I33" s="3"/>
      <c r="J33" s="12"/>
      <c r="K33" s="14" t="str">
        <f ca="1">TEXT(K31+K32,"0")&amp;"/16"</f>
        <v>6/16</v>
      </c>
      <c r="L33" s="3"/>
      <c r="M33" s="3"/>
    </row>
    <row r="34" spans="1:13">
      <c r="A34" s="1" t="s">
        <v>159</v>
      </c>
      <c r="B34" s="1" t="s">
        <v>170</v>
      </c>
      <c r="C34" s="1">
        <v>419.34699999999998</v>
      </c>
      <c r="J34" s="15" t="s">
        <v>90</v>
      </c>
      <c r="K34" s="15"/>
    </row>
    <row r="35" spans="1:13">
      <c r="A35" s="1" t="s">
        <v>279</v>
      </c>
      <c r="B35" s="1" t="s">
        <v>171</v>
      </c>
      <c r="C35" s="1">
        <v>3.0000000000000001E-3</v>
      </c>
      <c r="J35" s="15" t="s">
        <v>91</v>
      </c>
      <c r="K35" s="16">
        <f ca="1">MAX(K7:K22)*2</f>
        <v>838.83600000000001</v>
      </c>
      <c r="L35" s="1" t="str">
        <f ca="1">IF(K35&gt;2*M22, "O/Max "&amp;TEXT(K35-2*M22, "0.000"), "-")</f>
        <v>O/Max 0.072</v>
      </c>
    </row>
    <row r="36" spans="1:13">
      <c r="A36" s="2" t="s">
        <v>856</v>
      </c>
      <c r="B36" s="1" t="s">
        <v>157</v>
      </c>
      <c r="C36" s="1">
        <v>-37</v>
      </c>
      <c r="J36" s="15" t="s">
        <v>92</v>
      </c>
      <c r="K36" s="16">
        <f ca="1">MIN(K7:K22)*2</f>
        <v>838.53800000000001</v>
      </c>
      <c r="L36" s="1" t="str">
        <f ca="1">IF(K36&lt;2*L22, "U/Min "&amp;TEXT(2*L22-K36, "0.000"), "-")</f>
        <v>U/Min 0.098</v>
      </c>
    </row>
    <row r="37" spans="1:13">
      <c r="A37" s="1" t="s">
        <v>159</v>
      </c>
      <c r="B37" s="1" t="s">
        <v>170</v>
      </c>
      <c r="C37" s="1">
        <v>419.34100000000001</v>
      </c>
    </row>
    <row r="38" spans="1:13">
      <c r="A38" s="1" t="s">
        <v>280</v>
      </c>
      <c r="B38" s="1" t="s">
        <v>171</v>
      </c>
      <c r="C38" s="1">
        <v>2E-3</v>
      </c>
    </row>
    <row r="39" spans="1:13">
      <c r="A39" s="2" t="s">
        <v>281</v>
      </c>
      <c r="B39" s="1" t="s">
        <v>157</v>
      </c>
      <c r="C39" s="1">
        <v>-37.000999999999998</v>
      </c>
    </row>
    <row r="40" spans="1:13">
      <c r="A40" s="1" t="s">
        <v>159</v>
      </c>
      <c r="B40" s="1" t="s">
        <v>170</v>
      </c>
      <c r="C40" s="1">
        <v>419.36</v>
      </c>
    </row>
    <row r="41" spans="1:13">
      <c r="A41" s="1" t="s">
        <v>282</v>
      </c>
      <c r="B41" s="1" t="s">
        <v>171</v>
      </c>
      <c r="C41" s="1">
        <v>0</v>
      </c>
    </row>
    <row r="42" spans="1:13">
      <c r="A42" s="2" t="s">
        <v>283</v>
      </c>
      <c r="B42" s="1" t="s">
        <v>157</v>
      </c>
      <c r="C42" s="1">
        <v>-37</v>
      </c>
    </row>
    <row r="43" spans="1:13">
      <c r="A43" s="1" t="s">
        <v>159</v>
      </c>
      <c r="B43" s="1" t="s">
        <v>170</v>
      </c>
      <c r="C43" s="1">
        <v>419.34300000000002</v>
      </c>
    </row>
    <row r="44" spans="1:13">
      <c r="A44" s="1" t="s">
        <v>284</v>
      </c>
      <c r="B44" s="1" t="s">
        <v>171</v>
      </c>
      <c r="C44" s="1">
        <v>0</v>
      </c>
    </row>
    <row r="45" spans="1:13">
      <c r="A45" s="2" t="s">
        <v>285</v>
      </c>
      <c r="B45" s="1" t="s">
        <v>157</v>
      </c>
      <c r="C45" s="1">
        <v>-37</v>
      </c>
    </row>
    <row r="46" spans="1:13">
      <c r="A46" s="1" t="s">
        <v>159</v>
      </c>
      <c r="B46" s="1" t="s">
        <v>170</v>
      </c>
      <c r="C46" s="1">
        <v>419.33800000000002</v>
      </c>
    </row>
    <row r="47" spans="1:13">
      <c r="A47" s="1" t="s">
        <v>286</v>
      </c>
      <c r="B47" s="1" t="s">
        <v>171</v>
      </c>
      <c r="C47" s="1">
        <v>0</v>
      </c>
    </row>
    <row r="48" spans="1:13">
      <c r="A48" s="2" t="s">
        <v>287</v>
      </c>
      <c r="B48" s="1" t="s">
        <v>157</v>
      </c>
      <c r="C48" s="1">
        <v>-37</v>
      </c>
    </row>
    <row r="49" spans="1:3">
      <c r="A49" s="1" t="s">
        <v>159</v>
      </c>
      <c r="B49" s="1" t="s">
        <v>170</v>
      </c>
      <c r="C49" s="1">
        <v>419.36500000000001</v>
      </c>
    </row>
    <row r="50" spans="1:3">
      <c r="A50" s="1" t="s">
        <v>857</v>
      </c>
      <c r="B50" s="1" t="s">
        <v>171</v>
      </c>
      <c r="C50" s="1">
        <v>1E-3</v>
      </c>
    </row>
    <row r="51" spans="1:3">
      <c r="A51" s="2" t="s">
        <v>288</v>
      </c>
      <c r="B51" s="1" t="s">
        <v>157</v>
      </c>
      <c r="C51" s="1">
        <v>-37</v>
      </c>
    </row>
    <row r="52" spans="1:3">
      <c r="A52" s="1" t="s">
        <v>159</v>
      </c>
      <c r="B52" s="1" t="s">
        <v>170</v>
      </c>
      <c r="C52" s="1">
        <v>419.36099999999999</v>
      </c>
    </row>
    <row r="53" spans="1:3">
      <c r="A53" s="1" t="s">
        <v>289</v>
      </c>
      <c r="B53" s="1" t="s">
        <v>171</v>
      </c>
      <c r="C53" s="1">
        <v>-2E-3</v>
      </c>
    </row>
    <row r="54" spans="1:3">
      <c r="A54" s="2" t="s">
        <v>290</v>
      </c>
      <c r="B54" s="1" t="s">
        <v>157</v>
      </c>
      <c r="C54" s="1">
        <v>-37</v>
      </c>
    </row>
  </sheetData>
  <phoneticPr fontId="1"/>
  <pageMargins left="0.7" right="0.7" top="0.75" bottom="0.75" header="0.3" footer="0.3"/>
  <pageSetup paperSize="9" orientation="portrait" r:id="rId1"/>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dimension ref="A1:M54"/>
  <sheetViews>
    <sheetView workbookViewId="0">
      <selection activeCell="D28" sqref="D28"/>
    </sheetView>
  </sheetViews>
  <sheetFormatPr defaultColWidth="9" defaultRowHeight="15"/>
  <cols>
    <col min="1" max="16384" width="9" style="1"/>
  </cols>
  <sheetData>
    <row r="1" spans="1:13">
      <c r="A1" s="1" t="s">
        <v>858</v>
      </c>
    </row>
    <row r="2" spans="1:13">
      <c r="A2" s="1" t="s">
        <v>160</v>
      </c>
      <c r="B2" s="1" t="s">
        <v>164</v>
      </c>
      <c r="C2" s="1">
        <v>838.99800000000005</v>
      </c>
      <c r="D2" s="1" t="s">
        <v>196</v>
      </c>
      <c r="E2" s="1">
        <v>839</v>
      </c>
    </row>
    <row r="3" spans="1:13">
      <c r="A3" s="1" t="s">
        <v>859</v>
      </c>
      <c r="B3" s="1" t="s">
        <v>162</v>
      </c>
      <c r="C3" s="1">
        <v>-2E-3</v>
      </c>
      <c r="D3" s="1" t="s">
        <v>163</v>
      </c>
      <c r="E3" s="1">
        <v>6.4000000000000001E-2</v>
      </c>
      <c r="F3" s="1" t="s">
        <v>158</v>
      </c>
    </row>
    <row r="4" spans="1:13">
      <c r="A4" s="2" t="s">
        <v>860</v>
      </c>
      <c r="B4" s="1" t="s">
        <v>169</v>
      </c>
      <c r="C4" s="1">
        <v>-6.4000000000000001E-2</v>
      </c>
    </row>
    <row r="6" spans="1:13">
      <c r="A6" s="1" t="s">
        <v>1301</v>
      </c>
      <c r="C6" s="1" t="s">
        <v>161</v>
      </c>
      <c r="H6" s="3"/>
      <c r="I6" s="3" t="str">
        <f>CONCATENATE(A6," : ",MID(A1,11,3))</f>
        <v>JHV723EJ : 248</v>
      </c>
      <c r="J6" s="3"/>
      <c r="K6" s="3" t="s">
        <v>5</v>
      </c>
      <c r="L6" s="3" t="s">
        <v>1</v>
      </c>
      <c r="M6" s="3" t="s">
        <v>2</v>
      </c>
    </row>
    <row r="7" spans="1:13">
      <c r="A7" s="1" t="s">
        <v>159</v>
      </c>
      <c r="B7" s="1" t="s">
        <v>170</v>
      </c>
      <c r="C7" s="1">
        <v>419.49599999999998</v>
      </c>
      <c r="H7" s="4">
        <v>1</v>
      </c>
      <c r="I7" s="3" t="str">
        <f>CONCATENATE("点248(", H7,"/16)")</f>
        <v>点248(1/16)</v>
      </c>
      <c r="J7" s="3">
        <f>MATCH(I7, A$7:A$54, 0)</f>
        <v>2</v>
      </c>
      <c r="K7" s="3">
        <f ca="1">OFFSET(C$6, J7-1, 0)</f>
        <v>419.49599999999998</v>
      </c>
      <c r="L7" s="3">
        <f>($E$2+$C$4)/2</f>
        <v>419.46800000000002</v>
      </c>
      <c r="M7" s="3">
        <f>($E$2+$E$3)/2</f>
        <v>419.53199999999998</v>
      </c>
    </row>
    <row r="8" spans="1:13">
      <c r="A8" s="1" t="s">
        <v>861</v>
      </c>
      <c r="B8" s="1" t="s">
        <v>171</v>
      </c>
      <c r="C8" s="1">
        <v>-1E-3</v>
      </c>
      <c r="H8" s="3">
        <v>16</v>
      </c>
      <c r="I8" s="3" t="str">
        <f t="shared" ref="I8:I22" si="0">CONCATENATE("点248(", H8,"/16)")</f>
        <v>点248(16/16)</v>
      </c>
      <c r="J8" s="3">
        <f t="shared" ref="J8:J22" si="1">MATCH(I8, A$7:A$54, 0)</f>
        <v>47</v>
      </c>
      <c r="K8" s="3">
        <f t="shared" ref="K8:K22" ca="1" si="2">OFFSET(C$6, J8-1, 0)</f>
        <v>419.53399999999999</v>
      </c>
      <c r="L8" s="3">
        <f>L7</f>
        <v>419.46800000000002</v>
      </c>
      <c r="M8" s="3">
        <f>M7</f>
        <v>419.53199999999998</v>
      </c>
    </row>
    <row r="9" spans="1:13">
      <c r="A9" s="2" t="s">
        <v>862</v>
      </c>
      <c r="B9" s="1" t="s">
        <v>157</v>
      </c>
      <c r="C9" s="1">
        <v>-6.7750000000000004</v>
      </c>
      <c r="H9" s="3">
        <v>15</v>
      </c>
      <c r="I9" s="3" t="str">
        <f t="shared" si="0"/>
        <v>点248(15/16)</v>
      </c>
      <c r="J9" s="3">
        <f t="shared" si="1"/>
        <v>44</v>
      </c>
      <c r="K9" s="3">
        <f t="shared" ca="1" si="2"/>
        <v>419.53800000000001</v>
      </c>
      <c r="L9" s="3">
        <f t="shared" ref="L9:M22" si="3">L8</f>
        <v>419.46800000000002</v>
      </c>
      <c r="M9" s="3">
        <f t="shared" si="3"/>
        <v>419.53199999999998</v>
      </c>
    </row>
    <row r="10" spans="1:13">
      <c r="A10" s="1" t="s">
        <v>159</v>
      </c>
      <c r="B10" s="1" t="s">
        <v>170</v>
      </c>
      <c r="C10" s="1">
        <v>419.428</v>
      </c>
      <c r="H10" s="3">
        <v>14</v>
      </c>
      <c r="I10" s="3" t="str">
        <f t="shared" si="0"/>
        <v>点248(14/16)</v>
      </c>
      <c r="J10" s="3">
        <f t="shared" si="1"/>
        <v>41</v>
      </c>
      <c r="K10" s="3">
        <f t="shared" ca="1" si="2"/>
        <v>419.48200000000003</v>
      </c>
      <c r="L10" s="3">
        <f t="shared" si="3"/>
        <v>419.46800000000002</v>
      </c>
      <c r="M10" s="3">
        <f t="shared" si="3"/>
        <v>419.53199999999998</v>
      </c>
    </row>
    <row r="11" spans="1:13">
      <c r="A11" s="1" t="s">
        <v>863</v>
      </c>
      <c r="B11" s="1" t="s">
        <v>171</v>
      </c>
      <c r="C11" s="1">
        <v>1.7000000000000001E-2</v>
      </c>
      <c r="H11" s="3">
        <v>13</v>
      </c>
      <c r="I11" s="3" t="str">
        <f t="shared" si="0"/>
        <v>点248(13/16)</v>
      </c>
      <c r="J11" s="3">
        <f t="shared" si="1"/>
        <v>38</v>
      </c>
      <c r="K11" s="3">
        <f t="shared" ca="1" si="2"/>
        <v>419.49400000000003</v>
      </c>
      <c r="L11" s="3">
        <f t="shared" si="3"/>
        <v>419.46800000000002</v>
      </c>
      <c r="M11" s="3">
        <f t="shared" si="3"/>
        <v>419.53199999999998</v>
      </c>
    </row>
    <row r="12" spans="1:13">
      <c r="A12" s="2" t="s">
        <v>864</v>
      </c>
      <c r="B12" s="1" t="s">
        <v>157</v>
      </c>
      <c r="C12" s="1">
        <v>-6.7750000000000004</v>
      </c>
      <c r="H12" s="3">
        <v>12</v>
      </c>
      <c r="I12" s="3" t="str">
        <f t="shared" si="0"/>
        <v>点248(12/16)</v>
      </c>
      <c r="J12" s="3">
        <f t="shared" si="1"/>
        <v>35</v>
      </c>
      <c r="K12" s="3">
        <f t="shared" ca="1" si="2"/>
        <v>419.50900000000001</v>
      </c>
      <c r="L12" s="3">
        <f t="shared" si="3"/>
        <v>419.46800000000002</v>
      </c>
      <c r="M12" s="3">
        <f t="shared" si="3"/>
        <v>419.53199999999998</v>
      </c>
    </row>
    <row r="13" spans="1:13">
      <c r="A13" s="1" t="s">
        <v>159</v>
      </c>
      <c r="B13" s="1" t="s">
        <v>170</v>
      </c>
      <c r="C13" s="1">
        <v>419.41500000000002</v>
      </c>
      <c r="H13" s="3">
        <v>11</v>
      </c>
      <c r="I13" s="3" t="str">
        <f t="shared" si="0"/>
        <v>点248(11/16)</v>
      </c>
      <c r="J13" s="3">
        <f t="shared" si="1"/>
        <v>32</v>
      </c>
      <c r="K13" s="3">
        <f t="shared" ca="1" si="2"/>
        <v>419.50400000000002</v>
      </c>
      <c r="L13" s="3">
        <f t="shared" si="3"/>
        <v>419.46800000000002</v>
      </c>
      <c r="M13" s="3">
        <f t="shared" si="3"/>
        <v>419.53199999999998</v>
      </c>
    </row>
    <row r="14" spans="1:13">
      <c r="A14" s="1" t="s">
        <v>865</v>
      </c>
      <c r="B14" s="1" t="s">
        <v>171</v>
      </c>
      <c r="C14" s="1">
        <v>0</v>
      </c>
      <c r="H14" s="3">
        <v>10</v>
      </c>
      <c r="I14" s="3" t="str">
        <f t="shared" si="0"/>
        <v>点248(10/16)</v>
      </c>
      <c r="J14" s="3">
        <f t="shared" si="1"/>
        <v>29</v>
      </c>
      <c r="K14" s="3">
        <f t="shared" ca="1" si="2"/>
        <v>419.51400000000001</v>
      </c>
      <c r="L14" s="3">
        <f t="shared" si="3"/>
        <v>419.46800000000002</v>
      </c>
      <c r="M14" s="3">
        <f t="shared" si="3"/>
        <v>419.53199999999998</v>
      </c>
    </row>
    <row r="15" spans="1:13">
      <c r="A15" s="2" t="s">
        <v>866</v>
      </c>
      <c r="B15" s="1" t="s">
        <v>157</v>
      </c>
      <c r="C15" s="1">
        <v>-6.774</v>
      </c>
      <c r="H15" s="3">
        <v>9</v>
      </c>
      <c r="I15" s="3" t="str">
        <f t="shared" si="0"/>
        <v>点248(9/16)</v>
      </c>
      <c r="J15" s="3">
        <f t="shared" si="1"/>
        <v>26</v>
      </c>
      <c r="K15" s="3">
        <f t="shared" ca="1" si="2"/>
        <v>419.46600000000001</v>
      </c>
      <c r="L15" s="3">
        <f t="shared" si="3"/>
        <v>419.46800000000002</v>
      </c>
      <c r="M15" s="3">
        <f t="shared" si="3"/>
        <v>419.53199999999998</v>
      </c>
    </row>
    <row r="16" spans="1:13">
      <c r="A16" s="1" t="s">
        <v>159</v>
      </c>
      <c r="B16" s="1" t="s">
        <v>170</v>
      </c>
      <c r="C16" s="1">
        <v>419.51100000000002</v>
      </c>
      <c r="H16" s="3">
        <v>8</v>
      </c>
      <c r="I16" s="3" t="str">
        <f t="shared" si="0"/>
        <v>点248(8/16)</v>
      </c>
      <c r="J16" s="3">
        <f t="shared" si="1"/>
        <v>23</v>
      </c>
      <c r="K16" s="3">
        <f t="shared" ca="1" si="2"/>
        <v>419.423</v>
      </c>
      <c r="L16" s="3">
        <f t="shared" si="3"/>
        <v>419.46800000000002</v>
      </c>
      <c r="M16" s="3">
        <f t="shared" si="3"/>
        <v>419.53199999999998</v>
      </c>
    </row>
    <row r="17" spans="1:13">
      <c r="A17" s="1" t="s">
        <v>867</v>
      </c>
      <c r="B17" s="1" t="s">
        <v>171</v>
      </c>
      <c r="C17" s="1">
        <v>-2E-3</v>
      </c>
      <c r="H17" s="3">
        <v>7</v>
      </c>
      <c r="I17" s="3" t="str">
        <f t="shared" si="0"/>
        <v>点248(7/16)</v>
      </c>
      <c r="J17" s="3">
        <f t="shared" si="1"/>
        <v>20</v>
      </c>
      <c r="K17" s="3">
        <f t="shared" ca="1" si="2"/>
        <v>419.48899999999998</v>
      </c>
      <c r="L17" s="3">
        <f t="shared" si="3"/>
        <v>419.46800000000002</v>
      </c>
      <c r="M17" s="3">
        <f t="shared" si="3"/>
        <v>419.53199999999998</v>
      </c>
    </row>
    <row r="18" spans="1:13">
      <c r="A18" s="2" t="s">
        <v>868</v>
      </c>
      <c r="B18" s="1" t="s">
        <v>157</v>
      </c>
      <c r="C18" s="1">
        <v>-6.7750000000000004</v>
      </c>
      <c r="H18" s="3">
        <v>6</v>
      </c>
      <c r="I18" s="3" t="str">
        <f t="shared" si="0"/>
        <v>点248(6/16)</v>
      </c>
      <c r="J18" s="3">
        <f t="shared" si="1"/>
        <v>17</v>
      </c>
      <c r="K18" s="3">
        <f t="shared" ca="1" si="2"/>
        <v>419.58</v>
      </c>
      <c r="L18" s="3">
        <f t="shared" si="3"/>
        <v>419.46800000000002</v>
      </c>
      <c r="M18" s="3">
        <f t="shared" si="3"/>
        <v>419.53199999999998</v>
      </c>
    </row>
    <row r="19" spans="1:13">
      <c r="A19" s="1" t="s">
        <v>159</v>
      </c>
      <c r="B19" s="1" t="s">
        <v>170</v>
      </c>
      <c r="C19" s="1">
        <v>419.59800000000001</v>
      </c>
      <c r="H19" s="3">
        <v>5</v>
      </c>
      <c r="I19" s="3" t="str">
        <f t="shared" si="0"/>
        <v>点248(5/16)</v>
      </c>
      <c r="J19" s="3">
        <f t="shared" si="1"/>
        <v>14</v>
      </c>
      <c r="K19" s="3">
        <f t="shared" ca="1" si="2"/>
        <v>419.59800000000001</v>
      </c>
      <c r="L19" s="3">
        <f t="shared" si="3"/>
        <v>419.46800000000002</v>
      </c>
      <c r="M19" s="3">
        <f t="shared" si="3"/>
        <v>419.53199999999998</v>
      </c>
    </row>
    <row r="20" spans="1:13">
      <c r="A20" s="1" t="s">
        <v>869</v>
      </c>
      <c r="B20" s="1" t="s">
        <v>171</v>
      </c>
      <c r="C20" s="1">
        <v>-1E-3</v>
      </c>
      <c r="H20" s="3">
        <v>4</v>
      </c>
      <c r="I20" s="3" t="str">
        <f t="shared" si="0"/>
        <v>点248(4/16)</v>
      </c>
      <c r="J20" s="3">
        <f t="shared" si="1"/>
        <v>11</v>
      </c>
      <c r="K20" s="3">
        <f t="shared" ca="1" si="2"/>
        <v>419.51100000000002</v>
      </c>
      <c r="L20" s="3">
        <f t="shared" si="3"/>
        <v>419.46800000000002</v>
      </c>
      <c r="M20" s="3">
        <f t="shared" si="3"/>
        <v>419.53199999999998</v>
      </c>
    </row>
    <row r="21" spans="1:13">
      <c r="A21" s="2" t="s">
        <v>870</v>
      </c>
      <c r="B21" s="1" t="s">
        <v>157</v>
      </c>
      <c r="C21" s="1">
        <v>-6.7759999999999998</v>
      </c>
      <c r="H21" s="3">
        <v>3</v>
      </c>
      <c r="I21" s="3" t="str">
        <f t="shared" si="0"/>
        <v>点248(3/16)</v>
      </c>
      <c r="J21" s="3">
        <f t="shared" si="1"/>
        <v>8</v>
      </c>
      <c r="K21" s="3">
        <f t="shared" ca="1" si="2"/>
        <v>419.41500000000002</v>
      </c>
      <c r="L21" s="3">
        <f t="shared" si="3"/>
        <v>419.46800000000002</v>
      </c>
      <c r="M21" s="3">
        <f t="shared" si="3"/>
        <v>419.53199999999998</v>
      </c>
    </row>
    <row r="22" spans="1:13">
      <c r="A22" s="1" t="s">
        <v>159</v>
      </c>
      <c r="B22" s="1" t="s">
        <v>170</v>
      </c>
      <c r="C22" s="1">
        <v>419.58</v>
      </c>
      <c r="H22" s="3">
        <v>2</v>
      </c>
      <c r="I22" s="3" t="str">
        <f t="shared" si="0"/>
        <v>点248(2/16)</v>
      </c>
      <c r="J22" s="3">
        <f t="shared" si="1"/>
        <v>5</v>
      </c>
      <c r="K22" s="3">
        <f t="shared" ca="1" si="2"/>
        <v>419.428</v>
      </c>
      <c r="L22" s="3">
        <f t="shared" si="3"/>
        <v>419.46800000000002</v>
      </c>
      <c r="M22" s="3">
        <f t="shared" si="3"/>
        <v>419.53199999999998</v>
      </c>
    </row>
    <row r="23" spans="1:13">
      <c r="A23" s="1" t="s">
        <v>871</v>
      </c>
      <c r="B23" s="1" t="s">
        <v>171</v>
      </c>
      <c r="C23" s="1">
        <v>0</v>
      </c>
      <c r="H23" s="3"/>
      <c r="I23" s="3"/>
      <c r="J23" s="3"/>
      <c r="K23" s="3"/>
      <c r="L23" s="3"/>
      <c r="M23" s="3"/>
    </row>
    <row r="24" spans="1:13">
      <c r="A24" s="2" t="s">
        <v>872</v>
      </c>
      <c r="B24" s="1" t="s">
        <v>157</v>
      </c>
      <c r="C24" s="1">
        <v>-6.7750000000000004</v>
      </c>
      <c r="H24" s="3"/>
      <c r="I24" s="3"/>
      <c r="J24" s="5" t="s">
        <v>3</v>
      </c>
      <c r="K24" s="3" t="str">
        <f>"&gt;"&amp;TEXT(($E$2+$E$3)/2, "0.###")</f>
        <v>&gt;419.532</v>
      </c>
      <c r="L24" s="3"/>
      <c r="M24" s="3"/>
    </row>
    <row r="25" spans="1:13">
      <c r="A25" s="1" t="s">
        <v>159</v>
      </c>
      <c r="B25" s="1" t="s">
        <v>170</v>
      </c>
      <c r="C25" s="1">
        <v>419.48899999999998</v>
      </c>
      <c r="H25" s="3"/>
      <c r="I25" s="3"/>
      <c r="J25" s="6" t="s">
        <v>83</v>
      </c>
      <c r="K25" s="3" t="str">
        <f>"&lt;"&amp;TEXT(($E$2+$C$4)/2, "0.###")</f>
        <v>&lt;419.468</v>
      </c>
      <c r="L25" s="3"/>
      <c r="M25" s="3"/>
    </row>
    <row r="26" spans="1:13">
      <c r="A26" s="1" t="s">
        <v>873</v>
      </c>
      <c r="B26" s="1" t="s">
        <v>171</v>
      </c>
      <c r="C26" s="1">
        <v>0</v>
      </c>
      <c r="H26" s="3"/>
      <c r="I26" s="3"/>
      <c r="J26" s="7"/>
      <c r="K26" s="8" t="s">
        <v>84</v>
      </c>
      <c r="L26" s="3"/>
      <c r="M26" s="3"/>
    </row>
    <row r="27" spans="1:13">
      <c r="A27" s="2" t="s">
        <v>874</v>
      </c>
      <c r="B27" s="1" t="s">
        <v>157</v>
      </c>
      <c r="C27" s="1">
        <v>-6.7750000000000004</v>
      </c>
      <c r="H27" s="3"/>
      <c r="I27" s="3"/>
      <c r="J27" s="9" t="s">
        <v>24</v>
      </c>
      <c r="K27" s="10">
        <f ca="1">AVERAGE(K7:K22)*2</f>
        <v>838.99762499999997</v>
      </c>
      <c r="L27" s="3"/>
      <c r="M27" s="3"/>
    </row>
    <row r="28" spans="1:13">
      <c r="A28" s="1" t="s">
        <v>159</v>
      </c>
      <c r="B28" s="1" t="s">
        <v>170</v>
      </c>
      <c r="C28" s="1">
        <v>419.423</v>
      </c>
      <c r="H28" s="3"/>
      <c r="I28" s="3"/>
      <c r="J28" s="9"/>
      <c r="K28" s="11" t="str">
        <f ca="1">IF(K27&lt;$E$2+$C$4, "U/Min "&amp;TEXT($E$2+$C$4-K27, "0.###"), IF(K27&gt;$E$2+$E$3, "O/Max "&amp;TEXT(K27-$E$2-$E$3, "0.###"), "-"))</f>
        <v>-</v>
      </c>
      <c r="L28" s="3"/>
      <c r="M28" s="3"/>
    </row>
    <row r="29" spans="1:13">
      <c r="A29" s="1" t="s">
        <v>875</v>
      </c>
      <c r="B29" s="1" t="s">
        <v>171</v>
      </c>
      <c r="C29" s="1">
        <v>-6.0000000000000001E-3</v>
      </c>
      <c r="H29" s="3"/>
      <c r="I29" s="3"/>
      <c r="J29" s="9" t="s">
        <v>85</v>
      </c>
      <c r="K29" s="10">
        <f ca="1">MAX(K7:K22)-MIN(K7:K22)</f>
        <v>0.18299999999999272</v>
      </c>
      <c r="L29" s="3"/>
      <c r="M29" s="3"/>
    </row>
    <row r="30" spans="1:13">
      <c r="A30" s="2" t="s">
        <v>876</v>
      </c>
      <c r="B30" s="1" t="s">
        <v>157</v>
      </c>
      <c r="C30" s="1">
        <v>-6.774</v>
      </c>
      <c r="H30" s="3"/>
      <c r="I30" s="3"/>
      <c r="J30" s="9"/>
      <c r="K30" s="11" t="str">
        <f ca="1">IF(K29&gt;0.13, "O/Max "&amp;TEXT(K29-0.13, "0.###"), "-")</f>
        <v>O/Max 0.053</v>
      </c>
      <c r="L30" s="3"/>
      <c r="M30" s="3"/>
    </row>
    <row r="31" spans="1:13">
      <c r="A31" s="1" t="s">
        <v>159</v>
      </c>
      <c r="B31" s="1" t="s">
        <v>170</v>
      </c>
      <c r="C31" s="1">
        <v>419.46600000000001</v>
      </c>
      <c r="H31" s="3"/>
      <c r="I31" s="3"/>
      <c r="J31" s="9" t="s">
        <v>86</v>
      </c>
      <c r="K31" s="12">
        <f ca="1">COUNTIF(K7:K22, $K24)</f>
        <v>4</v>
      </c>
      <c r="L31" s="3"/>
      <c r="M31" s="3"/>
    </row>
    <row r="32" spans="1:13">
      <c r="A32" s="1" t="s">
        <v>877</v>
      </c>
      <c r="B32" s="1" t="s">
        <v>171</v>
      </c>
      <c r="C32" s="1">
        <v>0</v>
      </c>
      <c r="H32" s="3"/>
      <c r="I32" s="3"/>
      <c r="J32" s="13" t="s">
        <v>87</v>
      </c>
      <c r="K32" s="12">
        <f ca="1">COUNTIF(K7:K22, $K25)</f>
        <v>4</v>
      </c>
      <c r="L32" s="3"/>
      <c r="M32" s="3"/>
    </row>
    <row r="33" spans="1:13">
      <c r="A33" s="2" t="s">
        <v>878</v>
      </c>
      <c r="B33" s="1" t="s">
        <v>157</v>
      </c>
      <c r="C33" s="1">
        <v>-6.7750000000000004</v>
      </c>
      <c r="H33" s="3"/>
      <c r="I33" s="3"/>
      <c r="J33" s="12"/>
      <c r="K33" s="14" t="str">
        <f ca="1">TEXT(K31+K32,"0")&amp;"/16"</f>
        <v>8/16</v>
      </c>
      <c r="L33" s="3"/>
      <c r="M33" s="3"/>
    </row>
    <row r="34" spans="1:13">
      <c r="A34" s="1" t="s">
        <v>159</v>
      </c>
      <c r="B34" s="1" t="s">
        <v>170</v>
      </c>
      <c r="C34" s="1">
        <v>419.51400000000001</v>
      </c>
      <c r="J34" s="15" t="s">
        <v>90</v>
      </c>
      <c r="K34" s="15"/>
    </row>
    <row r="35" spans="1:13">
      <c r="A35" s="1" t="s">
        <v>879</v>
      </c>
      <c r="B35" s="1" t="s">
        <v>171</v>
      </c>
      <c r="C35" s="1">
        <v>6.0000000000000001E-3</v>
      </c>
      <c r="J35" s="15" t="s">
        <v>91</v>
      </c>
      <c r="K35" s="16">
        <f ca="1">MAX(K7:K22)*2</f>
        <v>839.19600000000003</v>
      </c>
    </row>
    <row r="36" spans="1:13">
      <c r="A36" s="2" t="s">
        <v>880</v>
      </c>
      <c r="B36" s="1" t="s">
        <v>157</v>
      </c>
      <c r="C36" s="1">
        <v>-6.7750000000000004</v>
      </c>
      <c r="J36" s="15" t="s">
        <v>92</v>
      </c>
      <c r="K36" s="16">
        <f ca="1">MIN(K7:K22)*2</f>
        <v>838.83</v>
      </c>
    </row>
    <row r="37" spans="1:13">
      <c r="A37" s="1" t="s">
        <v>159</v>
      </c>
      <c r="B37" s="1" t="s">
        <v>170</v>
      </c>
      <c r="C37" s="1">
        <v>419.50400000000002</v>
      </c>
    </row>
    <row r="38" spans="1:13">
      <c r="A38" s="1" t="s">
        <v>881</v>
      </c>
      <c r="B38" s="1" t="s">
        <v>171</v>
      </c>
      <c r="C38" s="1">
        <v>1E-3</v>
      </c>
    </row>
    <row r="39" spans="1:13">
      <c r="A39" s="2" t="s">
        <v>882</v>
      </c>
      <c r="B39" s="1" t="s">
        <v>157</v>
      </c>
      <c r="C39" s="1">
        <v>-6.774</v>
      </c>
    </row>
    <row r="40" spans="1:13">
      <c r="A40" s="1" t="s">
        <v>159</v>
      </c>
      <c r="B40" s="1" t="s">
        <v>170</v>
      </c>
      <c r="C40" s="1">
        <v>419.50900000000001</v>
      </c>
    </row>
    <row r="41" spans="1:13">
      <c r="A41" s="1" t="s">
        <v>883</v>
      </c>
      <c r="B41" s="1" t="s">
        <v>171</v>
      </c>
      <c r="C41" s="1">
        <v>-8.9999999999999993E-3</v>
      </c>
    </row>
    <row r="42" spans="1:13">
      <c r="A42" s="2" t="s">
        <v>884</v>
      </c>
      <c r="B42" s="1" t="s">
        <v>157</v>
      </c>
      <c r="C42" s="1">
        <v>-6.7750000000000004</v>
      </c>
    </row>
    <row r="43" spans="1:13">
      <c r="A43" s="1" t="s">
        <v>159</v>
      </c>
      <c r="B43" s="1" t="s">
        <v>170</v>
      </c>
      <c r="C43" s="1">
        <v>419.49400000000003</v>
      </c>
    </row>
    <row r="44" spans="1:13">
      <c r="A44" s="1" t="s">
        <v>885</v>
      </c>
      <c r="B44" s="1" t="s">
        <v>171</v>
      </c>
      <c r="C44" s="1">
        <v>0</v>
      </c>
    </row>
    <row r="45" spans="1:13">
      <c r="A45" s="2" t="s">
        <v>886</v>
      </c>
      <c r="B45" s="1" t="s">
        <v>157</v>
      </c>
      <c r="C45" s="1">
        <v>-6.774</v>
      </c>
    </row>
    <row r="46" spans="1:13">
      <c r="A46" s="1" t="s">
        <v>159</v>
      </c>
      <c r="B46" s="1" t="s">
        <v>170</v>
      </c>
      <c r="C46" s="1">
        <v>419.48200000000003</v>
      </c>
    </row>
    <row r="47" spans="1:13">
      <c r="A47" s="1" t="s">
        <v>887</v>
      </c>
      <c r="B47" s="1" t="s">
        <v>171</v>
      </c>
      <c r="C47" s="1">
        <v>0.01</v>
      </c>
    </row>
    <row r="48" spans="1:13">
      <c r="A48" s="2" t="s">
        <v>888</v>
      </c>
      <c r="B48" s="1" t="s">
        <v>157</v>
      </c>
      <c r="C48" s="1">
        <v>-6.7750000000000004</v>
      </c>
    </row>
    <row r="49" spans="1:3">
      <c r="A49" s="1" t="s">
        <v>159</v>
      </c>
      <c r="B49" s="1" t="s">
        <v>170</v>
      </c>
      <c r="C49" s="1">
        <v>419.53800000000001</v>
      </c>
    </row>
    <row r="50" spans="1:3">
      <c r="A50" s="1" t="s">
        <v>889</v>
      </c>
      <c r="B50" s="1" t="s">
        <v>171</v>
      </c>
      <c r="C50" s="1">
        <v>0</v>
      </c>
    </row>
    <row r="51" spans="1:3">
      <c r="A51" s="2" t="s">
        <v>890</v>
      </c>
      <c r="B51" s="1" t="s">
        <v>157</v>
      </c>
      <c r="C51" s="1">
        <v>-6.7750000000000004</v>
      </c>
    </row>
    <row r="52" spans="1:3">
      <c r="A52" s="1" t="s">
        <v>159</v>
      </c>
      <c r="B52" s="1" t="s">
        <v>170</v>
      </c>
      <c r="C52" s="1">
        <v>419.53399999999999</v>
      </c>
    </row>
    <row r="53" spans="1:3">
      <c r="A53" s="1" t="s">
        <v>891</v>
      </c>
      <c r="B53" s="1" t="s">
        <v>171</v>
      </c>
      <c r="C53" s="1">
        <v>-1.2999999999999999E-2</v>
      </c>
    </row>
    <row r="54" spans="1:3">
      <c r="A54" s="2" t="s">
        <v>892</v>
      </c>
      <c r="B54" s="1" t="s">
        <v>157</v>
      </c>
      <c r="C54" s="1">
        <v>-6.7750000000000004</v>
      </c>
    </row>
  </sheetData>
  <phoneticPr fontId="1"/>
  <pageMargins left="0.7" right="0.7" top="0.75" bottom="0.75" header="0.3" footer="0.3"/>
  <pageSetup paperSize="9" orientation="portrait" r:id="rId1"/>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R251"/>
  <sheetViews>
    <sheetView tabSelected="1" topLeftCell="D66" zoomScale="112" zoomScaleNormal="112" workbookViewId="0">
      <selection activeCell="L85" sqref="L85:N86"/>
    </sheetView>
  </sheetViews>
  <sheetFormatPr defaultColWidth="9" defaultRowHeight="15"/>
  <cols>
    <col min="1" max="8" width="9" style="3"/>
    <col min="9" max="9" width="9.42578125" style="3" bestFit="1" customWidth="1"/>
    <col min="10" max="13" width="9" style="3"/>
    <col min="14" max="14" width="9.28515625" style="3" bestFit="1" customWidth="1"/>
    <col min="15" max="21" width="9" style="3"/>
    <col min="22" max="28" width="9" style="36"/>
    <col min="29" max="29" width="9" style="3"/>
    <col min="30" max="30" width="13.42578125" style="3" bestFit="1" customWidth="1"/>
    <col min="31" max="16384" width="9" style="3"/>
  </cols>
  <sheetData>
    <row r="1" spans="1:44">
      <c r="A1" s="3" t="s">
        <v>893</v>
      </c>
      <c r="L1" s="3">
        <v>844.93600000000004</v>
      </c>
      <c r="M1" s="3">
        <v>5.0999999999999997E-2</v>
      </c>
      <c r="V1" s="43" t="s">
        <v>1296</v>
      </c>
      <c r="W1" s="36" t="s">
        <v>1264</v>
      </c>
      <c r="X1" s="36" t="s">
        <v>1265</v>
      </c>
    </row>
    <row r="2" spans="1:44">
      <c r="A2" s="3" t="s">
        <v>894</v>
      </c>
      <c r="B2" s="3" t="s">
        <v>895</v>
      </c>
      <c r="D2" s="3" t="s">
        <v>895</v>
      </c>
      <c r="V2" s="43"/>
      <c r="AB2" s="3"/>
      <c r="AC2" s="44" t="s">
        <v>1263</v>
      </c>
    </row>
    <row r="3" spans="1:44">
      <c r="A3" s="3" t="s">
        <v>896</v>
      </c>
      <c r="B3" s="3" t="s">
        <v>897</v>
      </c>
      <c r="C3" s="3">
        <v>0.22900000000000001</v>
      </c>
      <c r="D3" s="3" t="s">
        <v>898</v>
      </c>
      <c r="E3" s="3">
        <v>0.76</v>
      </c>
      <c r="F3" s="3" t="s">
        <v>895</v>
      </c>
      <c r="V3" s="43"/>
      <c r="AB3" s="3"/>
      <c r="AC3" s="3" t="s">
        <v>1187</v>
      </c>
    </row>
    <row r="4" spans="1:44">
      <c r="A4" s="20" t="s">
        <v>899</v>
      </c>
      <c r="B4" s="3" t="s">
        <v>895</v>
      </c>
      <c r="V4" s="43"/>
      <c r="AB4" s="3"/>
      <c r="AO4" s="84"/>
    </row>
    <row r="5" spans="1:44">
      <c r="AP5" s="84"/>
    </row>
    <row r="6" spans="1:44">
      <c r="A6" s="3" t="s">
        <v>1302</v>
      </c>
      <c r="C6" s="3" t="s">
        <v>900</v>
      </c>
      <c r="I6" s="3" t="str">
        <f>CONCATENATE(A6," : ",MID(A1,11,3))</f>
        <v>JHV723EJ : 201</v>
      </c>
      <c r="K6" s="3" t="s">
        <v>84</v>
      </c>
      <c r="L6" s="3" t="s">
        <v>88</v>
      </c>
      <c r="M6" s="3" t="s">
        <v>89</v>
      </c>
      <c r="V6" s="43" t="s">
        <v>1297</v>
      </c>
      <c r="W6" s="36" t="s">
        <v>1298</v>
      </c>
      <c r="X6" s="36">
        <v>0.01</v>
      </c>
      <c r="AP6" s="84"/>
      <c r="AR6" s="84"/>
    </row>
    <row r="7" spans="1:44">
      <c r="A7" s="3" t="s">
        <v>304</v>
      </c>
      <c r="B7" s="3" t="s">
        <v>901</v>
      </c>
      <c r="C7" s="3">
        <v>422.52100000000002</v>
      </c>
      <c r="H7" s="4">
        <v>1</v>
      </c>
      <c r="I7" s="3" t="str">
        <f>CONCATENATE("点A(", H7,"/16)_F")</f>
        <v>点A(1/16)_F</v>
      </c>
      <c r="J7" s="3">
        <f>MATCH(I7, A$7:A$54, 0)</f>
        <v>2</v>
      </c>
      <c r="K7" s="3">
        <f ca="1">OFFSET(C$6, J7-1, 0)</f>
        <v>422.52100000000002</v>
      </c>
      <c r="L7" s="3">
        <f>(L1-M1)/2</f>
        <v>422.4425</v>
      </c>
      <c r="M7" s="3">
        <f>(L1+M1)/2</f>
        <v>422.49350000000004</v>
      </c>
      <c r="V7" s="43"/>
      <c r="AB7" s="3"/>
      <c r="AE7" s="9" t="s">
        <v>6</v>
      </c>
      <c r="AF7" s="10">
        <f>AVERAGE(AE13:AE76)*2</f>
        <v>0</v>
      </c>
      <c r="AP7" s="84"/>
      <c r="AR7" s="84"/>
    </row>
    <row r="8" spans="1:44">
      <c r="A8" s="3" t="s">
        <v>902</v>
      </c>
      <c r="B8" s="3" t="s">
        <v>903</v>
      </c>
      <c r="C8" s="3">
        <v>0</v>
      </c>
      <c r="H8" s="4">
        <v>16</v>
      </c>
      <c r="I8" s="3" t="str">
        <f t="shared" ref="I8:I22" si="0">CONCATENATE("点A(", H8,"/16)_F")</f>
        <v>点A(16/16)_F</v>
      </c>
      <c r="J8" s="3">
        <f t="shared" ref="J8:J22" si="1">MATCH(I8, A$7:A$54, 0)</f>
        <v>47</v>
      </c>
      <c r="K8" s="3">
        <f t="shared" ref="K8:K22" ca="1" si="2">OFFSET(C$6, J8-1, 0)</f>
        <v>422.59</v>
      </c>
      <c r="L8" s="3">
        <f>L7</f>
        <v>422.4425</v>
      </c>
      <c r="M8" s="3">
        <f>M7</f>
        <v>422.49350000000004</v>
      </c>
      <c r="V8" s="43"/>
      <c r="AB8" s="3"/>
      <c r="AE8" s="9"/>
      <c r="AF8" s="11" t="str">
        <f>IF(AF7&lt;L7*2, "U/Min "&amp;TEXT(L7*2-AF7, "0.###"), IF(AF7&gt;M7*2, "O/Max "&amp;TEXT(AF7-M7*2, "0.###"), "-"))</f>
        <v>U/Min 844.885</v>
      </c>
      <c r="AP8" s="84"/>
      <c r="AR8" s="84"/>
    </row>
    <row r="9" spans="1:44">
      <c r="A9" s="20" t="s">
        <v>904</v>
      </c>
      <c r="B9" s="3" t="s">
        <v>165</v>
      </c>
      <c r="C9" s="3">
        <v>-2.5</v>
      </c>
      <c r="H9" s="4">
        <v>15</v>
      </c>
      <c r="I9" s="3" t="str">
        <f t="shared" si="0"/>
        <v>点A(15/16)_F</v>
      </c>
      <c r="J9" s="3">
        <f t="shared" si="1"/>
        <v>44</v>
      </c>
      <c r="K9" s="3">
        <f t="shared" ca="1" si="2"/>
        <v>422.53199999999998</v>
      </c>
      <c r="L9" s="3">
        <f t="shared" ref="L9:M22" si="3">L8</f>
        <v>422.4425</v>
      </c>
      <c r="M9" s="3">
        <f t="shared" si="3"/>
        <v>422.49350000000004</v>
      </c>
      <c r="V9" s="43"/>
      <c r="AB9" s="3"/>
      <c r="AE9" s="11" t="s">
        <v>1131</v>
      </c>
      <c r="AF9" s="10">
        <f>MAX(AE13:AE67)-MIN(AE13:AE67)</f>
        <v>0</v>
      </c>
      <c r="AP9" s="84"/>
      <c r="AQ9" s="84"/>
      <c r="AR9" s="84"/>
    </row>
    <row r="10" spans="1:44">
      <c r="A10" s="3" t="s">
        <v>304</v>
      </c>
      <c r="B10" s="3" t="s">
        <v>901</v>
      </c>
      <c r="C10" s="3">
        <v>422.40800000000002</v>
      </c>
      <c r="H10" s="4">
        <v>14</v>
      </c>
      <c r="I10" s="3" t="str">
        <f t="shared" si="0"/>
        <v>点A(14/16)_F</v>
      </c>
      <c r="J10" s="3">
        <f t="shared" si="1"/>
        <v>41</v>
      </c>
      <c r="K10" s="3">
        <f t="shared" ca="1" si="2"/>
        <v>422.41899999999998</v>
      </c>
      <c r="L10" s="3">
        <f t="shared" si="3"/>
        <v>422.4425</v>
      </c>
      <c r="M10" s="3">
        <f t="shared" si="3"/>
        <v>422.49350000000004</v>
      </c>
      <c r="V10" s="43"/>
      <c r="AE10" s="9"/>
      <c r="AF10" s="11" t="str">
        <f>IF(AF9&gt;0.76, "O/Max "&amp;TEXT(AF9-0.76, "0.###"), "-")</f>
        <v>-</v>
      </c>
      <c r="AP10" s="84"/>
      <c r="AQ10" s="84"/>
      <c r="AR10" s="84"/>
    </row>
    <row r="11" spans="1:44">
      <c r="A11" s="3" t="s">
        <v>905</v>
      </c>
      <c r="B11" s="3" t="s">
        <v>903</v>
      </c>
      <c r="C11" s="3">
        <v>0</v>
      </c>
      <c r="H11" s="4">
        <v>13</v>
      </c>
      <c r="I11" s="3" t="str">
        <f t="shared" si="0"/>
        <v>点A(13/16)_F</v>
      </c>
      <c r="J11" s="3">
        <f t="shared" si="1"/>
        <v>38</v>
      </c>
      <c r="K11" s="3">
        <f t="shared" ca="1" si="2"/>
        <v>422.42200000000003</v>
      </c>
      <c r="L11" s="3">
        <f t="shared" si="3"/>
        <v>422.4425</v>
      </c>
      <c r="M11" s="3">
        <f t="shared" si="3"/>
        <v>422.49350000000004</v>
      </c>
      <c r="AP11" s="84"/>
      <c r="AQ11" s="84"/>
      <c r="AR11" s="84"/>
    </row>
    <row r="12" spans="1:44">
      <c r="A12" s="20" t="s">
        <v>906</v>
      </c>
      <c r="B12" s="3" t="s">
        <v>165</v>
      </c>
      <c r="C12" s="3">
        <v>-2.5</v>
      </c>
      <c r="H12" s="4">
        <v>12</v>
      </c>
      <c r="I12" s="3" t="str">
        <f t="shared" si="0"/>
        <v>点A(12/16)_F</v>
      </c>
      <c r="J12" s="3">
        <f t="shared" si="1"/>
        <v>35</v>
      </c>
      <c r="K12" s="3">
        <f t="shared" ca="1" si="2"/>
        <v>422.476</v>
      </c>
      <c r="L12" s="3">
        <f t="shared" si="3"/>
        <v>422.4425</v>
      </c>
      <c r="M12" s="3">
        <f t="shared" si="3"/>
        <v>422.49350000000004</v>
      </c>
      <c r="V12" t="s">
        <v>1062</v>
      </c>
      <c r="W12" t="s">
        <v>1063</v>
      </c>
      <c r="X12" t="s">
        <v>1064</v>
      </c>
      <c r="Y12" t="s">
        <v>1065</v>
      </c>
      <c r="AE12" s="3" t="s">
        <v>1130</v>
      </c>
      <c r="AF12" s="3" t="s">
        <v>1</v>
      </c>
      <c r="AG12" s="3" t="s">
        <v>2</v>
      </c>
      <c r="AP12" s="84"/>
      <c r="AQ12" s="84"/>
      <c r="AR12" s="84"/>
    </row>
    <row r="13" spans="1:44">
      <c r="A13" s="3" t="s">
        <v>304</v>
      </c>
      <c r="B13" s="3" t="s">
        <v>901</v>
      </c>
      <c r="C13" s="3">
        <v>422.358</v>
      </c>
      <c r="H13" s="4">
        <v>11</v>
      </c>
      <c r="I13" s="3" t="str">
        <f t="shared" si="0"/>
        <v>点A(11/16)_F</v>
      </c>
      <c r="J13" s="3">
        <f t="shared" si="1"/>
        <v>32</v>
      </c>
      <c r="K13" s="3">
        <f t="shared" ca="1" si="2"/>
        <v>422.505</v>
      </c>
      <c r="L13" s="3">
        <f t="shared" si="3"/>
        <v>422.4425</v>
      </c>
      <c r="M13" s="3">
        <f t="shared" si="3"/>
        <v>422.49350000000004</v>
      </c>
      <c r="V13" s="75"/>
      <c r="W13" s="75"/>
      <c r="X13" s="75"/>
      <c r="Y13" t="s">
        <v>1066</v>
      </c>
      <c r="Z13" s="3" t="str">
        <f>LEFT(Y13,LEN(Y13)-8)</f>
        <v>点点A(1/64)</v>
      </c>
      <c r="AA13" s="36">
        <f>SQRT(V13^2+W13^2)</f>
        <v>0</v>
      </c>
      <c r="AC13" s="3">
        <v>1</v>
      </c>
      <c r="AD13" s="3" t="str">
        <f>CONCATENATE("点点A(", AC13, "/64)")</f>
        <v>点点A(1/64)</v>
      </c>
      <c r="AE13" s="3">
        <f>VLOOKUP(AD13, $Z$13:$AA$76,2,FALSE)</f>
        <v>0</v>
      </c>
      <c r="AF13" s="3">
        <f>L$7</f>
        <v>422.4425</v>
      </c>
      <c r="AG13" s="3">
        <f>M$7</f>
        <v>422.49350000000004</v>
      </c>
      <c r="AP13" s="84"/>
      <c r="AQ13" s="84"/>
      <c r="AR13" s="84"/>
    </row>
    <row r="14" spans="1:44">
      <c r="A14" s="3" t="s">
        <v>907</v>
      </c>
      <c r="B14" s="3" t="s">
        <v>903</v>
      </c>
      <c r="C14" s="3">
        <v>2E-3</v>
      </c>
      <c r="H14" s="4">
        <v>10</v>
      </c>
      <c r="I14" s="3" t="str">
        <f t="shared" si="0"/>
        <v>点A(10/16)_F</v>
      </c>
      <c r="J14" s="3">
        <f t="shared" si="1"/>
        <v>29</v>
      </c>
      <c r="K14" s="3">
        <f t="shared" ca="1" si="2"/>
        <v>422.51299999999998</v>
      </c>
      <c r="L14" s="3">
        <f t="shared" si="3"/>
        <v>422.4425</v>
      </c>
      <c r="M14" s="3">
        <f t="shared" si="3"/>
        <v>422.49350000000004</v>
      </c>
      <c r="V14" s="75"/>
      <c r="W14" s="75"/>
      <c r="X14" s="75"/>
      <c r="Y14" t="s">
        <v>1067</v>
      </c>
      <c r="Z14" s="3" t="str">
        <f t="shared" ref="Z14:Z76" si="4">LEFT(Y14,LEN(Y14)-8)</f>
        <v>点点A(2/64)</v>
      </c>
      <c r="AA14" s="36">
        <f t="shared" ref="AA14:AA76" si="5">SQRT(V14^2+W14^2)</f>
        <v>0</v>
      </c>
      <c r="AC14" s="3">
        <v>64</v>
      </c>
      <c r="AD14" s="3" t="str">
        <f t="shared" ref="AD14:AD76" si="6">CONCATENATE("点点A(", AC14, "/64)")</f>
        <v>点点A(64/64)</v>
      </c>
      <c r="AE14" s="3">
        <f>VLOOKUP(AD14, $Z$13:$AA$76,2,FALSE)</f>
        <v>0</v>
      </c>
      <c r="AF14" s="3">
        <f t="shared" ref="AF14:AG76" si="7">L$7</f>
        <v>422.4425</v>
      </c>
      <c r="AG14" s="3">
        <f t="shared" si="7"/>
        <v>422.49350000000004</v>
      </c>
      <c r="AP14" s="84"/>
      <c r="AQ14" s="84"/>
      <c r="AR14" s="84"/>
    </row>
    <row r="15" spans="1:44">
      <c r="A15" s="20" t="s">
        <v>908</v>
      </c>
      <c r="B15" s="3" t="s">
        <v>165</v>
      </c>
      <c r="C15" s="3">
        <v>-2.5</v>
      </c>
      <c r="H15" s="4">
        <v>9</v>
      </c>
      <c r="I15" s="3" t="str">
        <f t="shared" si="0"/>
        <v>点A(9/16)_F</v>
      </c>
      <c r="J15" s="3">
        <f t="shared" si="1"/>
        <v>26</v>
      </c>
      <c r="K15" s="3">
        <f t="shared" ca="1" si="2"/>
        <v>422.43700000000001</v>
      </c>
      <c r="L15" s="3">
        <f t="shared" si="3"/>
        <v>422.4425</v>
      </c>
      <c r="M15" s="3">
        <f t="shared" si="3"/>
        <v>422.49350000000004</v>
      </c>
      <c r="V15" s="75"/>
      <c r="W15" s="75"/>
      <c r="X15" s="75"/>
      <c r="Y15" t="s">
        <v>1068</v>
      </c>
      <c r="Z15" s="3" t="str">
        <f t="shared" si="4"/>
        <v>点点A(3/64)</v>
      </c>
      <c r="AA15" s="36">
        <f t="shared" si="5"/>
        <v>0</v>
      </c>
      <c r="AC15" s="3">
        <f>AC14-1</f>
        <v>63</v>
      </c>
      <c r="AD15" s="3" t="str">
        <f t="shared" si="6"/>
        <v>点点A(63/64)</v>
      </c>
      <c r="AE15" s="3">
        <f>VLOOKUP(AD15, $Z$13:$AA$76,2,FALSE)</f>
        <v>0</v>
      </c>
      <c r="AF15" s="3">
        <f t="shared" si="7"/>
        <v>422.4425</v>
      </c>
      <c r="AG15" s="3">
        <f t="shared" si="7"/>
        <v>422.49350000000004</v>
      </c>
      <c r="AP15" s="84"/>
      <c r="AQ15" s="84"/>
      <c r="AR15" s="84"/>
    </row>
    <row r="16" spans="1:44">
      <c r="A16" s="3" t="s">
        <v>304</v>
      </c>
      <c r="B16" s="3" t="s">
        <v>901</v>
      </c>
      <c r="C16" s="3">
        <v>422.44499999999999</v>
      </c>
      <c r="H16" s="4">
        <v>8</v>
      </c>
      <c r="I16" s="3" t="str">
        <f t="shared" si="0"/>
        <v>点A(8/16)_F</v>
      </c>
      <c r="J16" s="3">
        <f t="shared" si="1"/>
        <v>23</v>
      </c>
      <c r="K16" s="3">
        <f t="shared" ca="1" si="2"/>
        <v>422.392</v>
      </c>
      <c r="L16" s="3">
        <f t="shared" si="3"/>
        <v>422.4425</v>
      </c>
      <c r="M16" s="3">
        <f t="shared" si="3"/>
        <v>422.49350000000004</v>
      </c>
      <c r="V16" s="75"/>
      <c r="W16" s="75"/>
      <c r="X16" s="75"/>
      <c r="Y16" t="s">
        <v>1069</v>
      </c>
      <c r="Z16" s="3" t="str">
        <f t="shared" si="4"/>
        <v>点点A(4/64)</v>
      </c>
      <c r="AA16" s="36">
        <f t="shared" si="5"/>
        <v>0</v>
      </c>
      <c r="AC16" s="3">
        <f t="shared" ref="AC16:AC76" si="8">AC15-1</f>
        <v>62</v>
      </c>
      <c r="AD16" s="3" t="str">
        <f t="shared" si="6"/>
        <v>点点A(62/64)</v>
      </c>
      <c r="AE16" s="3">
        <f t="shared" ref="AE16:AE76" si="9">VLOOKUP(AD16, $Z$13:$AA$76,2,FALSE)</f>
        <v>0</v>
      </c>
      <c r="AF16" s="3">
        <f t="shared" si="7"/>
        <v>422.4425</v>
      </c>
      <c r="AG16" s="3">
        <f t="shared" si="7"/>
        <v>422.49350000000004</v>
      </c>
      <c r="AP16" s="84"/>
      <c r="AQ16" s="84"/>
      <c r="AR16" s="84"/>
    </row>
    <row r="17" spans="1:44">
      <c r="A17" s="3" t="s">
        <v>909</v>
      </c>
      <c r="B17" s="3" t="s">
        <v>903</v>
      </c>
      <c r="C17" s="3">
        <v>3.0000000000000001E-3</v>
      </c>
      <c r="H17" s="4">
        <v>7</v>
      </c>
      <c r="I17" s="3" t="str">
        <f t="shared" si="0"/>
        <v>点A(7/16)_F</v>
      </c>
      <c r="J17" s="3">
        <f t="shared" si="1"/>
        <v>20</v>
      </c>
      <c r="K17" s="3">
        <f t="shared" ca="1" si="2"/>
        <v>422.48099999999999</v>
      </c>
      <c r="L17" s="3">
        <f t="shared" si="3"/>
        <v>422.4425</v>
      </c>
      <c r="M17" s="3">
        <f t="shared" si="3"/>
        <v>422.49350000000004</v>
      </c>
      <c r="V17" s="75"/>
      <c r="W17" s="75"/>
      <c r="X17" s="75"/>
      <c r="Y17" t="s">
        <v>1070</v>
      </c>
      <c r="Z17" s="3" t="str">
        <f t="shared" si="4"/>
        <v>点点A(5/64)</v>
      </c>
      <c r="AA17" s="36">
        <f t="shared" si="5"/>
        <v>0</v>
      </c>
      <c r="AC17" s="3">
        <f t="shared" si="8"/>
        <v>61</v>
      </c>
      <c r="AD17" s="3" t="str">
        <f t="shared" si="6"/>
        <v>点点A(61/64)</v>
      </c>
      <c r="AE17" s="3">
        <f t="shared" si="9"/>
        <v>0</v>
      </c>
      <c r="AF17" s="3">
        <f t="shared" si="7"/>
        <v>422.4425</v>
      </c>
      <c r="AG17" s="3">
        <f t="shared" si="7"/>
        <v>422.49350000000004</v>
      </c>
      <c r="AP17" s="84"/>
      <c r="AQ17" s="84"/>
      <c r="AR17" s="84"/>
    </row>
    <row r="18" spans="1:44">
      <c r="A18" s="20" t="s">
        <v>910</v>
      </c>
      <c r="B18" s="3" t="s">
        <v>165</v>
      </c>
      <c r="C18" s="3">
        <v>-2.5</v>
      </c>
      <c r="H18" s="4">
        <v>6</v>
      </c>
      <c r="I18" s="3" t="str">
        <f t="shared" si="0"/>
        <v>点A(6/16)_F</v>
      </c>
      <c r="J18" s="3">
        <f t="shared" si="1"/>
        <v>17</v>
      </c>
      <c r="K18" s="3">
        <f t="shared" ca="1" si="2"/>
        <v>422.56900000000002</v>
      </c>
      <c r="L18" s="3">
        <f t="shared" si="3"/>
        <v>422.4425</v>
      </c>
      <c r="M18" s="3">
        <f t="shared" si="3"/>
        <v>422.49350000000004</v>
      </c>
      <c r="V18" s="75"/>
      <c r="W18" s="75"/>
      <c r="X18" s="75"/>
      <c r="Y18" t="s">
        <v>1071</v>
      </c>
      <c r="Z18" s="3" t="str">
        <f t="shared" si="4"/>
        <v>点点A(6/64)</v>
      </c>
      <c r="AA18" s="36">
        <f t="shared" si="5"/>
        <v>0</v>
      </c>
      <c r="AC18" s="3">
        <f t="shared" si="8"/>
        <v>60</v>
      </c>
      <c r="AD18" s="3" t="str">
        <f t="shared" si="6"/>
        <v>点点A(60/64)</v>
      </c>
      <c r="AE18" s="3">
        <f t="shared" si="9"/>
        <v>0</v>
      </c>
      <c r="AF18" s="3">
        <f t="shared" si="7"/>
        <v>422.4425</v>
      </c>
      <c r="AG18" s="3">
        <f t="shared" si="7"/>
        <v>422.49350000000004</v>
      </c>
      <c r="AP18" s="84"/>
      <c r="AQ18" s="84"/>
      <c r="AR18" s="84"/>
    </row>
    <row r="19" spans="1:44">
      <c r="A19" s="3" t="s">
        <v>304</v>
      </c>
      <c r="B19" s="3" t="s">
        <v>901</v>
      </c>
      <c r="C19" s="3">
        <v>422.56</v>
      </c>
      <c r="H19" s="4">
        <v>5</v>
      </c>
      <c r="I19" s="3" t="str">
        <f t="shared" si="0"/>
        <v>点A(5/16)_F</v>
      </c>
      <c r="J19" s="3">
        <f t="shared" si="1"/>
        <v>14</v>
      </c>
      <c r="K19" s="3">
        <f t="shared" ca="1" si="2"/>
        <v>422.56</v>
      </c>
      <c r="L19" s="3">
        <f t="shared" si="3"/>
        <v>422.4425</v>
      </c>
      <c r="M19" s="3">
        <f t="shared" si="3"/>
        <v>422.49350000000004</v>
      </c>
      <c r="V19" s="75"/>
      <c r="W19" s="75"/>
      <c r="X19" s="75"/>
      <c r="Y19" t="s">
        <v>1072</v>
      </c>
      <c r="Z19" s="3" t="str">
        <f t="shared" si="4"/>
        <v>点点A(7/64)</v>
      </c>
      <c r="AA19" s="36">
        <f t="shared" si="5"/>
        <v>0</v>
      </c>
      <c r="AC19" s="3">
        <f t="shared" si="8"/>
        <v>59</v>
      </c>
      <c r="AD19" s="3" t="str">
        <f t="shared" si="6"/>
        <v>点点A(59/64)</v>
      </c>
      <c r="AE19" s="3">
        <f t="shared" si="9"/>
        <v>0</v>
      </c>
      <c r="AF19" s="3">
        <f t="shared" si="7"/>
        <v>422.4425</v>
      </c>
      <c r="AG19" s="3">
        <f t="shared" si="7"/>
        <v>422.49350000000004</v>
      </c>
      <c r="AP19" s="84"/>
      <c r="AQ19" s="84"/>
      <c r="AR19" s="84"/>
    </row>
    <row r="20" spans="1:44">
      <c r="A20" s="3" t="s">
        <v>911</v>
      </c>
      <c r="B20" s="3" t="s">
        <v>903</v>
      </c>
      <c r="C20" s="3">
        <v>-1E-3</v>
      </c>
      <c r="H20" s="4">
        <v>4</v>
      </c>
      <c r="I20" s="3" t="str">
        <f t="shared" si="0"/>
        <v>点A(4/16)_F</v>
      </c>
      <c r="J20" s="3">
        <f t="shared" si="1"/>
        <v>11</v>
      </c>
      <c r="K20" s="3">
        <f t="shared" ca="1" si="2"/>
        <v>422.44499999999999</v>
      </c>
      <c r="L20" s="3">
        <f t="shared" si="3"/>
        <v>422.4425</v>
      </c>
      <c r="M20" s="3">
        <f t="shared" si="3"/>
        <v>422.49350000000004</v>
      </c>
      <c r="V20" s="75"/>
      <c r="W20" s="75"/>
      <c r="X20" s="75"/>
      <c r="Y20" t="s">
        <v>1073</v>
      </c>
      <c r="Z20" s="3" t="str">
        <f t="shared" si="4"/>
        <v>点点A(8/64)</v>
      </c>
      <c r="AA20" s="36">
        <f t="shared" si="5"/>
        <v>0</v>
      </c>
      <c r="AC20" s="3">
        <f t="shared" si="8"/>
        <v>58</v>
      </c>
      <c r="AD20" s="3" t="str">
        <f t="shared" si="6"/>
        <v>点点A(58/64)</v>
      </c>
      <c r="AE20" s="3">
        <f t="shared" si="9"/>
        <v>0</v>
      </c>
      <c r="AF20" s="3">
        <f t="shared" si="7"/>
        <v>422.4425</v>
      </c>
      <c r="AG20" s="3">
        <f t="shared" si="7"/>
        <v>422.49350000000004</v>
      </c>
      <c r="AP20" s="84"/>
      <c r="AQ20" s="84"/>
      <c r="AR20" s="84"/>
    </row>
    <row r="21" spans="1:44">
      <c r="A21" s="20" t="s">
        <v>912</v>
      </c>
      <c r="B21" s="3" t="s">
        <v>165</v>
      </c>
      <c r="C21" s="3">
        <v>-2.5</v>
      </c>
      <c r="H21" s="4">
        <v>3</v>
      </c>
      <c r="I21" s="3" t="str">
        <f t="shared" si="0"/>
        <v>点A(3/16)_F</v>
      </c>
      <c r="J21" s="3">
        <f t="shared" si="1"/>
        <v>8</v>
      </c>
      <c r="K21" s="3">
        <f t="shared" ca="1" si="2"/>
        <v>422.358</v>
      </c>
      <c r="L21" s="3">
        <f t="shared" si="3"/>
        <v>422.4425</v>
      </c>
      <c r="M21" s="3">
        <f t="shared" si="3"/>
        <v>422.49350000000004</v>
      </c>
      <c r="V21" s="75"/>
      <c r="W21" s="75"/>
      <c r="X21" s="75"/>
      <c r="Y21" t="s">
        <v>1074</v>
      </c>
      <c r="Z21" s="3" t="str">
        <f t="shared" si="4"/>
        <v>点点A(9/64)</v>
      </c>
      <c r="AA21" s="36">
        <f t="shared" si="5"/>
        <v>0</v>
      </c>
      <c r="AC21" s="3">
        <f t="shared" si="8"/>
        <v>57</v>
      </c>
      <c r="AD21" s="3" t="str">
        <f t="shared" si="6"/>
        <v>点点A(57/64)</v>
      </c>
      <c r="AE21" s="3">
        <f t="shared" si="9"/>
        <v>0</v>
      </c>
      <c r="AF21" s="3">
        <f t="shared" si="7"/>
        <v>422.4425</v>
      </c>
      <c r="AG21" s="3">
        <f t="shared" si="7"/>
        <v>422.49350000000004</v>
      </c>
      <c r="AP21" s="84"/>
      <c r="AQ21" s="84"/>
      <c r="AR21" s="84"/>
    </row>
    <row r="22" spans="1:44">
      <c r="A22" s="3" t="s">
        <v>304</v>
      </c>
      <c r="B22" s="3" t="s">
        <v>901</v>
      </c>
      <c r="C22" s="3">
        <v>422.56900000000002</v>
      </c>
      <c r="H22" s="4">
        <v>2</v>
      </c>
      <c r="I22" s="3" t="str">
        <f t="shared" si="0"/>
        <v>点A(2/16)_F</v>
      </c>
      <c r="J22" s="3">
        <f t="shared" si="1"/>
        <v>5</v>
      </c>
      <c r="K22" s="3">
        <f t="shared" ca="1" si="2"/>
        <v>422.40800000000002</v>
      </c>
      <c r="L22" s="3">
        <f t="shared" si="3"/>
        <v>422.4425</v>
      </c>
      <c r="M22" s="3">
        <f t="shared" si="3"/>
        <v>422.49350000000004</v>
      </c>
      <c r="V22" s="75"/>
      <c r="W22" s="75"/>
      <c r="X22" s="75"/>
      <c r="Y22" t="s">
        <v>1075</v>
      </c>
      <c r="Z22" s="3" t="str">
        <f t="shared" si="4"/>
        <v>点点A(10/64)</v>
      </c>
      <c r="AA22" s="36">
        <f t="shared" si="5"/>
        <v>0</v>
      </c>
      <c r="AC22" s="3">
        <f t="shared" si="8"/>
        <v>56</v>
      </c>
      <c r="AD22" s="3" t="str">
        <f t="shared" si="6"/>
        <v>点点A(56/64)</v>
      </c>
      <c r="AE22" s="3">
        <f t="shared" si="9"/>
        <v>0</v>
      </c>
      <c r="AF22" s="3">
        <f t="shared" si="7"/>
        <v>422.4425</v>
      </c>
      <c r="AG22" s="3">
        <f t="shared" si="7"/>
        <v>422.49350000000004</v>
      </c>
      <c r="AP22" s="84"/>
      <c r="AQ22" s="84"/>
      <c r="AR22" s="84"/>
    </row>
    <row r="23" spans="1:44">
      <c r="A23" s="3" t="s">
        <v>913</v>
      </c>
      <c r="B23" s="3" t="s">
        <v>903</v>
      </c>
      <c r="C23" s="3">
        <v>-1E-3</v>
      </c>
      <c r="V23" s="75"/>
      <c r="W23" s="75"/>
      <c r="X23" s="75"/>
      <c r="Y23" t="s">
        <v>1076</v>
      </c>
      <c r="Z23" s="3" t="str">
        <f t="shared" si="4"/>
        <v>点点A(11/64)</v>
      </c>
      <c r="AA23" s="36">
        <f t="shared" si="5"/>
        <v>0</v>
      </c>
      <c r="AC23" s="3">
        <f t="shared" si="8"/>
        <v>55</v>
      </c>
      <c r="AD23" s="3" t="str">
        <f t="shared" si="6"/>
        <v>点点A(55/64)</v>
      </c>
      <c r="AE23" s="3">
        <f t="shared" si="9"/>
        <v>0</v>
      </c>
      <c r="AF23" s="3">
        <f t="shared" si="7"/>
        <v>422.4425</v>
      </c>
      <c r="AG23" s="3">
        <f t="shared" si="7"/>
        <v>422.49350000000004</v>
      </c>
      <c r="AP23" s="84"/>
      <c r="AQ23" s="84"/>
      <c r="AR23" s="84"/>
    </row>
    <row r="24" spans="1:44">
      <c r="A24" s="20" t="s">
        <v>914</v>
      </c>
      <c r="B24" s="3" t="s">
        <v>165</v>
      </c>
      <c r="C24" s="3">
        <v>-2.5009999999999999</v>
      </c>
      <c r="J24" s="5" t="s">
        <v>3</v>
      </c>
      <c r="K24" s="3" t="str">
        <f>"&gt;"&amp;TEXT(M7, "0.###")</f>
        <v>&gt;422.494</v>
      </c>
      <c r="V24" s="75"/>
      <c r="W24" s="75"/>
      <c r="X24" s="75"/>
      <c r="Y24" t="s">
        <v>1077</v>
      </c>
      <c r="Z24" s="3" t="str">
        <f t="shared" si="4"/>
        <v>点点A(12/64)</v>
      </c>
      <c r="AA24" s="36">
        <f t="shared" si="5"/>
        <v>0</v>
      </c>
      <c r="AC24" s="3">
        <f t="shared" si="8"/>
        <v>54</v>
      </c>
      <c r="AD24" s="3" t="str">
        <f t="shared" si="6"/>
        <v>点点A(54/64)</v>
      </c>
      <c r="AE24" s="3">
        <f t="shared" si="9"/>
        <v>0</v>
      </c>
      <c r="AF24" s="3">
        <f t="shared" si="7"/>
        <v>422.4425</v>
      </c>
      <c r="AG24" s="3">
        <f t="shared" si="7"/>
        <v>422.49350000000004</v>
      </c>
      <c r="AP24" s="84"/>
      <c r="AQ24" s="84"/>
      <c r="AR24" s="84"/>
    </row>
    <row r="25" spans="1:44">
      <c r="A25" s="3" t="s">
        <v>304</v>
      </c>
      <c r="B25" s="3" t="s">
        <v>901</v>
      </c>
      <c r="C25" s="3">
        <v>422.48099999999999</v>
      </c>
      <c r="J25" s="6" t="s">
        <v>4</v>
      </c>
      <c r="K25" s="3" t="str">
        <f>"&lt;"&amp;TEXT(L7, "0.###")</f>
        <v>&lt;422.443</v>
      </c>
      <c r="V25" s="75"/>
      <c r="W25" s="75"/>
      <c r="X25" s="75"/>
      <c r="Y25" t="s">
        <v>1078</v>
      </c>
      <c r="Z25" s="3" t="str">
        <f t="shared" si="4"/>
        <v>点点A(13/64)</v>
      </c>
      <c r="AA25" s="36">
        <f t="shared" si="5"/>
        <v>0</v>
      </c>
      <c r="AC25" s="3">
        <f t="shared" si="8"/>
        <v>53</v>
      </c>
      <c r="AD25" s="3" t="str">
        <f t="shared" si="6"/>
        <v>点点A(53/64)</v>
      </c>
      <c r="AE25" s="3">
        <f t="shared" si="9"/>
        <v>0</v>
      </c>
      <c r="AF25" s="3">
        <f t="shared" si="7"/>
        <v>422.4425</v>
      </c>
      <c r="AG25" s="3">
        <f t="shared" si="7"/>
        <v>422.49350000000004</v>
      </c>
      <c r="AP25" s="84"/>
      <c r="AQ25" s="84"/>
      <c r="AR25" s="84"/>
    </row>
    <row r="26" spans="1:44">
      <c r="A26" s="3" t="s">
        <v>915</v>
      </c>
      <c r="B26" s="3" t="s">
        <v>903</v>
      </c>
      <c r="C26" s="3">
        <v>-1E-3</v>
      </c>
      <c r="J26" s="7"/>
      <c r="K26" s="8" t="s">
        <v>5</v>
      </c>
      <c r="V26" s="75"/>
      <c r="W26" s="75"/>
      <c r="X26" s="75"/>
      <c r="Y26" t="s">
        <v>1079</v>
      </c>
      <c r="Z26" s="3" t="str">
        <f t="shared" si="4"/>
        <v>点点A(14/64)</v>
      </c>
      <c r="AA26" s="36">
        <f t="shared" si="5"/>
        <v>0</v>
      </c>
      <c r="AC26" s="3">
        <f t="shared" si="8"/>
        <v>52</v>
      </c>
      <c r="AD26" s="3" t="str">
        <f t="shared" si="6"/>
        <v>点点A(52/64)</v>
      </c>
      <c r="AE26" s="3">
        <f t="shared" si="9"/>
        <v>0</v>
      </c>
      <c r="AF26" s="3">
        <f t="shared" si="7"/>
        <v>422.4425</v>
      </c>
      <c r="AG26" s="3">
        <f t="shared" si="7"/>
        <v>422.49350000000004</v>
      </c>
      <c r="AP26" s="84"/>
      <c r="AQ26" s="84"/>
      <c r="AR26" s="84"/>
    </row>
    <row r="27" spans="1:44">
      <c r="A27" s="20" t="s">
        <v>916</v>
      </c>
      <c r="B27" s="3" t="s">
        <v>165</v>
      </c>
      <c r="C27" s="3">
        <v>-2.5</v>
      </c>
      <c r="J27" s="9" t="s">
        <v>6</v>
      </c>
      <c r="K27" s="10">
        <f ca="1">AVERAGE(K7:K22)*2</f>
        <v>844.95350000000008</v>
      </c>
      <c r="V27" s="75"/>
      <c r="W27" s="75"/>
      <c r="X27" s="75"/>
      <c r="Y27" t="s">
        <v>1080</v>
      </c>
      <c r="Z27" s="3" t="str">
        <f t="shared" si="4"/>
        <v>点点A(15/64)</v>
      </c>
      <c r="AA27" s="36">
        <f t="shared" si="5"/>
        <v>0</v>
      </c>
      <c r="AC27" s="3">
        <f t="shared" si="8"/>
        <v>51</v>
      </c>
      <c r="AD27" s="3" t="str">
        <f t="shared" si="6"/>
        <v>点点A(51/64)</v>
      </c>
      <c r="AE27" s="3">
        <f t="shared" si="9"/>
        <v>0</v>
      </c>
      <c r="AF27" s="3">
        <f t="shared" si="7"/>
        <v>422.4425</v>
      </c>
      <c r="AG27" s="3">
        <f t="shared" si="7"/>
        <v>422.49350000000004</v>
      </c>
      <c r="AP27" s="84"/>
      <c r="AQ27" s="84"/>
      <c r="AR27" s="84"/>
    </row>
    <row r="28" spans="1:44">
      <c r="A28" s="3" t="s">
        <v>304</v>
      </c>
      <c r="B28" s="3" t="s">
        <v>901</v>
      </c>
      <c r="C28" s="3">
        <v>422.392</v>
      </c>
      <c r="J28" s="9"/>
      <c r="K28" s="11" t="str">
        <f ca="1">IF(K27&lt;L7*2, "U/Min "&amp;TEXT(L7*2-K27, "0.###"), IF(K27&gt;M7*2, "O/Max "&amp;TEXT(K27-M7*2, "0.###"), "-"))</f>
        <v>-</v>
      </c>
      <c r="V28" s="75"/>
      <c r="W28" s="75"/>
      <c r="X28" s="75"/>
      <c r="Y28" t="s">
        <v>1081</v>
      </c>
      <c r="Z28" s="3" t="str">
        <f t="shared" si="4"/>
        <v>点点A(16/64)</v>
      </c>
      <c r="AA28" s="36">
        <f t="shared" si="5"/>
        <v>0</v>
      </c>
      <c r="AC28" s="3">
        <f t="shared" si="8"/>
        <v>50</v>
      </c>
      <c r="AD28" s="3" t="str">
        <f t="shared" si="6"/>
        <v>点点A(50/64)</v>
      </c>
      <c r="AE28" s="3">
        <f t="shared" si="9"/>
        <v>0</v>
      </c>
      <c r="AF28" s="3">
        <f t="shared" si="7"/>
        <v>422.4425</v>
      </c>
      <c r="AG28" s="3">
        <f t="shared" si="7"/>
        <v>422.49350000000004</v>
      </c>
      <c r="AP28" s="84"/>
      <c r="AQ28" s="84"/>
      <c r="AR28" s="84"/>
    </row>
    <row r="29" spans="1:44">
      <c r="A29" s="3" t="s">
        <v>917</v>
      </c>
      <c r="B29" s="3" t="s">
        <v>903</v>
      </c>
      <c r="C29" s="3">
        <v>-4.0000000000000001E-3</v>
      </c>
      <c r="J29" s="11" t="s">
        <v>1131</v>
      </c>
      <c r="K29" s="10">
        <f ca="1">MAX(K7:K22)-MIN(K7:K22)</f>
        <v>0.2319999999999709</v>
      </c>
      <c r="V29" s="75"/>
      <c r="W29" s="75"/>
      <c r="X29" s="75"/>
      <c r="Y29" t="s">
        <v>1082</v>
      </c>
      <c r="Z29" s="3" t="str">
        <f t="shared" si="4"/>
        <v>点点A(17/64)</v>
      </c>
      <c r="AA29" s="36">
        <f t="shared" si="5"/>
        <v>0</v>
      </c>
      <c r="AC29" s="3">
        <f t="shared" si="8"/>
        <v>49</v>
      </c>
      <c r="AD29" s="3" t="str">
        <f t="shared" si="6"/>
        <v>点点A(49/64)</v>
      </c>
      <c r="AE29" s="3">
        <f t="shared" si="9"/>
        <v>0</v>
      </c>
      <c r="AF29" s="3">
        <f t="shared" si="7"/>
        <v>422.4425</v>
      </c>
      <c r="AG29" s="3">
        <f t="shared" si="7"/>
        <v>422.49350000000004</v>
      </c>
      <c r="AP29" s="84"/>
      <c r="AQ29" s="84"/>
      <c r="AR29" s="84"/>
    </row>
    <row r="30" spans="1:44">
      <c r="A30" s="20" t="s">
        <v>918</v>
      </c>
      <c r="B30" s="3" t="s">
        <v>165</v>
      </c>
      <c r="C30" s="3">
        <v>-2.5</v>
      </c>
      <c r="J30" s="9"/>
      <c r="K30" s="11" t="str">
        <f ca="1">IF(K29&gt;0.76, "O/Max "&amp;TEXT(K29-0.76, "0.###"), "-")</f>
        <v>-</v>
      </c>
      <c r="V30" s="75"/>
      <c r="W30" s="75"/>
      <c r="X30" s="75"/>
      <c r="Y30" t="s">
        <v>1083</v>
      </c>
      <c r="Z30" s="3" t="str">
        <f t="shared" si="4"/>
        <v>点点A(18/64)</v>
      </c>
      <c r="AA30" s="36">
        <f t="shared" si="5"/>
        <v>0</v>
      </c>
      <c r="AC30" s="3">
        <f t="shared" si="8"/>
        <v>48</v>
      </c>
      <c r="AD30" s="3" t="str">
        <f t="shared" si="6"/>
        <v>点点A(48/64)</v>
      </c>
      <c r="AE30" s="3">
        <f t="shared" si="9"/>
        <v>0</v>
      </c>
      <c r="AF30" s="3">
        <f t="shared" si="7"/>
        <v>422.4425</v>
      </c>
      <c r="AG30" s="3">
        <f t="shared" si="7"/>
        <v>422.49350000000004</v>
      </c>
      <c r="AL30" s="84"/>
      <c r="AP30" s="84"/>
      <c r="AQ30" s="84"/>
      <c r="AR30" s="84"/>
    </row>
    <row r="31" spans="1:44">
      <c r="A31" s="3" t="s">
        <v>304</v>
      </c>
      <c r="B31" s="3" t="s">
        <v>901</v>
      </c>
      <c r="C31" s="3">
        <v>422.43700000000001</v>
      </c>
      <c r="J31" s="9" t="s">
        <v>14</v>
      </c>
      <c r="K31" s="12">
        <f ca="1">COUNTIF(K7:K22, $K24)</f>
        <v>7</v>
      </c>
      <c r="V31" s="75"/>
      <c r="W31" s="75"/>
      <c r="X31" s="75"/>
      <c r="Y31" t="s">
        <v>1084</v>
      </c>
      <c r="Z31" s="3" t="str">
        <f t="shared" si="4"/>
        <v>点点A(19/64)</v>
      </c>
      <c r="AA31" s="36">
        <f t="shared" si="5"/>
        <v>0</v>
      </c>
      <c r="AC31" s="3">
        <f t="shared" si="8"/>
        <v>47</v>
      </c>
      <c r="AD31" s="3" t="str">
        <f t="shared" si="6"/>
        <v>点点A(47/64)</v>
      </c>
      <c r="AE31" s="3">
        <f t="shared" si="9"/>
        <v>0</v>
      </c>
      <c r="AF31" s="3">
        <f t="shared" si="7"/>
        <v>422.4425</v>
      </c>
      <c r="AG31" s="3">
        <f t="shared" si="7"/>
        <v>422.49350000000004</v>
      </c>
      <c r="AL31" s="84"/>
      <c r="AP31" s="84"/>
      <c r="AQ31" s="84"/>
      <c r="AR31" s="84"/>
    </row>
    <row r="32" spans="1:44">
      <c r="A32" s="3" t="s">
        <v>919</v>
      </c>
      <c r="B32" s="3" t="s">
        <v>903</v>
      </c>
      <c r="C32" s="3">
        <v>0</v>
      </c>
      <c r="J32" s="13" t="s">
        <v>9</v>
      </c>
      <c r="K32" s="12">
        <f ca="1">COUNTIF(K7:K22, $K25)</f>
        <v>6</v>
      </c>
      <c r="V32" s="75"/>
      <c r="W32" s="75"/>
      <c r="X32" s="75"/>
      <c r="Y32" t="s">
        <v>1085</v>
      </c>
      <c r="Z32" s="3" t="str">
        <f t="shared" si="4"/>
        <v>点点A(20/64)</v>
      </c>
      <c r="AA32" s="36">
        <f t="shared" si="5"/>
        <v>0</v>
      </c>
      <c r="AC32" s="3">
        <f t="shared" si="8"/>
        <v>46</v>
      </c>
      <c r="AD32" s="3" t="str">
        <f t="shared" si="6"/>
        <v>点点A(46/64)</v>
      </c>
      <c r="AE32" s="3">
        <f t="shared" si="9"/>
        <v>0</v>
      </c>
      <c r="AF32" s="3">
        <f t="shared" si="7"/>
        <v>422.4425</v>
      </c>
      <c r="AG32" s="3">
        <f t="shared" si="7"/>
        <v>422.49350000000004</v>
      </c>
      <c r="AL32" s="84"/>
      <c r="AP32" s="84"/>
      <c r="AQ32" s="84"/>
      <c r="AR32" s="84"/>
    </row>
    <row r="33" spans="1:44">
      <c r="A33" s="20" t="s">
        <v>920</v>
      </c>
      <c r="B33" s="3" t="s">
        <v>165</v>
      </c>
      <c r="C33" s="3">
        <v>-2.5</v>
      </c>
      <c r="J33" s="12"/>
      <c r="K33" s="14" t="str">
        <f ca="1">TEXT(K31+K32,"0")&amp;"/16"</f>
        <v>13/16</v>
      </c>
      <c r="V33" s="75"/>
      <c r="W33" s="75"/>
      <c r="X33" s="75"/>
      <c r="Y33" t="s">
        <v>1086</v>
      </c>
      <c r="Z33" s="3" t="str">
        <f t="shared" si="4"/>
        <v>点点A(21/64)</v>
      </c>
      <c r="AA33" s="36">
        <f t="shared" si="5"/>
        <v>0</v>
      </c>
      <c r="AC33" s="3">
        <f t="shared" si="8"/>
        <v>45</v>
      </c>
      <c r="AD33" s="3" t="str">
        <f t="shared" si="6"/>
        <v>点点A(45/64)</v>
      </c>
      <c r="AE33" s="3">
        <f t="shared" si="9"/>
        <v>0</v>
      </c>
      <c r="AF33" s="3">
        <f t="shared" si="7"/>
        <v>422.4425</v>
      </c>
      <c r="AG33" s="3">
        <f t="shared" si="7"/>
        <v>422.49350000000004</v>
      </c>
      <c r="AL33" s="84"/>
      <c r="AP33" s="84"/>
      <c r="AQ33" s="84"/>
      <c r="AR33" s="84"/>
    </row>
    <row r="34" spans="1:44">
      <c r="A34" s="3" t="s">
        <v>304</v>
      </c>
      <c r="B34" s="3" t="s">
        <v>901</v>
      </c>
      <c r="C34" s="3">
        <v>422.51299999999998</v>
      </c>
      <c r="J34" s="21" t="s">
        <v>90</v>
      </c>
      <c r="K34" s="21"/>
      <c r="V34" s="75"/>
      <c r="W34" s="75"/>
      <c r="X34" s="75"/>
      <c r="Y34" t="s">
        <v>1087</v>
      </c>
      <c r="Z34" s="3" t="str">
        <f t="shared" si="4"/>
        <v>点点A(22/64)</v>
      </c>
      <c r="AA34" s="36">
        <f t="shared" si="5"/>
        <v>0</v>
      </c>
      <c r="AC34" s="3">
        <f t="shared" si="8"/>
        <v>44</v>
      </c>
      <c r="AD34" s="3" t="str">
        <f t="shared" si="6"/>
        <v>点点A(44/64)</v>
      </c>
      <c r="AE34" s="3">
        <f t="shared" si="9"/>
        <v>0</v>
      </c>
      <c r="AF34" s="3">
        <f t="shared" si="7"/>
        <v>422.4425</v>
      </c>
      <c r="AG34" s="3">
        <f t="shared" si="7"/>
        <v>422.49350000000004</v>
      </c>
      <c r="AL34" s="84"/>
      <c r="AP34" s="84"/>
      <c r="AQ34" s="84"/>
      <c r="AR34" s="84"/>
    </row>
    <row r="35" spans="1:44">
      <c r="A35" s="3" t="s">
        <v>921</v>
      </c>
      <c r="B35" s="3" t="s">
        <v>903</v>
      </c>
      <c r="C35" s="3">
        <v>3.0000000000000001E-3</v>
      </c>
      <c r="J35" s="21" t="s">
        <v>91</v>
      </c>
      <c r="K35" s="19">
        <f ca="1">MAX(K7:K22)*2</f>
        <v>845.18</v>
      </c>
      <c r="V35" s="75"/>
      <c r="W35" s="75"/>
      <c r="X35" s="75"/>
      <c r="Y35" t="s">
        <v>1088</v>
      </c>
      <c r="Z35" s="3" t="str">
        <f t="shared" si="4"/>
        <v>点点A(23/64)</v>
      </c>
      <c r="AA35" s="36">
        <f t="shared" si="5"/>
        <v>0</v>
      </c>
      <c r="AC35" s="3">
        <f t="shared" si="8"/>
        <v>43</v>
      </c>
      <c r="AD35" s="3" t="str">
        <f t="shared" si="6"/>
        <v>点点A(43/64)</v>
      </c>
      <c r="AE35" s="3">
        <f t="shared" si="9"/>
        <v>0</v>
      </c>
      <c r="AF35" s="3">
        <f t="shared" si="7"/>
        <v>422.4425</v>
      </c>
      <c r="AG35" s="3">
        <f t="shared" si="7"/>
        <v>422.49350000000004</v>
      </c>
      <c r="AL35" s="84"/>
      <c r="AP35" s="84"/>
      <c r="AQ35" s="84"/>
      <c r="AR35" s="84"/>
    </row>
    <row r="36" spans="1:44">
      <c r="A36" s="20" t="s">
        <v>922</v>
      </c>
      <c r="B36" s="3" t="s">
        <v>165</v>
      </c>
      <c r="C36" s="3">
        <v>-2.5</v>
      </c>
      <c r="J36" s="21" t="s">
        <v>92</v>
      </c>
      <c r="K36" s="19">
        <f ca="1">MIN(K7:K22)*2</f>
        <v>844.71600000000001</v>
      </c>
      <c r="V36" s="75"/>
      <c r="W36" s="75"/>
      <c r="X36" s="75"/>
      <c r="Y36" t="s">
        <v>1089</v>
      </c>
      <c r="Z36" s="3" t="str">
        <f t="shared" si="4"/>
        <v>点点A(24/64)</v>
      </c>
      <c r="AA36" s="36">
        <f t="shared" si="5"/>
        <v>0</v>
      </c>
      <c r="AC36" s="3">
        <f t="shared" si="8"/>
        <v>42</v>
      </c>
      <c r="AD36" s="3" t="str">
        <f t="shared" si="6"/>
        <v>点点A(42/64)</v>
      </c>
      <c r="AE36" s="3">
        <f t="shared" si="9"/>
        <v>0</v>
      </c>
      <c r="AF36" s="3">
        <f t="shared" si="7"/>
        <v>422.4425</v>
      </c>
      <c r="AG36" s="3">
        <f t="shared" si="7"/>
        <v>422.49350000000004</v>
      </c>
      <c r="AL36" s="84"/>
      <c r="AP36" s="84"/>
      <c r="AQ36" s="84"/>
      <c r="AR36" s="84"/>
    </row>
    <row r="37" spans="1:44">
      <c r="A37" s="3" t="s">
        <v>304</v>
      </c>
      <c r="B37" s="3" t="s">
        <v>901</v>
      </c>
      <c r="C37" s="3">
        <v>422.505</v>
      </c>
      <c r="V37" s="75"/>
      <c r="W37" s="75"/>
      <c r="X37" s="75"/>
      <c r="Y37" t="s">
        <v>1090</v>
      </c>
      <c r="Z37" s="3" t="str">
        <f t="shared" si="4"/>
        <v>点点A(25/64)</v>
      </c>
      <c r="AA37" s="36">
        <f t="shared" si="5"/>
        <v>0</v>
      </c>
      <c r="AC37" s="3">
        <f t="shared" si="8"/>
        <v>41</v>
      </c>
      <c r="AD37" s="3" t="str">
        <f t="shared" si="6"/>
        <v>点点A(41/64)</v>
      </c>
      <c r="AE37" s="3">
        <f t="shared" si="9"/>
        <v>0</v>
      </c>
      <c r="AF37" s="3">
        <f t="shared" si="7"/>
        <v>422.4425</v>
      </c>
      <c r="AG37" s="3">
        <f t="shared" si="7"/>
        <v>422.49350000000004</v>
      </c>
      <c r="AL37" s="84"/>
      <c r="AP37" s="84"/>
      <c r="AQ37" s="84"/>
      <c r="AR37" s="84"/>
    </row>
    <row r="38" spans="1:44">
      <c r="A38" s="3" t="s">
        <v>923</v>
      </c>
      <c r="B38" s="3" t="s">
        <v>903</v>
      </c>
      <c r="C38" s="3">
        <v>0</v>
      </c>
      <c r="H38" s="21"/>
      <c r="I38" s="21"/>
      <c r="J38" s="21"/>
      <c r="K38" s="21" t="s">
        <v>97</v>
      </c>
      <c r="L38" s="21" t="s">
        <v>101</v>
      </c>
      <c r="M38" s="21"/>
      <c r="N38" s="21" t="s">
        <v>104</v>
      </c>
      <c r="V38" s="75"/>
      <c r="W38" s="75"/>
      <c r="X38" s="75"/>
      <c r="Y38" t="s">
        <v>1091</v>
      </c>
      <c r="Z38" s="3" t="str">
        <f t="shared" si="4"/>
        <v>点点A(26/64)</v>
      </c>
      <c r="AA38" s="36">
        <f t="shared" si="5"/>
        <v>0</v>
      </c>
      <c r="AC38" s="3">
        <f t="shared" si="8"/>
        <v>40</v>
      </c>
      <c r="AD38" s="3" t="str">
        <f t="shared" si="6"/>
        <v>点点A(40/64)</v>
      </c>
      <c r="AE38" s="3">
        <f t="shared" si="9"/>
        <v>0</v>
      </c>
      <c r="AF38" s="3">
        <f t="shared" si="7"/>
        <v>422.4425</v>
      </c>
      <c r="AG38" s="3">
        <f t="shared" si="7"/>
        <v>422.49350000000004</v>
      </c>
      <c r="AL38" s="84"/>
      <c r="AP38" s="84"/>
      <c r="AQ38" s="84"/>
      <c r="AR38" s="84"/>
    </row>
    <row r="39" spans="1:44">
      <c r="A39" s="20" t="s">
        <v>924</v>
      </c>
      <c r="B39" s="3" t="s">
        <v>165</v>
      </c>
      <c r="C39" s="3">
        <v>-2.5009999999999999</v>
      </c>
      <c r="H39" s="21"/>
      <c r="I39" s="21"/>
      <c r="J39" s="22" t="s">
        <v>94</v>
      </c>
      <c r="K39" s="21">
        <f>1.5+0.03</f>
        <v>1.53</v>
      </c>
      <c r="L39" s="21">
        <v>0.05</v>
      </c>
      <c r="M39" s="21"/>
      <c r="V39" s="75"/>
      <c r="W39" s="75"/>
      <c r="X39" s="75"/>
      <c r="Y39" t="s">
        <v>1092</v>
      </c>
      <c r="Z39" s="3" t="str">
        <f t="shared" si="4"/>
        <v>点点A(27/64)</v>
      </c>
      <c r="AA39" s="36">
        <f t="shared" si="5"/>
        <v>0</v>
      </c>
      <c r="AC39" s="3">
        <f t="shared" si="8"/>
        <v>39</v>
      </c>
      <c r="AD39" s="3" t="str">
        <f t="shared" si="6"/>
        <v>点点A(39/64)</v>
      </c>
      <c r="AE39" s="3">
        <f t="shared" si="9"/>
        <v>0</v>
      </c>
      <c r="AF39" s="3">
        <f t="shared" si="7"/>
        <v>422.4425</v>
      </c>
      <c r="AG39" s="3">
        <f t="shared" si="7"/>
        <v>422.49350000000004</v>
      </c>
      <c r="AL39" s="84"/>
      <c r="AP39" s="84"/>
      <c r="AQ39" s="84"/>
      <c r="AR39" s="84"/>
    </row>
    <row r="40" spans="1:44">
      <c r="A40" s="3" t="s">
        <v>304</v>
      </c>
      <c r="B40" s="3" t="s">
        <v>901</v>
      </c>
      <c r="C40" s="3">
        <v>422.476</v>
      </c>
      <c r="H40" s="21"/>
      <c r="I40" s="21"/>
      <c r="J40" s="21"/>
      <c r="K40" s="21"/>
      <c r="L40" s="21"/>
      <c r="M40" s="21"/>
      <c r="V40" s="75"/>
      <c r="W40" s="75"/>
      <c r="X40" s="75"/>
      <c r="Y40" t="s">
        <v>1093</v>
      </c>
      <c r="Z40" s="3" t="str">
        <f t="shared" si="4"/>
        <v>点点A(28/64)</v>
      </c>
      <c r="AA40" s="36">
        <f t="shared" si="5"/>
        <v>0</v>
      </c>
      <c r="AC40" s="3">
        <f t="shared" si="8"/>
        <v>38</v>
      </c>
      <c r="AD40" s="3" t="str">
        <f t="shared" si="6"/>
        <v>点点A(38/64)</v>
      </c>
      <c r="AE40" s="3">
        <f t="shared" si="9"/>
        <v>0</v>
      </c>
      <c r="AF40" s="3">
        <f t="shared" si="7"/>
        <v>422.4425</v>
      </c>
      <c r="AG40" s="3">
        <f t="shared" si="7"/>
        <v>422.49350000000004</v>
      </c>
      <c r="AL40" s="84"/>
      <c r="AP40" s="84"/>
      <c r="AQ40" s="84"/>
      <c r="AR40" s="84"/>
    </row>
    <row r="41" spans="1:44">
      <c r="A41" s="3" t="s">
        <v>925</v>
      </c>
      <c r="B41" s="3" t="s">
        <v>903</v>
      </c>
      <c r="C41" s="3">
        <v>0</v>
      </c>
      <c r="H41" s="21"/>
      <c r="I41" s="21"/>
      <c r="J41" s="21"/>
      <c r="K41" s="21"/>
      <c r="L41" s="21">
        <f>L$1-1.5*2</f>
        <v>841.93600000000004</v>
      </c>
      <c r="M41" s="21">
        <f>M$1+L39*2</f>
        <v>0.151</v>
      </c>
      <c r="V41" s="75"/>
      <c r="W41" s="75"/>
      <c r="X41" s="75"/>
      <c r="Y41" t="s">
        <v>1094</v>
      </c>
      <c r="Z41" s="3" t="str">
        <f t="shared" si="4"/>
        <v>点点A(29/64)</v>
      </c>
      <c r="AA41" s="36">
        <f t="shared" si="5"/>
        <v>0</v>
      </c>
      <c r="AC41" s="3">
        <f t="shared" si="8"/>
        <v>37</v>
      </c>
      <c r="AD41" s="3" t="str">
        <f t="shared" si="6"/>
        <v>点点A(37/64)</v>
      </c>
      <c r="AE41" s="3">
        <f t="shared" si="9"/>
        <v>0</v>
      </c>
      <c r="AF41" s="3">
        <f t="shared" si="7"/>
        <v>422.4425</v>
      </c>
      <c r="AG41" s="3">
        <f t="shared" si="7"/>
        <v>422.49350000000004</v>
      </c>
      <c r="AL41" s="84"/>
      <c r="AP41" s="84"/>
      <c r="AQ41" s="84"/>
      <c r="AR41" s="84"/>
    </row>
    <row r="42" spans="1:44">
      <c r="A42" s="20" t="s">
        <v>926</v>
      </c>
      <c r="B42" s="3" t="s">
        <v>165</v>
      </c>
      <c r="C42" s="3">
        <v>-2.5</v>
      </c>
      <c r="H42" s="21"/>
      <c r="I42" s="21"/>
      <c r="J42" s="21"/>
      <c r="K42" s="21"/>
      <c r="L42" s="21"/>
      <c r="M42" s="21"/>
      <c r="V42" s="75"/>
      <c r="W42" s="75"/>
      <c r="X42" s="75"/>
      <c r="Y42" t="s">
        <v>1095</v>
      </c>
      <c r="Z42" s="3" t="str">
        <f t="shared" si="4"/>
        <v>点点A(30/64)</v>
      </c>
      <c r="AA42" s="36">
        <f t="shared" si="5"/>
        <v>0</v>
      </c>
      <c r="AC42" s="3">
        <f t="shared" si="8"/>
        <v>36</v>
      </c>
      <c r="AD42" s="3" t="str">
        <f t="shared" si="6"/>
        <v>点点A(36/64)</v>
      </c>
      <c r="AE42" s="3">
        <f t="shared" si="9"/>
        <v>0</v>
      </c>
      <c r="AF42" s="3">
        <f t="shared" si="7"/>
        <v>422.4425</v>
      </c>
      <c r="AG42" s="3">
        <f t="shared" si="7"/>
        <v>422.49350000000004</v>
      </c>
      <c r="AL42" s="84"/>
      <c r="AP42" s="84"/>
      <c r="AQ42" s="84"/>
      <c r="AR42" s="84"/>
    </row>
    <row r="43" spans="1:44">
      <c r="A43" s="3" t="s">
        <v>304</v>
      </c>
      <c r="B43" s="3" t="s">
        <v>901</v>
      </c>
      <c r="C43" s="3">
        <v>422.42200000000003</v>
      </c>
      <c r="H43" s="21"/>
      <c r="I43" s="21" t="str">
        <f>CONCATENATE(I6, " - 1.5+/-0.05")</f>
        <v>JHV723EJ : 201 - 1.5+/-0.05</v>
      </c>
      <c r="J43" s="21"/>
      <c r="K43" s="18" t="s">
        <v>99</v>
      </c>
      <c r="L43" s="19" t="s">
        <v>95</v>
      </c>
      <c r="M43" s="19" t="s">
        <v>96</v>
      </c>
      <c r="V43" s="75"/>
      <c r="W43" s="75"/>
      <c r="X43" s="75"/>
      <c r="Y43" t="s">
        <v>1096</v>
      </c>
      <c r="Z43" s="3" t="str">
        <f t="shared" si="4"/>
        <v>点点A(31/64)</v>
      </c>
      <c r="AA43" s="36">
        <f t="shared" si="5"/>
        <v>0</v>
      </c>
      <c r="AC43" s="3">
        <f t="shared" si="8"/>
        <v>35</v>
      </c>
      <c r="AD43" s="3" t="str">
        <f t="shared" si="6"/>
        <v>点点A(35/64)</v>
      </c>
      <c r="AE43" s="3">
        <f t="shared" si="9"/>
        <v>0</v>
      </c>
      <c r="AF43" s="3">
        <f t="shared" si="7"/>
        <v>422.4425</v>
      </c>
      <c r="AG43" s="3">
        <f t="shared" si="7"/>
        <v>422.49350000000004</v>
      </c>
      <c r="AL43" s="84"/>
      <c r="AP43" s="84"/>
      <c r="AQ43" s="84"/>
      <c r="AR43" s="84"/>
    </row>
    <row r="44" spans="1:44">
      <c r="A44" s="3" t="s">
        <v>927</v>
      </c>
      <c r="B44" s="3" t="s">
        <v>903</v>
      </c>
      <c r="C44" s="3">
        <v>0</v>
      </c>
      <c r="H44" s="21">
        <f>H7</f>
        <v>1</v>
      </c>
      <c r="I44" s="21"/>
      <c r="J44" s="21"/>
      <c r="K44" s="21">
        <f ca="1">K7-K$39</f>
        <v>420.99100000000004</v>
      </c>
      <c r="L44" s="21">
        <f>(L$41-M$41)/2</f>
        <v>420.89250000000004</v>
      </c>
      <c r="M44" s="21">
        <f>(L$41+M$41)/2</f>
        <v>421.04349999999999</v>
      </c>
      <c r="V44" s="75"/>
      <c r="W44" s="75"/>
      <c r="X44" s="75"/>
      <c r="Y44" t="s">
        <v>1097</v>
      </c>
      <c r="Z44" s="3" t="str">
        <f t="shared" si="4"/>
        <v>点点A(32/64)</v>
      </c>
      <c r="AA44" s="36">
        <f t="shared" si="5"/>
        <v>0</v>
      </c>
      <c r="AC44" s="3">
        <f t="shared" si="8"/>
        <v>34</v>
      </c>
      <c r="AD44" s="3" t="str">
        <f t="shared" si="6"/>
        <v>点点A(34/64)</v>
      </c>
      <c r="AE44" s="3">
        <f t="shared" si="9"/>
        <v>0</v>
      </c>
      <c r="AF44" s="3">
        <f t="shared" si="7"/>
        <v>422.4425</v>
      </c>
      <c r="AG44" s="3">
        <f t="shared" si="7"/>
        <v>422.49350000000004</v>
      </c>
      <c r="AL44" s="84"/>
      <c r="AP44" s="84"/>
      <c r="AQ44" s="84"/>
      <c r="AR44" s="84"/>
    </row>
    <row r="45" spans="1:44">
      <c r="A45" s="20" t="s">
        <v>928</v>
      </c>
      <c r="B45" s="3" t="s">
        <v>165</v>
      </c>
      <c r="C45" s="3">
        <v>-2.4990000000000001</v>
      </c>
      <c r="H45" s="21">
        <f t="shared" ref="H45:H59" si="10">H8</f>
        <v>16</v>
      </c>
      <c r="I45" s="21"/>
      <c r="J45" s="21"/>
      <c r="K45" s="21">
        <f t="shared" ref="K45:K59" ca="1" si="11">K8-K$39</f>
        <v>421.06</v>
      </c>
      <c r="L45" s="21">
        <f t="shared" ref="L45:L59" si="12">(L$41-M$41)/2</f>
        <v>420.89250000000004</v>
      </c>
      <c r="M45" s="21">
        <f t="shared" ref="M45:M59" si="13">(L$41+M$41)/2</f>
        <v>421.04349999999999</v>
      </c>
      <c r="V45" s="75"/>
      <c r="W45" s="75"/>
      <c r="X45" s="75"/>
      <c r="Y45" t="s">
        <v>1098</v>
      </c>
      <c r="Z45" s="3" t="str">
        <f t="shared" si="4"/>
        <v>点点A(33/64)</v>
      </c>
      <c r="AA45" s="36">
        <f t="shared" si="5"/>
        <v>0</v>
      </c>
      <c r="AC45" s="3">
        <f t="shared" si="8"/>
        <v>33</v>
      </c>
      <c r="AD45" s="3" t="str">
        <f t="shared" si="6"/>
        <v>点点A(33/64)</v>
      </c>
      <c r="AE45" s="3">
        <f t="shared" si="9"/>
        <v>0</v>
      </c>
      <c r="AF45" s="3">
        <f t="shared" si="7"/>
        <v>422.4425</v>
      </c>
      <c r="AG45" s="3">
        <f t="shared" si="7"/>
        <v>422.49350000000004</v>
      </c>
      <c r="AL45" s="84"/>
      <c r="AP45" s="84"/>
      <c r="AQ45" s="84"/>
      <c r="AR45" s="84"/>
    </row>
    <row r="46" spans="1:44">
      <c r="A46" s="3" t="s">
        <v>304</v>
      </c>
      <c r="B46" s="3" t="s">
        <v>901</v>
      </c>
      <c r="C46" s="3">
        <v>422.41899999999998</v>
      </c>
      <c r="H46" s="21">
        <f t="shared" si="10"/>
        <v>15</v>
      </c>
      <c r="I46" s="21"/>
      <c r="J46" s="21"/>
      <c r="K46" s="21">
        <f t="shared" ca="1" si="11"/>
        <v>421.00200000000001</v>
      </c>
      <c r="L46" s="21">
        <f t="shared" si="12"/>
        <v>420.89250000000004</v>
      </c>
      <c r="M46" s="21">
        <f t="shared" si="13"/>
        <v>421.04349999999999</v>
      </c>
      <c r="V46" s="75"/>
      <c r="W46" s="75"/>
      <c r="X46" s="75"/>
      <c r="Y46" t="s">
        <v>1099</v>
      </c>
      <c r="Z46" s="3" t="str">
        <f t="shared" si="4"/>
        <v>点点A(34/64)</v>
      </c>
      <c r="AA46" s="36">
        <f t="shared" si="5"/>
        <v>0</v>
      </c>
      <c r="AC46" s="3">
        <f t="shared" si="8"/>
        <v>32</v>
      </c>
      <c r="AD46" s="3" t="str">
        <f t="shared" si="6"/>
        <v>点点A(32/64)</v>
      </c>
      <c r="AE46" s="3">
        <f t="shared" si="9"/>
        <v>0</v>
      </c>
      <c r="AF46" s="3">
        <f t="shared" si="7"/>
        <v>422.4425</v>
      </c>
      <c r="AG46" s="3">
        <f t="shared" si="7"/>
        <v>422.49350000000004</v>
      </c>
      <c r="AL46" s="84"/>
      <c r="AP46" s="84"/>
      <c r="AQ46" s="84"/>
      <c r="AR46" s="84"/>
    </row>
    <row r="47" spans="1:44">
      <c r="A47" s="3" t="s">
        <v>929</v>
      </c>
      <c r="B47" s="3" t="s">
        <v>903</v>
      </c>
      <c r="C47" s="3">
        <v>0</v>
      </c>
      <c r="H47" s="21">
        <f t="shared" si="10"/>
        <v>14</v>
      </c>
      <c r="I47" s="21"/>
      <c r="J47" s="21"/>
      <c r="K47" s="21">
        <f t="shared" ca="1" si="11"/>
        <v>420.88900000000001</v>
      </c>
      <c r="L47" s="21">
        <f t="shared" si="12"/>
        <v>420.89250000000004</v>
      </c>
      <c r="M47" s="21">
        <f t="shared" si="13"/>
        <v>421.04349999999999</v>
      </c>
      <c r="V47" s="75"/>
      <c r="W47" s="75"/>
      <c r="X47" s="75"/>
      <c r="Y47" t="s">
        <v>1100</v>
      </c>
      <c r="Z47" s="3" t="str">
        <f t="shared" si="4"/>
        <v>点点A(35/64)</v>
      </c>
      <c r="AA47" s="36">
        <f t="shared" si="5"/>
        <v>0</v>
      </c>
      <c r="AC47" s="3">
        <f t="shared" si="8"/>
        <v>31</v>
      </c>
      <c r="AD47" s="3" t="str">
        <f t="shared" si="6"/>
        <v>点点A(31/64)</v>
      </c>
      <c r="AE47" s="3">
        <f t="shared" si="9"/>
        <v>0</v>
      </c>
      <c r="AF47" s="3">
        <f t="shared" si="7"/>
        <v>422.4425</v>
      </c>
      <c r="AG47" s="3">
        <f t="shared" si="7"/>
        <v>422.49350000000004</v>
      </c>
      <c r="AL47" s="84"/>
      <c r="AP47" s="84"/>
      <c r="AQ47" s="84"/>
      <c r="AR47" s="84"/>
    </row>
    <row r="48" spans="1:44">
      <c r="A48" s="20" t="s">
        <v>930</v>
      </c>
      <c r="B48" s="3" t="s">
        <v>165</v>
      </c>
      <c r="C48" s="3">
        <v>-2.4990000000000001</v>
      </c>
      <c r="H48" s="21">
        <f t="shared" si="10"/>
        <v>13</v>
      </c>
      <c r="I48" s="21"/>
      <c r="J48" s="21"/>
      <c r="K48" s="21">
        <f t="shared" ca="1" si="11"/>
        <v>420.89200000000005</v>
      </c>
      <c r="L48" s="21">
        <f t="shared" si="12"/>
        <v>420.89250000000004</v>
      </c>
      <c r="M48" s="21">
        <f t="shared" si="13"/>
        <v>421.04349999999999</v>
      </c>
      <c r="V48" s="75"/>
      <c r="W48" s="75"/>
      <c r="X48" s="75"/>
      <c r="Y48" t="s">
        <v>1101</v>
      </c>
      <c r="Z48" s="3" t="str">
        <f t="shared" si="4"/>
        <v>点点A(36/64)</v>
      </c>
      <c r="AA48" s="36">
        <f t="shared" si="5"/>
        <v>0</v>
      </c>
      <c r="AC48" s="3">
        <f t="shared" si="8"/>
        <v>30</v>
      </c>
      <c r="AD48" s="3" t="str">
        <f t="shared" si="6"/>
        <v>点点A(30/64)</v>
      </c>
      <c r="AE48" s="3">
        <f t="shared" si="9"/>
        <v>0</v>
      </c>
      <c r="AF48" s="3">
        <f t="shared" si="7"/>
        <v>422.4425</v>
      </c>
      <c r="AG48" s="3">
        <f t="shared" si="7"/>
        <v>422.49350000000004</v>
      </c>
      <c r="AL48" s="84"/>
      <c r="AP48" s="84"/>
      <c r="AQ48" s="84"/>
      <c r="AR48" s="84"/>
    </row>
    <row r="49" spans="1:44">
      <c r="A49" s="3" t="s">
        <v>304</v>
      </c>
      <c r="B49" s="3" t="s">
        <v>901</v>
      </c>
      <c r="C49" s="3">
        <v>422.53199999999998</v>
      </c>
      <c r="H49" s="21">
        <f t="shared" si="10"/>
        <v>12</v>
      </c>
      <c r="I49" s="21"/>
      <c r="J49" s="21"/>
      <c r="K49" s="21">
        <f t="shared" ca="1" si="11"/>
        <v>420.94600000000003</v>
      </c>
      <c r="L49" s="21">
        <f t="shared" si="12"/>
        <v>420.89250000000004</v>
      </c>
      <c r="M49" s="21">
        <f t="shared" si="13"/>
        <v>421.04349999999999</v>
      </c>
      <c r="V49" s="75"/>
      <c r="W49" s="75"/>
      <c r="X49" s="75"/>
      <c r="Y49" t="s">
        <v>1102</v>
      </c>
      <c r="Z49" s="3" t="str">
        <f t="shared" si="4"/>
        <v>点点A(37/64)</v>
      </c>
      <c r="AA49" s="36">
        <f t="shared" si="5"/>
        <v>0</v>
      </c>
      <c r="AC49" s="3">
        <f t="shared" si="8"/>
        <v>29</v>
      </c>
      <c r="AD49" s="3" t="str">
        <f t="shared" si="6"/>
        <v>点点A(29/64)</v>
      </c>
      <c r="AE49" s="3">
        <f t="shared" si="9"/>
        <v>0</v>
      </c>
      <c r="AF49" s="3">
        <f t="shared" si="7"/>
        <v>422.4425</v>
      </c>
      <c r="AG49" s="3">
        <f t="shared" si="7"/>
        <v>422.49350000000004</v>
      </c>
      <c r="AL49" s="84"/>
      <c r="AP49" s="84"/>
      <c r="AQ49" s="84"/>
      <c r="AR49" s="84"/>
    </row>
    <row r="50" spans="1:44">
      <c r="A50" s="3" t="s">
        <v>931</v>
      </c>
      <c r="B50" s="3" t="s">
        <v>903</v>
      </c>
      <c r="C50" s="3">
        <v>-2E-3</v>
      </c>
      <c r="H50" s="21">
        <f t="shared" si="10"/>
        <v>11</v>
      </c>
      <c r="I50" s="21"/>
      <c r="J50" s="21"/>
      <c r="K50" s="21">
        <f t="shared" ca="1" si="11"/>
        <v>420.97500000000002</v>
      </c>
      <c r="L50" s="21">
        <f t="shared" si="12"/>
        <v>420.89250000000004</v>
      </c>
      <c r="M50" s="21">
        <f t="shared" si="13"/>
        <v>421.04349999999999</v>
      </c>
      <c r="V50" s="75"/>
      <c r="W50" s="75"/>
      <c r="X50" s="75"/>
      <c r="Y50" t="s">
        <v>1103</v>
      </c>
      <c r="Z50" s="3" t="str">
        <f t="shared" si="4"/>
        <v>点点A(38/64)</v>
      </c>
      <c r="AA50" s="36">
        <f t="shared" si="5"/>
        <v>0</v>
      </c>
      <c r="AC50" s="3">
        <f t="shared" si="8"/>
        <v>28</v>
      </c>
      <c r="AD50" s="3" t="str">
        <f t="shared" si="6"/>
        <v>点点A(28/64)</v>
      </c>
      <c r="AE50" s="3">
        <f t="shared" si="9"/>
        <v>0</v>
      </c>
      <c r="AF50" s="3">
        <f t="shared" si="7"/>
        <v>422.4425</v>
      </c>
      <c r="AG50" s="3">
        <f t="shared" si="7"/>
        <v>422.49350000000004</v>
      </c>
      <c r="AL50" s="84"/>
      <c r="AP50" s="84"/>
      <c r="AQ50" s="84"/>
      <c r="AR50" s="84"/>
    </row>
    <row r="51" spans="1:44">
      <c r="A51" s="20" t="s">
        <v>932</v>
      </c>
      <c r="B51" s="3" t="s">
        <v>165</v>
      </c>
      <c r="C51" s="3">
        <v>-2.5</v>
      </c>
      <c r="H51" s="21">
        <f t="shared" si="10"/>
        <v>10</v>
      </c>
      <c r="I51" s="21"/>
      <c r="J51" s="21"/>
      <c r="K51" s="21">
        <f t="shared" ca="1" si="11"/>
        <v>420.983</v>
      </c>
      <c r="L51" s="21">
        <f t="shared" si="12"/>
        <v>420.89250000000004</v>
      </c>
      <c r="M51" s="21">
        <f t="shared" si="13"/>
        <v>421.04349999999999</v>
      </c>
      <c r="V51" s="75"/>
      <c r="W51" s="75"/>
      <c r="X51" s="75"/>
      <c r="Y51" t="s">
        <v>1104</v>
      </c>
      <c r="Z51" s="3" t="str">
        <f t="shared" si="4"/>
        <v>点点A(39/64)</v>
      </c>
      <c r="AA51" s="36">
        <f t="shared" si="5"/>
        <v>0</v>
      </c>
      <c r="AC51" s="3">
        <f t="shared" si="8"/>
        <v>27</v>
      </c>
      <c r="AD51" s="3" t="str">
        <f t="shared" si="6"/>
        <v>点点A(27/64)</v>
      </c>
      <c r="AE51" s="3">
        <f t="shared" si="9"/>
        <v>0</v>
      </c>
      <c r="AF51" s="3">
        <f t="shared" si="7"/>
        <v>422.4425</v>
      </c>
      <c r="AG51" s="3">
        <f t="shared" si="7"/>
        <v>422.49350000000004</v>
      </c>
      <c r="AL51" s="84"/>
      <c r="AP51" s="84"/>
      <c r="AQ51" s="84"/>
      <c r="AR51" s="84"/>
    </row>
    <row r="52" spans="1:44">
      <c r="A52" s="3" t="s">
        <v>304</v>
      </c>
      <c r="B52" s="3" t="s">
        <v>901</v>
      </c>
      <c r="C52" s="3">
        <v>422.59</v>
      </c>
      <c r="H52" s="21">
        <f t="shared" si="10"/>
        <v>9</v>
      </c>
      <c r="I52" s="21"/>
      <c r="J52" s="21"/>
      <c r="K52" s="21">
        <f t="shared" ca="1" si="11"/>
        <v>420.90700000000004</v>
      </c>
      <c r="L52" s="21">
        <f t="shared" si="12"/>
        <v>420.89250000000004</v>
      </c>
      <c r="M52" s="21">
        <f t="shared" si="13"/>
        <v>421.04349999999999</v>
      </c>
      <c r="V52" s="75"/>
      <c r="W52" s="75"/>
      <c r="X52" s="75"/>
      <c r="Y52" t="s">
        <v>1105</v>
      </c>
      <c r="Z52" s="3" t="str">
        <f t="shared" si="4"/>
        <v>点点A(40/64)</v>
      </c>
      <c r="AA52" s="36">
        <f t="shared" si="5"/>
        <v>0</v>
      </c>
      <c r="AC52" s="3">
        <f t="shared" si="8"/>
        <v>26</v>
      </c>
      <c r="AD52" s="3" t="str">
        <f t="shared" si="6"/>
        <v>点点A(26/64)</v>
      </c>
      <c r="AE52" s="3">
        <f t="shared" si="9"/>
        <v>0</v>
      </c>
      <c r="AF52" s="3">
        <f t="shared" si="7"/>
        <v>422.4425</v>
      </c>
      <c r="AG52" s="3">
        <f t="shared" si="7"/>
        <v>422.49350000000004</v>
      </c>
      <c r="AL52" s="84"/>
      <c r="AP52" s="84"/>
      <c r="AQ52" s="84"/>
      <c r="AR52" s="84"/>
    </row>
    <row r="53" spans="1:44">
      <c r="A53" s="3" t="s">
        <v>933</v>
      </c>
      <c r="B53" s="3" t="s">
        <v>903</v>
      </c>
      <c r="C53" s="3">
        <v>-1E-3</v>
      </c>
      <c r="H53" s="21">
        <f t="shared" si="10"/>
        <v>8</v>
      </c>
      <c r="I53" s="21"/>
      <c r="J53" s="21"/>
      <c r="K53" s="21">
        <f t="shared" ca="1" si="11"/>
        <v>420.86200000000002</v>
      </c>
      <c r="L53" s="21">
        <f t="shared" si="12"/>
        <v>420.89250000000004</v>
      </c>
      <c r="M53" s="21">
        <f t="shared" si="13"/>
        <v>421.04349999999999</v>
      </c>
      <c r="V53" s="75"/>
      <c r="W53" s="75"/>
      <c r="X53" s="75"/>
      <c r="Y53" t="s">
        <v>1106</v>
      </c>
      <c r="Z53" s="3" t="str">
        <f t="shared" si="4"/>
        <v>点点A(41/64)</v>
      </c>
      <c r="AA53" s="36">
        <f t="shared" si="5"/>
        <v>0</v>
      </c>
      <c r="AC53" s="3">
        <f t="shared" si="8"/>
        <v>25</v>
      </c>
      <c r="AD53" s="3" t="str">
        <f t="shared" si="6"/>
        <v>点点A(25/64)</v>
      </c>
      <c r="AE53" s="3">
        <f t="shared" si="9"/>
        <v>0</v>
      </c>
      <c r="AF53" s="3">
        <f t="shared" si="7"/>
        <v>422.4425</v>
      </c>
      <c r="AG53" s="3">
        <f t="shared" si="7"/>
        <v>422.49350000000004</v>
      </c>
      <c r="AL53" s="84"/>
      <c r="AP53" s="84"/>
      <c r="AQ53" s="84"/>
      <c r="AR53" s="84"/>
    </row>
    <row r="54" spans="1:44">
      <c r="A54" s="20" t="s">
        <v>934</v>
      </c>
      <c r="B54" s="3" t="s">
        <v>165</v>
      </c>
      <c r="C54" s="3">
        <v>-2.5</v>
      </c>
      <c r="H54" s="21">
        <f t="shared" si="10"/>
        <v>7</v>
      </c>
      <c r="I54" s="21"/>
      <c r="J54" s="21"/>
      <c r="K54" s="21">
        <f t="shared" ca="1" si="11"/>
        <v>420.95100000000002</v>
      </c>
      <c r="L54" s="21">
        <f t="shared" si="12"/>
        <v>420.89250000000004</v>
      </c>
      <c r="M54" s="21">
        <f t="shared" si="13"/>
        <v>421.04349999999999</v>
      </c>
      <c r="V54" s="75"/>
      <c r="W54" s="75"/>
      <c r="X54" s="75"/>
      <c r="Y54" t="s">
        <v>1107</v>
      </c>
      <c r="Z54" s="3" t="str">
        <f t="shared" si="4"/>
        <v>点点A(42/64)</v>
      </c>
      <c r="AA54" s="36">
        <f t="shared" si="5"/>
        <v>0</v>
      </c>
      <c r="AC54" s="3">
        <f t="shared" si="8"/>
        <v>24</v>
      </c>
      <c r="AD54" s="3" t="str">
        <f t="shared" si="6"/>
        <v>点点A(24/64)</v>
      </c>
      <c r="AE54" s="3">
        <f t="shared" si="9"/>
        <v>0</v>
      </c>
      <c r="AF54" s="3">
        <f t="shared" si="7"/>
        <v>422.4425</v>
      </c>
      <c r="AG54" s="3">
        <f t="shared" si="7"/>
        <v>422.49350000000004</v>
      </c>
      <c r="AL54" s="84"/>
      <c r="AP54" s="84"/>
      <c r="AQ54" s="84"/>
      <c r="AR54" s="84"/>
    </row>
    <row r="55" spans="1:44">
      <c r="H55" s="21">
        <f t="shared" si="10"/>
        <v>6</v>
      </c>
      <c r="I55" s="21"/>
      <c r="J55" s="21"/>
      <c r="K55" s="21">
        <f t="shared" ca="1" si="11"/>
        <v>421.03900000000004</v>
      </c>
      <c r="L55" s="21">
        <f t="shared" si="12"/>
        <v>420.89250000000004</v>
      </c>
      <c r="M55" s="21">
        <f t="shared" si="13"/>
        <v>421.04349999999999</v>
      </c>
      <c r="V55" s="75"/>
      <c r="W55" s="75"/>
      <c r="X55" s="75"/>
      <c r="Y55" t="s">
        <v>1108</v>
      </c>
      <c r="Z55" s="3" t="str">
        <f t="shared" si="4"/>
        <v>点点A(43/64)</v>
      </c>
      <c r="AA55" s="36">
        <f t="shared" si="5"/>
        <v>0</v>
      </c>
      <c r="AC55" s="3">
        <f t="shared" si="8"/>
        <v>23</v>
      </c>
      <c r="AD55" s="3" t="str">
        <f t="shared" si="6"/>
        <v>点点A(23/64)</v>
      </c>
      <c r="AE55" s="3">
        <f t="shared" si="9"/>
        <v>0</v>
      </c>
      <c r="AF55" s="3">
        <f t="shared" si="7"/>
        <v>422.4425</v>
      </c>
      <c r="AG55" s="3">
        <f t="shared" si="7"/>
        <v>422.49350000000004</v>
      </c>
      <c r="AL55" s="84"/>
      <c r="AP55" s="84"/>
      <c r="AQ55" s="84"/>
      <c r="AR55" s="84"/>
    </row>
    <row r="56" spans="1:44">
      <c r="H56" s="21">
        <f t="shared" si="10"/>
        <v>5</v>
      </c>
      <c r="I56" s="21"/>
      <c r="J56" s="21"/>
      <c r="K56" s="21">
        <f t="shared" ca="1" si="11"/>
        <v>421.03000000000003</v>
      </c>
      <c r="L56" s="21">
        <f t="shared" si="12"/>
        <v>420.89250000000004</v>
      </c>
      <c r="M56" s="21">
        <f t="shared" si="13"/>
        <v>421.04349999999999</v>
      </c>
      <c r="V56" s="75"/>
      <c r="W56" s="75"/>
      <c r="X56" s="75"/>
      <c r="Y56" t="s">
        <v>1109</v>
      </c>
      <c r="Z56" s="3" t="str">
        <f t="shared" si="4"/>
        <v>点点A(44/64)</v>
      </c>
      <c r="AA56" s="36">
        <f t="shared" si="5"/>
        <v>0</v>
      </c>
      <c r="AC56" s="3">
        <f t="shared" si="8"/>
        <v>22</v>
      </c>
      <c r="AD56" s="3" t="str">
        <f t="shared" si="6"/>
        <v>点点A(22/64)</v>
      </c>
      <c r="AE56" s="3">
        <f t="shared" si="9"/>
        <v>0</v>
      </c>
      <c r="AF56" s="3">
        <f t="shared" si="7"/>
        <v>422.4425</v>
      </c>
      <c r="AG56" s="3">
        <f t="shared" si="7"/>
        <v>422.49350000000004</v>
      </c>
      <c r="AL56" s="84"/>
      <c r="AP56" s="84"/>
      <c r="AQ56" s="84"/>
      <c r="AR56" s="84"/>
    </row>
    <row r="57" spans="1:44">
      <c r="H57" s="21">
        <f t="shared" si="10"/>
        <v>4</v>
      </c>
      <c r="I57" s="21"/>
      <c r="J57" s="21"/>
      <c r="K57" s="21">
        <f t="shared" ca="1" si="11"/>
        <v>420.91500000000002</v>
      </c>
      <c r="L57" s="21">
        <f t="shared" si="12"/>
        <v>420.89250000000004</v>
      </c>
      <c r="M57" s="21">
        <f t="shared" si="13"/>
        <v>421.04349999999999</v>
      </c>
      <c r="V57" s="75"/>
      <c r="W57" s="75"/>
      <c r="X57" s="75"/>
      <c r="Y57" t="s">
        <v>1110</v>
      </c>
      <c r="Z57" s="3" t="str">
        <f t="shared" si="4"/>
        <v>点点A(45/64)</v>
      </c>
      <c r="AA57" s="36">
        <f t="shared" si="5"/>
        <v>0</v>
      </c>
      <c r="AC57" s="3">
        <f t="shared" si="8"/>
        <v>21</v>
      </c>
      <c r="AD57" s="3" t="str">
        <f t="shared" si="6"/>
        <v>点点A(21/64)</v>
      </c>
      <c r="AE57" s="3">
        <f t="shared" si="9"/>
        <v>0</v>
      </c>
      <c r="AF57" s="3">
        <f t="shared" si="7"/>
        <v>422.4425</v>
      </c>
      <c r="AG57" s="3">
        <f t="shared" si="7"/>
        <v>422.49350000000004</v>
      </c>
      <c r="AL57" s="84"/>
      <c r="AP57" s="84"/>
      <c r="AQ57" s="84"/>
      <c r="AR57" s="84"/>
    </row>
    <row r="58" spans="1:44">
      <c r="H58" s="21">
        <f t="shared" si="10"/>
        <v>3</v>
      </c>
      <c r="I58" s="21"/>
      <c r="J58" s="21"/>
      <c r="K58" s="21">
        <f t="shared" ca="1" si="11"/>
        <v>420.82800000000003</v>
      </c>
      <c r="L58" s="21">
        <f t="shared" si="12"/>
        <v>420.89250000000004</v>
      </c>
      <c r="M58" s="21">
        <f t="shared" si="13"/>
        <v>421.04349999999999</v>
      </c>
      <c r="V58" s="75"/>
      <c r="W58" s="75"/>
      <c r="X58" s="75"/>
      <c r="Y58" t="s">
        <v>1111</v>
      </c>
      <c r="Z58" s="3" t="str">
        <f t="shared" si="4"/>
        <v>点点A(46/64)</v>
      </c>
      <c r="AA58" s="36">
        <f t="shared" si="5"/>
        <v>0</v>
      </c>
      <c r="AC58" s="3">
        <f t="shared" si="8"/>
        <v>20</v>
      </c>
      <c r="AD58" s="3" t="str">
        <f t="shared" si="6"/>
        <v>点点A(20/64)</v>
      </c>
      <c r="AE58" s="3">
        <f t="shared" si="9"/>
        <v>0</v>
      </c>
      <c r="AF58" s="3">
        <f t="shared" si="7"/>
        <v>422.4425</v>
      </c>
      <c r="AG58" s="3">
        <f t="shared" si="7"/>
        <v>422.49350000000004</v>
      </c>
      <c r="AL58" s="84"/>
      <c r="AP58" s="84"/>
      <c r="AQ58" s="84"/>
      <c r="AR58" s="84"/>
    </row>
    <row r="59" spans="1:44">
      <c r="H59" s="21">
        <f t="shared" si="10"/>
        <v>2</v>
      </c>
      <c r="I59" s="21"/>
      <c r="J59" s="21"/>
      <c r="K59" s="21">
        <f t="shared" ca="1" si="11"/>
        <v>420.87800000000004</v>
      </c>
      <c r="L59" s="21">
        <f t="shared" si="12"/>
        <v>420.89250000000004</v>
      </c>
      <c r="M59" s="21">
        <f t="shared" si="13"/>
        <v>421.04349999999999</v>
      </c>
      <c r="V59" s="75"/>
      <c r="W59" s="75"/>
      <c r="X59" s="75"/>
      <c r="Y59" t="s">
        <v>1112</v>
      </c>
      <c r="Z59" s="3" t="str">
        <f t="shared" si="4"/>
        <v>点点A(47/64)</v>
      </c>
      <c r="AA59" s="36">
        <f t="shared" si="5"/>
        <v>0</v>
      </c>
      <c r="AC59" s="3">
        <f t="shared" si="8"/>
        <v>19</v>
      </c>
      <c r="AD59" s="3" t="str">
        <f t="shared" si="6"/>
        <v>点点A(19/64)</v>
      </c>
      <c r="AE59" s="3">
        <f t="shared" si="9"/>
        <v>0</v>
      </c>
      <c r="AF59" s="3">
        <f t="shared" si="7"/>
        <v>422.4425</v>
      </c>
      <c r="AG59" s="3">
        <f t="shared" si="7"/>
        <v>422.49350000000004</v>
      </c>
      <c r="AL59" s="84"/>
      <c r="AP59" s="84"/>
      <c r="AQ59" s="84"/>
      <c r="AR59" s="84"/>
    </row>
    <row r="60" spans="1:44">
      <c r="V60" s="75"/>
      <c r="W60" s="75"/>
      <c r="X60" s="75"/>
      <c r="Y60" t="s">
        <v>1113</v>
      </c>
      <c r="Z60" s="3" t="str">
        <f t="shared" si="4"/>
        <v>点点A(48/64)</v>
      </c>
      <c r="AA60" s="36">
        <f t="shared" si="5"/>
        <v>0</v>
      </c>
      <c r="AC60" s="3">
        <f t="shared" si="8"/>
        <v>18</v>
      </c>
      <c r="AD60" s="3" t="str">
        <f t="shared" si="6"/>
        <v>点点A(18/64)</v>
      </c>
      <c r="AE60" s="3">
        <f t="shared" si="9"/>
        <v>0</v>
      </c>
      <c r="AF60" s="3">
        <f t="shared" si="7"/>
        <v>422.4425</v>
      </c>
      <c r="AG60" s="3">
        <f t="shared" si="7"/>
        <v>422.49350000000004</v>
      </c>
      <c r="AJ60" s="84"/>
      <c r="AL60" s="84"/>
      <c r="AP60" s="84"/>
      <c r="AQ60" s="84"/>
      <c r="AR60" s="84"/>
    </row>
    <row r="61" spans="1:44" ht="16.5">
      <c r="J61" s="23" t="s">
        <v>3</v>
      </c>
      <c r="K61" s="21" t="str">
        <f>"&gt;"&amp;TEXT(M44, "0.###")</f>
        <v>&gt;421.044</v>
      </c>
      <c r="L61" s="21" t="s">
        <v>102</v>
      </c>
      <c r="M61" s="21">
        <f ca="1">COUNTIF(K44:K59, K61)</f>
        <v>1</v>
      </c>
      <c r="N61" s="24" t="str">
        <f ca="1">IF(M61&gt;0,CONCATENATE("O/Max ",TEXT(MAX(K44:K59)-M$44,"0#.###")), "-")</f>
        <v>O/Max 0.017</v>
      </c>
      <c r="V61" s="75"/>
      <c r="W61" s="75"/>
      <c r="X61" s="75"/>
      <c r="Y61" t="s">
        <v>1114</v>
      </c>
      <c r="Z61" s="3" t="str">
        <f t="shared" si="4"/>
        <v>点点A(49/64)</v>
      </c>
      <c r="AA61" s="36">
        <f t="shared" si="5"/>
        <v>0</v>
      </c>
      <c r="AC61" s="3">
        <f t="shared" si="8"/>
        <v>17</v>
      </c>
      <c r="AD61" s="3" t="str">
        <f t="shared" si="6"/>
        <v>点点A(17/64)</v>
      </c>
      <c r="AE61" s="3">
        <f t="shared" si="9"/>
        <v>0</v>
      </c>
      <c r="AF61" s="3">
        <f t="shared" si="7"/>
        <v>422.4425</v>
      </c>
      <c r="AG61" s="3">
        <f t="shared" si="7"/>
        <v>422.49350000000004</v>
      </c>
      <c r="AJ61" s="84"/>
      <c r="AL61" s="84"/>
      <c r="AP61" s="84"/>
      <c r="AQ61" s="84"/>
      <c r="AR61" s="84"/>
    </row>
    <row r="62" spans="1:44" ht="16.5">
      <c r="J62" s="23" t="s">
        <v>4</v>
      </c>
      <c r="K62" s="21" t="str">
        <f>"&lt;"&amp;TEXT(L44, "0.###")</f>
        <v>&lt;420.893</v>
      </c>
      <c r="L62" s="21" t="s">
        <v>103</v>
      </c>
      <c r="M62" s="21">
        <f ca="1">COUNTIF(K44:K59, K62)</f>
        <v>5</v>
      </c>
      <c r="N62" s="24" t="str">
        <f ca="1">IF(M62&gt;0,CONCATENATE("U/Min ",TEXT(L$44-MIN(K44:K59),"0#.###")), "-")</f>
        <v>U/Min 0.065</v>
      </c>
      <c r="V62" s="75"/>
      <c r="W62" s="75"/>
      <c r="X62" s="75"/>
      <c r="Y62" t="s">
        <v>1115</v>
      </c>
      <c r="Z62" s="3" t="str">
        <f t="shared" si="4"/>
        <v>点点A(50/64)</v>
      </c>
      <c r="AA62" s="36">
        <f t="shared" si="5"/>
        <v>0</v>
      </c>
      <c r="AC62" s="3">
        <f t="shared" si="8"/>
        <v>16</v>
      </c>
      <c r="AD62" s="3" t="str">
        <f t="shared" si="6"/>
        <v>点点A(16/64)</v>
      </c>
      <c r="AE62" s="3">
        <f t="shared" si="9"/>
        <v>0</v>
      </c>
      <c r="AF62" s="3">
        <f t="shared" si="7"/>
        <v>422.4425</v>
      </c>
      <c r="AG62" s="3">
        <f t="shared" si="7"/>
        <v>422.49350000000004</v>
      </c>
      <c r="AJ62" s="84"/>
      <c r="AL62" s="84"/>
      <c r="AP62" s="84"/>
      <c r="AQ62" s="84"/>
      <c r="AR62" s="84"/>
    </row>
    <row r="63" spans="1:44">
      <c r="M63" s="21"/>
      <c r="N63" s="1"/>
      <c r="V63" s="75"/>
      <c r="W63" s="75"/>
      <c r="X63" s="75"/>
      <c r="Y63" t="s">
        <v>1116</v>
      </c>
      <c r="Z63" s="3" t="str">
        <f t="shared" si="4"/>
        <v>点点A(51/64)</v>
      </c>
      <c r="AA63" s="36">
        <f t="shared" si="5"/>
        <v>0</v>
      </c>
      <c r="AC63" s="3">
        <f t="shared" si="8"/>
        <v>15</v>
      </c>
      <c r="AD63" s="3" t="str">
        <f t="shared" si="6"/>
        <v>点点A(15/64)</v>
      </c>
      <c r="AE63" s="3">
        <f t="shared" si="9"/>
        <v>0</v>
      </c>
      <c r="AF63" s="3">
        <f t="shared" si="7"/>
        <v>422.4425</v>
      </c>
      <c r="AG63" s="3">
        <f t="shared" si="7"/>
        <v>422.49350000000004</v>
      </c>
      <c r="AJ63" s="84"/>
      <c r="AL63" s="84"/>
      <c r="AP63" s="84"/>
      <c r="AQ63" s="84"/>
      <c r="AR63" s="84"/>
    </row>
    <row r="64" spans="1:44">
      <c r="J64" s="21"/>
      <c r="K64" s="21" t="s">
        <v>98</v>
      </c>
      <c r="L64" s="21" t="s">
        <v>93</v>
      </c>
      <c r="M64" s="21"/>
      <c r="N64" s="1"/>
      <c r="V64" s="75"/>
      <c r="W64" s="75"/>
      <c r="X64" s="75"/>
      <c r="Y64" t="s">
        <v>1117</v>
      </c>
      <c r="Z64" s="3" t="str">
        <f t="shared" si="4"/>
        <v>点点A(52/64)</v>
      </c>
      <c r="AA64" s="36">
        <f t="shared" si="5"/>
        <v>0</v>
      </c>
      <c r="AC64" s="3">
        <f t="shared" si="8"/>
        <v>14</v>
      </c>
      <c r="AD64" s="3" t="str">
        <f t="shared" si="6"/>
        <v>点点A(14/64)</v>
      </c>
      <c r="AE64" s="3">
        <f t="shared" si="9"/>
        <v>0</v>
      </c>
      <c r="AF64" s="3">
        <f t="shared" si="7"/>
        <v>422.4425</v>
      </c>
      <c r="AG64" s="3">
        <f t="shared" si="7"/>
        <v>422.49350000000004</v>
      </c>
      <c r="AJ64" s="84"/>
      <c r="AL64" s="84"/>
      <c r="AP64" s="84"/>
      <c r="AQ64" s="84"/>
      <c r="AR64" s="84"/>
    </row>
    <row r="65" spans="10:44">
      <c r="J65" s="22" t="s">
        <v>94</v>
      </c>
      <c r="K65" s="21">
        <f>1.5-0.03</f>
        <v>1.47</v>
      </c>
      <c r="L65" s="21">
        <v>0.05</v>
      </c>
      <c r="M65" s="21"/>
      <c r="N65" s="1"/>
      <c r="V65" s="75"/>
      <c r="W65" s="75"/>
      <c r="X65" s="75"/>
      <c r="Y65" t="s">
        <v>1118</v>
      </c>
      <c r="Z65" s="3" t="str">
        <f t="shared" si="4"/>
        <v>点点A(53/64)</v>
      </c>
      <c r="AA65" s="36">
        <f t="shared" si="5"/>
        <v>0</v>
      </c>
      <c r="AC65" s="3">
        <f t="shared" si="8"/>
        <v>13</v>
      </c>
      <c r="AD65" s="3" t="str">
        <f t="shared" si="6"/>
        <v>点点A(13/64)</v>
      </c>
      <c r="AE65" s="3">
        <f t="shared" si="9"/>
        <v>0</v>
      </c>
      <c r="AF65" s="3">
        <f t="shared" si="7"/>
        <v>422.4425</v>
      </c>
      <c r="AG65" s="3">
        <f t="shared" si="7"/>
        <v>422.49350000000004</v>
      </c>
      <c r="AJ65" s="84"/>
      <c r="AL65" s="84"/>
      <c r="AP65" s="84"/>
      <c r="AQ65" s="84"/>
      <c r="AR65" s="84"/>
    </row>
    <row r="66" spans="10:44">
      <c r="J66" s="21"/>
      <c r="K66" s="21"/>
      <c r="L66" s="21"/>
      <c r="M66" s="21"/>
      <c r="N66" s="1"/>
      <c r="V66" s="75"/>
      <c r="W66" s="75"/>
      <c r="X66" s="75"/>
      <c r="Y66" t="s">
        <v>1119</v>
      </c>
      <c r="Z66" s="3" t="str">
        <f t="shared" si="4"/>
        <v>点点A(54/64)</v>
      </c>
      <c r="AA66" s="36">
        <f t="shared" si="5"/>
        <v>0</v>
      </c>
      <c r="AC66" s="3">
        <f t="shared" si="8"/>
        <v>12</v>
      </c>
      <c r="AD66" s="3" t="str">
        <f t="shared" si="6"/>
        <v>点点A(12/64)</v>
      </c>
      <c r="AE66" s="3">
        <f t="shared" si="9"/>
        <v>0</v>
      </c>
      <c r="AF66" s="3">
        <f t="shared" si="7"/>
        <v>422.4425</v>
      </c>
      <c r="AG66" s="3">
        <f t="shared" si="7"/>
        <v>422.49350000000004</v>
      </c>
      <c r="AJ66" s="84"/>
      <c r="AL66" s="84"/>
      <c r="AP66" s="84"/>
      <c r="AQ66" s="84"/>
      <c r="AR66" s="84"/>
    </row>
    <row r="67" spans="10:44">
      <c r="J67" s="21"/>
      <c r="K67" s="18" t="s">
        <v>100</v>
      </c>
      <c r="L67" s="19"/>
      <c r="M67" s="19"/>
      <c r="N67" s="1"/>
      <c r="V67" s="75"/>
      <c r="W67" s="75"/>
      <c r="X67" s="75"/>
      <c r="Y67" t="s">
        <v>1120</v>
      </c>
      <c r="Z67" s="3" t="str">
        <f t="shared" si="4"/>
        <v>点点A(55/64)</v>
      </c>
      <c r="AA67" s="36">
        <f t="shared" si="5"/>
        <v>0</v>
      </c>
      <c r="AC67" s="3">
        <f t="shared" si="8"/>
        <v>11</v>
      </c>
      <c r="AD67" s="3" t="str">
        <f t="shared" si="6"/>
        <v>点点A(11/64)</v>
      </c>
      <c r="AE67" s="3">
        <f t="shared" si="9"/>
        <v>0</v>
      </c>
      <c r="AF67" s="3">
        <f t="shared" si="7"/>
        <v>422.4425</v>
      </c>
      <c r="AG67" s="3">
        <f t="shared" si="7"/>
        <v>422.49350000000004</v>
      </c>
      <c r="AJ67" s="84"/>
      <c r="AL67" s="84"/>
      <c r="AP67" s="84"/>
      <c r="AQ67" s="84"/>
      <c r="AR67" s="84"/>
    </row>
    <row r="68" spans="10:44">
      <c r="J68" s="21"/>
      <c r="K68" s="21">
        <f ca="1">K7-K$65</f>
        <v>421.05099999999999</v>
      </c>
      <c r="L68" s="21"/>
      <c r="M68" s="21"/>
      <c r="N68" s="1"/>
      <c r="V68" s="75"/>
      <c r="W68" s="75"/>
      <c r="X68" s="75"/>
      <c r="Y68" t="s">
        <v>1121</v>
      </c>
      <c r="Z68" s="3" t="str">
        <f t="shared" si="4"/>
        <v>点点A(56/64)</v>
      </c>
      <c r="AA68" s="36">
        <f t="shared" si="5"/>
        <v>0</v>
      </c>
      <c r="AC68" s="3">
        <f t="shared" si="8"/>
        <v>10</v>
      </c>
      <c r="AD68" s="3" t="str">
        <f t="shared" si="6"/>
        <v>点点A(10/64)</v>
      </c>
      <c r="AE68" s="3">
        <f t="shared" si="9"/>
        <v>0</v>
      </c>
      <c r="AF68" s="3">
        <f t="shared" si="7"/>
        <v>422.4425</v>
      </c>
      <c r="AG68" s="3">
        <f t="shared" si="7"/>
        <v>422.49350000000004</v>
      </c>
      <c r="AJ68" s="84"/>
      <c r="AL68" s="84"/>
      <c r="AP68" s="84"/>
      <c r="AQ68" s="84"/>
      <c r="AR68" s="84"/>
    </row>
    <row r="69" spans="10:44">
      <c r="J69" s="21"/>
      <c r="K69" s="21">
        <f t="shared" ref="K69:K83" ca="1" si="14">K8-K$65</f>
        <v>421.11999999999995</v>
      </c>
      <c r="L69" s="21"/>
      <c r="M69" s="21"/>
      <c r="N69" s="1"/>
      <c r="V69" s="75"/>
      <c r="W69" s="75"/>
      <c r="X69" s="75"/>
      <c r="Y69" t="s">
        <v>1122</v>
      </c>
      <c r="Z69" s="3" t="str">
        <f t="shared" si="4"/>
        <v>点点A(57/64)</v>
      </c>
      <c r="AA69" s="36">
        <f t="shared" si="5"/>
        <v>0</v>
      </c>
      <c r="AC69" s="3">
        <f t="shared" si="8"/>
        <v>9</v>
      </c>
      <c r="AD69" s="3" t="str">
        <f t="shared" si="6"/>
        <v>点点A(9/64)</v>
      </c>
      <c r="AE69" s="3">
        <f t="shared" si="9"/>
        <v>0</v>
      </c>
      <c r="AF69" s="3">
        <f t="shared" si="7"/>
        <v>422.4425</v>
      </c>
      <c r="AG69" s="3">
        <f t="shared" si="7"/>
        <v>422.49350000000004</v>
      </c>
      <c r="AJ69" s="84"/>
      <c r="AL69" s="84"/>
      <c r="AP69" s="84"/>
      <c r="AQ69" s="84"/>
      <c r="AR69" s="84"/>
    </row>
    <row r="70" spans="10:44">
      <c r="J70" s="21"/>
      <c r="K70" s="21">
        <f t="shared" ca="1" si="14"/>
        <v>421.06199999999995</v>
      </c>
      <c r="L70" s="21"/>
      <c r="M70" s="21"/>
      <c r="N70" s="1"/>
      <c r="V70" s="75"/>
      <c r="W70" s="75"/>
      <c r="X70" s="75"/>
      <c r="Y70" t="s">
        <v>1123</v>
      </c>
      <c r="Z70" s="3" t="str">
        <f t="shared" si="4"/>
        <v>点点A(58/64)</v>
      </c>
      <c r="AA70" s="36">
        <f t="shared" si="5"/>
        <v>0</v>
      </c>
      <c r="AC70" s="3">
        <f t="shared" si="8"/>
        <v>8</v>
      </c>
      <c r="AD70" s="3" t="str">
        <f t="shared" si="6"/>
        <v>点点A(8/64)</v>
      </c>
      <c r="AE70" s="3">
        <f t="shared" si="9"/>
        <v>0</v>
      </c>
      <c r="AF70" s="3">
        <f t="shared" si="7"/>
        <v>422.4425</v>
      </c>
      <c r="AG70" s="3">
        <f t="shared" si="7"/>
        <v>422.49350000000004</v>
      </c>
      <c r="AJ70" s="84"/>
      <c r="AL70" s="84"/>
      <c r="AP70" s="84"/>
      <c r="AQ70" s="84"/>
      <c r="AR70" s="84"/>
    </row>
    <row r="71" spans="10:44">
      <c r="J71" s="21"/>
      <c r="K71" s="21">
        <f t="shared" ca="1" si="14"/>
        <v>420.94899999999996</v>
      </c>
      <c r="L71" s="21"/>
      <c r="M71" s="21"/>
      <c r="N71" s="1"/>
      <c r="V71" s="75"/>
      <c r="W71" s="75"/>
      <c r="X71" s="75"/>
      <c r="Y71" t="s">
        <v>1124</v>
      </c>
      <c r="Z71" s="3" t="str">
        <f t="shared" si="4"/>
        <v>点点A(59/64)</v>
      </c>
      <c r="AA71" s="36">
        <f t="shared" si="5"/>
        <v>0</v>
      </c>
      <c r="AC71" s="3">
        <f t="shared" si="8"/>
        <v>7</v>
      </c>
      <c r="AD71" s="3" t="str">
        <f t="shared" si="6"/>
        <v>点点A(7/64)</v>
      </c>
      <c r="AE71" s="3">
        <f t="shared" si="9"/>
        <v>0</v>
      </c>
      <c r="AF71" s="3">
        <f t="shared" si="7"/>
        <v>422.4425</v>
      </c>
      <c r="AG71" s="3">
        <f t="shared" si="7"/>
        <v>422.49350000000004</v>
      </c>
      <c r="AJ71" s="84"/>
      <c r="AL71" s="84"/>
      <c r="AP71" s="84"/>
      <c r="AQ71" s="84"/>
      <c r="AR71" s="84"/>
    </row>
    <row r="72" spans="10:44">
      <c r="J72" s="21"/>
      <c r="K72" s="21">
        <f t="shared" ca="1" si="14"/>
        <v>420.952</v>
      </c>
      <c r="L72" s="21"/>
      <c r="M72" s="21"/>
      <c r="N72" s="1"/>
      <c r="V72" s="75"/>
      <c r="W72" s="75"/>
      <c r="X72" s="75"/>
      <c r="Y72" t="s">
        <v>1125</v>
      </c>
      <c r="Z72" s="3" t="str">
        <f t="shared" si="4"/>
        <v>点点A(60/64)</v>
      </c>
      <c r="AA72" s="36">
        <f t="shared" si="5"/>
        <v>0</v>
      </c>
      <c r="AC72" s="3">
        <f t="shared" si="8"/>
        <v>6</v>
      </c>
      <c r="AD72" s="3" t="str">
        <f t="shared" si="6"/>
        <v>点点A(6/64)</v>
      </c>
      <c r="AE72" s="3">
        <f t="shared" si="9"/>
        <v>0</v>
      </c>
      <c r="AF72" s="3">
        <f t="shared" si="7"/>
        <v>422.4425</v>
      </c>
      <c r="AG72" s="3">
        <f t="shared" si="7"/>
        <v>422.49350000000004</v>
      </c>
      <c r="AJ72" s="84"/>
      <c r="AL72" s="84"/>
      <c r="AP72" s="84"/>
      <c r="AQ72" s="84"/>
      <c r="AR72" s="84"/>
    </row>
    <row r="73" spans="10:44">
      <c r="J73" s="21"/>
      <c r="K73" s="21">
        <f t="shared" ca="1" si="14"/>
        <v>421.00599999999997</v>
      </c>
      <c r="L73" s="21"/>
      <c r="M73" s="21"/>
      <c r="N73" s="1"/>
      <c r="V73" s="75"/>
      <c r="W73" s="75"/>
      <c r="X73" s="75"/>
      <c r="Y73" t="s">
        <v>1126</v>
      </c>
      <c r="Z73" s="3" t="str">
        <f t="shared" si="4"/>
        <v>点点A(61/64)</v>
      </c>
      <c r="AA73" s="36">
        <f t="shared" si="5"/>
        <v>0</v>
      </c>
      <c r="AC73" s="3">
        <f t="shared" si="8"/>
        <v>5</v>
      </c>
      <c r="AD73" s="3" t="str">
        <f t="shared" si="6"/>
        <v>点点A(5/64)</v>
      </c>
      <c r="AE73" s="3">
        <f t="shared" si="9"/>
        <v>0</v>
      </c>
      <c r="AF73" s="3">
        <f t="shared" si="7"/>
        <v>422.4425</v>
      </c>
      <c r="AG73" s="3">
        <f t="shared" si="7"/>
        <v>422.49350000000004</v>
      </c>
      <c r="AJ73" s="84"/>
      <c r="AL73" s="84"/>
      <c r="AP73" s="84"/>
      <c r="AQ73" s="84"/>
      <c r="AR73" s="84"/>
    </row>
    <row r="74" spans="10:44">
      <c r="J74" s="21"/>
      <c r="K74" s="21">
        <f t="shared" ca="1" si="14"/>
        <v>421.03499999999997</v>
      </c>
      <c r="L74" s="21"/>
      <c r="M74" s="21"/>
      <c r="N74" s="1"/>
      <c r="V74" s="75"/>
      <c r="W74" s="75"/>
      <c r="X74" s="75"/>
      <c r="Y74" t="s">
        <v>1127</v>
      </c>
      <c r="Z74" s="3" t="str">
        <f t="shared" si="4"/>
        <v>点点A(62/64)</v>
      </c>
      <c r="AA74" s="36">
        <f t="shared" si="5"/>
        <v>0</v>
      </c>
      <c r="AC74" s="3">
        <f t="shared" si="8"/>
        <v>4</v>
      </c>
      <c r="AD74" s="3" t="str">
        <f t="shared" si="6"/>
        <v>点点A(4/64)</v>
      </c>
      <c r="AE74" s="3">
        <f t="shared" si="9"/>
        <v>0</v>
      </c>
      <c r="AF74" s="3">
        <f t="shared" si="7"/>
        <v>422.4425</v>
      </c>
      <c r="AG74" s="3">
        <f t="shared" si="7"/>
        <v>422.49350000000004</v>
      </c>
      <c r="AJ74" s="84"/>
      <c r="AL74" s="84"/>
      <c r="AP74" s="84"/>
      <c r="AQ74" s="84"/>
      <c r="AR74" s="84"/>
    </row>
    <row r="75" spans="10:44">
      <c r="J75" s="21"/>
      <c r="K75" s="21">
        <f t="shared" ca="1" si="14"/>
        <v>421.04299999999995</v>
      </c>
      <c r="L75" s="21"/>
      <c r="M75" s="21"/>
      <c r="N75" s="1"/>
      <c r="V75" s="75"/>
      <c r="W75" s="75"/>
      <c r="X75" s="75"/>
      <c r="Y75" t="s">
        <v>1128</v>
      </c>
      <c r="Z75" s="3" t="str">
        <f t="shared" si="4"/>
        <v>点点A(63/64)</v>
      </c>
      <c r="AA75" s="36">
        <f t="shared" si="5"/>
        <v>0</v>
      </c>
      <c r="AC75" s="3">
        <f t="shared" si="8"/>
        <v>3</v>
      </c>
      <c r="AD75" s="3" t="str">
        <f t="shared" si="6"/>
        <v>点点A(3/64)</v>
      </c>
      <c r="AE75" s="3">
        <f t="shared" si="9"/>
        <v>0</v>
      </c>
      <c r="AF75" s="3">
        <f t="shared" si="7"/>
        <v>422.4425</v>
      </c>
      <c r="AG75" s="3">
        <f t="shared" si="7"/>
        <v>422.49350000000004</v>
      </c>
      <c r="AJ75" s="84"/>
      <c r="AL75" s="84"/>
      <c r="AP75" s="84"/>
      <c r="AQ75" s="84"/>
      <c r="AR75" s="84"/>
    </row>
    <row r="76" spans="10:44">
      <c r="J76" s="21"/>
      <c r="K76" s="21">
        <f t="shared" ca="1" si="14"/>
        <v>420.96699999999998</v>
      </c>
      <c r="L76" s="21"/>
      <c r="M76" s="21"/>
      <c r="N76" s="1"/>
      <c r="V76" s="75"/>
      <c r="W76" s="75"/>
      <c r="X76" s="75"/>
      <c r="Y76" t="s">
        <v>1129</v>
      </c>
      <c r="Z76" s="3" t="str">
        <f t="shared" si="4"/>
        <v>点点A(64/64)</v>
      </c>
      <c r="AA76" s="36">
        <f t="shared" si="5"/>
        <v>0</v>
      </c>
      <c r="AC76" s="3">
        <f t="shared" si="8"/>
        <v>2</v>
      </c>
      <c r="AD76" s="3" t="str">
        <f t="shared" si="6"/>
        <v>点点A(2/64)</v>
      </c>
      <c r="AE76" s="3">
        <f t="shared" si="9"/>
        <v>0</v>
      </c>
      <c r="AF76" s="3">
        <f t="shared" si="7"/>
        <v>422.4425</v>
      </c>
      <c r="AG76" s="3">
        <f t="shared" si="7"/>
        <v>422.49350000000004</v>
      </c>
      <c r="AJ76" s="84"/>
      <c r="AL76" s="84"/>
      <c r="AP76" s="84"/>
      <c r="AQ76" s="84"/>
      <c r="AR76" s="84"/>
    </row>
    <row r="77" spans="10:44">
      <c r="J77" s="21"/>
      <c r="K77" s="21">
        <f t="shared" ca="1" si="14"/>
        <v>420.92199999999997</v>
      </c>
      <c r="L77" s="21"/>
      <c r="M77" s="21"/>
      <c r="N77" s="1"/>
      <c r="AJ77" s="84"/>
      <c r="AL77" s="84"/>
      <c r="AP77" s="84"/>
      <c r="AQ77" s="84"/>
      <c r="AR77" s="84"/>
    </row>
    <row r="78" spans="10:44">
      <c r="J78" s="21"/>
      <c r="K78" s="21">
        <f t="shared" ca="1" si="14"/>
        <v>421.01099999999997</v>
      </c>
      <c r="L78" s="21"/>
      <c r="M78" s="21"/>
      <c r="N78" s="1"/>
      <c r="AE78" s="3">
        <f>AVERAGE(AE13:AE76)*2</f>
        <v>0</v>
      </c>
      <c r="AJ78" s="84"/>
      <c r="AL78" s="84"/>
      <c r="AP78" s="84"/>
      <c r="AQ78" s="84"/>
      <c r="AR78" s="84"/>
    </row>
    <row r="79" spans="10:44">
      <c r="J79" s="21"/>
      <c r="K79" s="21">
        <f t="shared" ca="1" si="14"/>
        <v>421.09899999999999</v>
      </c>
      <c r="L79" s="21"/>
      <c r="M79" s="21"/>
      <c r="N79" s="1"/>
      <c r="AD79" s="3" t="s">
        <v>1131</v>
      </c>
      <c r="AE79" s="3">
        <f>MAX(AE13:AE76)-MIN(AE13:AE76)</f>
        <v>0</v>
      </c>
      <c r="AJ79" s="84"/>
      <c r="AL79" s="84"/>
      <c r="AP79" s="84"/>
      <c r="AQ79" s="84"/>
      <c r="AR79" s="84"/>
    </row>
    <row r="80" spans="10:44">
      <c r="J80" s="21"/>
      <c r="K80" s="21">
        <f t="shared" ca="1" si="14"/>
        <v>421.09</v>
      </c>
      <c r="L80" s="21"/>
      <c r="M80" s="21"/>
      <c r="N80" s="1"/>
      <c r="AJ80" s="84"/>
      <c r="AL80" s="84"/>
      <c r="AP80" s="84"/>
      <c r="AQ80" s="84"/>
      <c r="AR80" s="84"/>
    </row>
    <row r="81" spans="10:44">
      <c r="J81" s="21"/>
      <c r="K81" s="21">
        <f t="shared" ca="1" si="14"/>
        <v>420.97499999999997</v>
      </c>
      <c r="L81" s="21"/>
      <c r="M81" s="21"/>
      <c r="N81" s="1"/>
      <c r="AJ81" s="84"/>
      <c r="AL81" s="84"/>
      <c r="AP81" s="84"/>
      <c r="AQ81" s="84"/>
      <c r="AR81" s="84"/>
    </row>
    <row r="82" spans="10:44">
      <c r="J82" s="21"/>
      <c r="K82" s="21">
        <f t="shared" ca="1" si="14"/>
        <v>420.88799999999998</v>
      </c>
      <c r="L82" s="21"/>
      <c r="M82" s="21"/>
      <c r="N82" s="1"/>
      <c r="AJ82" s="84"/>
      <c r="AL82" s="84"/>
      <c r="AP82" s="84"/>
      <c r="AQ82" s="84"/>
      <c r="AR82" s="84"/>
    </row>
    <row r="83" spans="10:44">
      <c r="J83" s="21"/>
      <c r="K83" s="21">
        <f t="shared" ca="1" si="14"/>
        <v>420.93799999999999</v>
      </c>
      <c r="L83" s="21"/>
      <c r="M83" s="21"/>
      <c r="N83" s="1"/>
      <c r="AJ83" s="84"/>
      <c r="AL83" s="84"/>
      <c r="AP83" s="84"/>
      <c r="AQ83" s="84"/>
      <c r="AR83" s="84"/>
    </row>
    <row r="84" spans="10:44">
      <c r="N84" s="1"/>
      <c r="AJ84" s="84"/>
      <c r="AL84" s="84"/>
      <c r="AP84" s="84"/>
      <c r="AQ84" s="84"/>
      <c r="AR84" s="84"/>
    </row>
    <row r="85" spans="10:44" ht="16.5">
      <c r="L85" s="21" t="s">
        <v>102</v>
      </c>
      <c r="M85" s="21">
        <f ca="1">COUNTIF(K68:K83, K61)</f>
        <v>5</v>
      </c>
      <c r="N85" s="24" t="str">
        <f ca="1">IF(M85&gt;0,CONCATENATE("O/Max ",TEXT(MAX(K68:K83)-M$44,"0#.###")), "-")</f>
        <v>O/Max 0.076</v>
      </c>
      <c r="AJ85" s="84"/>
      <c r="AL85" s="84"/>
      <c r="AP85" s="84"/>
      <c r="AQ85" s="84"/>
      <c r="AR85" s="84"/>
    </row>
    <row r="86" spans="10:44" ht="16.5">
      <c r="L86" s="21" t="s">
        <v>103</v>
      </c>
      <c r="M86" s="21">
        <f ca="1">COUNTIF(K68:K83, K62)</f>
        <v>1</v>
      </c>
      <c r="N86" s="24" t="str">
        <f ca="1">IF(M86&gt;0,CONCATENATE("U/Min ",TEXT(L$44-MIN(K68:K83),"0#.###")), "-")</f>
        <v>U/Min 0.005</v>
      </c>
      <c r="AJ86" s="84"/>
      <c r="AL86" s="84"/>
      <c r="AP86" s="84"/>
      <c r="AQ86" s="84"/>
      <c r="AR86" s="84"/>
    </row>
    <row r="87" spans="10:44">
      <c r="AJ87" s="84"/>
      <c r="AL87" s="84"/>
      <c r="AP87" s="84"/>
      <c r="AQ87" s="84"/>
      <c r="AR87" s="84"/>
    </row>
    <row r="88" spans="10:44">
      <c r="AJ88" s="84"/>
      <c r="AL88" s="84"/>
      <c r="AP88" s="84"/>
      <c r="AQ88" s="84"/>
      <c r="AR88" s="84"/>
    </row>
    <row r="89" spans="10:44">
      <c r="AJ89" s="84"/>
      <c r="AL89" s="84"/>
      <c r="AP89" s="84"/>
      <c r="AQ89" s="84"/>
      <c r="AR89" s="84"/>
    </row>
    <row r="90" spans="10:44">
      <c r="AJ90" s="84"/>
      <c r="AL90" s="84"/>
      <c r="AP90" s="84"/>
      <c r="AQ90" s="84"/>
      <c r="AR90" s="84"/>
    </row>
    <row r="91" spans="10:44">
      <c r="AJ91" s="84"/>
      <c r="AL91" s="84"/>
      <c r="AP91" s="84"/>
      <c r="AQ91" s="84"/>
      <c r="AR91" s="84"/>
    </row>
    <row r="92" spans="10:44">
      <c r="AJ92" s="84"/>
      <c r="AL92" s="84"/>
      <c r="AP92" s="84"/>
      <c r="AQ92" s="84"/>
      <c r="AR92" s="84"/>
    </row>
    <row r="93" spans="10:44">
      <c r="AJ93" s="84"/>
      <c r="AL93" s="84"/>
      <c r="AP93" s="84"/>
      <c r="AQ93" s="84"/>
      <c r="AR93" s="84"/>
    </row>
    <row r="94" spans="10:44">
      <c r="AJ94" s="84"/>
      <c r="AL94" s="84"/>
      <c r="AP94" s="84"/>
      <c r="AQ94" s="84"/>
      <c r="AR94" s="84"/>
    </row>
    <row r="95" spans="10:44">
      <c r="AJ95" s="84"/>
      <c r="AL95" s="84"/>
      <c r="AP95" s="84"/>
      <c r="AQ95" s="84"/>
      <c r="AR95" s="84"/>
    </row>
    <row r="96" spans="10:44">
      <c r="AJ96" s="84"/>
      <c r="AL96" s="84"/>
      <c r="AP96" s="84"/>
      <c r="AQ96" s="84"/>
      <c r="AR96" s="84"/>
    </row>
    <row r="97" spans="36:44">
      <c r="AJ97" s="84"/>
      <c r="AL97" s="84"/>
      <c r="AP97" s="84"/>
      <c r="AQ97" s="84"/>
      <c r="AR97" s="84"/>
    </row>
    <row r="98" spans="36:44">
      <c r="AJ98" s="84"/>
      <c r="AL98" s="84"/>
      <c r="AP98" s="84"/>
      <c r="AQ98" s="84"/>
      <c r="AR98" s="84"/>
    </row>
    <row r="99" spans="36:44">
      <c r="AJ99" s="84"/>
      <c r="AL99" s="84"/>
      <c r="AP99" s="84"/>
      <c r="AQ99" s="84"/>
      <c r="AR99" s="84"/>
    </row>
    <row r="100" spans="36:44">
      <c r="AJ100" s="84"/>
      <c r="AL100" s="84"/>
      <c r="AP100" s="84"/>
      <c r="AQ100" s="84"/>
      <c r="AR100" s="84"/>
    </row>
    <row r="101" spans="36:44">
      <c r="AJ101" s="84"/>
      <c r="AL101" s="84"/>
      <c r="AP101" s="84"/>
      <c r="AQ101" s="84"/>
      <c r="AR101" s="84"/>
    </row>
    <row r="102" spans="36:44">
      <c r="AJ102" s="84"/>
      <c r="AL102" s="84"/>
      <c r="AP102" s="84"/>
      <c r="AQ102" s="84"/>
      <c r="AR102" s="84"/>
    </row>
    <row r="103" spans="36:44">
      <c r="AJ103" s="84"/>
      <c r="AL103" s="84"/>
      <c r="AP103" s="84"/>
      <c r="AQ103" s="84"/>
      <c r="AR103" s="84"/>
    </row>
    <row r="104" spans="36:44">
      <c r="AJ104" s="84"/>
      <c r="AL104" s="84"/>
      <c r="AP104" s="84"/>
      <c r="AQ104" s="84"/>
      <c r="AR104" s="84"/>
    </row>
    <row r="105" spans="36:44">
      <c r="AJ105" s="84"/>
      <c r="AL105" s="84"/>
      <c r="AP105" s="84"/>
      <c r="AQ105" s="84"/>
      <c r="AR105" s="84"/>
    </row>
    <row r="106" spans="36:44">
      <c r="AJ106" s="84"/>
      <c r="AL106" s="84"/>
      <c r="AP106" s="84"/>
      <c r="AQ106" s="84"/>
      <c r="AR106" s="84"/>
    </row>
    <row r="107" spans="36:44">
      <c r="AJ107" s="84"/>
      <c r="AL107" s="84"/>
      <c r="AP107" s="84"/>
      <c r="AQ107" s="84"/>
      <c r="AR107" s="84"/>
    </row>
    <row r="108" spans="36:44">
      <c r="AJ108" s="84"/>
      <c r="AL108" s="84"/>
      <c r="AP108" s="84"/>
      <c r="AQ108" s="84"/>
      <c r="AR108" s="84"/>
    </row>
    <row r="109" spans="36:44">
      <c r="AJ109" s="84"/>
      <c r="AL109" s="84"/>
      <c r="AP109" s="84"/>
      <c r="AQ109" s="84"/>
      <c r="AR109" s="84"/>
    </row>
    <row r="110" spans="36:44">
      <c r="AJ110" s="84"/>
      <c r="AL110" s="84"/>
      <c r="AP110" s="84"/>
      <c r="AQ110" s="84"/>
      <c r="AR110" s="84"/>
    </row>
    <row r="111" spans="36:44">
      <c r="AJ111" s="84"/>
      <c r="AL111" s="84"/>
      <c r="AP111" s="84"/>
      <c r="AQ111" s="84"/>
      <c r="AR111" s="84"/>
    </row>
    <row r="112" spans="36:44">
      <c r="AJ112" s="84"/>
      <c r="AL112" s="84"/>
      <c r="AP112" s="84"/>
      <c r="AQ112" s="84"/>
      <c r="AR112" s="84"/>
    </row>
    <row r="113" spans="36:44">
      <c r="AJ113" s="84"/>
      <c r="AL113" s="84"/>
      <c r="AP113" s="84"/>
      <c r="AQ113" s="84"/>
      <c r="AR113" s="84"/>
    </row>
    <row r="114" spans="36:44">
      <c r="AJ114" s="84"/>
      <c r="AL114" s="84"/>
      <c r="AP114" s="84"/>
      <c r="AQ114" s="84"/>
      <c r="AR114" s="84"/>
    </row>
    <row r="115" spans="36:44">
      <c r="AJ115" s="84"/>
      <c r="AL115" s="84"/>
      <c r="AP115" s="84"/>
      <c r="AQ115" s="84"/>
      <c r="AR115" s="84"/>
    </row>
    <row r="116" spans="36:44">
      <c r="AJ116" s="84"/>
      <c r="AL116" s="84"/>
      <c r="AP116" s="84"/>
      <c r="AQ116" s="84"/>
      <c r="AR116" s="84"/>
    </row>
    <row r="117" spans="36:44">
      <c r="AJ117" s="84"/>
      <c r="AL117" s="84"/>
      <c r="AP117" s="84"/>
      <c r="AQ117" s="84"/>
      <c r="AR117" s="84"/>
    </row>
    <row r="118" spans="36:44">
      <c r="AJ118" s="84"/>
      <c r="AL118" s="84"/>
      <c r="AP118" s="84"/>
      <c r="AQ118" s="84"/>
      <c r="AR118" s="84"/>
    </row>
    <row r="119" spans="36:44">
      <c r="AJ119" s="84"/>
      <c r="AL119" s="84"/>
      <c r="AP119" s="84"/>
      <c r="AQ119" s="84"/>
      <c r="AR119" s="84"/>
    </row>
    <row r="120" spans="36:44">
      <c r="AJ120" s="84"/>
      <c r="AL120" s="84"/>
      <c r="AP120" s="84"/>
      <c r="AQ120" s="84"/>
      <c r="AR120" s="84"/>
    </row>
    <row r="121" spans="36:44">
      <c r="AJ121" s="84"/>
      <c r="AL121" s="84"/>
      <c r="AP121" s="84"/>
      <c r="AQ121" s="84"/>
      <c r="AR121" s="84"/>
    </row>
    <row r="122" spans="36:44">
      <c r="AJ122" s="84"/>
      <c r="AL122" s="84"/>
      <c r="AP122" s="84"/>
      <c r="AQ122" s="84"/>
      <c r="AR122" s="84"/>
    </row>
    <row r="123" spans="36:44">
      <c r="AJ123" s="84"/>
      <c r="AL123" s="84"/>
      <c r="AP123" s="84"/>
      <c r="AQ123" s="84"/>
      <c r="AR123" s="84"/>
    </row>
    <row r="124" spans="36:44">
      <c r="AJ124" s="84"/>
      <c r="AL124" s="84"/>
      <c r="AP124" s="84"/>
      <c r="AQ124" s="84"/>
      <c r="AR124" s="84"/>
    </row>
    <row r="125" spans="36:44">
      <c r="AJ125" s="84"/>
      <c r="AL125" s="84"/>
      <c r="AP125" s="84"/>
      <c r="AQ125" s="84"/>
      <c r="AR125" s="84"/>
    </row>
    <row r="126" spans="36:44">
      <c r="AJ126" s="84"/>
      <c r="AL126" s="84"/>
      <c r="AP126" s="84"/>
      <c r="AQ126" s="84"/>
      <c r="AR126" s="84"/>
    </row>
    <row r="127" spans="36:44">
      <c r="AJ127" s="84"/>
      <c r="AL127" s="84"/>
      <c r="AP127" s="84"/>
      <c r="AQ127" s="84"/>
      <c r="AR127" s="84"/>
    </row>
    <row r="128" spans="36:44">
      <c r="AJ128" s="84"/>
      <c r="AL128" s="84"/>
      <c r="AP128" s="84"/>
      <c r="AQ128" s="84"/>
      <c r="AR128" s="84"/>
    </row>
    <row r="129" spans="36:44">
      <c r="AJ129" s="84"/>
      <c r="AL129" s="84"/>
      <c r="AP129" s="84"/>
      <c r="AQ129" s="84"/>
      <c r="AR129" s="84"/>
    </row>
    <row r="130" spans="36:44">
      <c r="AJ130" s="84"/>
      <c r="AL130" s="84"/>
      <c r="AP130" s="84"/>
      <c r="AQ130" s="84"/>
      <c r="AR130" s="84"/>
    </row>
    <row r="131" spans="36:44">
      <c r="AJ131" s="84"/>
      <c r="AL131" s="84"/>
      <c r="AP131" s="84"/>
      <c r="AQ131" s="84"/>
      <c r="AR131" s="84"/>
    </row>
    <row r="132" spans="36:44">
      <c r="AJ132" s="84"/>
      <c r="AL132" s="84"/>
      <c r="AP132" s="84"/>
      <c r="AQ132" s="84"/>
      <c r="AR132" s="84"/>
    </row>
    <row r="133" spans="36:44">
      <c r="AJ133" s="84"/>
      <c r="AL133" s="84"/>
      <c r="AP133" s="84"/>
      <c r="AQ133" s="84"/>
      <c r="AR133" s="84"/>
    </row>
    <row r="134" spans="36:44">
      <c r="AJ134" s="84"/>
      <c r="AL134" s="84"/>
      <c r="AP134" s="84"/>
      <c r="AQ134" s="84"/>
      <c r="AR134" s="84"/>
    </row>
    <row r="135" spans="36:44">
      <c r="AJ135" s="84"/>
      <c r="AL135" s="84"/>
      <c r="AP135" s="84"/>
      <c r="AQ135" s="84"/>
      <c r="AR135" s="84"/>
    </row>
    <row r="136" spans="36:44">
      <c r="AJ136" s="84"/>
      <c r="AL136" s="84"/>
      <c r="AP136" s="84"/>
      <c r="AQ136" s="84"/>
      <c r="AR136" s="84"/>
    </row>
    <row r="137" spans="36:44">
      <c r="AJ137" s="84"/>
      <c r="AL137" s="84"/>
      <c r="AP137" s="84"/>
      <c r="AQ137" s="84"/>
      <c r="AR137" s="84"/>
    </row>
    <row r="138" spans="36:44">
      <c r="AJ138" s="84"/>
      <c r="AL138" s="84"/>
      <c r="AP138" s="84"/>
      <c r="AQ138" s="84"/>
      <c r="AR138" s="84"/>
    </row>
    <row r="139" spans="36:44">
      <c r="AJ139" s="84"/>
      <c r="AL139" s="84"/>
      <c r="AP139" s="84"/>
      <c r="AQ139" s="84"/>
      <c r="AR139" s="84"/>
    </row>
    <row r="140" spans="36:44">
      <c r="AJ140" s="84"/>
      <c r="AL140" s="84"/>
      <c r="AP140" s="84"/>
      <c r="AQ140" s="84"/>
      <c r="AR140" s="84"/>
    </row>
    <row r="141" spans="36:44">
      <c r="AJ141" s="84"/>
      <c r="AL141" s="84"/>
      <c r="AP141" s="84"/>
      <c r="AQ141" s="84"/>
      <c r="AR141" s="84"/>
    </row>
    <row r="142" spans="36:44">
      <c r="AJ142" s="84"/>
      <c r="AL142" s="84"/>
      <c r="AP142" s="84"/>
      <c r="AQ142" s="84"/>
      <c r="AR142" s="84"/>
    </row>
    <row r="143" spans="36:44">
      <c r="AJ143" s="84"/>
      <c r="AL143" s="84"/>
      <c r="AP143" s="84"/>
      <c r="AQ143" s="84"/>
      <c r="AR143" s="84"/>
    </row>
    <row r="144" spans="36:44">
      <c r="AJ144" s="84"/>
      <c r="AL144" s="84"/>
      <c r="AP144" s="84"/>
      <c r="AQ144" s="84"/>
      <c r="AR144" s="84"/>
    </row>
    <row r="145" spans="36:44">
      <c r="AJ145" s="84"/>
      <c r="AL145" s="84"/>
      <c r="AP145" s="84"/>
      <c r="AQ145" s="84"/>
      <c r="AR145" s="84"/>
    </row>
    <row r="146" spans="36:44">
      <c r="AJ146" s="84"/>
      <c r="AL146" s="84"/>
      <c r="AP146" s="84"/>
      <c r="AQ146" s="84"/>
      <c r="AR146" s="84"/>
    </row>
    <row r="147" spans="36:44">
      <c r="AJ147" s="84"/>
      <c r="AL147" s="84"/>
      <c r="AP147" s="84"/>
      <c r="AQ147" s="84"/>
      <c r="AR147" s="84"/>
    </row>
    <row r="148" spans="36:44">
      <c r="AJ148" s="84"/>
      <c r="AL148" s="84"/>
      <c r="AP148" s="84"/>
      <c r="AQ148" s="84"/>
      <c r="AR148" s="84"/>
    </row>
    <row r="149" spans="36:44">
      <c r="AJ149" s="84"/>
      <c r="AL149" s="84"/>
      <c r="AP149" s="84"/>
      <c r="AQ149" s="84"/>
      <c r="AR149" s="84"/>
    </row>
    <row r="150" spans="36:44">
      <c r="AJ150" s="84"/>
      <c r="AL150" s="84"/>
      <c r="AP150" s="84"/>
      <c r="AQ150" s="84"/>
      <c r="AR150" s="84"/>
    </row>
    <row r="151" spans="36:44">
      <c r="AJ151" s="84"/>
      <c r="AL151" s="84"/>
      <c r="AP151" s="84"/>
      <c r="AQ151" s="84"/>
      <c r="AR151" s="84"/>
    </row>
    <row r="152" spans="36:44">
      <c r="AJ152" s="84"/>
      <c r="AL152" s="84"/>
      <c r="AP152" s="84"/>
      <c r="AQ152" s="84"/>
      <c r="AR152" s="84"/>
    </row>
    <row r="153" spans="36:44">
      <c r="AJ153" s="84"/>
      <c r="AL153" s="84"/>
      <c r="AP153" s="84"/>
      <c r="AQ153" s="84"/>
      <c r="AR153" s="84"/>
    </row>
    <row r="154" spans="36:44">
      <c r="AJ154" s="84"/>
      <c r="AL154" s="84"/>
      <c r="AP154" s="84"/>
      <c r="AQ154" s="84"/>
      <c r="AR154" s="84"/>
    </row>
    <row r="155" spans="36:44">
      <c r="AJ155" s="84"/>
      <c r="AL155" s="84"/>
      <c r="AP155" s="84"/>
      <c r="AQ155" s="84"/>
      <c r="AR155" s="84"/>
    </row>
    <row r="156" spans="36:44">
      <c r="AJ156" s="84"/>
      <c r="AL156" s="84"/>
      <c r="AP156" s="84"/>
      <c r="AQ156" s="84"/>
      <c r="AR156" s="84"/>
    </row>
    <row r="157" spans="36:44">
      <c r="AJ157" s="84"/>
      <c r="AL157" s="84"/>
      <c r="AP157" s="84"/>
      <c r="AQ157" s="84"/>
      <c r="AR157" s="84"/>
    </row>
    <row r="158" spans="36:44">
      <c r="AJ158" s="84"/>
      <c r="AL158" s="84"/>
      <c r="AP158" s="84"/>
      <c r="AQ158" s="84"/>
      <c r="AR158" s="84"/>
    </row>
    <row r="159" spans="36:44">
      <c r="AJ159" s="84"/>
      <c r="AL159" s="84"/>
      <c r="AP159" s="84"/>
      <c r="AQ159" s="84"/>
      <c r="AR159" s="84"/>
    </row>
    <row r="160" spans="36:44">
      <c r="AJ160" s="84"/>
      <c r="AL160" s="84"/>
      <c r="AP160" s="84"/>
      <c r="AQ160" s="84"/>
      <c r="AR160" s="84"/>
    </row>
    <row r="161" spans="36:44">
      <c r="AJ161" s="84"/>
      <c r="AL161" s="84"/>
      <c r="AP161" s="84"/>
      <c r="AQ161" s="84"/>
      <c r="AR161" s="84"/>
    </row>
    <row r="162" spans="36:44">
      <c r="AJ162" s="84"/>
      <c r="AL162" s="84"/>
      <c r="AP162" s="84"/>
      <c r="AQ162" s="84"/>
      <c r="AR162" s="84"/>
    </row>
    <row r="163" spans="36:44">
      <c r="AJ163" s="84"/>
      <c r="AL163" s="84"/>
      <c r="AP163" s="84"/>
      <c r="AQ163" s="84"/>
      <c r="AR163" s="84"/>
    </row>
    <row r="164" spans="36:44">
      <c r="AJ164" s="84"/>
      <c r="AL164" s="84"/>
      <c r="AP164" s="84"/>
      <c r="AQ164" s="84"/>
      <c r="AR164" s="84"/>
    </row>
    <row r="165" spans="36:44">
      <c r="AJ165" s="84"/>
      <c r="AL165" s="84"/>
      <c r="AP165" s="84"/>
      <c r="AQ165" s="84"/>
      <c r="AR165" s="84"/>
    </row>
    <row r="166" spans="36:44">
      <c r="AJ166" s="84"/>
      <c r="AL166" s="84"/>
      <c r="AP166" s="84"/>
      <c r="AQ166" s="84"/>
      <c r="AR166" s="84"/>
    </row>
    <row r="167" spans="36:44">
      <c r="AJ167" s="84"/>
      <c r="AL167" s="84"/>
      <c r="AP167" s="84"/>
      <c r="AQ167" s="84"/>
      <c r="AR167" s="84"/>
    </row>
    <row r="168" spans="36:44">
      <c r="AJ168" s="84"/>
      <c r="AL168" s="84"/>
      <c r="AP168" s="84"/>
      <c r="AQ168" s="84"/>
      <c r="AR168" s="84"/>
    </row>
    <row r="169" spans="36:44">
      <c r="AJ169" s="84"/>
      <c r="AL169" s="84"/>
      <c r="AP169" s="84"/>
      <c r="AQ169" s="84"/>
      <c r="AR169" s="84"/>
    </row>
    <row r="170" spans="36:44">
      <c r="AJ170" s="84"/>
      <c r="AL170" s="84"/>
      <c r="AP170" s="84"/>
      <c r="AQ170" s="84"/>
      <c r="AR170" s="84"/>
    </row>
    <row r="171" spans="36:44">
      <c r="AJ171" s="84"/>
      <c r="AL171" s="84"/>
      <c r="AP171" s="84"/>
      <c r="AQ171" s="84"/>
      <c r="AR171" s="84"/>
    </row>
    <row r="172" spans="36:44">
      <c r="AJ172" s="84"/>
      <c r="AL172" s="84"/>
      <c r="AP172" s="84"/>
      <c r="AQ172" s="84"/>
      <c r="AR172" s="84"/>
    </row>
    <row r="173" spans="36:44">
      <c r="AJ173" s="84"/>
      <c r="AL173" s="84"/>
      <c r="AP173" s="84"/>
      <c r="AQ173" s="84"/>
      <c r="AR173" s="84"/>
    </row>
    <row r="174" spans="36:44">
      <c r="AJ174" s="84"/>
      <c r="AL174" s="84"/>
      <c r="AP174" s="84"/>
      <c r="AQ174" s="84"/>
      <c r="AR174" s="84"/>
    </row>
    <row r="175" spans="36:44">
      <c r="AJ175" s="84"/>
      <c r="AL175" s="84"/>
      <c r="AP175" s="84"/>
      <c r="AQ175" s="84"/>
      <c r="AR175" s="84"/>
    </row>
    <row r="176" spans="36:44">
      <c r="AJ176" s="84"/>
      <c r="AL176" s="84"/>
      <c r="AP176" s="84"/>
      <c r="AQ176" s="84"/>
      <c r="AR176" s="84"/>
    </row>
    <row r="177" spans="36:44">
      <c r="AJ177" s="84"/>
      <c r="AL177" s="84"/>
      <c r="AP177" s="84"/>
      <c r="AQ177" s="84"/>
      <c r="AR177" s="84"/>
    </row>
    <row r="178" spans="36:44">
      <c r="AJ178" s="84"/>
      <c r="AL178" s="84"/>
      <c r="AP178" s="84"/>
      <c r="AQ178" s="84"/>
      <c r="AR178" s="84"/>
    </row>
    <row r="179" spans="36:44">
      <c r="AJ179" s="84"/>
      <c r="AL179" s="84"/>
      <c r="AP179" s="84"/>
      <c r="AQ179" s="84"/>
      <c r="AR179" s="84"/>
    </row>
    <row r="180" spans="36:44">
      <c r="AJ180" s="84"/>
      <c r="AL180" s="84"/>
      <c r="AP180" s="84"/>
      <c r="AQ180" s="84"/>
      <c r="AR180" s="84"/>
    </row>
    <row r="181" spans="36:44">
      <c r="AJ181" s="84"/>
      <c r="AL181" s="84"/>
      <c r="AP181" s="84"/>
      <c r="AQ181" s="84"/>
      <c r="AR181" s="84"/>
    </row>
    <row r="182" spans="36:44">
      <c r="AJ182" s="84"/>
      <c r="AL182" s="84"/>
      <c r="AP182" s="84"/>
      <c r="AQ182" s="84"/>
      <c r="AR182" s="84"/>
    </row>
    <row r="183" spans="36:44">
      <c r="AJ183" s="84"/>
      <c r="AL183" s="84"/>
      <c r="AP183" s="84"/>
      <c r="AQ183" s="84"/>
      <c r="AR183" s="84"/>
    </row>
    <row r="184" spans="36:44">
      <c r="AJ184" s="84"/>
      <c r="AL184" s="84"/>
      <c r="AP184" s="84"/>
      <c r="AQ184" s="84"/>
      <c r="AR184" s="84"/>
    </row>
    <row r="185" spans="36:44">
      <c r="AJ185" s="84"/>
      <c r="AL185" s="84"/>
      <c r="AP185" s="84"/>
      <c r="AQ185" s="84"/>
      <c r="AR185" s="84"/>
    </row>
    <row r="186" spans="36:44">
      <c r="AJ186" s="84"/>
      <c r="AL186" s="84"/>
      <c r="AP186" s="84"/>
      <c r="AQ186" s="84"/>
      <c r="AR186" s="84"/>
    </row>
    <row r="187" spans="36:44">
      <c r="AJ187" s="84"/>
      <c r="AL187" s="84"/>
      <c r="AP187" s="84"/>
      <c r="AQ187" s="84"/>
      <c r="AR187" s="84"/>
    </row>
    <row r="188" spans="36:44">
      <c r="AJ188" s="84"/>
      <c r="AL188" s="84"/>
      <c r="AP188" s="84"/>
      <c r="AQ188" s="84"/>
      <c r="AR188" s="84"/>
    </row>
    <row r="189" spans="36:44">
      <c r="AJ189" s="84"/>
      <c r="AL189" s="84"/>
      <c r="AP189" s="84"/>
      <c r="AQ189" s="84"/>
      <c r="AR189" s="84"/>
    </row>
    <row r="190" spans="36:44">
      <c r="AJ190" s="84"/>
      <c r="AL190" s="84"/>
      <c r="AP190" s="84"/>
      <c r="AQ190" s="84"/>
      <c r="AR190" s="84"/>
    </row>
    <row r="191" spans="36:44">
      <c r="AJ191" s="84"/>
      <c r="AL191" s="84"/>
      <c r="AP191" s="84"/>
      <c r="AQ191" s="84"/>
      <c r="AR191" s="84"/>
    </row>
    <row r="192" spans="36:44">
      <c r="AJ192" s="84"/>
      <c r="AL192" s="84"/>
      <c r="AP192" s="84"/>
      <c r="AQ192" s="84"/>
      <c r="AR192" s="84"/>
    </row>
    <row r="193" spans="36:44">
      <c r="AJ193" s="84"/>
      <c r="AL193" s="84"/>
      <c r="AP193" s="84"/>
      <c r="AQ193" s="84"/>
      <c r="AR193" s="84"/>
    </row>
    <row r="194" spans="36:44">
      <c r="AJ194" s="84"/>
      <c r="AL194" s="84"/>
      <c r="AP194" s="84"/>
      <c r="AQ194" s="84"/>
      <c r="AR194" s="84"/>
    </row>
    <row r="195" spans="36:44">
      <c r="AJ195" s="84"/>
      <c r="AL195" s="84"/>
      <c r="AP195" s="84"/>
      <c r="AQ195" s="84"/>
      <c r="AR195" s="84"/>
    </row>
    <row r="196" spans="36:44">
      <c r="AJ196" s="84"/>
      <c r="AL196" s="84"/>
      <c r="AP196" s="84"/>
      <c r="AQ196" s="84"/>
      <c r="AR196" s="84"/>
    </row>
    <row r="197" spans="36:44">
      <c r="AJ197" s="84"/>
      <c r="AL197" s="84"/>
      <c r="AP197" s="84"/>
      <c r="AQ197" s="84"/>
      <c r="AR197" s="84"/>
    </row>
    <row r="198" spans="36:44">
      <c r="AJ198" s="84"/>
      <c r="AL198" s="84"/>
      <c r="AP198" s="84"/>
      <c r="AQ198" s="84"/>
      <c r="AR198" s="84"/>
    </row>
    <row r="199" spans="36:44">
      <c r="AJ199" s="84"/>
      <c r="AL199" s="84"/>
      <c r="AP199" s="84"/>
      <c r="AQ199" s="84"/>
      <c r="AR199" s="84"/>
    </row>
    <row r="200" spans="36:44">
      <c r="AJ200" s="84"/>
      <c r="AL200" s="84"/>
      <c r="AP200" s="84"/>
      <c r="AQ200" s="84"/>
      <c r="AR200" s="84"/>
    </row>
    <row r="201" spans="36:44">
      <c r="AJ201" s="84"/>
      <c r="AL201" s="84"/>
      <c r="AP201" s="84"/>
      <c r="AQ201" s="84"/>
    </row>
    <row r="202" spans="36:44">
      <c r="AJ202" s="84"/>
      <c r="AL202" s="84"/>
      <c r="AP202" s="84"/>
      <c r="AQ202" s="84"/>
    </row>
    <row r="203" spans="36:44">
      <c r="AJ203" s="84"/>
      <c r="AL203" s="84"/>
      <c r="AP203" s="84"/>
      <c r="AQ203" s="84"/>
    </row>
    <row r="204" spans="36:44">
      <c r="AJ204" s="84"/>
      <c r="AL204" s="84"/>
      <c r="AP204" s="84"/>
    </row>
    <row r="205" spans="36:44">
      <c r="AJ205" s="84"/>
      <c r="AL205" s="84"/>
    </row>
    <row r="206" spans="36:44">
      <c r="AJ206" s="84"/>
      <c r="AL206" s="84"/>
    </row>
    <row r="207" spans="36:44">
      <c r="AJ207" s="84"/>
      <c r="AL207" s="84"/>
    </row>
    <row r="208" spans="36:44">
      <c r="AJ208" s="84"/>
      <c r="AL208" s="84"/>
    </row>
    <row r="209" spans="36:38">
      <c r="AJ209" s="84"/>
      <c r="AL209" s="84"/>
    </row>
    <row r="210" spans="36:38">
      <c r="AJ210" s="84"/>
      <c r="AL210" s="84"/>
    </row>
    <row r="211" spans="36:38">
      <c r="AJ211" s="84"/>
      <c r="AL211" s="84"/>
    </row>
    <row r="212" spans="36:38">
      <c r="AJ212" s="84"/>
      <c r="AL212" s="84"/>
    </row>
    <row r="213" spans="36:38">
      <c r="AJ213" s="84"/>
      <c r="AL213" s="84"/>
    </row>
    <row r="214" spans="36:38">
      <c r="AJ214" s="84"/>
      <c r="AL214" s="84"/>
    </row>
    <row r="215" spans="36:38">
      <c r="AJ215" s="84"/>
      <c r="AL215" s="84"/>
    </row>
    <row r="216" spans="36:38">
      <c r="AJ216" s="84"/>
      <c r="AL216" s="84"/>
    </row>
    <row r="217" spans="36:38">
      <c r="AJ217" s="84"/>
      <c r="AL217" s="84"/>
    </row>
    <row r="218" spans="36:38">
      <c r="AJ218" s="84"/>
      <c r="AL218" s="84"/>
    </row>
    <row r="219" spans="36:38">
      <c r="AJ219" s="84"/>
      <c r="AL219" s="84"/>
    </row>
    <row r="220" spans="36:38">
      <c r="AJ220" s="84"/>
      <c r="AL220" s="84"/>
    </row>
    <row r="221" spans="36:38">
      <c r="AJ221" s="84"/>
      <c r="AL221" s="84"/>
    </row>
    <row r="222" spans="36:38">
      <c r="AJ222" s="84"/>
    </row>
    <row r="223" spans="36:38">
      <c r="AJ223" s="84"/>
    </row>
    <row r="224" spans="36:38">
      <c r="AJ224" s="84"/>
    </row>
    <row r="225" spans="36:36">
      <c r="AJ225" s="84"/>
    </row>
    <row r="226" spans="36:36">
      <c r="AJ226" s="84"/>
    </row>
    <row r="227" spans="36:36">
      <c r="AJ227" s="84"/>
    </row>
    <row r="228" spans="36:36">
      <c r="AJ228" s="84"/>
    </row>
    <row r="229" spans="36:36">
      <c r="AJ229" s="84"/>
    </row>
    <row r="230" spans="36:36">
      <c r="AJ230" s="84"/>
    </row>
    <row r="231" spans="36:36">
      <c r="AJ231" s="84"/>
    </row>
    <row r="232" spans="36:36">
      <c r="AJ232" s="84"/>
    </row>
    <row r="233" spans="36:36">
      <c r="AJ233" s="84"/>
    </row>
    <row r="234" spans="36:36">
      <c r="AJ234" s="84"/>
    </row>
    <row r="235" spans="36:36">
      <c r="AJ235" s="84"/>
    </row>
    <row r="236" spans="36:36">
      <c r="AJ236" s="84"/>
    </row>
    <row r="237" spans="36:36">
      <c r="AJ237" s="84"/>
    </row>
    <row r="238" spans="36:36">
      <c r="AJ238" s="84"/>
    </row>
    <row r="239" spans="36:36">
      <c r="AJ239" s="84"/>
    </row>
    <row r="240" spans="36:36">
      <c r="AJ240" s="84"/>
    </row>
    <row r="241" spans="36:36">
      <c r="AJ241" s="84"/>
    </row>
    <row r="242" spans="36:36">
      <c r="AJ242" s="84"/>
    </row>
    <row r="243" spans="36:36">
      <c r="AJ243" s="84"/>
    </row>
    <row r="244" spans="36:36">
      <c r="AJ244" s="84"/>
    </row>
    <row r="245" spans="36:36">
      <c r="AJ245" s="84"/>
    </row>
    <row r="246" spans="36:36">
      <c r="AJ246" s="84"/>
    </row>
    <row r="247" spans="36:36">
      <c r="AJ247" s="84"/>
    </row>
    <row r="248" spans="36:36">
      <c r="AJ248" s="84"/>
    </row>
    <row r="249" spans="36:36">
      <c r="AJ249" s="84"/>
    </row>
    <row r="250" spans="36:36">
      <c r="AJ250" s="84"/>
    </row>
    <row r="251" spans="36:36">
      <c r="AJ251" s="84"/>
    </row>
  </sheetData>
  <phoneticPr fontId="1"/>
  <pageMargins left="0.7" right="0.7" top="0.75" bottom="0.75" header="0.3" footer="0.3"/>
  <pageSetup paperSize="9" orientation="portrait" r:id="rId1"/>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AA66"/>
  <sheetViews>
    <sheetView workbookViewId="0">
      <selection activeCell="L29" sqref="L29"/>
    </sheetView>
  </sheetViews>
  <sheetFormatPr defaultColWidth="8.7109375" defaultRowHeight="15"/>
  <cols>
    <col min="1" max="1" width="18.42578125" style="3" customWidth="1"/>
    <col min="2" max="3" width="8.7109375" style="3"/>
    <col min="4" max="4" width="5" style="1" bestFit="1" customWidth="1"/>
    <col min="5" max="5" width="5.42578125" style="1" bestFit="1" customWidth="1"/>
    <col min="6" max="7" width="5.42578125" style="1" customWidth="1"/>
    <col min="8" max="8" width="4.5703125" style="1" bestFit="1" customWidth="1"/>
    <col min="9" max="9" width="6.42578125" style="1" bestFit="1" customWidth="1"/>
    <col min="10" max="14" width="8.7109375" style="1"/>
    <col min="15" max="15" width="10.7109375" style="1" bestFit="1" customWidth="1"/>
    <col min="16" max="16384" width="8.7109375" style="1"/>
  </cols>
  <sheetData>
    <row r="1" spans="1:15">
      <c r="A1" s="3" t="s">
        <v>935</v>
      </c>
    </row>
    <row r="2" spans="1:15">
      <c r="A2" s="3" t="s">
        <v>936</v>
      </c>
      <c r="B2" s="3" t="s">
        <v>895</v>
      </c>
      <c r="D2" s="1" t="s">
        <v>895</v>
      </c>
    </row>
    <row r="3" spans="1:15">
      <c r="A3" s="3" t="s">
        <v>937</v>
      </c>
      <c r="B3" s="3" t="s">
        <v>897</v>
      </c>
      <c r="C3" s="3">
        <v>4.5999999999999999E-2</v>
      </c>
      <c r="D3" s="3" t="s">
        <v>898</v>
      </c>
      <c r="E3" s="3">
        <v>0.08</v>
      </c>
      <c r="F3" s="3" t="s">
        <v>895</v>
      </c>
      <c r="G3" s="3"/>
    </row>
    <row r="4" spans="1:15">
      <c r="A4" s="20" t="s">
        <v>938</v>
      </c>
      <c r="B4" s="3" t="s">
        <v>895</v>
      </c>
    </row>
    <row r="6" spans="1:15">
      <c r="A6" s="3" t="s">
        <v>1302</v>
      </c>
      <c r="C6" s="3" t="s">
        <v>900</v>
      </c>
    </row>
    <row r="7" spans="1:15">
      <c r="A7" s="3" t="s">
        <v>304</v>
      </c>
      <c r="B7" s="3" t="s">
        <v>901</v>
      </c>
      <c r="C7" s="3">
        <v>395.99200000000002</v>
      </c>
      <c r="H7" s="16" t="s">
        <v>110</v>
      </c>
      <c r="I7" s="15"/>
      <c r="J7" s="15" t="str">
        <f>CONCATENATE(A6, ": 112 Position")</f>
        <v>JHV723EJ: 112 Position</v>
      </c>
      <c r="K7" s="15"/>
      <c r="L7" s="15"/>
      <c r="M7" s="15"/>
      <c r="N7" s="15"/>
      <c r="O7" s="15"/>
    </row>
    <row r="8" spans="1:15">
      <c r="A8" s="3" t="s">
        <v>939</v>
      </c>
      <c r="B8" s="3" t="s">
        <v>903</v>
      </c>
      <c r="C8" s="3">
        <v>0</v>
      </c>
      <c r="H8" s="21">
        <v>1</v>
      </c>
      <c r="I8" s="21">
        <v>0</v>
      </c>
      <c r="J8" s="15">
        <v>1</v>
      </c>
      <c r="K8" s="15">
        <f ca="1">OFFSET($C$6, 3*J8, 0)</f>
        <v>-142.29300000000001</v>
      </c>
      <c r="L8" s="15"/>
      <c r="M8" s="15"/>
      <c r="N8" s="15"/>
      <c r="O8" s="15"/>
    </row>
    <row r="9" spans="1:15">
      <c r="A9" s="20" t="s">
        <v>940</v>
      </c>
      <c r="B9" s="3" t="s">
        <v>165</v>
      </c>
      <c r="C9" s="3">
        <v>-142.29300000000001</v>
      </c>
      <c r="H9" s="21">
        <v>2</v>
      </c>
      <c r="I9" s="21">
        <f>I8+360/16</f>
        <v>22.5</v>
      </c>
      <c r="J9" s="15">
        <v>16</v>
      </c>
      <c r="K9" s="15">
        <f t="shared" ref="K9:K24" ca="1" si="0">OFFSET($C$6, 3*J9, 0)</f>
        <v>-142.31700000000001</v>
      </c>
      <c r="L9" s="15"/>
      <c r="M9" s="15"/>
      <c r="N9" s="15"/>
      <c r="O9" s="15"/>
    </row>
    <row r="10" spans="1:15">
      <c r="A10" s="3" t="s">
        <v>304</v>
      </c>
      <c r="B10" s="3" t="s">
        <v>901</v>
      </c>
      <c r="C10" s="3">
        <v>395.98</v>
      </c>
      <c r="H10" s="21">
        <v>3</v>
      </c>
      <c r="I10" s="21">
        <f t="shared" ref="I10:I24" si="1">I9+360/16</f>
        <v>45</v>
      </c>
      <c r="J10" s="15">
        <v>15</v>
      </c>
      <c r="K10" s="15">
        <f t="shared" ca="1" si="0"/>
        <v>-142.315</v>
      </c>
      <c r="L10" s="15"/>
      <c r="M10" s="15"/>
      <c r="N10" s="15"/>
      <c r="O10" s="15"/>
    </row>
    <row r="11" spans="1:15">
      <c r="A11" s="3" t="s">
        <v>941</v>
      </c>
      <c r="B11" s="3" t="s">
        <v>903</v>
      </c>
      <c r="C11" s="3">
        <v>1E-3</v>
      </c>
      <c r="H11" s="21">
        <v>4</v>
      </c>
      <c r="I11" s="21">
        <f t="shared" si="1"/>
        <v>67.5</v>
      </c>
      <c r="J11" s="15">
        <v>14</v>
      </c>
      <c r="K11" s="15">
        <f t="shared" ca="1" si="0"/>
        <v>-142.30799999999999</v>
      </c>
      <c r="L11" s="15"/>
      <c r="M11" s="15"/>
      <c r="N11" s="15"/>
      <c r="O11" s="15"/>
    </row>
    <row r="12" spans="1:15">
      <c r="A12" s="20" t="s">
        <v>291</v>
      </c>
      <c r="B12" s="3" t="s">
        <v>165</v>
      </c>
      <c r="C12" s="3">
        <v>-142.274</v>
      </c>
      <c r="H12" s="21">
        <v>5</v>
      </c>
      <c r="I12" s="21">
        <f t="shared" si="1"/>
        <v>90</v>
      </c>
      <c r="J12" s="15">
        <v>13</v>
      </c>
      <c r="K12" s="15">
        <f t="shared" ca="1" si="0"/>
        <v>-142.298</v>
      </c>
      <c r="L12" s="15"/>
      <c r="M12" s="15"/>
      <c r="N12" s="15"/>
      <c r="O12" s="15"/>
    </row>
    <row r="13" spans="1:15">
      <c r="A13" s="3" t="s">
        <v>304</v>
      </c>
      <c r="B13" s="3" t="s">
        <v>901</v>
      </c>
      <c r="C13" s="3">
        <v>395.99400000000003</v>
      </c>
      <c r="H13" s="21">
        <v>6</v>
      </c>
      <c r="I13" s="21">
        <f t="shared" si="1"/>
        <v>112.5</v>
      </c>
      <c r="J13" s="15">
        <v>12</v>
      </c>
      <c r="K13" s="15">
        <f t="shared" ca="1" si="0"/>
        <v>-142.304</v>
      </c>
      <c r="L13" s="15"/>
      <c r="M13" s="15"/>
      <c r="N13" s="15"/>
      <c r="O13" s="15"/>
    </row>
    <row r="14" spans="1:15">
      <c r="A14" s="3" t="s">
        <v>942</v>
      </c>
      <c r="B14" s="3" t="s">
        <v>903</v>
      </c>
      <c r="C14" s="3">
        <v>-2E-3</v>
      </c>
      <c r="H14" s="21">
        <v>7</v>
      </c>
      <c r="I14" s="21">
        <f t="shared" si="1"/>
        <v>135</v>
      </c>
      <c r="J14" s="15">
        <v>11</v>
      </c>
      <c r="K14" s="15">
        <f t="shared" ca="1" si="0"/>
        <v>-142.30000000000001</v>
      </c>
      <c r="L14" s="15"/>
      <c r="M14" s="15"/>
      <c r="N14" s="15"/>
      <c r="O14" s="15"/>
    </row>
    <row r="15" spans="1:15">
      <c r="A15" s="20" t="s">
        <v>943</v>
      </c>
      <c r="B15" s="3" t="s">
        <v>165</v>
      </c>
      <c r="C15" s="3">
        <v>-142.26900000000001</v>
      </c>
      <c r="H15" s="21">
        <v>8</v>
      </c>
      <c r="I15" s="21">
        <f t="shared" si="1"/>
        <v>157.5</v>
      </c>
      <c r="J15" s="15">
        <v>10</v>
      </c>
      <c r="K15" s="15">
        <f t="shared" ca="1" si="0"/>
        <v>-142.298</v>
      </c>
      <c r="L15" s="15"/>
      <c r="M15" s="15"/>
      <c r="N15" s="15"/>
      <c r="O15" s="15"/>
    </row>
    <row r="16" spans="1:15">
      <c r="A16" s="3" t="s">
        <v>304</v>
      </c>
      <c r="B16" s="3" t="s">
        <v>901</v>
      </c>
      <c r="C16" s="3">
        <v>396.03500000000003</v>
      </c>
      <c r="H16" s="21">
        <v>9</v>
      </c>
      <c r="I16" s="21">
        <f t="shared" si="1"/>
        <v>180</v>
      </c>
      <c r="J16" s="15">
        <v>9</v>
      </c>
      <c r="K16" s="15">
        <f t="shared" ca="1" si="0"/>
        <v>-142.286</v>
      </c>
      <c r="L16" s="15"/>
      <c r="M16" s="15"/>
      <c r="N16" s="15"/>
      <c r="O16" s="15"/>
    </row>
    <row r="17" spans="1:16">
      <c r="A17" s="3" t="s">
        <v>944</v>
      </c>
      <c r="B17" s="3" t="s">
        <v>903</v>
      </c>
      <c r="C17" s="3">
        <v>2E-3</v>
      </c>
      <c r="H17" s="21">
        <v>10</v>
      </c>
      <c r="I17" s="21">
        <f t="shared" si="1"/>
        <v>202.5</v>
      </c>
      <c r="J17" s="15">
        <v>8</v>
      </c>
      <c r="K17" s="15">
        <f t="shared" ca="1" si="0"/>
        <v>-142.27500000000001</v>
      </c>
      <c r="L17" s="15"/>
      <c r="M17" s="15"/>
      <c r="N17" s="15"/>
      <c r="O17" s="15"/>
    </row>
    <row r="18" spans="1:16">
      <c r="A18" s="20" t="s">
        <v>945</v>
      </c>
      <c r="B18" s="3" t="s">
        <v>165</v>
      </c>
      <c r="C18" s="3">
        <v>-142.292</v>
      </c>
      <c r="H18" s="21">
        <v>11</v>
      </c>
      <c r="I18" s="21">
        <f t="shared" si="1"/>
        <v>225</v>
      </c>
      <c r="J18" s="15">
        <v>7</v>
      </c>
      <c r="K18" s="15">
        <f t="shared" ca="1" si="0"/>
        <v>-142.28700000000001</v>
      </c>
      <c r="L18" s="15"/>
      <c r="M18" s="15"/>
      <c r="N18" s="15"/>
      <c r="O18" s="15"/>
    </row>
    <row r="19" spans="1:16">
      <c r="A19" s="3" t="s">
        <v>304</v>
      </c>
      <c r="B19" s="3" t="s">
        <v>901</v>
      </c>
      <c r="C19" s="3">
        <v>396.05500000000001</v>
      </c>
      <c r="H19" s="21">
        <v>12</v>
      </c>
      <c r="I19" s="21">
        <f t="shared" si="1"/>
        <v>247.5</v>
      </c>
      <c r="J19" s="15">
        <v>6</v>
      </c>
      <c r="K19" s="15">
        <f t="shared" ca="1" si="0"/>
        <v>-142.309</v>
      </c>
      <c r="L19" s="15"/>
      <c r="M19" s="15"/>
      <c r="N19" s="15"/>
      <c r="O19" s="15"/>
    </row>
    <row r="20" spans="1:16">
      <c r="A20" s="3" t="s">
        <v>946</v>
      </c>
      <c r="B20" s="3" t="s">
        <v>903</v>
      </c>
      <c r="C20" s="3">
        <v>0</v>
      </c>
      <c r="H20" s="21">
        <v>13</v>
      </c>
      <c r="I20" s="21">
        <f t="shared" si="1"/>
        <v>270</v>
      </c>
      <c r="J20" s="15">
        <v>5</v>
      </c>
      <c r="K20" s="15">
        <f t="shared" ca="1" si="0"/>
        <v>-142.31200000000001</v>
      </c>
      <c r="L20" s="15"/>
      <c r="M20" s="15"/>
      <c r="N20" s="15"/>
      <c r="O20" s="15"/>
    </row>
    <row r="21" spans="1:16">
      <c r="A21" s="20" t="s">
        <v>947</v>
      </c>
      <c r="B21" s="3" t="s">
        <v>165</v>
      </c>
      <c r="C21" s="3">
        <v>-142.31200000000001</v>
      </c>
      <c r="H21" s="21">
        <v>14</v>
      </c>
      <c r="I21" s="21">
        <f t="shared" si="1"/>
        <v>292.5</v>
      </c>
      <c r="J21" s="15">
        <v>4</v>
      </c>
      <c r="K21" s="15">
        <f t="shared" ca="1" si="0"/>
        <v>-142.292</v>
      </c>
      <c r="L21" s="15"/>
      <c r="M21" s="15"/>
      <c r="N21" s="15"/>
      <c r="O21" s="15"/>
    </row>
    <row r="22" spans="1:16">
      <c r="A22" s="3" t="s">
        <v>304</v>
      </c>
      <c r="B22" s="3" t="s">
        <v>901</v>
      </c>
      <c r="C22" s="3">
        <v>396.06</v>
      </c>
      <c r="H22" s="21">
        <v>15</v>
      </c>
      <c r="I22" s="21">
        <f t="shared" si="1"/>
        <v>315</v>
      </c>
      <c r="J22" s="15">
        <v>3</v>
      </c>
      <c r="K22" s="15">
        <f t="shared" ca="1" si="0"/>
        <v>-142.26900000000001</v>
      </c>
      <c r="L22" s="15"/>
      <c r="M22" s="15"/>
      <c r="N22" s="15"/>
      <c r="O22" s="15"/>
    </row>
    <row r="23" spans="1:16">
      <c r="A23" s="3" t="s">
        <v>948</v>
      </c>
      <c r="B23" s="3" t="s">
        <v>903</v>
      </c>
      <c r="C23" s="3">
        <v>-1E-3</v>
      </c>
      <c r="H23" s="21">
        <v>16</v>
      </c>
      <c r="I23" s="21">
        <f t="shared" si="1"/>
        <v>337.5</v>
      </c>
      <c r="J23" s="15">
        <v>2</v>
      </c>
      <c r="K23" s="15">
        <f t="shared" ca="1" si="0"/>
        <v>-142.274</v>
      </c>
      <c r="L23" s="15"/>
      <c r="M23" s="15"/>
      <c r="N23" s="15"/>
      <c r="O23" s="15"/>
    </row>
    <row r="24" spans="1:16">
      <c r="A24" s="20" t="s">
        <v>949</v>
      </c>
      <c r="B24" s="3" t="s">
        <v>165</v>
      </c>
      <c r="C24" s="3">
        <v>-142.309</v>
      </c>
      <c r="H24" s="21">
        <v>17</v>
      </c>
      <c r="I24" s="21">
        <f t="shared" si="1"/>
        <v>360</v>
      </c>
      <c r="J24" s="15">
        <v>1</v>
      </c>
      <c r="K24" s="15">
        <f t="shared" ca="1" si="0"/>
        <v>-142.29300000000001</v>
      </c>
      <c r="L24" s="15"/>
      <c r="N24" s="15"/>
      <c r="O24" s="15"/>
    </row>
    <row r="25" spans="1:16">
      <c r="A25" s="3" t="s">
        <v>304</v>
      </c>
      <c r="B25" s="3" t="s">
        <v>901</v>
      </c>
      <c r="C25" s="3">
        <v>396.01600000000002</v>
      </c>
      <c r="H25" s="15"/>
      <c r="I25" s="15"/>
      <c r="J25" s="15"/>
      <c r="K25" s="15"/>
      <c r="L25" s="15"/>
      <c r="M25" s="15"/>
      <c r="N25" s="15"/>
    </row>
    <row r="26" spans="1:16">
      <c r="A26" s="3" t="s">
        <v>950</v>
      </c>
      <c r="B26" s="3" t="s">
        <v>903</v>
      </c>
      <c r="C26" s="3">
        <v>0</v>
      </c>
      <c r="H26" s="15"/>
      <c r="I26" s="15"/>
      <c r="J26" s="15" t="s">
        <v>112</v>
      </c>
      <c r="K26" s="15">
        <f ca="1">MAX(K8:K24)</f>
        <v>-142.26900000000001</v>
      </c>
      <c r="L26" s="15"/>
      <c r="M26" s="15"/>
      <c r="N26" s="15"/>
      <c r="O26" s="15"/>
    </row>
    <row r="27" spans="1:16">
      <c r="A27" s="20" t="s">
        <v>951</v>
      </c>
      <c r="B27" s="3" t="s">
        <v>165</v>
      </c>
      <c r="C27" s="3">
        <v>-142.28700000000001</v>
      </c>
      <c r="H27" s="15"/>
      <c r="I27" s="15"/>
      <c r="J27" s="15" t="s">
        <v>113</v>
      </c>
      <c r="K27" s="15">
        <f ca="1">MIN(K8:K24)</f>
        <v>-142.31700000000001</v>
      </c>
      <c r="L27" s="15"/>
      <c r="M27" s="15" t="s">
        <v>111</v>
      </c>
      <c r="N27" s="15"/>
      <c r="O27" s="15"/>
    </row>
    <row r="28" spans="1:16">
      <c r="A28" s="3" t="s">
        <v>304</v>
      </c>
      <c r="B28" s="3" t="s">
        <v>901</v>
      </c>
      <c r="C28" s="3">
        <v>395.99900000000002</v>
      </c>
      <c r="H28" s="15"/>
      <c r="I28" s="15"/>
      <c r="J28" s="15"/>
      <c r="K28" s="15"/>
      <c r="L28" s="15"/>
      <c r="M28" s="15"/>
      <c r="N28" s="15"/>
      <c r="O28" s="15"/>
    </row>
    <row r="29" spans="1:16">
      <c r="A29" s="3" t="s">
        <v>952</v>
      </c>
      <c r="B29" s="3" t="s">
        <v>903</v>
      </c>
      <c r="C29" s="3">
        <v>0</v>
      </c>
      <c r="H29" s="15"/>
      <c r="I29" s="15"/>
      <c r="J29" s="15" t="s">
        <v>114</v>
      </c>
      <c r="K29" s="15">
        <f ca="1">K26-K27</f>
        <v>4.8000000000001819E-2</v>
      </c>
      <c r="L29" s="15" t="str">
        <f ca="1">IF(K29&gt;E3, "O/Max "&amp;TEXT(K29-E3, "0.000"), "-")</f>
        <v>-</v>
      </c>
      <c r="M29" s="15"/>
      <c r="N29" s="15"/>
      <c r="O29" s="15"/>
    </row>
    <row r="30" spans="1:16">
      <c r="A30" s="20" t="s">
        <v>953</v>
      </c>
      <c r="B30" s="3" t="s">
        <v>165</v>
      </c>
      <c r="C30" s="3">
        <v>-142.27500000000001</v>
      </c>
      <c r="H30" s="15"/>
      <c r="I30" s="15"/>
      <c r="J30" s="15"/>
      <c r="K30" s="15"/>
      <c r="L30" s="15"/>
      <c r="M30" s="15"/>
      <c r="N30" s="15"/>
      <c r="O30" s="15"/>
    </row>
    <row r="31" spans="1:16">
      <c r="A31" s="3" t="s">
        <v>304</v>
      </c>
      <c r="B31" s="3" t="s">
        <v>901</v>
      </c>
      <c r="C31" s="3">
        <v>395.99</v>
      </c>
      <c r="H31" s="15"/>
      <c r="I31" s="15"/>
      <c r="J31" s="15"/>
      <c r="K31" s="15"/>
      <c r="L31" s="15"/>
      <c r="M31" s="15"/>
      <c r="N31" s="15"/>
      <c r="O31" s="15"/>
    </row>
    <row r="32" spans="1:16">
      <c r="A32" s="3" t="s">
        <v>954</v>
      </c>
      <c r="B32" s="3" t="s">
        <v>903</v>
      </c>
      <c r="C32" s="3">
        <v>0</v>
      </c>
      <c r="H32" s="21"/>
      <c r="I32" s="21" t="s">
        <v>115</v>
      </c>
      <c r="J32" s="21"/>
      <c r="K32" s="21"/>
      <c r="L32" s="21" t="s">
        <v>116</v>
      </c>
      <c r="M32" s="21">
        <v>20</v>
      </c>
      <c r="N32" s="21" t="s">
        <v>117</v>
      </c>
      <c r="O32" s="21">
        <v>-7.55</v>
      </c>
      <c r="P32" s="19" t="s">
        <v>118</v>
      </c>
    </row>
    <row r="33" spans="1:21">
      <c r="A33" s="20" t="s">
        <v>955</v>
      </c>
      <c r="B33" s="3" t="s">
        <v>165</v>
      </c>
      <c r="C33" s="3">
        <v>-142.286</v>
      </c>
      <c r="H33" s="21"/>
      <c r="I33" s="21"/>
      <c r="J33" s="19" t="s">
        <v>119</v>
      </c>
      <c r="L33" s="15" t="s">
        <v>120</v>
      </c>
      <c r="M33" s="16" t="s">
        <v>121</v>
      </c>
      <c r="N33" s="16" t="s">
        <v>122</v>
      </c>
      <c r="O33" s="16" t="s">
        <v>123</v>
      </c>
      <c r="P33" s="16" t="s">
        <v>124</v>
      </c>
      <c r="S33" s="15" t="s">
        <v>154</v>
      </c>
    </row>
    <row r="34" spans="1:21">
      <c r="A34" s="3" t="s">
        <v>304</v>
      </c>
      <c r="B34" s="3" t="s">
        <v>901</v>
      </c>
      <c r="C34" s="3">
        <v>396.00599999999997</v>
      </c>
      <c r="H34" s="21"/>
      <c r="I34" s="19" t="s">
        <v>125</v>
      </c>
      <c r="J34" s="19" t="s">
        <v>126</v>
      </c>
      <c r="K34" s="19" t="s">
        <v>127</v>
      </c>
      <c r="L34" s="19" t="s">
        <v>128</v>
      </c>
      <c r="M34" s="16" t="s">
        <v>129</v>
      </c>
      <c r="N34" s="16" t="s">
        <v>126</v>
      </c>
      <c r="O34" s="16" t="s">
        <v>128</v>
      </c>
      <c r="Q34" s="25"/>
      <c r="R34" s="25"/>
      <c r="S34" s="34" t="s">
        <v>155</v>
      </c>
      <c r="T34" s="19" t="s">
        <v>156</v>
      </c>
    </row>
    <row r="35" spans="1:21">
      <c r="A35" s="3" t="s">
        <v>292</v>
      </c>
      <c r="B35" s="3" t="s">
        <v>903</v>
      </c>
      <c r="C35" s="3">
        <v>0</v>
      </c>
      <c r="H35" s="21"/>
      <c r="I35" s="21">
        <v>1</v>
      </c>
      <c r="J35" s="26">
        <f>IF($O$32&lt;0, 360+$O$32, $O$32)</f>
        <v>352.45</v>
      </c>
      <c r="K35" s="27">
        <f>MATCH($J35, $I$8:$I$24, 1)</f>
        <v>16</v>
      </c>
      <c r="L35" s="21">
        <f ca="1">VLOOKUP(K35, $H$8:$K$24, 4, FALSE)</f>
        <v>-142.274</v>
      </c>
      <c r="M35" s="28">
        <f t="shared" ref="M35:M52" ca="1" si="2">(VLOOKUP(K35+1, $H$8:$K$24, 4, FALSE) - VLOOKUP(K35, $H$8:$K$24, 4, FALSE))/(VLOOKUP(K35+1, $H$8:$K$24, 2, FALSE) - VLOOKUP(K35, $H$8:$K$24, 2, FALSE))</f>
        <v>-8.4444444444468697E-4</v>
      </c>
      <c r="N35" s="29">
        <f t="shared" ref="N35:N52" si="3">J35-VLOOKUP(K35, $H$8:$I$24, 2, FALSE)</f>
        <v>14.949999999999989</v>
      </c>
      <c r="O35" s="30">
        <f t="shared" ref="O35:O52" ca="1" si="4">L35+M35*N35</f>
        <v>-142.28662444444444</v>
      </c>
      <c r="P35" s="31">
        <f ca="1">ABS(O36-O35)</f>
        <v>1.9655555555573301E-2</v>
      </c>
      <c r="Q35" s="29">
        <f>J35</f>
        <v>352.45</v>
      </c>
      <c r="R35" s="25"/>
      <c r="S35" s="15">
        <f ca="1">VLOOKUP($P$54, $P$35:$Q$52, 2,FALSE)</f>
        <v>292.45</v>
      </c>
      <c r="T35" s="15">
        <f ca="1">VLOOKUP(S35, $J$35:$O$52, 6, FALSE)</f>
        <v>-142.29204444444446</v>
      </c>
    </row>
    <row r="36" spans="1:21">
      <c r="A36" s="20" t="s">
        <v>956</v>
      </c>
      <c r="B36" s="3" t="s">
        <v>165</v>
      </c>
      <c r="C36" s="3">
        <v>-142.298</v>
      </c>
      <c r="H36" s="21"/>
      <c r="I36" s="21">
        <v>18</v>
      </c>
      <c r="J36" s="26">
        <f t="shared" ref="J36:J52" si="5">IF(J35+$M$32&gt;360, J35+$M$32-360, J35+$M$32)</f>
        <v>12.449999999999989</v>
      </c>
      <c r="K36" s="27">
        <f t="shared" ref="K36:K52" si="6">MATCH($J36, $I$8:$I$24, 1)</f>
        <v>1</v>
      </c>
      <c r="L36" s="21">
        <f t="shared" ref="L36:L52" ca="1" si="7">VLOOKUP(K36, $H$8:$K$24, 4, FALSE)</f>
        <v>-142.29300000000001</v>
      </c>
      <c r="M36" s="28">
        <f t="shared" ca="1" si="2"/>
        <v>-1.0666666666667071E-3</v>
      </c>
      <c r="N36" s="32">
        <f t="shared" si="3"/>
        <v>12.449999999999989</v>
      </c>
      <c r="O36" s="30">
        <f t="shared" ca="1" si="4"/>
        <v>-142.30628000000002</v>
      </c>
      <c r="P36" s="31">
        <f t="shared" ref="P36:P51" ca="1" si="8">ABS(O37-O36)</f>
        <v>9.8355555555542651E-3</v>
      </c>
      <c r="Q36" s="29">
        <f t="shared" ref="Q36:Q52" si="9">J36</f>
        <v>12.449999999999989</v>
      </c>
      <c r="R36" s="25"/>
      <c r="S36" s="15">
        <f ca="1">S35</f>
        <v>292.45</v>
      </c>
      <c r="T36" s="15">
        <f ca="1">T37</f>
        <v>-142.27160666666668</v>
      </c>
    </row>
    <row r="37" spans="1:21">
      <c r="A37" s="3" t="s">
        <v>304</v>
      </c>
      <c r="B37" s="3" t="s">
        <v>901</v>
      </c>
      <c r="C37" s="3">
        <v>396.01100000000002</v>
      </c>
      <c r="H37" s="21"/>
      <c r="I37" s="21">
        <v>17</v>
      </c>
      <c r="J37" s="26">
        <f t="shared" si="5"/>
        <v>32.449999999999989</v>
      </c>
      <c r="K37" s="27">
        <f t="shared" si="6"/>
        <v>2</v>
      </c>
      <c r="L37" s="21">
        <f t="shared" ca="1" si="7"/>
        <v>-142.31700000000001</v>
      </c>
      <c r="M37" s="28">
        <f t="shared" ca="1" si="2"/>
        <v>8.8888888889313318E-5</v>
      </c>
      <c r="N37" s="32">
        <f t="shared" si="3"/>
        <v>9.9499999999999886</v>
      </c>
      <c r="O37" s="30">
        <f t="shared" ca="1" si="4"/>
        <v>-142.31611555555557</v>
      </c>
      <c r="P37" s="31">
        <f t="shared" ca="1" si="8"/>
        <v>3.433333333362043E-3</v>
      </c>
      <c r="Q37" s="29">
        <f t="shared" si="9"/>
        <v>32.449999999999989</v>
      </c>
      <c r="S37" s="15">
        <f ca="1">IF(MATCH($P$54, $P$35:$P$52, 0)=18, OFFSET($Q$34,1,0), OFFSET($Q$34, MATCH($P$54, $P$35:$P$52, 0)+1, 0))</f>
        <v>312.45</v>
      </c>
      <c r="T37" s="15">
        <f ca="1">VLOOKUP(S37, $J$35:$O$57, 6, FALSE)</f>
        <v>-142.27160666666668</v>
      </c>
    </row>
    <row r="38" spans="1:21">
      <c r="A38" s="3" t="s">
        <v>957</v>
      </c>
      <c r="B38" s="3" t="s">
        <v>903</v>
      </c>
      <c r="C38" s="3">
        <v>0</v>
      </c>
      <c r="H38" s="21"/>
      <c r="I38" s="21">
        <v>16</v>
      </c>
      <c r="J38" s="26">
        <f t="shared" si="5"/>
        <v>52.449999999999989</v>
      </c>
      <c r="K38" s="27">
        <f t="shared" si="6"/>
        <v>3</v>
      </c>
      <c r="L38" s="21">
        <f t="shared" ca="1" si="7"/>
        <v>-142.315</v>
      </c>
      <c r="M38" s="28">
        <f t="shared" ca="1" si="2"/>
        <v>3.1111111111133344E-4</v>
      </c>
      <c r="N38" s="32">
        <f t="shared" si="3"/>
        <v>7.4499999999999886</v>
      </c>
      <c r="O38" s="30">
        <f t="shared" ca="1" si="4"/>
        <v>-142.31268222222221</v>
      </c>
      <c r="P38" s="31">
        <f t="shared" ca="1" si="8"/>
        <v>6.882222222202472E-3</v>
      </c>
      <c r="Q38" s="29">
        <f t="shared" si="9"/>
        <v>52.449999999999989</v>
      </c>
      <c r="R38" s="25"/>
      <c r="S38" s="25"/>
    </row>
    <row r="39" spans="1:21">
      <c r="A39" s="20" t="s">
        <v>958</v>
      </c>
      <c r="B39" s="3" t="s">
        <v>165</v>
      </c>
      <c r="C39" s="3">
        <v>-142.30000000000001</v>
      </c>
      <c r="H39" s="21"/>
      <c r="I39" s="21">
        <v>15</v>
      </c>
      <c r="J39" s="26">
        <f t="shared" si="5"/>
        <v>72.449999999999989</v>
      </c>
      <c r="K39" s="27">
        <f t="shared" si="6"/>
        <v>4</v>
      </c>
      <c r="L39" s="21">
        <f t="shared" ca="1" si="7"/>
        <v>-142.30799999999999</v>
      </c>
      <c r="M39" s="28">
        <f t="shared" ca="1" si="2"/>
        <v>4.4444444444404022E-4</v>
      </c>
      <c r="N39" s="32">
        <f t="shared" si="3"/>
        <v>4.9499999999999886</v>
      </c>
      <c r="O39" s="30">
        <f t="shared" ca="1" si="4"/>
        <v>-142.3058</v>
      </c>
      <c r="P39" s="31">
        <f t="shared" ca="1" si="8"/>
        <v>7.1466666666708534E-3</v>
      </c>
      <c r="Q39" s="29">
        <f t="shared" si="9"/>
        <v>72.449999999999989</v>
      </c>
      <c r="R39" s="25"/>
      <c r="S39" s="25"/>
    </row>
    <row r="40" spans="1:21">
      <c r="A40" s="3" t="s">
        <v>304</v>
      </c>
      <c r="B40" s="3" t="s">
        <v>901</v>
      </c>
      <c r="C40" s="3">
        <v>396.03899999999999</v>
      </c>
      <c r="H40" s="21"/>
      <c r="I40" s="21">
        <v>14</v>
      </c>
      <c r="J40" s="26">
        <f t="shared" si="5"/>
        <v>92.449999999999989</v>
      </c>
      <c r="K40" s="27">
        <f t="shared" si="6"/>
        <v>5</v>
      </c>
      <c r="L40" s="21">
        <f t="shared" ca="1" si="7"/>
        <v>-142.298</v>
      </c>
      <c r="M40" s="28">
        <f t="shared" ca="1" si="2"/>
        <v>-2.6666666666667676E-4</v>
      </c>
      <c r="N40" s="32">
        <f t="shared" si="3"/>
        <v>2.4499999999999886</v>
      </c>
      <c r="O40" s="30">
        <f t="shared" ca="1" si="4"/>
        <v>-142.29865333333333</v>
      </c>
      <c r="P40" s="31">
        <f t="shared" ca="1" si="8"/>
        <v>5.3333333333398514E-3</v>
      </c>
      <c r="Q40" s="29">
        <f t="shared" si="9"/>
        <v>92.449999999999989</v>
      </c>
      <c r="S40" s="25"/>
    </row>
    <row r="41" spans="1:21">
      <c r="A41" s="3" t="s">
        <v>293</v>
      </c>
      <c r="B41" s="3" t="s">
        <v>903</v>
      </c>
      <c r="C41" s="3">
        <v>0</v>
      </c>
      <c r="H41" s="21"/>
      <c r="I41" s="21">
        <v>13</v>
      </c>
      <c r="J41" s="26">
        <f t="shared" si="5"/>
        <v>112.44999999999999</v>
      </c>
      <c r="K41" s="27">
        <f t="shared" si="6"/>
        <v>5</v>
      </c>
      <c r="L41" s="21">
        <f t="shared" ca="1" si="7"/>
        <v>-142.298</v>
      </c>
      <c r="M41" s="28">
        <f t="shared" ca="1" si="2"/>
        <v>-2.6666666666667676E-4</v>
      </c>
      <c r="N41" s="32">
        <f t="shared" si="3"/>
        <v>22.449999999999989</v>
      </c>
      <c r="O41" s="30">
        <f t="shared" ca="1" si="4"/>
        <v>-142.30398666666667</v>
      </c>
      <c r="P41" s="31">
        <f t="shared" ca="1" si="8"/>
        <v>3.533333333336941E-3</v>
      </c>
      <c r="Q41" s="29">
        <f t="shared" si="9"/>
        <v>112.44999999999999</v>
      </c>
      <c r="R41" s="25"/>
      <c r="U41" s="25" t="s">
        <v>130</v>
      </c>
    </row>
    <row r="42" spans="1:21">
      <c r="A42" s="20" t="s">
        <v>959</v>
      </c>
      <c r="B42" s="3" t="s">
        <v>165</v>
      </c>
      <c r="C42" s="3">
        <v>-142.304</v>
      </c>
      <c r="H42" s="21"/>
      <c r="I42" s="21">
        <v>12</v>
      </c>
      <c r="J42" s="26">
        <f t="shared" si="5"/>
        <v>132.44999999999999</v>
      </c>
      <c r="K42" s="27">
        <f t="shared" si="6"/>
        <v>6</v>
      </c>
      <c r="L42" s="21">
        <f t="shared" ca="1" si="7"/>
        <v>-142.304</v>
      </c>
      <c r="M42" s="28">
        <f t="shared" ca="1" si="2"/>
        <v>1.7777777777736346E-4</v>
      </c>
      <c r="N42" s="32">
        <f t="shared" si="3"/>
        <v>19.949999999999989</v>
      </c>
      <c r="O42" s="30">
        <f t="shared" ca="1" si="4"/>
        <v>-142.30045333333334</v>
      </c>
      <c r="P42" s="31">
        <f t="shared" ca="1" si="8"/>
        <v>2.0044444444522469E-3</v>
      </c>
      <c r="Q42" s="29">
        <f t="shared" si="9"/>
        <v>132.44999999999999</v>
      </c>
      <c r="R42" s="25"/>
      <c r="S42" s="25"/>
    </row>
    <row r="43" spans="1:21">
      <c r="A43" s="3" t="s">
        <v>304</v>
      </c>
      <c r="B43" s="3" t="s">
        <v>901</v>
      </c>
      <c r="C43" s="3">
        <v>396.03500000000003</v>
      </c>
      <c r="H43" s="21"/>
      <c r="I43" s="21">
        <v>11</v>
      </c>
      <c r="J43" s="26">
        <f t="shared" si="5"/>
        <v>152.44999999999999</v>
      </c>
      <c r="K43" s="27">
        <f t="shared" si="6"/>
        <v>7</v>
      </c>
      <c r="L43" s="21">
        <f t="shared" ca="1" si="7"/>
        <v>-142.30000000000001</v>
      </c>
      <c r="M43" s="28">
        <f t="shared" ca="1" si="2"/>
        <v>8.8888888889313318E-5</v>
      </c>
      <c r="N43" s="32">
        <f t="shared" si="3"/>
        <v>17.449999999999989</v>
      </c>
      <c r="O43" s="30">
        <f t="shared" ca="1" si="4"/>
        <v>-142.29844888888888</v>
      </c>
      <c r="P43" s="31">
        <f t="shared" ca="1" si="8"/>
        <v>8.42222222220812E-3</v>
      </c>
      <c r="Q43" s="29">
        <f t="shared" si="9"/>
        <v>152.44999999999999</v>
      </c>
      <c r="R43" s="25"/>
      <c r="S43" s="25"/>
    </row>
    <row r="44" spans="1:21">
      <c r="A44" s="3" t="s">
        <v>960</v>
      </c>
      <c r="B44" s="3" t="s">
        <v>903</v>
      </c>
      <c r="C44" s="3">
        <v>0</v>
      </c>
      <c r="H44" s="21"/>
      <c r="I44" s="21">
        <v>10</v>
      </c>
      <c r="J44" s="26">
        <f t="shared" si="5"/>
        <v>172.45</v>
      </c>
      <c r="K44" s="27">
        <f t="shared" si="6"/>
        <v>8</v>
      </c>
      <c r="L44" s="21">
        <f t="shared" ca="1" si="7"/>
        <v>-142.298</v>
      </c>
      <c r="M44" s="28">
        <f t="shared" ca="1" si="2"/>
        <v>5.3333333333335353E-4</v>
      </c>
      <c r="N44" s="32">
        <f t="shared" si="3"/>
        <v>14.949999999999989</v>
      </c>
      <c r="O44" s="30">
        <f t="shared" ca="1" si="4"/>
        <v>-142.29002666666668</v>
      </c>
      <c r="P44" s="31">
        <f t="shared" ca="1" si="8"/>
        <v>1.0113333333350738E-2</v>
      </c>
      <c r="Q44" s="29">
        <f t="shared" si="9"/>
        <v>172.45</v>
      </c>
      <c r="R44" s="25"/>
      <c r="S44" s="25"/>
    </row>
    <row r="45" spans="1:21">
      <c r="A45" s="20" t="s">
        <v>961</v>
      </c>
      <c r="B45" s="3" t="s">
        <v>165</v>
      </c>
      <c r="C45" s="3">
        <v>-142.298</v>
      </c>
      <c r="H45" s="21"/>
      <c r="I45" s="21">
        <v>9</v>
      </c>
      <c r="J45" s="26">
        <f t="shared" si="5"/>
        <v>192.45</v>
      </c>
      <c r="K45" s="27">
        <f t="shared" si="6"/>
        <v>9</v>
      </c>
      <c r="L45" s="21">
        <f t="shared" ca="1" si="7"/>
        <v>-142.286</v>
      </c>
      <c r="M45" s="28">
        <f t="shared" ca="1" si="2"/>
        <v>4.8888888888869685E-4</v>
      </c>
      <c r="N45" s="32">
        <f t="shared" si="3"/>
        <v>12.449999999999989</v>
      </c>
      <c r="O45" s="30">
        <f t="shared" ca="1" si="4"/>
        <v>-142.27991333333333</v>
      </c>
      <c r="P45" s="31">
        <f t="shared" ca="1" si="8"/>
        <v>3.9333333333502196E-4</v>
      </c>
      <c r="Q45" s="29">
        <f t="shared" si="9"/>
        <v>192.45</v>
      </c>
      <c r="R45" s="25"/>
      <c r="S45" s="25"/>
    </row>
    <row r="46" spans="1:21">
      <c r="A46" s="3" t="s">
        <v>304</v>
      </c>
      <c r="B46" s="3" t="s">
        <v>901</v>
      </c>
      <c r="C46" s="3">
        <v>396.04199999999997</v>
      </c>
      <c r="H46" s="21"/>
      <c r="I46" s="21">
        <v>8</v>
      </c>
      <c r="J46" s="26">
        <f t="shared" si="5"/>
        <v>212.45</v>
      </c>
      <c r="K46" s="27">
        <f t="shared" si="6"/>
        <v>10</v>
      </c>
      <c r="L46" s="21">
        <f t="shared" ca="1" si="7"/>
        <v>-142.27500000000001</v>
      </c>
      <c r="M46" s="28">
        <f t="shared" ca="1" si="2"/>
        <v>-5.3333333333335353E-4</v>
      </c>
      <c r="N46" s="32">
        <f t="shared" si="3"/>
        <v>9.9499999999999886</v>
      </c>
      <c r="O46" s="30">
        <f t="shared" ca="1" si="4"/>
        <v>-142.28030666666666</v>
      </c>
      <c r="P46" s="31">
        <f t="shared" ca="1" si="8"/>
        <v>1.3977777777796518E-2</v>
      </c>
      <c r="Q46" s="29">
        <f t="shared" si="9"/>
        <v>212.45</v>
      </c>
      <c r="R46" s="25"/>
      <c r="S46" s="25"/>
    </row>
    <row r="47" spans="1:21">
      <c r="A47" s="3" t="s">
        <v>962</v>
      </c>
      <c r="B47" s="3" t="s">
        <v>903</v>
      </c>
      <c r="C47" s="3">
        <v>-1E-3</v>
      </c>
      <c r="H47" s="21"/>
      <c r="I47" s="21">
        <v>7</v>
      </c>
      <c r="J47" s="26">
        <f t="shared" si="5"/>
        <v>232.45</v>
      </c>
      <c r="K47" s="27">
        <f t="shared" si="6"/>
        <v>11</v>
      </c>
      <c r="L47" s="21">
        <f t="shared" ca="1" si="7"/>
        <v>-142.28700000000001</v>
      </c>
      <c r="M47" s="28">
        <f t="shared" ca="1" si="2"/>
        <v>-9.7777777777739369E-4</v>
      </c>
      <c r="N47" s="32">
        <f t="shared" si="3"/>
        <v>7.4499999999999886</v>
      </c>
      <c r="O47" s="30">
        <f t="shared" ca="1" si="4"/>
        <v>-142.29428444444446</v>
      </c>
      <c r="P47" s="31">
        <f t="shared" ca="1" si="8"/>
        <v>1.5375555555550591E-2</v>
      </c>
      <c r="Q47" s="29">
        <f t="shared" si="9"/>
        <v>232.45</v>
      </c>
      <c r="R47" s="25"/>
      <c r="S47" s="25"/>
    </row>
    <row r="48" spans="1:21">
      <c r="A48" s="20" t="s">
        <v>963</v>
      </c>
      <c r="B48" s="3" t="s">
        <v>165</v>
      </c>
      <c r="C48" s="3">
        <v>-142.30799999999999</v>
      </c>
      <c r="H48" s="21"/>
      <c r="I48" s="21">
        <v>6</v>
      </c>
      <c r="J48" s="26">
        <f t="shared" si="5"/>
        <v>252.45</v>
      </c>
      <c r="K48" s="27">
        <f t="shared" si="6"/>
        <v>12</v>
      </c>
      <c r="L48" s="21">
        <f t="shared" ca="1" si="7"/>
        <v>-142.309</v>
      </c>
      <c r="M48" s="28">
        <f t="shared" ca="1" si="2"/>
        <v>-1.3333333333396998E-4</v>
      </c>
      <c r="N48" s="32">
        <f t="shared" si="3"/>
        <v>4.9499999999999886</v>
      </c>
      <c r="O48" s="30">
        <f t="shared" ca="1" si="4"/>
        <v>-142.30966000000001</v>
      </c>
      <c r="P48" s="31">
        <f t="shared" ca="1" si="8"/>
        <v>1.6222222222950222E-4</v>
      </c>
      <c r="Q48" s="29">
        <f t="shared" si="9"/>
        <v>252.45</v>
      </c>
      <c r="R48" s="25"/>
      <c r="S48" s="25"/>
    </row>
    <row r="49" spans="1:27">
      <c r="A49" s="3" t="s">
        <v>304</v>
      </c>
      <c r="B49" s="3" t="s">
        <v>901</v>
      </c>
      <c r="C49" s="3">
        <v>396.02499999999998</v>
      </c>
      <c r="H49" s="21"/>
      <c r="I49" s="21">
        <v>5</v>
      </c>
      <c r="J49" s="26">
        <f t="shared" si="5"/>
        <v>272.45</v>
      </c>
      <c r="K49" s="27">
        <f t="shared" si="6"/>
        <v>13</v>
      </c>
      <c r="L49" s="21">
        <f t="shared" ca="1" si="7"/>
        <v>-142.31200000000001</v>
      </c>
      <c r="M49" s="28">
        <f t="shared" ca="1" si="2"/>
        <v>8.8888888888934365E-4</v>
      </c>
      <c r="N49" s="32">
        <f t="shared" si="3"/>
        <v>2.4499999999999886</v>
      </c>
      <c r="O49" s="30">
        <f t="shared" ca="1" si="4"/>
        <v>-142.30982222222224</v>
      </c>
      <c r="P49" s="31">
        <f t="shared" ca="1" si="8"/>
        <v>1.7777777777780557E-2</v>
      </c>
      <c r="Q49" s="29">
        <f t="shared" si="9"/>
        <v>272.45</v>
      </c>
      <c r="R49" s="25"/>
      <c r="S49" s="25"/>
    </row>
    <row r="50" spans="1:27">
      <c r="A50" s="3" t="s">
        <v>964</v>
      </c>
      <c r="B50" s="3" t="s">
        <v>903</v>
      </c>
      <c r="C50" s="3">
        <v>0</v>
      </c>
      <c r="H50" s="21"/>
      <c r="I50" s="21">
        <v>4</v>
      </c>
      <c r="J50" s="26">
        <f t="shared" si="5"/>
        <v>292.45</v>
      </c>
      <c r="K50" s="27">
        <f t="shared" si="6"/>
        <v>13</v>
      </c>
      <c r="L50" s="21">
        <f t="shared" ca="1" si="7"/>
        <v>-142.31200000000001</v>
      </c>
      <c r="M50" s="28">
        <f t="shared" ca="1" si="2"/>
        <v>8.8888888888934365E-4</v>
      </c>
      <c r="N50" s="32">
        <f t="shared" si="3"/>
        <v>22.449999999999989</v>
      </c>
      <c r="O50" s="30">
        <f t="shared" ca="1" si="4"/>
        <v>-142.29204444444446</v>
      </c>
      <c r="P50" s="31">
        <f t="shared" ca="1" si="8"/>
        <v>2.0437777777772226E-2</v>
      </c>
      <c r="Q50" s="29">
        <f t="shared" si="9"/>
        <v>292.45</v>
      </c>
      <c r="R50" s="25"/>
      <c r="S50" s="25"/>
    </row>
    <row r="51" spans="1:27">
      <c r="A51" s="20" t="s">
        <v>965</v>
      </c>
      <c r="B51" s="3" t="s">
        <v>165</v>
      </c>
      <c r="C51" s="3">
        <v>-142.315</v>
      </c>
      <c r="H51" s="21"/>
      <c r="I51" s="21">
        <v>3</v>
      </c>
      <c r="J51" s="26">
        <f t="shared" si="5"/>
        <v>312.45</v>
      </c>
      <c r="K51" s="27">
        <f t="shared" si="6"/>
        <v>14</v>
      </c>
      <c r="L51" s="21">
        <f t="shared" ca="1" si="7"/>
        <v>-142.292</v>
      </c>
      <c r="M51" s="28">
        <f t="shared" ca="1" si="2"/>
        <v>1.0222222222220504E-3</v>
      </c>
      <c r="N51" s="32">
        <f t="shared" si="3"/>
        <v>19.949999999999989</v>
      </c>
      <c r="O51" s="30">
        <f t="shared" ca="1" si="4"/>
        <v>-142.27160666666668</v>
      </c>
      <c r="P51" s="31">
        <f t="shared" ca="1" si="8"/>
        <v>1.2711111110945694E-3</v>
      </c>
      <c r="Q51" s="29">
        <f t="shared" si="9"/>
        <v>312.45</v>
      </c>
      <c r="R51" s="25"/>
      <c r="S51" s="25"/>
    </row>
    <row r="52" spans="1:27">
      <c r="A52" s="3" t="s">
        <v>304</v>
      </c>
      <c r="B52" s="3" t="s">
        <v>901</v>
      </c>
      <c r="C52" s="3">
        <v>396.01600000000002</v>
      </c>
      <c r="H52" s="21"/>
      <c r="I52" s="21">
        <v>2</v>
      </c>
      <c r="J52" s="26">
        <f t="shared" si="5"/>
        <v>332.45</v>
      </c>
      <c r="K52" s="27">
        <f t="shared" si="6"/>
        <v>15</v>
      </c>
      <c r="L52" s="21">
        <f t="shared" ca="1" si="7"/>
        <v>-142.26900000000001</v>
      </c>
      <c r="M52" s="28">
        <f t="shared" ca="1" si="2"/>
        <v>-2.2222222222202011E-4</v>
      </c>
      <c r="N52" s="32">
        <f t="shared" si="3"/>
        <v>17.449999999999989</v>
      </c>
      <c r="O52" s="30">
        <f t="shared" ca="1" si="4"/>
        <v>-142.27287777777778</v>
      </c>
      <c r="P52" s="31">
        <f ca="1">ABS(O35-O52)</f>
        <v>1.3746666666662577E-2</v>
      </c>
      <c r="Q52" s="29">
        <f t="shared" si="9"/>
        <v>332.45</v>
      </c>
      <c r="R52" s="25"/>
      <c r="S52" s="25"/>
    </row>
    <row r="53" spans="1:27">
      <c r="A53" s="3" t="s">
        <v>966</v>
      </c>
      <c r="B53" s="3" t="s">
        <v>903</v>
      </c>
      <c r="C53" s="3">
        <v>0</v>
      </c>
      <c r="H53" s="15"/>
      <c r="I53" s="15"/>
      <c r="J53" s="15"/>
      <c r="K53" s="15"/>
      <c r="L53" s="15"/>
      <c r="M53" s="15"/>
      <c r="N53" s="15"/>
      <c r="O53" s="15"/>
      <c r="Q53" s="25"/>
      <c r="R53" s="25"/>
      <c r="S53" s="25"/>
    </row>
    <row r="54" spans="1:27">
      <c r="A54" s="20" t="s">
        <v>967</v>
      </c>
      <c r="B54" s="3" t="s">
        <v>165</v>
      </c>
      <c r="C54" s="3">
        <v>-142.31700000000001</v>
      </c>
      <c r="H54" s="15"/>
      <c r="I54" s="15"/>
      <c r="J54" s="15"/>
      <c r="K54" s="15"/>
      <c r="L54" s="15"/>
      <c r="M54" s="15"/>
      <c r="N54" s="15"/>
      <c r="O54" s="15" t="s">
        <v>112</v>
      </c>
      <c r="P54" s="31">
        <f ca="1">MAX(P35:P52)</f>
        <v>2.0437777777772226E-2</v>
      </c>
      <c r="Q54" s="25"/>
      <c r="R54" s="25"/>
      <c r="S54" s="67" t="str">
        <f ca="1">"Stg.2 LPT shroud groove min clearance "&amp;TEXT(L66, "0.000")&amp;" mm."</f>
        <v>Stg.2 LPT shroud groove min clearance 0.020 mm.</v>
      </c>
      <c r="T54" s="62"/>
      <c r="U54" s="62"/>
      <c r="V54" s="62"/>
      <c r="W54" s="62"/>
      <c r="X54" s="62"/>
      <c r="Y54" s="62"/>
      <c r="Z54" s="62"/>
      <c r="AA54" s="62"/>
    </row>
    <row r="55" spans="1:27">
      <c r="P55" s="16" t="str">
        <f ca="1">IF(P54&lt;=L66, "OK", "NG")</f>
        <v>NG</v>
      </c>
      <c r="Q55" s="25"/>
      <c r="R55" s="25"/>
      <c r="S55" s="67" t="str">
        <f ca="1">"LPT case hook max axial deformation in one segment of stg.2 LPT shroud "&amp;TEXT(P54, "0.000")&amp;" mm."</f>
        <v>LPT case hook max axial deformation in one segment of stg.2 LPT shroud 0.020 mm.</v>
      </c>
      <c r="T55" s="62"/>
      <c r="U55" s="62"/>
      <c r="V55" s="62"/>
      <c r="W55" s="62"/>
      <c r="X55" s="62"/>
      <c r="Y55" s="62"/>
      <c r="Z55" s="62"/>
      <c r="AA55" s="62"/>
    </row>
    <row r="56" spans="1:27">
      <c r="J56" s="3"/>
      <c r="K56" s="3"/>
      <c r="L56" s="3"/>
      <c r="M56" s="3"/>
      <c r="N56" s="3"/>
      <c r="R56" s="25"/>
      <c r="S56" s="67" t="str">
        <f ca="1">IF(P55="NG",TEXT(DEGREES(ATAN((P54-L66)/ROUND(2*PI()*394.9*20/360,1))),"0.00E+00")&amp;"deg. rotation against axial direction enables stg.2 LPT shroud installation.", "Stg.2 LPT shroud can be installed without rotation against axial direction.")</f>
        <v>1.82E-04deg. rotation against axial direction enables stg.2 LPT shroud installation.</v>
      </c>
      <c r="T56" s="62"/>
      <c r="U56" s="62"/>
      <c r="V56" s="62"/>
      <c r="W56" s="62"/>
      <c r="X56" s="62"/>
      <c r="Y56" s="62"/>
      <c r="Z56" s="62"/>
      <c r="AA56" s="62"/>
    </row>
    <row r="57" spans="1:27">
      <c r="J57" s="21"/>
      <c r="K57" s="21"/>
      <c r="L57" s="21" t="s">
        <v>131</v>
      </c>
      <c r="M57" s="21" t="s">
        <v>132</v>
      </c>
      <c r="N57" s="3"/>
      <c r="R57" s="25"/>
      <c r="S57" s="25"/>
    </row>
    <row r="58" spans="1:27">
      <c r="J58" s="21"/>
      <c r="K58" s="21" t="s">
        <v>133</v>
      </c>
      <c r="L58" s="21">
        <v>5.75</v>
      </c>
      <c r="M58" s="21">
        <v>0.04</v>
      </c>
      <c r="N58" s="3"/>
      <c r="R58" s="25"/>
      <c r="S58" s="25"/>
    </row>
    <row r="59" spans="1:27">
      <c r="J59" s="21"/>
      <c r="K59" s="22" t="s">
        <v>134</v>
      </c>
      <c r="L59" s="21">
        <v>5.85</v>
      </c>
      <c r="M59" s="21">
        <v>0.04</v>
      </c>
      <c r="N59" s="3"/>
      <c r="R59" s="25"/>
      <c r="S59" s="25"/>
    </row>
    <row r="60" spans="1:27">
      <c r="J60" s="21"/>
      <c r="K60" s="21"/>
      <c r="L60" s="21"/>
      <c r="M60" s="21"/>
      <c r="N60" s="3"/>
      <c r="R60" s="25"/>
      <c r="S60" s="25"/>
    </row>
    <row r="61" spans="1:27">
      <c r="J61" s="21"/>
      <c r="K61" s="21" t="s">
        <v>135</v>
      </c>
      <c r="L61" s="21">
        <f>L59-L58</f>
        <v>9.9999999999999645E-2</v>
      </c>
      <c r="M61" s="21"/>
      <c r="N61" s="3"/>
      <c r="R61" s="25"/>
      <c r="S61" s="25"/>
    </row>
    <row r="62" spans="1:27">
      <c r="J62" s="21"/>
      <c r="K62" s="21"/>
      <c r="L62" s="21"/>
      <c r="M62" s="21"/>
      <c r="N62" s="3"/>
      <c r="R62" s="25"/>
      <c r="S62" s="25"/>
    </row>
    <row r="63" spans="1:27">
      <c r="J63" s="21"/>
      <c r="K63" s="21" t="s">
        <v>136</v>
      </c>
      <c r="L63" s="21">
        <f ca="1">'309'!L12</f>
        <v>5.79</v>
      </c>
      <c r="M63" s="21"/>
      <c r="N63" s="3"/>
      <c r="R63" s="25"/>
      <c r="S63" s="25"/>
    </row>
    <row r="64" spans="1:27">
      <c r="J64" s="21"/>
      <c r="K64" s="22" t="s">
        <v>137</v>
      </c>
      <c r="L64" s="21">
        <f>L59-M59</f>
        <v>5.81</v>
      </c>
      <c r="M64" s="21"/>
      <c r="N64" s="3"/>
      <c r="R64" s="25"/>
      <c r="S64" s="25"/>
    </row>
    <row r="65" spans="10:19">
      <c r="J65" s="21"/>
      <c r="K65" s="21"/>
      <c r="L65" s="21"/>
      <c r="M65" s="21"/>
      <c r="N65" s="3"/>
      <c r="R65" s="25"/>
      <c r="S65" s="25"/>
    </row>
    <row r="66" spans="10:19">
      <c r="J66" s="21"/>
      <c r="K66" s="22" t="s">
        <v>138</v>
      </c>
      <c r="L66" s="21">
        <f ca="1">L64-L63</f>
        <v>1.9999999999999574E-2</v>
      </c>
      <c r="M66" s="21"/>
      <c r="N66" s="3"/>
      <c r="R66" s="25"/>
      <c r="S66" s="25"/>
    </row>
  </sheetData>
  <phoneticPr fontId="1"/>
  <pageMargins left="0.7" right="0.7" top="0.75" bottom="0.75" header="0.3" footer="0.3"/>
  <pageSetup paperSize="9" orientation="portrait" r:id="rId1"/>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3"/>
  <dimension ref="A1:L40"/>
  <sheetViews>
    <sheetView workbookViewId="0">
      <selection activeCell="L26" sqref="L26"/>
    </sheetView>
  </sheetViews>
  <sheetFormatPr defaultColWidth="8.7109375" defaultRowHeight="15"/>
  <cols>
    <col min="1" max="1" width="20" style="3" customWidth="1"/>
    <col min="2" max="2" width="13.28515625" style="3" customWidth="1"/>
    <col min="3" max="5" width="8.7109375" style="3"/>
    <col min="6" max="6" width="4" style="1" customWidth="1"/>
    <col min="7" max="7" width="12.7109375" style="1" bestFit="1" customWidth="1"/>
    <col min="8" max="16384" width="8.7109375" style="1"/>
  </cols>
  <sheetData>
    <row r="1" spans="1:12">
      <c r="A1" s="3" t="s">
        <v>968</v>
      </c>
      <c r="C1" s="33"/>
    </row>
    <row r="2" spans="1:12">
      <c r="A2" s="3" t="s">
        <v>969</v>
      </c>
      <c r="B2" s="3" t="s">
        <v>970</v>
      </c>
      <c r="C2" s="3">
        <v>5.7830000000000004</v>
      </c>
      <c r="D2" s="3" t="s">
        <v>971</v>
      </c>
      <c r="E2" s="3">
        <v>5.75</v>
      </c>
      <c r="I2" s="16" t="s">
        <v>110</v>
      </c>
      <c r="J2" s="15"/>
      <c r="K2" s="15" t="str">
        <f>CONCATENATE(A5, ": 112 Position")</f>
        <v>JHV723EJ: 112 Position</v>
      </c>
      <c r="L2" s="15"/>
    </row>
    <row r="3" spans="1:12">
      <c r="A3" s="3" t="s">
        <v>972</v>
      </c>
      <c r="B3" s="3" t="s">
        <v>973</v>
      </c>
      <c r="C3" s="3">
        <v>3.3000000000000002E-2</v>
      </c>
      <c r="D3" s="3" t="s">
        <v>974</v>
      </c>
      <c r="E3" s="3">
        <v>0.04</v>
      </c>
      <c r="F3" s="1" t="s">
        <v>895</v>
      </c>
      <c r="I3" s="21">
        <v>1</v>
      </c>
      <c r="J3" s="21">
        <v>0</v>
      </c>
      <c r="K3" s="15">
        <v>1</v>
      </c>
      <c r="L3" s="15">
        <f ca="1">OFFSET($C$2, 5*(K3-1), 0)</f>
        <v>5.7830000000000004</v>
      </c>
    </row>
    <row r="4" spans="1:12">
      <c r="A4" s="20" t="s">
        <v>975</v>
      </c>
      <c r="B4" s="3" t="s">
        <v>976</v>
      </c>
      <c r="C4" s="3">
        <v>-0.04</v>
      </c>
      <c r="I4" s="21">
        <v>2</v>
      </c>
      <c r="J4" s="21">
        <f>J3+360/8</f>
        <v>45</v>
      </c>
      <c r="K4" s="15">
        <v>8</v>
      </c>
      <c r="L4" s="15">
        <f t="shared" ref="L4:L10" ca="1" si="0">OFFSET($C$2, 5*(K4-1), 0)</f>
        <v>5.7850000000000001</v>
      </c>
    </row>
    <row r="5" spans="1:12">
      <c r="A5" s="3" t="s">
        <v>1302</v>
      </c>
      <c r="C5" s="3" t="s">
        <v>900</v>
      </c>
      <c r="I5" s="21">
        <v>3</v>
      </c>
      <c r="J5" s="21">
        <f t="shared" ref="J5:J10" si="1">J4+360/8</f>
        <v>90</v>
      </c>
      <c r="K5" s="15">
        <v>7</v>
      </c>
      <c r="L5" s="15">
        <f t="shared" ca="1" si="0"/>
        <v>5.7859999999999996</v>
      </c>
    </row>
    <row r="6" spans="1:12">
      <c r="A6" s="3" t="s">
        <v>977</v>
      </c>
      <c r="C6" s="33"/>
      <c r="I6" s="21">
        <v>4</v>
      </c>
      <c r="J6" s="21">
        <f t="shared" si="1"/>
        <v>135</v>
      </c>
      <c r="K6" s="15">
        <v>6</v>
      </c>
      <c r="L6" s="15">
        <f t="shared" ca="1" si="0"/>
        <v>5.7839999999999998</v>
      </c>
    </row>
    <row r="7" spans="1:12">
      <c r="A7" s="3" t="s">
        <v>969</v>
      </c>
      <c r="B7" s="3" t="s">
        <v>970</v>
      </c>
      <c r="C7" s="3">
        <v>5.7839999999999998</v>
      </c>
      <c r="D7" s="3" t="s">
        <v>971</v>
      </c>
      <c r="E7" s="3">
        <v>5.75</v>
      </c>
      <c r="I7" s="21">
        <v>5</v>
      </c>
      <c r="J7" s="21">
        <f t="shared" si="1"/>
        <v>180</v>
      </c>
      <c r="K7" s="15">
        <v>5</v>
      </c>
      <c r="L7" s="15">
        <f t="shared" ca="1" si="0"/>
        <v>5.7850000000000001</v>
      </c>
    </row>
    <row r="8" spans="1:12">
      <c r="A8" s="3" t="s">
        <v>978</v>
      </c>
      <c r="B8" s="3" t="s">
        <v>973</v>
      </c>
      <c r="C8" s="3">
        <v>3.4000000000000002E-2</v>
      </c>
      <c r="D8" s="3" t="s">
        <v>974</v>
      </c>
      <c r="E8" s="3">
        <v>0.04</v>
      </c>
      <c r="F8" s="1" t="s">
        <v>895</v>
      </c>
      <c r="I8" s="21">
        <v>6</v>
      </c>
      <c r="J8" s="21">
        <f t="shared" si="1"/>
        <v>225</v>
      </c>
      <c r="K8" s="15">
        <v>4</v>
      </c>
      <c r="L8" s="15">
        <f t="shared" ca="1" si="0"/>
        <v>5.79</v>
      </c>
    </row>
    <row r="9" spans="1:12">
      <c r="A9" s="20" t="s">
        <v>979</v>
      </c>
      <c r="B9" s="3" t="s">
        <v>976</v>
      </c>
      <c r="C9" s="3">
        <v>-0.04</v>
      </c>
      <c r="I9" s="21">
        <v>7</v>
      </c>
      <c r="J9" s="21">
        <f t="shared" si="1"/>
        <v>270</v>
      </c>
      <c r="K9" s="15">
        <v>3</v>
      </c>
      <c r="L9" s="15">
        <f t="shared" ca="1" si="0"/>
        <v>5.7850000000000001</v>
      </c>
    </row>
    <row r="10" spans="1:12">
      <c r="A10" s="3" t="s">
        <v>1302</v>
      </c>
      <c r="C10" s="3" t="s">
        <v>900</v>
      </c>
      <c r="I10" s="21">
        <v>8</v>
      </c>
      <c r="J10" s="21">
        <f t="shared" si="1"/>
        <v>315</v>
      </c>
      <c r="K10" s="15">
        <v>2</v>
      </c>
      <c r="L10" s="15">
        <f t="shared" ca="1" si="0"/>
        <v>5.7839999999999998</v>
      </c>
    </row>
    <row r="11" spans="1:12">
      <c r="A11" s="3" t="s">
        <v>980</v>
      </c>
      <c r="C11" s="33"/>
    </row>
    <row r="12" spans="1:12" ht="16.5">
      <c r="A12" s="3" t="s">
        <v>969</v>
      </c>
      <c r="B12" s="3" t="s">
        <v>970</v>
      </c>
      <c r="C12" s="3">
        <v>5.7850000000000001</v>
      </c>
      <c r="D12" s="3" t="s">
        <v>971</v>
      </c>
      <c r="E12" s="3">
        <v>5.75</v>
      </c>
      <c r="K12" s="24" t="s">
        <v>112</v>
      </c>
      <c r="L12" s="15">
        <f ca="1">MAX(L3:L10)</f>
        <v>5.79</v>
      </c>
    </row>
    <row r="13" spans="1:12">
      <c r="A13" s="3" t="s">
        <v>981</v>
      </c>
      <c r="B13" s="3" t="s">
        <v>973</v>
      </c>
      <c r="C13" s="3">
        <v>3.5000000000000003E-2</v>
      </c>
      <c r="D13" s="3" t="s">
        <v>974</v>
      </c>
      <c r="E13" s="3">
        <v>0.04</v>
      </c>
      <c r="F13" s="1" t="s">
        <v>895</v>
      </c>
    </row>
    <row r="14" spans="1:12">
      <c r="A14" s="20" t="s">
        <v>982</v>
      </c>
      <c r="B14" s="3" t="s">
        <v>976</v>
      </c>
      <c r="C14" s="3">
        <v>-0.04</v>
      </c>
    </row>
    <row r="15" spans="1:12">
      <c r="A15" s="3" t="s">
        <v>1302</v>
      </c>
      <c r="C15" s="3" t="s">
        <v>900</v>
      </c>
    </row>
    <row r="16" spans="1:12">
      <c r="A16" s="3" t="s">
        <v>983</v>
      </c>
      <c r="C16" s="33"/>
    </row>
    <row r="17" spans="1:6">
      <c r="A17" s="3" t="s">
        <v>969</v>
      </c>
      <c r="B17" s="3" t="s">
        <v>970</v>
      </c>
      <c r="C17" s="3">
        <v>5.79</v>
      </c>
      <c r="D17" s="3" t="s">
        <v>971</v>
      </c>
      <c r="E17" s="3">
        <v>5.75</v>
      </c>
    </row>
    <row r="18" spans="1:6">
      <c r="A18" s="3" t="s">
        <v>984</v>
      </c>
      <c r="B18" s="3" t="s">
        <v>973</v>
      </c>
      <c r="C18" s="3">
        <v>0.04</v>
      </c>
      <c r="D18" s="3" t="s">
        <v>974</v>
      </c>
      <c r="E18" s="3">
        <v>0.04</v>
      </c>
      <c r="F18" s="1" t="s">
        <v>895</v>
      </c>
    </row>
    <row r="19" spans="1:6">
      <c r="A19" s="20" t="s">
        <v>985</v>
      </c>
      <c r="B19" s="3" t="s">
        <v>976</v>
      </c>
      <c r="C19" s="3">
        <v>-0.04</v>
      </c>
    </row>
    <row r="20" spans="1:6">
      <c r="A20" s="3" t="s">
        <v>1302</v>
      </c>
      <c r="C20" s="3" t="s">
        <v>900</v>
      </c>
    </row>
    <row r="21" spans="1:6">
      <c r="A21" s="3" t="s">
        <v>986</v>
      </c>
      <c r="C21" s="33"/>
    </row>
    <row r="22" spans="1:6">
      <c r="A22" s="3" t="s">
        <v>969</v>
      </c>
      <c r="B22" s="3" t="s">
        <v>970</v>
      </c>
      <c r="C22" s="3">
        <v>5.7850000000000001</v>
      </c>
      <c r="D22" s="3" t="s">
        <v>971</v>
      </c>
      <c r="E22" s="3">
        <v>5.75</v>
      </c>
    </row>
    <row r="23" spans="1:6">
      <c r="A23" s="3" t="s">
        <v>987</v>
      </c>
      <c r="B23" s="3" t="s">
        <v>973</v>
      </c>
      <c r="C23" s="3">
        <v>3.5000000000000003E-2</v>
      </c>
      <c r="D23" s="3" t="s">
        <v>974</v>
      </c>
      <c r="E23" s="3">
        <v>0.04</v>
      </c>
      <c r="F23" s="1" t="s">
        <v>895</v>
      </c>
    </row>
    <row r="24" spans="1:6">
      <c r="A24" s="20" t="s">
        <v>988</v>
      </c>
      <c r="B24" s="3" t="s">
        <v>976</v>
      </c>
      <c r="C24" s="3">
        <v>-0.04</v>
      </c>
    </row>
    <row r="25" spans="1:6">
      <c r="A25" s="3" t="s">
        <v>1302</v>
      </c>
      <c r="C25" s="3" t="s">
        <v>900</v>
      </c>
    </row>
    <row r="26" spans="1:6">
      <c r="A26" s="3" t="s">
        <v>989</v>
      </c>
      <c r="C26" s="33"/>
    </row>
    <row r="27" spans="1:6">
      <c r="A27" s="3" t="s">
        <v>969</v>
      </c>
      <c r="B27" s="3" t="s">
        <v>970</v>
      </c>
      <c r="C27" s="3">
        <v>5.7839999999999998</v>
      </c>
      <c r="D27" s="3" t="s">
        <v>971</v>
      </c>
      <c r="E27" s="3">
        <v>5.75</v>
      </c>
    </row>
    <row r="28" spans="1:6">
      <c r="A28" s="3" t="s">
        <v>990</v>
      </c>
      <c r="B28" s="3" t="s">
        <v>973</v>
      </c>
      <c r="C28" s="3">
        <v>3.4000000000000002E-2</v>
      </c>
      <c r="D28" s="3" t="s">
        <v>974</v>
      </c>
      <c r="E28" s="3">
        <v>0.04</v>
      </c>
      <c r="F28" s="1" t="s">
        <v>895</v>
      </c>
    </row>
    <row r="29" spans="1:6">
      <c r="A29" s="20" t="s">
        <v>991</v>
      </c>
      <c r="B29" s="3" t="s">
        <v>976</v>
      </c>
      <c r="C29" s="3">
        <v>-0.04</v>
      </c>
    </row>
    <row r="30" spans="1:6">
      <c r="A30" s="3" t="s">
        <v>1302</v>
      </c>
      <c r="C30" s="3" t="s">
        <v>900</v>
      </c>
    </row>
    <row r="31" spans="1:6">
      <c r="A31" s="3" t="s">
        <v>992</v>
      </c>
      <c r="C31" s="33"/>
    </row>
    <row r="32" spans="1:6">
      <c r="A32" s="3" t="s">
        <v>969</v>
      </c>
      <c r="B32" s="3" t="s">
        <v>970</v>
      </c>
      <c r="C32" s="3">
        <v>5.7859999999999996</v>
      </c>
      <c r="D32" s="3" t="s">
        <v>971</v>
      </c>
      <c r="E32" s="3">
        <v>5.75</v>
      </c>
    </row>
    <row r="33" spans="1:6">
      <c r="A33" s="3" t="s">
        <v>993</v>
      </c>
      <c r="B33" s="3" t="s">
        <v>973</v>
      </c>
      <c r="C33" s="3">
        <v>3.5999999999999997E-2</v>
      </c>
      <c r="D33" s="3" t="s">
        <v>974</v>
      </c>
      <c r="E33" s="3">
        <v>0.04</v>
      </c>
      <c r="F33" s="1" t="s">
        <v>895</v>
      </c>
    </row>
    <row r="34" spans="1:6">
      <c r="A34" s="20" t="s">
        <v>994</v>
      </c>
      <c r="B34" s="3" t="s">
        <v>976</v>
      </c>
      <c r="C34" s="3">
        <v>-0.04</v>
      </c>
    </row>
    <row r="35" spans="1:6">
      <c r="A35" s="3" t="s">
        <v>1302</v>
      </c>
      <c r="C35" s="3" t="s">
        <v>900</v>
      </c>
    </row>
    <row r="36" spans="1:6">
      <c r="A36" s="3" t="s">
        <v>995</v>
      </c>
      <c r="C36" s="33"/>
    </row>
    <row r="37" spans="1:6">
      <c r="A37" s="3" t="s">
        <v>969</v>
      </c>
      <c r="B37" s="3" t="s">
        <v>970</v>
      </c>
      <c r="C37" s="3">
        <v>5.7850000000000001</v>
      </c>
      <c r="D37" s="3" t="s">
        <v>971</v>
      </c>
      <c r="E37" s="3">
        <v>5.75</v>
      </c>
    </row>
    <row r="38" spans="1:6">
      <c r="A38" s="3" t="s">
        <v>996</v>
      </c>
      <c r="B38" s="3" t="s">
        <v>973</v>
      </c>
      <c r="C38" s="3">
        <v>3.5000000000000003E-2</v>
      </c>
      <c r="D38" s="3" t="s">
        <v>974</v>
      </c>
      <c r="E38" s="3">
        <v>0.04</v>
      </c>
      <c r="F38" s="1" t="s">
        <v>895</v>
      </c>
    </row>
    <row r="39" spans="1:6">
      <c r="A39" s="20" t="s">
        <v>997</v>
      </c>
      <c r="B39" s="3" t="s">
        <v>976</v>
      </c>
      <c r="C39" s="3">
        <v>-0.04</v>
      </c>
    </row>
    <row r="40" spans="1:6">
      <c r="A40" s="3" t="s">
        <v>1302</v>
      </c>
      <c r="C40" s="3" t="s">
        <v>900</v>
      </c>
    </row>
  </sheetData>
  <phoneticPr fontId="1"/>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AA71"/>
  <sheetViews>
    <sheetView topLeftCell="A3" workbookViewId="0">
      <selection activeCell="L29" sqref="L29"/>
    </sheetView>
  </sheetViews>
  <sheetFormatPr defaultColWidth="8.7109375" defaultRowHeight="15"/>
  <cols>
    <col min="1" max="1" width="19" style="3" customWidth="1"/>
    <col min="2" max="3" width="8.7109375" style="3"/>
    <col min="4" max="4" width="5" style="1" bestFit="1" customWidth="1"/>
    <col min="5" max="5" width="5.42578125" style="1" bestFit="1" customWidth="1"/>
    <col min="6" max="7" width="5.42578125" style="1" customWidth="1"/>
    <col min="8" max="8" width="4.5703125" style="1" bestFit="1" customWidth="1"/>
    <col min="9" max="9" width="6.42578125" style="1" bestFit="1" customWidth="1"/>
    <col min="10" max="14" width="8.7109375" style="1"/>
    <col min="15" max="15" width="10.7109375" style="1" bestFit="1" customWidth="1"/>
    <col min="16" max="16384" width="8.7109375" style="1"/>
  </cols>
  <sheetData>
    <row r="1" spans="1:12">
      <c r="A1" s="3" t="s">
        <v>998</v>
      </c>
    </row>
    <row r="2" spans="1:12">
      <c r="A2" s="3" t="s">
        <v>936</v>
      </c>
      <c r="B2" s="3" t="s">
        <v>895</v>
      </c>
      <c r="D2" s="1" t="s">
        <v>895</v>
      </c>
    </row>
    <row r="3" spans="1:12">
      <c r="A3" s="3" t="s">
        <v>999</v>
      </c>
      <c r="B3" s="3" t="s">
        <v>897</v>
      </c>
      <c r="C3" s="3">
        <v>5.3999999999999999E-2</v>
      </c>
      <c r="D3" s="1" t="s">
        <v>898</v>
      </c>
      <c r="E3" s="1">
        <v>0.08</v>
      </c>
      <c r="F3" s="1" t="s">
        <v>895</v>
      </c>
    </row>
    <row r="4" spans="1:12">
      <c r="A4" s="20" t="s">
        <v>938</v>
      </c>
      <c r="B4" s="3" t="s">
        <v>895</v>
      </c>
    </row>
    <row r="6" spans="1:12">
      <c r="A6" s="3" t="s">
        <v>1302</v>
      </c>
      <c r="C6" s="3" t="s">
        <v>900</v>
      </c>
    </row>
    <row r="7" spans="1:12">
      <c r="A7" s="3" t="s">
        <v>304</v>
      </c>
      <c r="B7" s="3" t="s">
        <v>901</v>
      </c>
      <c r="C7" s="3">
        <v>418.97300000000001</v>
      </c>
      <c r="H7" s="16" t="s">
        <v>139</v>
      </c>
      <c r="I7" s="15"/>
      <c r="J7" s="15" t="str">
        <f>CONCATENATE(A6, ": 118 Position")</f>
        <v>JHV723EJ: 118 Position</v>
      </c>
      <c r="K7" s="15"/>
      <c r="L7" s="15"/>
    </row>
    <row r="8" spans="1:12">
      <c r="A8" s="3" t="s">
        <v>1000</v>
      </c>
      <c r="B8" s="3" t="s">
        <v>903</v>
      </c>
      <c r="C8" s="3">
        <v>0</v>
      </c>
      <c r="H8" s="21">
        <v>1</v>
      </c>
      <c r="I8" s="21">
        <v>0</v>
      </c>
      <c r="J8" s="15">
        <v>1</v>
      </c>
      <c r="K8" s="15">
        <f t="shared" ref="K8:K24" ca="1" si="0">OFFSET($C$6, 3*J8, 0)</f>
        <v>-69.403000000000006</v>
      </c>
      <c r="L8" s="15"/>
    </row>
    <row r="9" spans="1:12">
      <c r="A9" s="20" t="s">
        <v>1001</v>
      </c>
      <c r="B9" s="3" t="s">
        <v>165</v>
      </c>
      <c r="C9" s="3">
        <v>-69.403000000000006</v>
      </c>
      <c r="H9" s="21">
        <v>2</v>
      </c>
      <c r="I9" s="21">
        <f>I8+360/16</f>
        <v>22.5</v>
      </c>
      <c r="J9" s="15">
        <v>16</v>
      </c>
      <c r="K9" s="15">
        <f t="shared" ca="1" si="0"/>
        <v>-69.429000000000002</v>
      </c>
      <c r="L9" s="15"/>
    </row>
    <row r="10" spans="1:12">
      <c r="A10" s="3" t="s">
        <v>304</v>
      </c>
      <c r="B10" s="3" t="s">
        <v>901</v>
      </c>
      <c r="C10" s="3">
        <v>418.928</v>
      </c>
      <c r="H10" s="21">
        <v>3</v>
      </c>
      <c r="I10" s="21">
        <f t="shared" ref="I10:I24" si="1">I9+360/16</f>
        <v>45</v>
      </c>
      <c r="J10" s="15">
        <v>15</v>
      </c>
      <c r="K10" s="15">
        <f t="shared" ca="1" si="0"/>
        <v>-69.429000000000002</v>
      </c>
      <c r="L10" s="15"/>
    </row>
    <row r="11" spans="1:12">
      <c r="A11" s="3" t="s">
        <v>1002</v>
      </c>
      <c r="B11" s="3" t="s">
        <v>903</v>
      </c>
      <c r="C11" s="3">
        <v>0</v>
      </c>
      <c r="H11" s="21">
        <v>4</v>
      </c>
      <c r="I11" s="21">
        <f t="shared" si="1"/>
        <v>67.5</v>
      </c>
      <c r="J11" s="15">
        <v>14</v>
      </c>
      <c r="K11" s="15">
        <f t="shared" ca="1" si="0"/>
        <v>-69.41</v>
      </c>
      <c r="L11" s="15"/>
    </row>
    <row r="12" spans="1:12">
      <c r="A12" s="20" t="s">
        <v>1003</v>
      </c>
      <c r="B12" s="3" t="s">
        <v>165</v>
      </c>
      <c r="C12" s="3">
        <v>-69.378</v>
      </c>
      <c r="H12" s="21">
        <v>5</v>
      </c>
      <c r="I12" s="21">
        <f t="shared" si="1"/>
        <v>90</v>
      </c>
      <c r="J12" s="15">
        <v>13</v>
      </c>
      <c r="K12" s="15">
        <f t="shared" ca="1" si="0"/>
        <v>-69.405000000000001</v>
      </c>
      <c r="L12" s="15"/>
    </row>
    <row r="13" spans="1:12">
      <c r="A13" s="3" t="s">
        <v>304</v>
      </c>
      <c r="B13" s="3" t="s">
        <v>901</v>
      </c>
      <c r="C13" s="3">
        <v>418.94299999999998</v>
      </c>
      <c r="H13" s="21">
        <v>6</v>
      </c>
      <c r="I13" s="21">
        <f t="shared" si="1"/>
        <v>112.5</v>
      </c>
      <c r="J13" s="15">
        <v>12</v>
      </c>
      <c r="K13" s="15">
        <f t="shared" ca="1" si="0"/>
        <v>-69.406999999999996</v>
      </c>
      <c r="L13" s="15"/>
    </row>
    <row r="14" spans="1:12">
      <c r="A14" s="3" t="s">
        <v>1004</v>
      </c>
      <c r="B14" s="3" t="s">
        <v>903</v>
      </c>
      <c r="C14" s="3">
        <v>0</v>
      </c>
      <c r="H14" s="21">
        <v>7</v>
      </c>
      <c r="I14" s="21">
        <f t="shared" si="1"/>
        <v>135</v>
      </c>
      <c r="J14" s="15">
        <v>11</v>
      </c>
      <c r="K14" s="15">
        <f t="shared" ca="1" si="0"/>
        <v>-69.41</v>
      </c>
      <c r="L14" s="15"/>
    </row>
    <row r="15" spans="1:12">
      <c r="A15" s="20" t="s">
        <v>1005</v>
      </c>
      <c r="B15" s="3" t="s">
        <v>165</v>
      </c>
      <c r="C15" s="3">
        <v>-69.373999999999995</v>
      </c>
      <c r="H15" s="21">
        <v>8</v>
      </c>
      <c r="I15" s="21">
        <f t="shared" si="1"/>
        <v>157.5</v>
      </c>
      <c r="J15" s="15">
        <v>10</v>
      </c>
      <c r="K15" s="15">
        <f t="shared" ca="1" si="0"/>
        <v>-69.406000000000006</v>
      </c>
      <c r="L15" s="15"/>
    </row>
    <row r="16" spans="1:12">
      <c r="A16" s="3" t="s">
        <v>304</v>
      </c>
      <c r="B16" s="3" t="s">
        <v>901</v>
      </c>
      <c r="C16" s="3">
        <v>419.00599999999997</v>
      </c>
      <c r="H16" s="21">
        <v>9</v>
      </c>
      <c r="I16" s="21">
        <f t="shared" si="1"/>
        <v>180</v>
      </c>
      <c r="J16" s="15">
        <v>9</v>
      </c>
      <c r="K16" s="15">
        <f t="shared" ca="1" si="0"/>
        <v>-69.391000000000005</v>
      </c>
      <c r="L16" s="15"/>
    </row>
    <row r="17" spans="1:16">
      <c r="A17" s="3" t="s">
        <v>1006</v>
      </c>
      <c r="B17" s="3" t="s">
        <v>903</v>
      </c>
      <c r="C17" s="3">
        <v>-2E-3</v>
      </c>
      <c r="H17" s="21">
        <v>10</v>
      </c>
      <c r="I17" s="21">
        <f t="shared" si="1"/>
        <v>202.5</v>
      </c>
      <c r="J17" s="15">
        <v>8</v>
      </c>
      <c r="K17" s="15">
        <f t="shared" ca="1" si="0"/>
        <v>-69.379000000000005</v>
      </c>
      <c r="L17" s="15"/>
    </row>
    <row r="18" spans="1:16">
      <c r="A18" s="20" t="s">
        <v>1007</v>
      </c>
      <c r="B18" s="3" t="s">
        <v>165</v>
      </c>
      <c r="C18" s="3">
        <v>-69.400000000000006</v>
      </c>
      <c r="H18" s="21">
        <v>11</v>
      </c>
      <c r="I18" s="21">
        <f t="shared" si="1"/>
        <v>225</v>
      </c>
      <c r="J18" s="15">
        <v>7</v>
      </c>
      <c r="K18" s="15">
        <f t="shared" ca="1" si="0"/>
        <v>-69.394999999999996</v>
      </c>
      <c r="L18" s="15"/>
    </row>
    <row r="19" spans="1:16">
      <c r="A19" s="3" t="s">
        <v>304</v>
      </c>
      <c r="B19" s="3" t="s">
        <v>901</v>
      </c>
      <c r="C19" s="3">
        <v>419.05500000000001</v>
      </c>
      <c r="H19" s="21">
        <v>12</v>
      </c>
      <c r="I19" s="21">
        <f t="shared" si="1"/>
        <v>247.5</v>
      </c>
      <c r="J19" s="15">
        <v>6</v>
      </c>
      <c r="K19" s="15">
        <f t="shared" ca="1" si="0"/>
        <v>-69.42</v>
      </c>
      <c r="L19" s="15"/>
    </row>
    <row r="20" spans="1:16">
      <c r="A20" s="3" t="s">
        <v>1008</v>
      </c>
      <c r="B20" s="3" t="s">
        <v>903</v>
      </c>
      <c r="C20" s="3">
        <v>0</v>
      </c>
      <c r="H20" s="21">
        <v>13</v>
      </c>
      <c r="I20" s="21">
        <f t="shared" si="1"/>
        <v>270</v>
      </c>
      <c r="J20" s="15">
        <v>5</v>
      </c>
      <c r="K20" s="15">
        <f t="shared" ca="1" si="0"/>
        <v>-69.427000000000007</v>
      </c>
      <c r="L20" s="15"/>
    </row>
    <row r="21" spans="1:16">
      <c r="A21" s="20" t="s">
        <v>1009</v>
      </c>
      <c r="B21" s="3" t="s">
        <v>165</v>
      </c>
      <c r="C21" s="3">
        <v>-69.427000000000007</v>
      </c>
      <c r="H21" s="21">
        <v>14</v>
      </c>
      <c r="I21" s="21">
        <f t="shared" si="1"/>
        <v>292.5</v>
      </c>
      <c r="J21" s="15">
        <v>4</v>
      </c>
      <c r="K21" s="15">
        <f t="shared" ca="1" si="0"/>
        <v>-69.400000000000006</v>
      </c>
      <c r="L21" s="15"/>
    </row>
    <row r="22" spans="1:16">
      <c r="A22" s="3" t="s">
        <v>304</v>
      </c>
      <c r="B22" s="3" t="s">
        <v>901</v>
      </c>
      <c r="C22" s="3">
        <v>419.05</v>
      </c>
      <c r="H22" s="21">
        <v>15</v>
      </c>
      <c r="I22" s="21">
        <f t="shared" si="1"/>
        <v>315</v>
      </c>
      <c r="J22" s="15">
        <v>3</v>
      </c>
      <c r="K22" s="15">
        <f t="shared" ca="1" si="0"/>
        <v>-69.373999999999995</v>
      </c>
      <c r="L22" s="15"/>
    </row>
    <row r="23" spans="1:16">
      <c r="A23" s="3" t="s">
        <v>1010</v>
      </c>
      <c r="B23" s="3" t="s">
        <v>903</v>
      </c>
      <c r="C23" s="3">
        <v>1E-3</v>
      </c>
      <c r="H23" s="21">
        <v>16</v>
      </c>
      <c r="I23" s="21">
        <f t="shared" si="1"/>
        <v>337.5</v>
      </c>
      <c r="J23" s="15">
        <v>2</v>
      </c>
      <c r="K23" s="15">
        <f t="shared" ca="1" si="0"/>
        <v>-69.378</v>
      </c>
      <c r="L23" s="15"/>
    </row>
    <row r="24" spans="1:16">
      <c r="A24" s="20" t="s">
        <v>1011</v>
      </c>
      <c r="B24" s="3" t="s">
        <v>165</v>
      </c>
      <c r="C24" s="3">
        <v>-69.42</v>
      </c>
      <c r="H24" s="21">
        <v>17</v>
      </c>
      <c r="I24" s="21">
        <f t="shared" si="1"/>
        <v>360</v>
      </c>
      <c r="J24" s="15">
        <v>1</v>
      </c>
      <c r="K24" s="15">
        <f t="shared" ca="1" si="0"/>
        <v>-69.403000000000006</v>
      </c>
      <c r="L24" s="15"/>
    </row>
    <row r="25" spans="1:16">
      <c r="A25" s="3" t="s">
        <v>304</v>
      </c>
      <c r="B25" s="3" t="s">
        <v>901</v>
      </c>
      <c r="C25" s="3">
        <v>418.988</v>
      </c>
      <c r="H25" s="15"/>
      <c r="I25" s="15"/>
      <c r="J25" s="15"/>
      <c r="K25" s="15"/>
      <c r="L25" s="15"/>
    </row>
    <row r="26" spans="1:16">
      <c r="A26" s="3" t="s">
        <v>1012</v>
      </c>
      <c r="B26" s="3" t="s">
        <v>903</v>
      </c>
      <c r="C26" s="3">
        <v>-1E-3</v>
      </c>
      <c r="H26" s="15"/>
      <c r="I26" s="15"/>
      <c r="J26" s="15" t="s">
        <v>140</v>
      </c>
      <c r="K26" s="15">
        <f ca="1">MAX(K8:K24)</f>
        <v>-69.373999999999995</v>
      </c>
      <c r="L26" s="15"/>
    </row>
    <row r="27" spans="1:16">
      <c r="A27" s="20" t="s">
        <v>1013</v>
      </c>
      <c r="B27" s="3" t="s">
        <v>165</v>
      </c>
      <c r="C27" s="3">
        <v>-69.394999999999996</v>
      </c>
      <c r="H27" s="15"/>
      <c r="I27" s="15"/>
      <c r="J27" s="15" t="s">
        <v>141</v>
      </c>
      <c r="K27" s="15">
        <f ca="1">MIN(K8:K24)</f>
        <v>-69.429000000000002</v>
      </c>
      <c r="L27" s="15"/>
    </row>
    <row r="28" spans="1:16">
      <c r="A28" s="3" t="s">
        <v>304</v>
      </c>
      <c r="B28" s="3" t="s">
        <v>901</v>
      </c>
      <c r="C28" s="3">
        <v>418.95299999999997</v>
      </c>
      <c r="H28" s="15"/>
      <c r="I28" s="15"/>
      <c r="J28" s="15"/>
      <c r="K28" s="15"/>
      <c r="L28" s="15"/>
    </row>
    <row r="29" spans="1:16">
      <c r="A29" s="3" t="s">
        <v>1014</v>
      </c>
      <c r="B29" s="3" t="s">
        <v>903</v>
      </c>
      <c r="C29" s="3">
        <v>0</v>
      </c>
      <c r="H29" s="15"/>
      <c r="I29" s="15"/>
      <c r="J29" s="15" t="s">
        <v>142</v>
      </c>
      <c r="K29" s="15">
        <f ca="1">K26-K27</f>
        <v>5.5000000000006821E-2</v>
      </c>
      <c r="L29" s="15" t="str">
        <f ca="1">IF(K29&gt;E3, "O/Max "&amp;TEXT(K29-E3, "0.000"), "-")</f>
        <v>-</v>
      </c>
    </row>
    <row r="30" spans="1:16">
      <c r="A30" s="20" t="s">
        <v>1015</v>
      </c>
      <c r="B30" s="3" t="s">
        <v>165</v>
      </c>
      <c r="C30" s="3">
        <v>-69.379000000000005</v>
      </c>
      <c r="I30" s="15"/>
      <c r="J30" s="15"/>
      <c r="K30" s="15"/>
      <c r="L30" s="15"/>
      <c r="M30" s="15"/>
      <c r="N30" s="15"/>
      <c r="O30" s="15"/>
    </row>
    <row r="31" spans="1:16">
      <c r="A31" s="3" t="s">
        <v>304</v>
      </c>
      <c r="B31" s="3" t="s">
        <v>901</v>
      </c>
      <c r="C31" s="3">
        <v>418.96800000000002</v>
      </c>
      <c r="I31" s="15"/>
      <c r="J31" s="15"/>
      <c r="K31" s="15"/>
      <c r="L31" s="15"/>
      <c r="M31" s="15"/>
      <c r="N31" s="15"/>
      <c r="O31" s="15"/>
    </row>
    <row r="32" spans="1:16">
      <c r="A32" s="3" t="s">
        <v>1016</v>
      </c>
      <c r="B32" s="3" t="s">
        <v>903</v>
      </c>
      <c r="C32" s="3">
        <v>0</v>
      </c>
      <c r="I32" s="21" t="s">
        <v>143</v>
      </c>
      <c r="J32" s="21"/>
      <c r="K32" s="21"/>
      <c r="L32" s="21" t="s">
        <v>144</v>
      </c>
      <c r="M32" s="15">
        <f>360/23</f>
        <v>15.652173913043478</v>
      </c>
      <c r="N32" s="21" t="s">
        <v>117</v>
      </c>
      <c r="O32" s="15">
        <v>-6.51</v>
      </c>
      <c r="P32" s="19" t="s">
        <v>118</v>
      </c>
    </row>
    <row r="33" spans="1:20">
      <c r="A33" s="20" t="s">
        <v>1017</v>
      </c>
      <c r="B33" s="3" t="s">
        <v>165</v>
      </c>
      <c r="C33" s="3">
        <v>-69.391000000000005</v>
      </c>
      <c r="I33" s="21"/>
      <c r="J33" s="19" t="s">
        <v>119</v>
      </c>
      <c r="L33" s="15" t="s">
        <v>120</v>
      </c>
      <c r="M33" s="16" t="s">
        <v>121</v>
      </c>
      <c r="N33" s="16" t="s">
        <v>122</v>
      </c>
      <c r="O33" s="16" t="s">
        <v>123</v>
      </c>
      <c r="P33" s="16" t="s">
        <v>124</v>
      </c>
      <c r="S33" s="15" t="s">
        <v>154</v>
      </c>
    </row>
    <row r="34" spans="1:20">
      <c r="A34" s="3" t="s">
        <v>304</v>
      </c>
      <c r="B34" s="3" t="s">
        <v>901</v>
      </c>
      <c r="C34" s="3">
        <v>418.99799999999999</v>
      </c>
      <c r="I34" s="19" t="s">
        <v>125</v>
      </c>
      <c r="J34" s="19" t="s">
        <v>126</v>
      </c>
      <c r="K34" s="19" t="s">
        <v>127</v>
      </c>
      <c r="L34" s="19" t="s">
        <v>128</v>
      </c>
      <c r="M34" s="16" t="s">
        <v>129</v>
      </c>
      <c r="N34" s="16" t="s">
        <v>126</v>
      </c>
      <c r="O34" s="16" t="s">
        <v>128</v>
      </c>
      <c r="S34" s="34" t="s">
        <v>155</v>
      </c>
      <c r="T34" s="19" t="s">
        <v>156</v>
      </c>
    </row>
    <row r="35" spans="1:20">
      <c r="A35" s="3" t="s">
        <v>1018</v>
      </c>
      <c r="B35" s="3" t="s">
        <v>903</v>
      </c>
      <c r="C35" s="3">
        <v>0</v>
      </c>
      <c r="I35" s="15">
        <v>1</v>
      </c>
      <c r="J35" s="26">
        <f>IF(O32&lt;0, 360+$O$32, $O$32)</f>
        <v>353.49</v>
      </c>
      <c r="K35" s="27">
        <f>MATCH($J35, $I$8:$I$24, 1)</f>
        <v>16</v>
      </c>
      <c r="L35" s="15">
        <f ca="1">VLOOKUP(K35, $H$8:$K$24, 4, FALSE)</f>
        <v>-69.378</v>
      </c>
      <c r="M35" s="28">
        <f ca="1">(VLOOKUP(K35+1, $H$8:$K$24, 4, FALSE) - VLOOKUP(K35, $H$8:$K$24, 4, FALSE))/(VLOOKUP(K35+1, $H$8:$K$24, 2, FALSE) - VLOOKUP(K35, $H$8:$K$24, 2, FALSE))</f>
        <v>-1.1111111111113637E-3</v>
      </c>
      <c r="N35" s="32">
        <f>J35-VLOOKUP(K35, $H$8:$I$24, 2, FALSE)</f>
        <v>15.990000000000009</v>
      </c>
      <c r="O35" s="30">
        <f ca="1">L35+M35*N35</f>
        <v>-69.395766666666674</v>
      </c>
      <c r="P35" s="31">
        <f ca="1">ABS(O36-O35)</f>
        <v>1.779762318840028E-2</v>
      </c>
      <c r="Q35" s="29">
        <f>J35</f>
        <v>353.49</v>
      </c>
      <c r="S35" s="15">
        <f ca="1">VLOOKUP($P$59, $P$35:$Q$57, 2,FALSE)</f>
        <v>275.22913043478263</v>
      </c>
      <c r="T35" s="15">
        <f ca="1">VLOOKUP(S35, $J$35:$O$57, 6, FALSE)</f>
        <v>-69.420725043478271</v>
      </c>
    </row>
    <row r="36" spans="1:20">
      <c r="A36" s="20" t="s">
        <v>1019</v>
      </c>
      <c r="B36" s="3" t="s">
        <v>165</v>
      </c>
      <c r="C36" s="3">
        <v>-69.406000000000006</v>
      </c>
      <c r="I36" s="15">
        <v>23</v>
      </c>
      <c r="J36" s="26">
        <f>IF(J35+$M$32&gt;360, J35+$M$32-360, J35+$M$32)</f>
        <v>9.1421739130435071</v>
      </c>
      <c r="K36" s="27">
        <f t="shared" ref="K36:K57" si="2">MATCH($J36, $I$8:$I$24, 1)</f>
        <v>1</v>
      </c>
      <c r="L36" s="15">
        <f t="shared" ref="L36:L57" ca="1" si="3">VLOOKUP(K36, $H$8:$K$24, 4, FALSE)</f>
        <v>-69.403000000000006</v>
      </c>
      <c r="M36" s="28">
        <f t="shared" ref="M36:M57" ca="1" si="4">(VLOOKUP(K36+1, $H$8:$K$24, 4, FALSE) - VLOOKUP(K36, $H$8:$K$24, 4, FALSE))/(VLOOKUP(K36+1, $H$8:$K$24, 2, FALSE) - VLOOKUP(K36, $H$8:$K$24, 2, FALSE))</f>
        <v>-1.1555555555553888E-3</v>
      </c>
      <c r="N36" s="32">
        <f t="shared" ref="N36:N57" si="5">J36-VLOOKUP(K36, $H$8:$I$24, 2, FALSE)</f>
        <v>9.1421739130435071</v>
      </c>
      <c r="O36" s="30">
        <f t="shared" ref="O36:O57" ca="1" si="6">L36+M36*N36</f>
        <v>-69.413564289855074</v>
      </c>
      <c r="P36" s="31">
        <f t="shared" ref="P36:P56" ca="1" si="7">ABS(O37-O36)</f>
        <v>1.5435710144927839E-2</v>
      </c>
      <c r="Q36" s="29">
        <f t="shared" ref="Q36:Q57" si="8">J36</f>
        <v>9.1421739130435071</v>
      </c>
      <c r="S36" s="15">
        <f ca="1">S35</f>
        <v>275.22913043478263</v>
      </c>
      <c r="T36" s="15">
        <f ca="1">T37</f>
        <v>-69.401942434782612</v>
      </c>
    </row>
    <row r="37" spans="1:20">
      <c r="A37" s="3" t="s">
        <v>304</v>
      </c>
      <c r="B37" s="3" t="s">
        <v>901</v>
      </c>
      <c r="C37" s="3">
        <v>419.00299999999999</v>
      </c>
      <c r="I37" s="15">
        <v>22</v>
      </c>
      <c r="J37" s="26">
        <f>IF(J36+$M$32&gt;360, J36+$M$32-360, J36+$M$32)</f>
        <v>24.794347826086984</v>
      </c>
      <c r="K37" s="27">
        <f t="shared" si="2"/>
        <v>2</v>
      </c>
      <c r="L37" s="15">
        <f t="shared" ca="1" si="3"/>
        <v>-69.429000000000002</v>
      </c>
      <c r="M37" s="28">
        <f t="shared" ca="1" si="4"/>
        <v>0</v>
      </c>
      <c r="N37" s="32">
        <f t="shared" si="5"/>
        <v>2.2943478260869838</v>
      </c>
      <c r="O37" s="30">
        <f t="shared" ca="1" si="6"/>
        <v>-69.429000000000002</v>
      </c>
      <c r="P37" s="31">
        <f t="shared" ca="1" si="7"/>
        <v>0</v>
      </c>
      <c r="Q37" s="29">
        <f t="shared" si="8"/>
        <v>24.794347826086984</v>
      </c>
      <c r="S37" s="15">
        <f ca="1">IF(MATCH($P$59, $P$35:$P$57, 0)=23, OFFSET($Q$34,1,0), OFFSET($Q$34, MATCH($P$59, $P$35:$P$57, 0)+1, 0))</f>
        <v>290.88130434782613</v>
      </c>
      <c r="T37" s="15">
        <f ca="1">VLOOKUP(S37, $J$35:$O$57, 6, FALSE)</f>
        <v>-69.401942434782612</v>
      </c>
    </row>
    <row r="38" spans="1:20">
      <c r="A38" s="3" t="s">
        <v>1020</v>
      </c>
      <c r="B38" s="3" t="s">
        <v>903</v>
      </c>
      <c r="C38" s="3">
        <v>1E-3</v>
      </c>
      <c r="I38" s="15">
        <v>21</v>
      </c>
      <c r="J38" s="26">
        <f t="shared" ref="J38:J57" si="9">IF(J37+$M$32&gt;360, J37+$M$32-360, J37+$M$32)</f>
        <v>40.446521739130461</v>
      </c>
      <c r="K38" s="27">
        <f t="shared" si="2"/>
        <v>2</v>
      </c>
      <c r="L38" s="15">
        <f t="shared" ca="1" si="3"/>
        <v>-69.429000000000002</v>
      </c>
      <c r="M38" s="28">
        <f t="shared" ca="1" si="4"/>
        <v>0</v>
      </c>
      <c r="N38" s="32">
        <f t="shared" si="5"/>
        <v>17.946521739130461</v>
      </c>
      <c r="O38" s="30">
        <f t="shared" ca="1" si="6"/>
        <v>-69.429000000000002</v>
      </c>
      <c r="P38" s="31">
        <f t="shared" ca="1" si="7"/>
        <v>9.372231884057669E-3</v>
      </c>
      <c r="Q38" s="29">
        <f t="shared" si="8"/>
        <v>40.446521739130461</v>
      </c>
    </row>
    <row r="39" spans="1:20">
      <c r="A39" s="20" t="s">
        <v>1021</v>
      </c>
      <c r="B39" s="3" t="s">
        <v>165</v>
      </c>
      <c r="C39" s="3">
        <v>-69.41</v>
      </c>
      <c r="I39" s="15">
        <v>20</v>
      </c>
      <c r="J39" s="26">
        <f t="shared" si="9"/>
        <v>56.098695652173937</v>
      </c>
      <c r="K39" s="27">
        <f t="shared" si="2"/>
        <v>3</v>
      </c>
      <c r="L39" s="15">
        <f t="shared" ca="1" si="3"/>
        <v>-69.429000000000002</v>
      </c>
      <c r="M39" s="28">
        <f t="shared" ca="1" si="4"/>
        <v>8.4444444444468697E-4</v>
      </c>
      <c r="N39" s="32">
        <f t="shared" si="5"/>
        <v>11.098695652173937</v>
      </c>
      <c r="O39" s="30">
        <f t="shared" ca="1" si="6"/>
        <v>-69.419627768115944</v>
      </c>
      <c r="P39" s="31">
        <f t="shared" ca="1" si="7"/>
        <v>1.0572405797105944E-2</v>
      </c>
      <c r="Q39" s="29">
        <f t="shared" si="8"/>
        <v>56.098695652173937</v>
      </c>
    </row>
    <row r="40" spans="1:20">
      <c r="A40" s="3" t="s">
        <v>304</v>
      </c>
      <c r="B40" s="3" t="s">
        <v>901</v>
      </c>
      <c r="C40" s="3">
        <v>419.01799999999997</v>
      </c>
      <c r="I40" s="15">
        <v>19</v>
      </c>
      <c r="J40" s="26">
        <f t="shared" si="9"/>
        <v>71.750869565217414</v>
      </c>
      <c r="K40" s="27">
        <f t="shared" si="2"/>
        <v>4</v>
      </c>
      <c r="L40" s="15">
        <f t="shared" ca="1" si="3"/>
        <v>-69.41</v>
      </c>
      <c r="M40" s="28">
        <f t="shared" ca="1" si="4"/>
        <v>2.2222222222202011E-4</v>
      </c>
      <c r="N40" s="32">
        <f t="shared" si="5"/>
        <v>4.250869565217414</v>
      </c>
      <c r="O40" s="30">
        <f t="shared" ca="1" si="6"/>
        <v>-69.409055362318838</v>
      </c>
      <c r="P40" s="31">
        <f t="shared" ca="1" si="7"/>
        <v>3.4782608695564932E-3</v>
      </c>
      <c r="Q40" s="29">
        <f t="shared" si="8"/>
        <v>71.750869565217414</v>
      </c>
    </row>
    <row r="41" spans="1:20">
      <c r="A41" s="3" t="s">
        <v>1022</v>
      </c>
      <c r="B41" s="3" t="s">
        <v>903</v>
      </c>
      <c r="C41" s="3">
        <v>0</v>
      </c>
      <c r="I41" s="15">
        <v>18</v>
      </c>
      <c r="J41" s="26">
        <f t="shared" si="9"/>
        <v>87.403043478260898</v>
      </c>
      <c r="K41" s="27">
        <f t="shared" si="2"/>
        <v>4</v>
      </c>
      <c r="L41" s="15">
        <f t="shared" ca="1" si="3"/>
        <v>-69.41</v>
      </c>
      <c r="M41" s="28">
        <f t="shared" ca="1" si="4"/>
        <v>2.2222222222202011E-4</v>
      </c>
      <c r="N41" s="32">
        <f t="shared" si="5"/>
        <v>19.903043478260898</v>
      </c>
      <c r="O41" s="30">
        <f t="shared" ca="1" si="6"/>
        <v>-69.405577101449282</v>
      </c>
      <c r="P41" s="31">
        <f t="shared" ca="1" si="7"/>
        <v>5.8336231883515666E-4</v>
      </c>
      <c r="Q41" s="29">
        <f t="shared" si="8"/>
        <v>87.403043478260898</v>
      </c>
    </row>
    <row r="42" spans="1:20">
      <c r="A42" s="20" t="s">
        <v>1023</v>
      </c>
      <c r="B42" s="3" t="s">
        <v>165</v>
      </c>
      <c r="C42" s="3">
        <v>-69.406999999999996</v>
      </c>
      <c r="I42" s="15">
        <v>17</v>
      </c>
      <c r="J42" s="26">
        <f t="shared" si="9"/>
        <v>103.05521739130438</v>
      </c>
      <c r="K42" s="27">
        <f t="shared" si="2"/>
        <v>5</v>
      </c>
      <c r="L42" s="15">
        <f t="shared" ca="1" si="3"/>
        <v>-69.405000000000001</v>
      </c>
      <c r="M42" s="28">
        <f t="shared" ca="1" si="4"/>
        <v>-8.8888888888681729E-5</v>
      </c>
      <c r="N42" s="32">
        <f t="shared" si="5"/>
        <v>13.055217391304382</v>
      </c>
      <c r="O42" s="30">
        <f t="shared" ca="1" si="6"/>
        <v>-69.406160463768117</v>
      </c>
      <c r="P42" s="31">
        <f t="shared" ca="1" si="7"/>
        <v>1.6671884057899433E-3</v>
      </c>
      <c r="Q42" s="29">
        <f t="shared" si="8"/>
        <v>103.05521739130438</v>
      </c>
    </row>
    <row r="43" spans="1:20">
      <c r="A43" s="3" t="s">
        <v>304</v>
      </c>
      <c r="B43" s="3" t="s">
        <v>901</v>
      </c>
      <c r="C43" s="3">
        <v>419.00700000000001</v>
      </c>
      <c r="I43" s="15">
        <v>16</v>
      </c>
      <c r="J43" s="26">
        <f t="shared" si="9"/>
        <v>118.70739130434787</v>
      </c>
      <c r="K43" s="27">
        <f t="shared" si="2"/>
        <v>6</v>
      </c>
      <c r="L43" s="15">
        <f t="shared" ca="1" si="3"/>
        <v>-69.406999999999996</v>
      </c>
      <c r="M43" s="28">
        <f t="shared" ca="1" si="4"/>
        <v>-1.3333333333333838E-4</v>
      </c>
      <c r="N43" s="32">
        <f t="shared" si="5"/>
        <v>6.2073913043478655</v>
      </c>
      <c r="O43" s="30">
        <f t="shared" ca="1" si="6"/>
        <v>-69.407827652173907</v>
      </c>
      <c r="P43" s="31">
        <f t="shared" ca="1" si="7"/>
        <v>2.0869565217367381E-3</v>
      </c>
      <c r="Q43" s="29">
        <f t="shared" si="8"/>
        <v>118.70739130434787</v>
      </c>
    </row>
    <row r="44" spans="1:20">
      <c r="A44" s="3" t="s">
        <v>1024</v>
      </c>
      <c r="B44" s="3" t="s">
        <v>903</v>
      </c>
      <c r="C44" s="3">
        <v>0</v>
      </c>
      <c r="I44" s="15">
        <v>15</v>
      </c>
      <c r="J44" s="26">
        <f t="shared" si="9"/>
        <v>134.35956521739135</v>
      </c>
      <c r="K44" s="27">
        <f t="shared" si="2"/>
        <v>6</v>
      </c>
      <c r="L44" s="15">
        <f t="shared" ca="1" si="3"/>
        <v>-69.406999999999996</v>
      </c>
      <c r="M44" s="28">
        <f t="shared" ca="1" si="4"/>
        <v>-1.3333333333333838E-4</v>
      </c>
      <c r="N44" s="32">
        <f t="shared" si="5"/>
        <v>21.859565217391349</v>
      </c>
      <c r="O44" s="30">
        <f t="shared" ca="1" si="6"/>
        <v>-69.409914608695644</v>
      </c>
      <c r="P44" s="31">
        <f t="shared" ca="1" si="7"/>
        <v>2.5833623188304955E-3</v>
      </c>
      <c r="Q44" s="29">
        <f t="shared" si="8"/>
        <v>134.35956521739135</v>
      </c>
    </row>
    <row r="45" spans="1:20">
      <c r="A45" s="20" t="s">
        <v>1025</v>
      </c>
      <c r="B45" s="3" t="s">
        <v>165</v>
      </c>
      <c r="C45" s="3">
        <v>-69.405000000000001</v>
      </c>
      <c r="I45" s="15">
        <v>14</v>
      </c>
      <c r="J45" s="26">
        <f t="shared" si="9"/>
        <v>150.01173913043482</v>
      </c>
      <c r="K45" s="27">
        <f t="shared" si="2"/>
        <v>7</v>
      </c>
      <c r="L45" s="15">
        <f t="shared" ca="1" si="3"/>
        <v>-69.41</v>
      </c>
      <c r="M45" s="28">
        <f t="shared" ca="1" si="4"/>
        <v>1.7777777777736346E-4</v>
      </c>
      <c r="N45" s="32">
        <f t="shared" si="5"/>
        <v>15.011739130434819</v>
      </c>
      <c r="O45" s="30">
        <f t="shared" ca="1" si="6"/>
        <v>-69.407331246376813</v>
      </c>
      <c r="P45" s="31">
        <f t="shared" ca="1" si="7"/>
        <v>6.7738550724527613E-3</v>
      </c>
      <c r="Q45" s="29">
        <f t="shared" si="8"/>
        <v>150.01173913043482</v>
      </c>
    </row>
    <row r="46" spans="1:20">
      <c r="A46" s="3" t="s">
        <v>304</v>
      </c>
      <c r="B46" s="3" t="s">
        <v>901</v>
      </c>
      <c r="C46" s="3">
        <v>419.00400000000002</v>
      </c>
      <c r="I46" s="15">
        <v>13</v>
      </c>
      <c r="J46" s="26">
        <f t="shared" si="9"/>
        <v>165.66391304347829</v>
      </c>
      <c r="K46" s="27">
        <f t="shared" si="2"/>
        <v>8</v>
      </c>
      <c r="L46" s="15">
        <f t="shared" ca="1" si="3"/>
        <v>-69.406000000000006</v>
      </c>
      <c r="M46" s="28">
        <f t="shared" ca="1" si="4"/>
        <v>6.6666666666669191E-4</v>
      </c>
      <c r="N46" s="32">
        <f t="shared" si="5"/>
        <v>8.1639130434782885</v>
      </c>
      <c r="O46" s="30">
        <f t="shared" ca="1" si="6"/>
        <v>-69.400557391304361</v>
      </c>
      <c r="P46" s="31">
        <f t="shared" ca="1" si="7"/>
        <v>1.0259304347826514E-2</v>
      </c>
      <c r="Q46" s="29">
        <f t="shared" si="8"/>
        <v>165.66391304347829</v>
      </c>
    </row>
    <row r="47" spans="1:20">
      <c r="A47" s="3" t="s">
        <v>1026</v>
      </c>
      <c r="B47" s="3" t="s">
        <v>903</v>
      </c>
      <c r="C47" s="3">
        <v>1E-3</v>
      </c>
      <c r="I47" s="15">
        <v>12</v>
      </c>
      <c r="J47" s="26">
        <f t="shared" si="9"/>
        <v>181.31608695652176</v>
      </c>
      <c r="K47" s="27">
        <f t="shared" si="2"/>
        <v>9</v>
      </c>
      <c r="L47" s="15">
        <f t="shared" ca="1" si="3"/>
        <v>-69.391000000000005</v>
      </c>
      <c r="M47" s="28">
        <f t="shared" ca="1" si="4"/>
        <v>5.3333333333335353E-4</v>
      </c>
      <c r="N47" s="32">
        <f t="shared" si="5"/>
        <v>1.3160869565217581</v>
      </c>
      <c r="O47" s="30">
        <f t="shared" ca="1" si="6"/>
        <v>-69.390298086956534</v>
      </c>
      <c r="P47" s="31">
        <f t="shared" ca="1" si="7"/>
        <v>8.3478260869611631E-3</v>
      </c>
      <c r="Q47" s="29">
        <f t="shared" si="8"/>
        <v>181.31608695652176</v>
      </c>
    </row>
    <row r="48" spans="1:20">
      <c r="A48" s="20" t="s">
        <v>1027</v>
      </c>
      <c r="B48" s="3" t="s">
        <v>165</v>
      </c>
      <c r="C48" s="3">
        <v>-69.41</v>
      </c>
      <c r="I48" s="15">
        <v>11</v>
      </c>
      <c r="J48" s="26">
        <f t="shared" si="9"/>
        <v>196.96826086956523</v>
      </c>
      <c r="K48" s="27">
        <f t="shared" si="2"/>
        <v>9</v>
      </c>
      <c r="L48" s="15">
        <f t="shared" ca="1" si="3"/>
        <v>-69.391000000000005</v>
      </c>
      <c r="M48" s="28">
        <f t="shared" ca="1" si="4"/>
        <v>5.3333333333335353E-4</v>
      </c>
      <c r="N48" s="32">
        <f t="shared" si="5"/>
        <v>16.968260869565228</v>
      </c>
      <c r="O48" s="30">
        <f t="shared" ca="1" si="6"/>
        <v>-69.381950260869573</v>
      </c>
      <c r="P48" s="31">
        <f t="shared" ca="1" si="7"/>
        <v>4.2464927536229879E-3</v>
      </c>
      <c r="Q48" s="29">
        <f t="shared" si="8"/>
        <v>196.96826086956523</v>
      </c>
    </row>
    <row r="49" spans="1:27">
      <c r="A49" s="3" t="s">
        <v>304</v>
      </c>
      <c r="B49" s="3" t="s">
        <v>901</v>
      </c>
      <c r="C49" s="3">
        <v>419.01600000000002</v>
      </c>
      <c r="I49" s="15">
        <v>10</v>
      </c>
      <c r="J49" s="26">
        <f t="shared" si="9"/>
        <v>212.6204347826087</v>
      </c>
      <c r="K49" s="27">
        <f t="shared" si="2"/>
        <v>10</v>
      </c>
      <c r="L49" s="15">
        <f t="shared" ca="1" si="3"/>
        <v>-69.379000000000005</v>
      </c>
      <c r="M49" s="28">
        <f t="shared" ca="1" si="4"/>
        <v>-7.1111111111071704E-4</v>
      </c>
      <c r="N49" s="32">
        <f t="shared" si="5"/>
        <v>10.120434782608697</v>
      </c>
      <c r="O49" s="30">
        <f t="shared" ca="1" si="6"/>
        <v>-69.386196753623196</v>
      </c>
      <c r="P49" s="31">
        <f t="shared" ca="1" si="7"/>
        <v>1.2439478260859005E-2</v>
      </c>
      <c r="Q49" s="29">
        <f t="shared" si="8"/>
        <v>212.6204347826087</v>
      </c>
    </row>
    <row r="50" spans="1:27">
      <c r="A50" s="3" t="s">
        <v>1028</v>
      </c>
      <c r="B50" s="3" t="s">
        <v>903</v>
      </c>
      <c r="C50" s="3">
        <v>-1E-3</v>
      </c>
      <c r="I50" s="15">
        <v>9</v>
      </c>
      <c r="J50" s="26">
        <f t="shared" si="9"/>
        <v>228.27260869565217</v>
      </c>
      <c r="K50" s="27">
        <f t="shared" si="2"/>
        <v>11</v>
      </c>
      <c r="L50" s="15">
        <f t="shared" ca="1" si="3"/>
        <v>-69.394999999999996</v>
      </c>
      <c r="M50" s="28">
        <f t="shared" ca="1" si="4"/>
        <v>-1.1111111111113637E-3</v>
      </c>
      <c r="N50" s="32">
        <f t="shared" si="5"/>
        <v>3.2726086956521669</v>
      </c>
      <c r="O50" s="30">
        <f t="shared" ca="1" si="6"/>
        <v>-69.398636231884055</v>
      </c>
      <c r="P50" s="31">
        <f t="shared" ca="1" si="7"/>
        <v>1.7391304347825098E-2</v>
      </c>
      <c r="Q50" s="29">
        <f t="shared" si="8"/>
        <v>228.27260869565217</v>
      </c>
    </row>
    <row r="51" spans="1:27">
      <c r="A51" s="20" t="s">
        <v>1029</v>
      </c>
      <c r="B51" s="3" t="s">
        <v>165</v>
      </c>
      <c r="C51" s="3">
        <v>-69.429000000000002</v>
      </c>
      <c r="I51" s="15">
        <v>8</v>
      </c>
      <c r="J51" s="26">
        <f t="shared" si="9"/>
        <v>243.92478260869564</v>
      </c>
      <c r="K51" s="27">
        <f t="shared" si="2"/>
        <v>11</v>
      </c>
      <c r="L51" s="15">
        <f t="shared" ca="1" si="3"/>
        <v>-69.394999999999996</v>
      </c>
      <c r="M51" s="28">
        <f t="shared" ca="1" si="4"/>
        <v>-1.1111111111113637E-3</v>
      </c>
      <c r="N51" s="32">
        <f t="shared" si="5"/>
        <v>18.924782608695637</v>
      </c>
      <c r="O51" s="30">
        <f t="shared" ca="1" si="6"/>
        <v>-69.41602753623188</v>
      </c>
      <c r="P51" s="31">
        <f t="shared" ca="1" si="7"/>
        <v>7.7297391304398388E-3</v>
      </c>
      <c r="Q51" s="29">
        <f t="shared" si="8"/>
        <v>243.92478260869564</v>
      </c>
    </row>
    <row r="52" spans="1:27">
      <c r="A52" s="3" t="s">
        <v>304</v>
      </c>
      <c r="B52" s="3" t="s">
        <v>901</v>
      </c>
      <c r="C52" s="3">
        <v>419.01</v>
      </c>
      <c r="I52" s="15">
        <v>7</v>
      </c>
      <c r="J52" s="26">
        <f t="shared" si="9"/>
        <v>259.57695652173913</v>
      </c>
      <c r="K52" s="27">
        <f t="shared" si="2"/>
        <v>12</v>
      </c>
      <c r="L52" s="15">
        <f t="shared" ca="1" si="3"/>
        <v>-69.42</v>
      </c>
      <c r="M52" s="28">
        <f t="shared" ca="1" si="4"/>
        <v>-3.1111111111133344E-4</v>
      </c>
      <c r="N52" s="32">
        <f t="shared" si="5"/>
        <v>12.076956521739135</v>
      </c>
      <c r="O52" s="30">
        <f t="shared" ca="1" si="6"/>
        <v>-69.42375727536232</v>
      </c>
      <c r="P52" s="31">
        <f t="shared" ca="1" si="7"/>
        <v>3.032231884048997E-3</v>
      </c>
      <c r="Q52" s="29">
        <f t="shared" si="8"/>
        <v>259.57695652173913</v>
      </c>
    </row>
    <row r="53" spans="1:27">
      <c r="A53" s="3" t="s">
        <v>1030</v>
      </c>
      <c r="B53" s="3" t="s">
        <v>903</v>
      </c>
      <c r="C53" s="3">
        <v>0</v>
      </c>
      <c r="I53" s="15">
        <v>6</v>
      </c>
      <c r="J53" s="26">
        <f t="shared" si="9"/>
        <v>275.22913043478263</v>
      </c>
      <c r="K53" s="27">
        <f t="shared" si="2"/>
        <v>13</v>
      </c>
      <c r="L53" s="15">
        <f t="shared" ca="1" si="3"/>
        <v>-69.427000000000007</v>
      </c>
      <c r="M53" s="28">
        <f t="shared" ca="1" si="4"/>
        <v>1.2000000000000454E-3</v>
      </c>
      <c r="N53" s="32">
        <f t="shared" si="5"/>
        <v>5.2291304347826326</v>
      </c>
      <c r="O53" s="30">
        <f t="shared" ca="1" si="6"/>
        <v>-69.420725043478271</v>
      </c>
      <c r="P53" s="31">
        <f t="shared" ca="1" si="7"/>
        <v>1.8782608695659064E-2</v>
      </c>
      <c r="Q53" s="29">
        <f t="shared" si="8"/>
        <v>275.22913043478263</v>
      </c>
    </row>
    <row r="54" spans="1:27">
      <c r="A54" s="20" t="s">
        <v>1031</v>
      </c>
      <c r="B54" s="3" t="s">
        <v>165</v>
      </c>
      <c r="C54" s="3">
        <v>-69.429000000000002</v>
      </c>
      <c r="I54" s="15">
        <v>5</v>
      </c>
      <c r="J54" s="26">
        <f t="shared" si="9"/>
        <v>290.88130434782613</v>
      </c>
      <c r="K54" s="27">
        <f t="shared" si="2"/>
        <v>13</v>
      </c>
      <c r="L54" s="15">
        <f t="shared" ca="1" si="3"/>
        <v>-69.427000000000007</v>
      </c>
      <c r="M54" s="28">
        <f t="shared" ca="1" si="4"/>
        <v>1.2000000000000454E-3</v>
      </c>
      <c r="N54" s="32">
        <f t="shared" si="5"/>
        <v>20.881304347826131</v>
      </c>
      <c r="O54" s="30">
        <f t="shared" ca="1" si="6"/>
        <v>-69.401942434782612</v>
      </c>
      <c r="P54" s="31">
        <f t="shared" ca="1" si="7"/>
        <v>1.8158898550723279E-2</v>
      </c>
      <c r="Q54" s="29">
        <f t="shared" si="8"/>
        <v>290.88130434782613</v>
      </c>
    </row>
    <row r="55" spans="1:27">
      <c r="I55" s="15">
        <v>4</v>
      </c>
      <c r="J55" s="26">
        <f t="shared" si="9"/>
        <v>306.53347826086963</v>
      </c>
      <c r="K55" s="27">
        <f t="shared" si="2"/>
        <v>14</v>
      </c>
      <c r="L55" s="15">
        <f t="shared" ca="1" si="3"/>
        <v>-69.400000000000006</v>
      </c>
      <c r="M55" s="28">
        <f t="shared" ca="1" si="4"/>
        <v>1.1555555555560204E-3</v>
      </c>
      <c r="N55" s="32">
        <f t="shared" si="5"/>
        <v>14.033478260869629</v>
      </c>
      <c r="O55" s="30">
        <f t="shared" ca="1" si="6"/>
        <v>-69.383783536231888</v>
      </c>
      <c r="P55" s="31">
        <f t="shared" ca="1" si="7"/>
        <v>8.5060869565296571E-3</v>
      </c>
      <c r="Q55" s="29">
        <f t="shared" si="8"/>
        <v>306.53347826086963</v>
      </c>
    </row>
    <row r="56" spans="1:27">
      <c r="I56" s="15">
        <v>3</v>
      </c>
      <c r="J56" s="26">
        <f t="shared" si="9"/>
        <v>322.18565217391313</v>
      </c>
      <c r="K56" s="27">
        <f t="shared" si="2"/>
        <v>15</v>
      </c>
      <c r="L56" s="15">
        <f t="shared" ca="1" si="3"/>
        <v>-69.373999999999995</v>
      </c>
      <c r="M56" s="28">
        <f t="shared" ca="1" si="4"/>
        <v>-1.7777777777799503E-4</v>
      </c>
      <c r="N56" s="32">
        <f t="shared" si="5"/>
        <v>7.1856521739131267</v>
      </c>
      <c r="O56" s="30">
        <f t="shared" ca="1" si="6"/>
        <v>-69.375277449275359</v>
      </c>
      <c r="P56" s="31">
        <f t="shared" ca="1" si="7"/>
        <v>3.0979130434758417E-3</v>
      </c>
      <c r="Q56" s="29">
        <f t="shared" si="8"/>
        <v>322.18565217391313</v>
      </c>
    </row>
    <row r="57" spans="1:27">
      <c r="I57" s="15">
        <v>2</v>
      </c>
      <c r="J57" s="26">
        <f t="shared" si="9"/>
        <v>337.83782608695662</v>
      </c>
      <c r="K57" s="27">
        <f t="shared" si="2"/>
        <v>16</v>
      </c>
      <c r="L57" s="15">
        <f t="shared" ca="1" si="3"/>
        <v>-69.378</v>
      </c>
      <c r="M57" s="28">
        <f t="shared" ca="1" si="4"/>
        <v>-1.1111111111113637E-3</v>
      </c>
      <c r="N57" s="32">
        <f t="shared" si="5"/>
        <v>0.33782608695662475</v>
      </c>
      <c r="O57" s="30">
        <f t="shared" ca="1" si="6"/>
        <v>-69.378375362318835</v>
      </c>
      <c r="P57" s="31">
        <f ca="1">ABS(O35-O57)</f>
        <v>1.7391304347839309E-2</v>
      </c>
      <c r="Q57" s="29">
        <f t="shared" si="8"/>
        <v>337.83782608695662</v>
      </c>
    </row>
    <row r="59" spans="1:27">
      <c r="O59" s="15" t="s">
        <v>145</v>
      </c>
      <c r="P59" s="31">
        <f ca="1">MAX(P35:P57)</f>
        <v>1.8782608695659064E-2</v>
      </c>
      <c r="S59" s="67" t="str">
        <f ca="1">"Stg.3 LPT shroud groove min clearance "&amp;TEXT(L71, "0.000")&amp;" mm."</f>
        <v>Stg.3 LPT shroud groove min clearance 0.005 mm.</v>
      </c>
      <c r="T59" s="62"/>
      <c r="U59" s="62"/>
      <c r="V59" s="62"/>
      <c r="W59" s="62"/>
      <c r="X59" s="62"/>
      <c r="Y59" s="62"/>
      <c r="Z59" s="62"/>
      <c r="AA59" s="62"/>
    </row>
    <row r="60" spans="1:27">
      <c r="P60" s="16" t="str">
        <f ca="1">IF(P59&lt;=L71, "OK", "NG")</f>
        <v>NG</v>
      </c>
      <c r="S60" s="67" t="str">
        <f ca="1">"LPT case hook max axial deformation in one segment of stg.3 LPT shroud "&amp;TEXT(P59, "0.000")&amp;" mm."</f>
        <v>LPT case hook max axial deformation in one segment of stg.3 LPT shroud 0.019 mm.</v>
      </c>
      <c r="T60" s="62"/>
      <c r="U60" s="62"/>
      <c r="V60" s="62"/>
      <c r="W60" s="62"/>
      <c r="X60" s="62"/>
      <c r="Y60" s="62"/>
      <c r="Z60" s="62"/>
      <c r="AA60" s="62"/>
    </row>
    <row r="61" spans="1:27">
      <c r="S61" s="67" t="str">
        <f ca="1">IF(P60="NG", TEXT(DEGREES(ATAN((P59-L71)/ROUND(2*PI()*417.3*2*7.83/360,1))),"0.00E+00")&amp;"deg. rotation against axial direction enables stg.3 LPT shroud installation.", "Stg.3 LPT shroud can be installed without rotation against axial direction.")</f>
        <v>6.92E-03deg. rotation against axial direction enables stg.3 LPT shroud installation.</v>
      </c>
      <c r="T61" s="62"/>
      <c r="U61" s="62"/>
      <c r="V61" s="62"/>
      <c r="W61" s="62"/>
      <c r="X61" s="62"/>
      <c r="Y61" s="62"/>
      <c r="Z61" s="62"/>
      <c r="AA61" s="62"/>
    </row>
    <row r="62" spans="1:27">
      <c r="J62" s="21"/>
      <c r="K62" s="21"/>
      <c r="L62" s="21" t="s">
        <v>146</v>
      </c>
      <c r="M62" s="21" t="s">
        <v>147</v>
      </c>
    </row>
    <row r="63" spans="1:27">
      <c r="J63" s="21"/>
      <c r="K63" s="21" t="s">
        <v>148</v>
      </c>
      <c r="L63" s="21">
        <v>5.75</v>
      </c>
      <c r="M63" s="21">
        <v>0.04</v>
      </c>
    </row>
    <row r="64" spans="1:27">
      <c r="J64" s="21"/>
      <c r="K64" s="22" t="s">
        <v>149</v>
      </c>
      <c r="L64" s="21">
        <v>5.85</v>
      </c>
      <c r="M64" s="21">
        <v>0.04</v>
      </c>
    </row>
    <row r="65" spans="10:13">
      <c r="J65" s="21"/>
      <c r="K65" s="21"/>
      <c r="L65" s="21"/>
      <c r="M65" s="21"/>
    </row>
    <row r="66" spans="10:13">
      <c r="J66" s="21"/>
      <c r="K66" s="21" t="s">
        <v>150</v>
      </c>
      <c r="L66" s="21">
        <f>L64-L63</f>
        <v>9.9999999999999645E-2</v>
      </c>
      <c r="M66" s="21"/>
    </row>
    <row r="67" spans="10:13">
      <c r="J67" s="21"/>
      <c r="K67" s="21"/>
      <c r="L67" s="21"/>
      <c r="M67" s="21"/>
    </row>
    <row r="68" spans="10:13">
      <c r="J68" s="21"/>
      <c r="K68" s="21" t="s">
        <v>151</v>
      </c>
      <c r="L68" s="21">
        <f ca="1">'342'!L12</f>
        <v>5.8049999999999997</v>
      </c>
      <c r="M68" s="21"/>
    </row>
    <row r="69" spans="10:13">
      <c r="J69" s="21"/>
      <c r="K69" s="22" t="s">
        <v>152</v>
      </c>
      <c r="L69" s="21">
        <f>L64-M64</f>
        <v>5.81</v>
      </c>
      <c r="M69" s="21"/>
    </row>
    <row r="70" spans="10:13">
      <c r="J70" s="21"/>
      <c r="K70" s="21"/>
      <c r="L70" s="21"/>
      <c r="M70" s="21"/>
    </row>
    <row r="71" spans="10:13">
      <c r="J71" s="21"/>
      <c r="K71" s="22" t="s">
        <v>153</v>
      </c>
      <c r="L71" s="21">
        <f ca="1">L69-L68</f>
        <v>4.9999999999998934E-3</v>
      </c>
      <c r="M71" s="21"/>
    </row>
  </sheetData>
  <phoneticPr fontId="1"/>
  <pageMargins left="0.7" right="0.7" top="0.75" bottom="0.75" header="0.3" footer="0.3"/>
  <pageSetup paperSize="9" orientation="portrait" r:id="rId1"/>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5"/>
  <dimension ref="A1:L40"/>
  <sheetViews>
    <sheetView workbookViewId="0">
      <selection activeCell="W29" sqref="W29"/>
    </sheetView>
  </sheetViews>
  <sheetFormatPr defaultColWidth="8.7109375" defaultRowHeight="15"/>
  <cols>
    <col min="1" max="1" width="19.5703125" style="3" customWidth="1"/>
    <col min="2" max="2" width="13.5703125" style="3" customWidth="1"/>
    <col min="3" max="5" width="8.7109375" style="3"/>
    <col min="6" max="6" width="4" style="1" customWidth="1"/>
    <col min="7" max="7" width="12.7109375" style="1" bestFit="1" customWidth="1"/>
    <col min="8" max="10" width="8.7109375" style="1"/>
    <col min="11" max="11" width="9.42578125" style="1" bestFit="1" customWidth="1"/>
    <col min="12" max="16384" width="8.7109375" style="1"/>
  </cols>
  <sheetData>
    <row r="1" spans="1:12">
      <c r="A1" s="3" t="s">
        <v>1032</v>
      </c>
      <c r="C1" s="33"/>
    </row>
    <row r="2" spans="1:12">
      <c r="A2" s="3" t="s">
        <v>969</v>
      </c>
      <c r="B2" s="3" t="s">
        <v>970</v>
      </c>
      <c r="C2" s="3">
        <v>5.8029999999999999</v>
      </c>
      <c r="D2" s="3" t="s">
        <v>971</v>
      </c>
      <c r="E2" s="3">
        <v>5.75</v>
      </c>
      <c r="I2" s="16" t="s">
        <v>110</v>
      </c>
      <c r="J2" s="15"/>
      <c r="K2" s="15" t="str">
        <f>CONCATENATE(A5, ": 118 Position")</f>
        <v>JHV723EJ: 118 Position</v>
      </c>
      <c r="L2" s="15"/>
    </row>
    <row r="3" spans="1:12">
      <c r="A3" s="3" t="s">
        <v>1033</v>
      </c>
      <c r="B3" s="3" t="s">
        <v>973</v>
      </c>
      <c r="C3" s="3">
        <v>5.2999999999999999E-2</v>
      </c>
      <c r="D3" s="3" t="s">
        <v>974</v>
      </c>
      <c r="E3" s="3">
        <v>0.04</v>
      </c>
      <c r="F3" s="1" t="s">
        <v>1300</v>
      </c>
      <c r="G3" s="1">
        <v>1.2999999999999999E-2</v>
      </c>
      <c r="I3" s="21">
        <v>1</v>
      </c>
      <c r="J3" s="21">
        <v>0</v>
      </c>
      <c r="K3" s="15">
        <v>1</v>
      </c>
      <c r="L3" s="15">
        <f ca="1">OFFSET($C$2, 5*(K3-1), 0)</f>
        <v>5.8029999999999999</v>
      </c>
    </row>
    <row r="4" spans="1:12">
      <c r="A4" s="20" t="s">
        <v>1034</v>
      </c>
      <c r="B4" s="3" t="s">
        <v>976</v>
      </c>
      <c r="C4" s="3">
        <v>-0.04</v>
      </c>
      <c r="I4" s="21">
        <v>2</v>
      </c>
      <c r="J4" s="21">
        <f>J3+360/8</f>
        <v>45</v>
      </c>
      <c r="K4" s="15">
        <v>8</v>
      </c>
      <c r="L4" s="15">
        <f t="shared" ref="L4:L10" ca="1" si="0">OFFSET($C$2, 5*(K4-1), 0)</f>
        <v>5.8049999999999997</v>
      </c>
    </row>
    <row r="5" spans="1:12">
      <c r="A5" s="3" t="s">
        <v>1302</v>
      </c>
      <c r="C5" s="3" t="s">
        <v>900</v>
      </c>
      <c r="I5" s="21">
        <v>3</v>
      </c>
      <c r="J5" s="21">
        <f t="shared" ref="J5:J10" si="1">J4+360/8</f>
        <v>90</v>
      </c>
      <c r="K5" s="15">
        <v>7</v>
      </c>
      <c r="L5" s="15">
        <f t="shared" ca="1" si="0"/>
        <v>5.8029999999999999</v>
      </c>
    </row>
    <row r="6" spans="1:12">
      <c r="A6" s="3" t="s">
        <v>1035</v>
      </c>
      <c r="C6" s="33"/>
      <c r="I6" s="21">
        <v>4</v>
      </c>
      <c r="J6" s="21">
        <f t="shared" si="1"/>
        <v>135</v>
      </c>
      <c r="K6" s="15">
        <v>6</v>
      </c>
      <c r="L6" s="15">
        <f t="shared" ca="1" si="0"/>
        <v>5.8</v>
      </c>
    </row>
    <row r="7" spans="1:12">
      <c r="A7" s="3" t="s">
        <v>969</v>
      </c>
      <c r="B7" s="3" t="s">
        <v>970</v>
      </c>
      <c r="C7" s="3">
        <v>5.8019999999999996</v>
      </c>
      <c r="D7" s="3" t="s">
        <v>971</v>
      </c>
      <c r="E7" s="3">
        <v>5.75</v>
      </c>
      <c r="I7" s="21">
        <v>5</v>
      </c>
      <c r="J7" s="21">
        <f t="shared" si="1"/>
        <v>180</v>
      </c>
      <c r="K7" s="15">
        <v>5</v>
      </c>
      <c r="L7" s="15">
        <f t="shared" ca="1" si="0"/>
        <v>5.7990000000000004</v>
      </c>
    </row>
    <row r="8" spans="1:12">
      <c r="A8" s="3" t="s">
        <v>1036</v>
      </c>
      <c r="B8" s="3" t="s">
        <v>973</v>
      </c>
      <c r="C8" s="3">
        <v>5.1999999999999998E-2</v>
      </c>
      <c r="D8" s="3" t="s">
        <v>974</v>
      </c>
      <c r="E8" s="3">
        <v>0.04</v>
      </c>
      <c r="F8" s="1" t="s">
        <v>1300</v>
      </c>
      <c r="G8" s="1">
        <v>1.2E-2</v>
      </c>
      <c r="I8" s="21">
        <v>6</v>
      </c>
      <c r="J8" s="21">
        <f t="shared" si="1"/>
        <v>225</v>
      </c>
      <c r="K8" s="15">
        <v>4</v>
      </c>
      <c r="L8" s="15">
        <f t="shared" ca="1" si="0"/>
        <v>5.7990000000000004</v>
      </c>
    </row>
    <row r="9" spans="1:12">
      <c r="A9" s="20" t="s">
        <v>1037</v>
      </c>
      <c r="B9" s="3" t="s">
        <v>976</v>
      </c>
      <c r="C9" s="3">
        <v>-0.04</v>
      </c>
      <c r="I9" s="21">
        <v>7</v>
      </c>
      <c r="J9" s="21">
        <f t="shared" si="1"/>
        <v>270</v>
      </c>
      <c r="K9" s="15">
        <v>3</v>
      </c>
      <c r="L9" s="15">
        <f t="shared" ca="1" si="0"/>
        <v>5.8029999999999999</v>
      </c>
    </row>
    <row r="10" spans="1:12">
      <c r="A10" s="3" t="s">
        <v>1302</v>
      </c>
      <c r="C10" s="3" t="s">
        <v>900</v>
      </c>
      <c r="I10" s="21">
        <v>8</v>
      </c>
      <c r="J10" s="21">
        <f t="shared" si="1"/>
        <v>315</v>
      </c>
      <c r="K10" s="15">
        <v>2</v>
      </c>
      <c r="L10" s="15">
        <f t="shared" ca="1" si="0"/>
        <v>5.8019999999999996</v>
      </c>
    </row>
    <row r="11" spans="1:12">
      <c r="A11" s="3" t="s">
        <v>1038</v>
      </c>
      <c r="C11" s="33"/>
    </row>
    <row r="12" spans="1:12" ht="16.5">
      <c r="A12" s="3" t="s">
        <v>969</v>
      </c>
      <c r="B12" s="3" t="s">
        <v>970</v>
      </c>
      <c r="C12" s="3">
        <v>5.8029999999999999</v>
      </c>
      <c r="D12" s="3" t="s">
        <v>971</v>
      </c>
      <c r="E12" s="3">
        <v>5.75</v>
      </c>
      <c r="K12" s="24" t="s">
        <v>112</v>
      </c>
      <c r="L12" s="15">
        <f ca="1">MAX(L3:L10)</f>
        <v>5.8049999999999997</v>
      </c>
    </row>
    <row r="13" spans="1:12">
      <c r="A13" s="3" t="s">
        <v>1039</v>
      </c>
      <c r="B13" s="3" t="s">
        <v>973</v>
      </c>
      <c r="C13" s="3">
        <v>5.2999999999999999E-2</v>
      </c>
      <c r="D13" s="3" t="s">
        <v>974</v>
      </c>
      <c r="E13" s="3">
        <v>0.04</v>
      </c>
      <c r="F13" s="1" t="s">
        <v>1300</v>
      </c>
      <c r="G13" s="1">
        <v>1.2999999999999999E-2</v>
      </c>
    </row>
    <row r="14" spans="1:12">
      <c r="A14" s="20" t="s">
        <v>1040</v>
      </c>
      <c r="B14" s="3" t="s">
        <v>976</v>
      </c>
      <c r="C14" s="3">
        <v>-0.04</v>
      </c>
    </row>
    <row r="15" spans="1:12">
      <c r="A15" s="3" t="s">
        <v>1302</v>
      </c>
      <c r="C15" s="3" t="s">
        <v>900</v>
      </c>
    </row>
    <row r="16" spans="1:12">
      <c r="A16" s="3" t="s">
        <v>1041</v>
      </c>
      <c r="C16" s="33"/>
    </row>
    <row r="17" spans="1:7">
      <c r="A17" s="3" t="s">
        <v>969</v>
      </c>
      <c r="B17" s="3" t="s">
        <v>970</v>
      </c>
      <c r="C17" s="3">
        <v>5.7990000000000004</v>
      </c>
      <c r="D17" s="3" t="s">
        <v>971</v>
      </c>
      <c r="E17" s="3">
        <v>5.75</v>
      </c>
    </row>
    <row r="18" spans="1:7">
      <c r="A18" s="3" t="s">
        <v>1042</v>
      </c>
      <c r="B18" s="3" t="s">
        <v>973</v>
      </c>
      <c r="C18" s="3">
        <v>4.9000000000000002E-2</v>
      </c>
      <c r="D18" s="3" t="s">
        <v>974</v>
      </c>
      <c r="E18" s="3">
        <v>0.04</v>
      </c>
      <c r="F18" s="1" t="s">
        <v>1300</v>
      </c>
      <c r="G18" s="1">
        <v>8.9999999999999993E-3</v>
      </c>
    </row>
    <row r="19" spans="1:7">
      <c r="A19" s="20" t="s">
        <v>1043</v>
      </c>
      <c r="B19" s="3" t="s">
        <v>976</v>
      </c>
      <c r="C19" s="3">
        <v>-0.04</v>
      </c>
    </row>
    <row r="20" spans="1:7">
      <c r="A20" s="3" t="s">
        <v>1302</v>
      </c>
      <c r="C20" s="3" t="s">
        <v>900</v>
      </c>
    </row>
    <row r="21" spans="1:7">
      <c r="A21" s="3" t="s">
        <v>1044</v>
      </c>
      <c r="C21" s="33"/>
    </row>
    <row r="22" spans="1:7">
      <c r="A22" s="3" t="s">
        <v>969</v>
      </c>
      <c r="B22" s="3" t="s">
        <v>970</v>
      </c>
      <c r="C22" s="3">
        <v>5.7990000000000004</v>
      </c>
      <c r="D22" s="3" t="s">
        <v>971</v>
      </c>
      <c r="E22" s="3">
        <v>5.75</v>
      </c>
    </row>
    <row r="23" spans="1:7">
      <c r="A23" s="3" t="s">
        <v>1045</v>
      </c>
      <c r="B23" s="3" t="s">
        <v>973</v>
      </c>
      <c r="C23" s="3">
        <v>4.9000000000000002E-2</v>
      </c>
      <c r="D23" s="3" t="s">
        <v>974</v>
      </c>
      <c r="E23" s="3">
        <v>0.04</v>
      </c>
      <c r="F23" s="1" t="s">
        <v>1300</v>
      </c>
      <c r="G23" s="1">
        <v>8.9999999999999993E-3</v>
      </c>
    </row>
    <row r="24" spans="1:7">
      <c r="A24" s="20" t="s">
        <v>1046</v>
      </c>
      <c r="B24" s="3" t="s">
        <v>976</v>
      </c>
      <c r="C24" s="3">
        <v>-0.04</v>
      </c>
    </row>
    <row r="25" spans="1:7">
      <c r="A25" s="3" t="s">
        <v>1302</v>
      </c>
      <c r="C25" s="3" t="s">
        <v>900</v>
      </c>
    </row>
    <row r="26" spans="1:7">
      <c r="A26" s="3" t="s">
        <v>1047</v>
      </c>
      <c r="C26" s="33"/>
    </row>
    <row r="27" spans="1:7">
      <c r="A27" s="3" t="s">
        <v>969</v>
      </c>
      <c r="B27" s="3" t="s">
        <v>970</v>
      </c>
      <c r="C27" s="3">
        <v>5.8</v>
      </c>
      <c r="D27" s="3" t="s">
        <v>971</v>
      </c>
      <c r="E27" s="3">
        <v>5.75</v>
      </c>
    </row>
    <row r="28" spans="1:7">
      <c r="A28" s="3" t="s">
        <v>1048</v>
      </c>
      <c r="B28" s="3" t="s">
        <v>973</v>
      </c>
      <c r="C28" s="3">
        <v>0.05</v>
      </c>
      <c r="D28" s="3" t="s">
        <v>974</v>
      </c>
      <c r="E28" s="3">
        <v>0.04</v>
      </c>
      <c r="F28" s="1" t="s">
        <v>1300</v>
      </c>
      <c r="G28" s="1">
        <v>0.01</v>
      </c>
    </row>
    <row r="29" spans="1:7">
      <c r="A29" s="20" t="s">
        <v>1049</v>
      </c>
      <c r="B29" s="3" t="s">
        <v>976</v>
      </c>
      <c r="C29" s="3">
        <v>-0.04</v>
      </c>
    </row>
    <row r="30" spans="1:7">
      <c r="A30" s="3" t="s">
        <v>1302</v>
      </c>
      <c r="C30" s="3" t="s">
        <v>900</v>
      </c>
    </row>
    <row r="31" spans="1:7">
      <c r="A31" s="3" t="s">
        <v>1050</v>
      </c>
      <c r="C31" s="33"/>
    </row>
    <row r="32" spans="1:7">
      <c r="A32" s="3" t="s">
        <v>969</v>
      </c>
      <c r="B32" s="3" t="s">
        <v>970</v>
      </c>
      <c r="C32" s="3">
        <v>5.8029999999999999</v>
      </c>
      <c r="D32" s="3" t="s">
        <v>971</v>
      </c>
      <c r="E32" s="3">
        <v>5.75</v>
      </c>
    </row>
    <row r="33" spans="1:7">
      <c r="A33" s="3" t="s">
        <v>1051</v>
      </c>
      <c r="B33" s="3" t="s">
        <v>973</v>
      </c>
      <c r="C33" s="3">
        <v>5.2999999999999999E-2</v>
      </c>
      <c r="D33" s="3" t="s">
        <v>974</v>
      </c>
      <c r="E33" s="3">
        <v>0.04</v>
      </c>
      <c r="F33" s="1" t="s">
        <v>1300</v>
      </c>
      <c r="G33" s="1">
        <v>1.2999999999999999E-2</v>
      </c>
    </row>
    <row r="34" spans="1:7">
      <c r="A34" s="20" t="s">
        <v>1052</v>
      </c>
      <c r="B34" s="3" t="s">
        <v>976</v>
      </c>
      <c r="C34" s="3">
        <v>-0.04</v>
      </c>
    </row>
    <row r="35" spans="1:7">
      <c r="A35" s="3" t="s">
        <v>1302</v>
      </c>
      <c r="C35" s="3" t="s">
        <v>900</v>
      </c>
    </row>
    <row r="36" spans="1:7">
      <c r="A36" s="3" t="s">
        <v>1053</v>
      </c>
      <c r="C36" s="33"/>
    </row>
    <row r="37" spans="1:7">
      <c r="A37" s="3" t="s">
        <v>969</v>
      </c>
      <c r="B37" s="3" t="s">
        <v>970</v>
      </c>
      <c r="C37" s="3">
        <v>5.8049999999999997</v>
      </c>
      <c r="D37" s="3" t="s">
        <v>971</v>
      </c>
      <c r="E37" s="3">
        <v>5.75</v>
      </c>
    </row>
    <row r="38" spans="1:7">
      <c r="A38" s="3" t="s">
        <v>1054</v>
      </c>
      <c r="B38" s="3" t="s">
        <v>973</v>
      </c>
      <c r="C38" s="3">
        <v>5.5E-2</v>
      </c>
      <c r="D38" s="3" t="s">
        <v>974</v>
      </c>
      <c r="E38" s="3">
        <v>0.04</v>
      </c>
      <c r="F38" s="1" t="s">
        <v>1300</v>
      </c>
      <c r="G38" s="1">
        <v>1.4999999999999999E-2</v>
      </c>
    </row>
    <row r="39" spans="1:7">
      <c r="A39" s="20" t="s">
        <v>1055</v>
      </c>
      <c r="B39" s="3" t="s">
        <v>976</v>
      </c>
      <c r="C39" s="3">
        <v>-0.04</v>
      </c>
    </row>
    <row r="40" spans="1:7">
      <c r="A40" s="3" t="s">
        <v>1302</v>
      </c>
      <c r="C40" s="3" t="s">
        <v>900</v>
      </c>
    </row>
  </sheetData>
  <phoneticPr fontId="1"/>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1:L45"/>
  <sheetViews>
    <sheetView workbookViewId="0">
      <selection activeCell="A4" sqref="A4"/>
    </sheetView>
  </sheetViews>
  <sheetFormatPr defaultRowHeight="15"/>
  <sheetData>
    <row r="1" spans="1:12">
      <c r="A1" t="s">
        <v>1267</v>
      </c>
    </row>
    <row r="2" spans="1:12">
      <c r="A2" t="s">
        <v>1268</v>
      </c>
      <c r="B2" t="s">
        <v>970</v>
      </c>
      <c r="C2">
        <v>380.476</v>
      </c>
      <c r="D2" t="s">
        <v>971</v>
      </c>
      <c r="E2">
        <v>380.5</v>
      </c>
      <c r="J2" t="str">
        <f>A5&amp;"検査項目418"</f>
        <v>JHV723EJ検査項目418</v>
      </c>
      <c r="K2" t="s">
        <v>1058</v>
      </c>
      <c r="L2" t="s">
        <v>1059</v>
      </c>
    </row>
    <row r="3" spans="1:12">
      <c r="A3" t="s">
        <v>1269</v>
      </c>
      <c r="B3" t="s">
        <v>897</v>
      </c>
      <c r="C3">
        <v>-2.4E-2</v>
      </c>
      <c r="D3" t="s">
        <v>1165</v>
      </c>
      <c r="E3">
        <v>0.13</v>
      </c>
      <c r="F3" t="s">
        <v>895</v>
      </c>
      <c r="I3">
        <v>1</v>
      </c>
      <c r="J3">
        <f t="shared" ref="J3:J11" ca="1" si="0">OFFSET(C$2, 5*(I3-1),0)</f>
        <v>380.476</v>
      </c>
      <c r="K3">
        <f>E2+C4</f>
        <v>380.37</v>
      </c>
      <c r="L3">
        <f>E2+E3</f>
        <v>380.63</v>
      </c>
    </row>
    <row r="4" spans="1:12">
      <c r="A4" s="80" t="s">
        <v>1270</v>
      </c>
      <c r="B4" t="s">
        <v>976</v>
      </c>
      <c r="C4">
        <v>-0.13</v>
      </c>
      <c r="I4">
        <v>2</v>
      </c>
      <c r="J4">
        <f t="shared" ca="1" si="0"/>
        <v>380.476</v>
      </c>
      <c r="K4">
        <f>K$3</f>
        <v>380.37</v>
      </c>
      <c r="L4">
        <f>L$3</f>
        <v>380.63</v>
      </c>
    </row>
    <row r="5" spans="1:12">
      <c r="A5" t="s">
        <v>1302</v>
      </c>
      <c r="C5" t="s">
        <v>1271</v>
      </c>
      <c r="I5">
        <v>3</v>
      </c>
      <c r="J5">
        <f t="shared" ca="1" si="0"/>
        <v>380.47500000000002</v>
      </c>
      <c r="K5">
        <f t="shared" ref="K5:L11" si="1">K$3</f>
        <v>380.37</v>
      </c>
      <c r="L5">
        <f t="shared" si="1"/>
        <v>380.63</v>
      </c>
    </row>
    <row r="6" spans="1:12">
      <c r="A6" t="s">
        <v>1272</v>
      </c>
      <c r="I6">
        <v>4</v>
      </c>
      <c r="J6">
        <f t="shared" ca="1" si="0"/>
        <v>380.423</v>
      </c>
      <c r="K6">
        <f t="shared" si="1"/>
        <v>380.37</v>
      </c>
      <c r="L6">
        <f t="shared" si="1"/>
        <v>380.63</v>
      </c>
    </row>
    <row r="7" spans="1:12">
      <c r="A7" t="s">
        <v>1268</v>
      </c>
      <c r="B7" t="s">
        <v>970</v>
      </c>
      <c r="C7">
        <v>380.476</v>
      </c>
      <c r="D7" t="s">
        <v>971</v>
      </c>
      <c r="E7">
        <v>380.5</v>
      </c>
      <c r="I7">
        <v>5</v>
      </c>
      <c r="J7">
        <f t="shared" ca="1" si="0"/>
        <v>380.41800000000001</v>
      </c>
      <c r="K7">
        <f t="shared" si="1"/>
        <v>380.37</v>
      </c>
      <c r="L7">
        <f t="shared" si="1"/>
        <v>380.63</v>
      </c>
    </row>
    <row r="8" spans="1:12">
      <c r="A8" t="s">
        <v>1273</v>
      </c>
      <c r="B8" t="s">
        <v>897</v>
      </c>
      <c r="C8">
        <v>-2.4E-2</v>
      </c>
      <c r="D8" t="s">
        <v>1165</v>
      </c>
      <c r="E8">
        <v>0.13</v>
      </c>
      <c r="F8" t="s">
        <v>895</v>
      </c>
      <c r="I8">
        <v>6</v>
      </c>
      <c r="J8">
        <f t="shared" ca="1" si="0"/>
        <v>380.46699999999998</v>
      </c>
      <c r="K8">
        <f t="shared" si="1"/>
        <v>380.37</v>
      </c>
      <c r="L8">
        <f t="shared" si="1"/>
        <v>380.63</v>
      </c>
    </row>
    <row r="9" spans="1:12">
      <c r="A9" s="80" t="s">
        <v>1274</v>
      </c>
      <c r="B9" t="s">
        <v>976</v>
      </c>
      <c r="C9">
        <v>-0.13</v>
      </c>
      <c r="I9">
        <v>7</v>
      </c>
      <c r="J9">
        <f t="shared" ca="1" si="0"/>
        <v>380.50099999999998</v>
      </c>
      <c r="K9">
        <f t="shared" si="1"/>
        <v>380.37</v>
      </c>
      <c r="L9">
        <f t="shared" si="1"/>
        <v>380.63</v>
      </c>
    </row>
    <row r="10" spans="1:12">
      <c r="A10" t="s">
        <v>1302</v>
      </c>
      <c r="C10" t="s">
        <v>1271</v>
      </c>
      <c r="I10">
        <v>8</v>
      </c>
      <c r="J10">
        <f t="shared" ca="1" si="0"/>
        <v>380.488</v>
      </c>
      <c r="K10">
        <f t="shared" si="1"/>
        <v>380.37</v>
      </c>
      <c r="L10">
        <f t="shared" si="1"/>
        <v>380.63</v>
      </c>
    </row>
    <row r="11" spans="1:12">
      <c r="A11" t="s">
        <v>1275</v>
      </c>
      <c r="I11">
        <v>9</v>
      </c>
      <c r="J11">
        <f t="shared" ca="1" si="0"/>
        <v>380.46600000000001</v>
      </c>
      <c r="K11">
        <f t="shared" si="1"/>
        <v>380.37</v>
      </c>
      <c r="L11">
        <f t="shared" si="1"/>
        <v>380.63</v>
      </c>
    </row>
    <row r="12" spans="1:12">
      <c r="A12" t="s">
        <v>1268</v>
      </c>
      <c r="B12" t="s">
        <v>970</v>
      </c>
      <c r="C12">
        <v>380.47500000000002</v>
      </c>
      <c r="D12" t="s">
        <v>971</v>
      </c>
      <c r="E12">
        <v>380.5</v>
      </c>
    </row>
    <row r="13" spans="1:12">
      <c r="A13" t="s">
        <v>1276</v>
      </c>
      <c r="B13" t="s">
        <v>897</v>
      </c>
      <c r="C13">
        <v>-2.5000000000000001E-2</v>
      </c>
      <c r="D13" t="s">
        <v>1165</v>
      </c>
      <c r="E13">
        <v>0.13</v>
      </c>
      <c r="F13" t="s">
        <v>895</v>
      </c>
      <c r="J13">
        <f ca="1">MAX(J3:J11)</f>
        <v>380.50099999999998</v>
      </c>
      <c r="K13" t="str">
        <f ca="1">IF(J13&gt;L11, "O/Max "&amp;TEXT(J13-L11, "0.000"), "-")</f>
        <v>-</v>
      </c>
    </row>
    <row r="14" spans="1:12">
      <c r="A14" s="80" t="s">
        <v>1277</v>
      </c>
      <c r="B14" t="s">
        <v>976</v>
      </c>
      <c r="C14">
        <v>-0.13</v>
      </c>
      <c r="J14">
        <f ca="1">MIN(J3:J11)</f>
        <v>380.41800000000001</v>
      </c>
      <c r="K14" t="str">
        <f ca="1">IF(J14&lt;K11, "U/Min "&amp;TEXT(K11-J14, "0.000"), "-")</f>
        <v>-</v>
      </c>
    </row>
    <row r="15" spans="1:12">
      <c r="A15" t="s">
        <v>1302</v>
      </c>
      <c r="C15" t="s">
        <v>1271</v>
      </c>
    </row>
    <row r="16" spans="1:12">
      <c r="A16" t="s">
        <v>1278</v>
      </c>
    </row>
    <row r="17" spans="1:6">
      <c r="A17" t="s">
        <v>1268</v>
      </c>
      <c r="B17" t="s">
        <v>970</v>
      </c>
      <c r="C17">
        <v>380.423</v>
      </c>
      <c r="D17" t="s">
        <v>971</v>
      </c>
      <c r="E17">
        <v>380.5</v>
      </c>
    </row>
    <row r="18" spans="1:6">
      <c r="A18" t="s">
        <v>1279</v>
      </c>
      <c r="B18" t="s">
        <v>897</v>
      </c>
      <c r="C18">
        <v>-7.6999999999999999E-2</v>
      </c>
      <c r="D18" t="s">
        <v>1165</v>
      </c>
      <c r="E18">
        <v>0.13</v>
      </c>
      <c r="F18" t="s">
        <v>895</v>
      </c>
    </row>
    <row r="19" spans="1:6">
      <c r="A19" s="80" t="s">
        <v>1280</v>
      </c>
      <c r="B19" t="s">
        <v>976</v>
      </c>
      <c r="C19">
        <v>-0.13</v>
      </c>
    </row>
    <row r="20" spans="1:6">
      <c r="A20" t="s">
        <v>1302</v>
      </c>
      <c r="C20" t="s">
        <v>1271</v>
      </c>
    </row>
    <row r="21" spans="1:6">
      <c r="A21" t="s">
        <v>1281</v>
      </c>
    </row>
    <row r="22" spans="1:6">
      <c r="A22" t="s">
        <v>1268</v>
      </c>
      <c r="B22" t="s">
        <v>970</v>
      </c>
      <c r="C22">
        <v>380.41800000000001</v>
      </c>
      <c r="D22" t="s">
        <v>971</v>
      </c>
      <c r="E22">
        <v>380.5</v>
      </c>
    </row>
    <row r="23" spans="1:6">
      <c r="A23" t="s">
        <v>1282</v>
      </c>
      <c r="B23" t="s">
        <v>897</v>
      </c>
      <c r="C23">
        <v>-8.2000000000000003E-2</v>
      </c>
      <c r="D23" t="s">
        <v>1165</v>
      </c>
      <c r="E23">
        <v>0.13</v>
      </c>
      <c r="F23" t="s">
        <v>895</v>
      </c>
    </row>
    <row r="24" spans="1:6">
      <c r="A24" s="80" t="s">
        <v>1283</v>
      </c>
      <c r="B24" t="s">
        <v>976</v>
      </c>
      <c r="C24">
        <v>-0.13</v>
      </c>
    </row>
    <row r="25" spans="1:6">
      <c r="A25" t="s">
        <v>1302</v>
      </c>
      <c r="C25" t="s">
        <v>1271</v>
      </c>
    </row>
    <row r="26" spans="1:6">
      <c r="A26" t="s">
        <v>1284</v>
      </c>
    </row>
    <row r="27" spans="1:6">
      <c r="A27" t="s">
        <v>1268</v>
      </c>
      <c r="B27" t="s">
        <v>970</v>
      </c>
      <c r="C27">
        <v>380.46699999999998</v>
      </c>
      <c r="D27" t="s">
        <v>971</v>
      </c>
      <c r="E27">
        <v>380.5</v>
      </c>
    </row>
    <row r="28" spans="1:6">
      <c r="A28" t="s">
        <v>1285</v>
      </c>
      <c r="B28" t="s">
        <v>897</v>
      </c>
      <c r="C28">
        <v>-3.3000000000000002E-2</v>
      </c>
      <c r="D28" t="s">
        <v>1165</v>
      </c>
      <c r="E28">
        <v>0.13</v>
      </c>
      <c r="F28" t="s">
        <v>895</v>
      </c>
    </row>
    <row r="29" spans="1:6">
      <c r="A29" s="80" t="s">
        <v>1286</v>
      </c>
      <c r="B29" t="s">
        <v>976</v>
      </c>
      <c r="C29">
        <v>-0.13</v>
      </c>
    </row>
    <row r="30" spans="1:6">
      <c r="A30" t="s">
        <v>1302</v>
      </c>
      <c r="C30" t="s">
        <v>1271</v>
      </c>
    </row>
    <row r="31" spans="1:6">
      <c r="A31" t="s">
        <v>1287</v>
      </c>
    </row>
    <row r="32" spans="1:6">
      <c r="A32" t="s">
        <v>1268</v>
      </c>
      <c r="B32" t="s">
        <v>970</v>
      </c>
      <c r="C32">
        <v>380.50099999999998</v>
      </c>
      <c r="D32" t="s">
        <v>971</v>
      </c>
      <c r="E32">
        <v>380.5</v>
      </c>
    </row>
    <row r="33" spans="1:6">
      <c r="A33" t="s">
        <v>1288</v>
      </c>
      <c r="B33" t="s">
        <v>897</v>
      </c>
      <c r="C33">
        <v>1E-3</v>
      </c>
      <c r="D33" t="s">
        <v>1165</v>
      </c>
      <c r="E33">
        <v>0.13</v>
      </c>
      <c r="F33" t="s">
        <v>895</v>
      </c>
    </row>
    <row r="34" spans="1:6">
      <c r="A34" s="80" t="s">
        <v>1289</v>
      </c>
      <c r="B34" t="s">
        <v>976</v>
      </c>
      <c r="C34">
        <v>-0.13</v>
      </c>
    </row>
    <row r="35" spans="1:6">
      <c r="A35" t="s">
        <v>1302</v>
      </c>
      <c r="C35" t="s">
        <v>1271</v>
      </c>
    </row>
    <row r="36" spans="1:6">
      <c r="A36" t="s">
        <v>1290</v>
      </c>
    </row>
    <row r="37" spans="1:6">
      <c r="A37" t="s">
        <v>1268</v>
      </c>
      <c r="B37" t="s">
        <v>970</v>
      </c>
      <c r="C37">
        <v>380.488</v>
      </c>
      <c r="D37" t="s">
        <v>971</v>
      </c>
      <c r="E37">
        <v>380.5</v>
      </c>
    </row>
    <row r="38" spans="1:6">
      <c r="A38" t="s">
        <v>1291</v>
      </c>
      <c r="B38" t="s">
        <v>897</v>
      </c>
      <c r="C38">
        <v>-1.2E-2</v>
      </c>
      <c r="D38" t="s">
        <v>1165</v>
      </c>
      <c r="E38">
        <v>0.13</v>
      </c>
      <c r="F38" t="s">
        <v>895</v>
      </c>
    </row>
    <row r="39" spans="1:6">
      <c r="A39" s="80" t="s">
        <v>1292</v>
      </c>
      <c r="B39" t="s">
        <v>976</v>
      </c>
      <c r="C39">
        <v>-0.13</v>
      </c>
    </row>
    <row r="40" spans="1:6">
      <c r="A40" t="s">
        <v>1302</v>
      </c>
      <c r="C40" t="s">
        <v>1271</v>
      </c>
    </row>
    <row r="41" spans="1:6">
      <c r="A41" t="s">
        <v>1293</v>
      </c>
    </row>
    <row r="42" spans="1:6">
      <c r="A42" t="s">
        <v>1268</v>
      </c>
      <c r="B42" t="s">
        <v>970</v>
      </c>
      <c r="C42">
        <v>380.46600000000001</v>
      </c>
      <c r="D42" t="s">
        <v>971</v>
      </c>
      <c r="E42">
        <v>380.5</v>
      </c>
    </row>
    <row r="43" spans="1:6">
      <c r="A43" t="s">
        <v>1294</v>
      </c>
      <c r="B43" t="s">
        <v>897</v>
      </c>
      <c r="C43">
        <v>-3.4000000000000002E-2</v>
      </c>
      <c r="D43" t="s">
        <v>1165</v>
      </c>
      <c r="E43">
        <v>0.13</v>
      </c>
      <c r="F43" t="s">
        <v>895</v>
      </c>
    </row>
    <row r="44" spans="1:6">
      <c r="A44" s="80" t="s">
        <v>1295</v>
      </c>
      <c r="B44" t="s">
        <v>976</v>
      </c>
      <c r="C44">
        <v>-0.13</v>
      </c>
    </row>
    <row r="45" spans="1:6">
      <c r="A45" t="s">
        <v>1302</v>
      </c>
      <c r="C45" t="s">
        <v>1271</v>
      </c>
    </row>
  </sheetData>
  <phoneticPr fontId="1"/>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31</vt:i4>
      </vt:variant>
    </vt:vector>
  </HeadingPairs>
  <TitlesOfParts>
    <vt:vector size="31" baseType="lpstr">
      <vt:lpstr>101</vt:lpstr>
      <vt:lpstr>105</vt:lpstr>
      <vt:lpstr>206</vt:lpstr>
      <vt:lpstr>225</vt:lpstr>
      <vt:lpstr>226</vt:lpstr>
      <vt:lpstr>207</vt:lpstr>
      <vt:lpstr>207再計測</vt:lpstr>
      <vt:lpstr>225 226 Case Thickness</vt:lpstr>
      <vt:lpstr>234</vt:lpstr>
      <vt:lpstr>235</vt:lpstr>
      <vt:lpstr>234-235 Stg.1 S Hook T</vt:lpstr>
      <vt:lpstr>105-235Stg.1 S Groove</vt:lpstr>
      <vt:lpstr>237</vt:lpstr>
      <vt:lpstr>236</vt:lpstr>
      <vt:lpstr>238</vt:lpstr>
      <vt:lpstr>239</vt:lpstr>
      <vt:lpstr>240</vt:lpstr>
      <vt:lpstr>241</vt:lpstr>
      <vt:lpstr>242</vt:lpstr>
      <vt:lpstr>243</vt:lpstr>
      <vt:lpstr>244</vt:lpstr>
      <vt:lpstr>246</vt:lpstr>
      <vt:lpstr>245</vt:lpstr>
      <vt:lpstr>247</vt:lpstr>
      <vt:lpstr>248</vt:lpstr>
      <vt:lpstr>201</vt:lpstr>
      <vt:lpstr>112</vt:lpstr>
      <vt:lpstr>309</vt:lpstr>
      <vt:lpstr>118</vt:lpstr>
      <vt:lpstr>342</vt:lpstr>
      <vt:lpstr>418</vt:lpstr>
    </vt:vector>
  </TitlesOfParts>
  <Company>IHI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Rinya Mita</dc:creator>
  <cp:lastModifiedBy>Om Tiwari</cp:lastModifiedBy>
  <dcterms:created xsi:type="dcterms:W3CDTF">2020-01-21T23:25:08Z</dcterms:created>
  <dcterms:modified xsi:type="dcterms:W3CDTF">2023-06-01T07:30:46Z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a97a89a-9189-4899-b564-97c97b2c6c1e_Enabled">
    <vt:lpwstr>true</vt:lpwstr>
  </property>
  <property fmtid="{D5CDD505-2E9C-101B-9397-08002B2CF9AE}" pid="3" name="MSIP_Label_6a97a89a-9189-4899-b564-97c97b2c6c1e_SetDate">
    <vt:lpwstr>2023-05-31T02:40:02Z</vt:lpwstr>
  </property>
  <property fmtid="{D5CDD505-2E9C-101B-9397-08002B2CF9AE}" pid="4" name="MSIP_Label_6a97a89a-9189-4899-b564-97c97b2c6c1e_Method">
    <vt:lpwstr>Privileged</vt:lpwstr>
  </property>
  <property fmtid="{D5CDD505-2E9C-101B-9397-08002B2CF9AE}" pid="5" name="MSIP_Label_6a97a89a-9189-4899-b564-97c97b2c6c1e_Name">
    <vt:lpwstr>Unlabeled</vt:lpwstr>
  </property>
  <property fmtid="{D5CDD505-2E9C-101B-9397-08002B2CF9AE}" pid="6" name="MSIP_Label_6a97a89a-9189-4899-b564-97c97b2c6c1e_SiteId">
    <vt:lpwstr>e03e4558-630c-41ca-9c31-cf261fd0ccad</vt:lpwstr>
  </property>
  <property fmtid="{D5CDD505-2E9C-101B-9397-08002B2CF9AE}" pid="7" name="MSIP_Label_6a97a89a-9189-4899-b564-97c97b2c6c1e_ActionId">
    <vt:lpwstr>82797656-d5b6-4493-beee-b59c929417e1</vt:lpwstr>
  </property>
  <property fmtid="{D5CDD505-2E9C-101B-9397-08002B2CF9AE}" pid="8" name="MSIP_Label_6a97a89a-9189-4899-b564-97c97b2c6c1e_ContentBits">
    <vt:lpwstr>0</vt:lpwstr>
  </property>
</Properties>
</file>